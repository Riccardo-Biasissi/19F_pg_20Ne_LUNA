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mc:AlternateContent xmlns:mc="http://schemas.openxmlformats.org/markup-compatibility/2006">
    <mc:Choice Requires="x15">
      <x15ac:absPath xmlns:x15ac="http://schemas.microsoft.com/office/spreadsheetml/2010/11/ac" url="/Users/biasissi/Desktop/"/>
    </mc:Choice>
  </mc:AlternateContent>
  <xr:revisionPtr revIDLastSave="0" documentId="13_ncr:1_{7B4644A8-592E-D445-934D-3833E2EA6090}" xr6:coauthVersionLast="47" xr6:coauthVersionMax="47" xr10:uidLastSave="{00000000-0000-0000-0000-000000000000}"/>
  <bookViews>
    <workbookView xWindow="0" yWindow="600" windowWidth="34200" windowHeight="21000" activeTab="4" xr2:uid="{00000000-000D-0000-FFFF-FFFF00000000}"/>
  </bookViews>
  <sheets>
    <sheet name="Beamtime 1" sheetId="1" r:id="rId1"/>
    <sheet name="Beamtime 2" sheetId="2" r:id="rId2"/>
    <sheet name="Beamtime 3" sheetId="3" r:id="rId3"/>
    <sheet name="Beamtime 4" sheetId="4" r:id="rId4"/>
    <sheet name="Beamtime 5" sheetId="15" r:id="rId5"/>
    <sheet name="Targets" sheetId="5" r:id="rId6"/>
    <sheet name="Gamma Energies" sheetId="6" r:id="rId7"/>
    <sheet name="Resonance Energies" sheetId="7" r:id="rId8"/>
    <sheet name="Evaporated Scans - Beamtime 1" sheetId="8" r:id="rId9"/>
    <sheet name="Implanted Scans - Beamtime 2" sheetId="9" r:id="rId10"/>
    <sheet name="SUDFLUOR3 Scans - Beamtime 2" sheetId="10" r:id="rId11"/>
    <sheet name="SUDFLUOR4 Scans - Beamtime 2" sheetId="11" r:id="rId12"/>
    <sheet name="Blank Scans - Beamtime 1" sheetId="12" r:id="rId13"/>
    <sheet name="Implanted Scans - Beamtime 1" sheetId="13" r:id="rId14"/>
    <sheet name="Lost Runs" sheetId="14" r:id="rId15"/>
  </sheets>
  <definedNames>
    <definedName name="_xlnm._FilterDatabase" localSheetId="0">'Beamtime 1'!$B$1:$B$1003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1" i="13" l="1"/>
  <c r="H331" i="13"/>
  <c r="I330" i="13"/>
  <c r="H330" i="13"/>
  <c r="I329" i="13"/>
  <c r="H329" i="13"/>
  <c r="I328" i="13"/>
  <c r="H328" i="13"/>
  <c r="I327" i="13"/>
  <c r="H327" i="13"/>
  <c r="I326" i="13"/>
  <c r="H326" i="13"/>
  <c r="I325" i="13"/>
  <c r="H325" i="13"/>
  <c r="I324" i="13"/>
  <c r="H324" i="13"/>
  <c r="I323" i="13"/>
  <c r="H323" i="13"/>
  <c r="I322" i="13"/>
  <c r="H322" i="13"/>
  <c r="I321" i="13"/>
  <c r="H321" i="13"/>
  <c r="I320" i="13"/>
  <c r="H320" i="13"/>
  <c r="I319" i="13"/>
  <c r="H319" i="13"/>
  <c r="I318" i="13"/>
  <c r="H318" i="13"/>
  <c r="I317" i="13"/>
  <c r="H317" i="13"/>
  <c r="I316" i="13"/>
  <c r="H316" i="13"/>
  <c r="I315" i="13"/>
  <c r="H315" i="13"/>
  <c r="I314" i="13"/>
  <c r="H314" i="13"/>
  <c r="I313" i="13"/>
  <c r="H313" i="13"/>
  <c r="I309" i="13"/>
  <c r="H309" i="13"/>
  <c r="I308" i="13"/>
  <c r="H308" i="13"/>
  <c r="I307" i="13"/>
  <c r="H307" i="13"/>
  <c r="I306" i="13"/>
  <c r="H306" i="13"/>
  <c r="I305" i="13"/>
  <c r="H305" i="13"/>
  <c r="I304" i="13"/>
  <c r="H304" i="13"/>
  <c r="I303" i="13"/>
  <c r="H303" i="13"/>
  <c r="I302" i="13"/>
  <c r="H302" i="13"/>
  <c r="I301" i="13"/>
  <c r="H301" i="13"/>
  <c r="I300" i="13"/>
  <c r="H300" i="13"/>
  <c r="I299" i="13"/>
  <c r="H299" i="13"/>
  <c r="I298" i="13"/>
  <c r="H298" i="13"/>
  <c r="I297" i="13"/>
  <c r="H297" i="13"/>
  <c r="I296" i="13"/>
  <c r="H296" i="13"/>
  <c r="I295" i="13"/>
  <c r="H295" i="13"/>
  <c r="I294" i="13"/>
  <c r="H294" i="13"/>
  <c r="I293" i="13"/>
  <c r="H293" i="13"/>
  <c r="I292" i="13"/>
  <c r="H292" i="13"/>
  <c r="I291" i="13"/>
  <c r="H291" i="13"/>
  <c r="I290" i="13"/>
  <c r="H290" i="13"/>
  <c r="I289" i="13"/>
  <c r="H289" i="13"/>
  <c r="I288" i="13"/>
  <c r="H288" i="13"/>
  <c r="I287" i="13"/>
  <c r="H287" i="13"/>
  <c r="I286" i="13"/>
  <c r="H286" i="13"/>
  <c r="I285" i="13"/>
  <c r="H285" i="13"/>
  <c r="I284" i="13"/>
  <c r="H284" i="13"/>
  <c r="I283" i="13"/>
  <c r="H283" i="13"/>
  <c r="I281" i="13"/>
  <c r="H281" i="13"/>
  <c r="I278" i="13"/>
  <c r="H278" i="13"/>
  <c r="I277" i="13"/>
  <c r="H277" i="13"/>
  <c r="I275" i="13"/>
  <c r="H275" i="13"/>
  <c r="I274" i="13"/>
  <c r="H274" i="13"/>
  <c r="I273" i="13"/>
  <c r="H273" i="13"/>
  <c r="I272" i="13"/>
  <c r="H272" i="13"/>
  <c r="I271" i="13"/>
  <c r="H271" i="13"/>
  <c r="I270" i="13"/>
  <c r="H270" i="13"/>
  <c r="I269" i="13"/>
  <c r="H269" i="13"/>
  <c r="I268" i="13"/>
  <c r="H268" i="13"/>
  <c r="I267" i="13"/>
  <c r="H267" i="13"/>
  <c r="I266" i="13"/>
  <c r="H266" i="13"/>
  <c r="I265" i="13"/>
  <c r="H265" i="13"/>
  <c r="I264" i="13"/>
  <c r="H264" i="13"/>
  <c r="I263" i="13"/>
  <c r="H263" i="13"/>
  <c r="I262" i="13"/>
  <c r="H262" i="13"/>
  <c r="I261" i="13"/>
  <c r="H261" i="13"/>
  <c r="I260" i="13"/>
  <c r="H260" i="13"/>
  <c r="I259" i="13"/>
  <c r="H259" i="13"/>
  <c r="I258" i="13"/>
  <c r="H258" i="13"/>
  <c r="I257" i="13"/>
  <c r="H257" i="13"/>
  <c r="I256" i="13"/>
  <c r="H256" i="13"/>
  <c r="I255" i="13"/>
  <c r="H255" i="13"/>
  <c r="I254" i="13"/>
  <c r="H254" i="13"/>
  <c r="I253" i="13"/>
  <c r="H253" i="13"/>
  <c r="I252" i="13"/>
  <c r="H252" i="13"/>
  <c r="I251" i="13"/>
  <c r="H251" i="13"/>
  <c r="I250" i="13"/>
  <c r="H250" i="13"/>
  <c r="I249" i="13"/>
  <c r="H249" i="13"/>
  <c r="I248" i="13"/>
  <c r="H248" i="13"/>
  <c r="I247" i="13"/>
  <c r="H247" i="13"/>
  <c r="I246" i="13"/>
  <c r="H246" i="13"/>
  <c r="I245" i="13"/>
  <c r="H245" i="13"/>
  <c r="I244" i="13"/>
  <c r="H244" i="13"/>
  <c r="I243" i="13"/>
  <c r="H243" i="13"/>
  <c r="I242" i="13"/>
  <c r="H242" i="13"/>
  <c r="I241" i="13"/>
  <c r="H241" i="13"/>
  <c r="I240" i="13"/>
  <c r="H240" i="13"/>
  <c r="I239" i="13"/>
  <c r="H239" i="13"/>
  <c r="F238" i="13"/>
  <c r="E238" i="13"/>
  <c r="D238" i="13"/>
  <c r="C238" i="13"/>
  <c r="A238" i="13"/>
  <c r="I237" i="13"/>
  <c r="H237" i="13"/>
  <c r="I236" i="13"/>
  <c r="H236" i="13"/>
  <c r="I235" i="13"/>
  <c r="H235" i="13"/>
  <c r="I234" i="13"/>
  <c r="H234" i="13"/>
  <c r="I233" i="13"/>
  <c r="H233" i="13"/>
  <c r="I232" i="13"/>
  <c r="H232" i="13"/>
  <c r="I231" i="13"/>
  <c r="H231" i="13"/>
  <c r="I230" i="13"/>
  <c r="H230" i="13"/>
  <c r="I229" i="13"/>
  <c r="H229" i="13"/>
  <c r="I228" i="13"/>
  <c r="H228" i="13"/>
  <c r="I227" i="13"/>
  <c r="H227" i="13"/>
  <c r="I226" i="13"/>
  <c r="H226" i="13"/>
  <c r="I225" i="13"/>
  <c r="H225" i="13"/>
  <c r="I224" i="13"/>
  <c r="H224" i="13"/>
  <c r="I223" i="13"/>
  <c r="H223" i="13"/>
  <c r="I222" i="13"/>
  <c r="H222" i="13"/>
  <c r="I221" i="13"/>
  <c r="H221" i="13"/>
  <c r="I220" i="13"/>
  <c r="H220" i="13"/>
  <c r="I219" i="13"/>
  <c r="H219" i="13"/>
  <c r="I218" i="13"/>
  <c r="H218" i="13"/>
  <c r="I217" i="13"/>
  <c r="H217" i="13"/>
  <c r="I216" i="13"/>
  <c r="H216" i="13"/>
  <c r="I215" i="13"/>
  <c r="H215" i="13"/>
  <c r="I214" i="13"/>
  <c r="H214" i="13"/>
  <c r="I213" i="13"/>
  <c r="H213" i="13"/>
  <c r="I212" i="13"/>
  <c r="H212" i="13"/>
  <c r="I211" i="13"/>
  <c r="H211" i="13"/>
  <c r="I210" i="13"/>
  <c r="H210" i="13"/>
  <c r="I209" i="13"/>
  <c r="H209" i="13"/>
  <c r="I208" i="13"/>
  <c r="H208" i="13"/>
  <c r="I207" i="13"/>
  <c r="H207" i="13"/>
  <c r="I206" i="13"/>
  <c r="H206" i="13"/>
  <c r="I205" i="13"/>
  <c r="H205" i="13"/>
  <c r="I204" i="13"/>
  <c r="H204" i="13"/>
  <c r="I203" i="13"/>
  <c r="H203" i="13"/>
  <c r="I202" i="13"/>
  <c r="H202" i="13"/>
  <c r="I201" i="13"/>
  <c r="H201" i="13"/>
  <c r="I200" i="13"/>
  <c r="H200" i="13"/>
  <c r="I199" i="13"/>
  <c r="H199" i="13"/>
  <c r="I182" i="13"/>
  <c r="H182" i="13"/>
  <c r="I181" i="13"/>
  <c r="H181" i="13"/>
  <c r="I180" i="13"/>
  <c r="H180" i="13"/>
  <c r="I179" i="13"/>
  <c r="H179" i="13"/>
  <c r="I178" i="13"/>
  <c r="H178" i="13"/>
  <c r="I177" i="13"/>
  <c r="H177" i="13"/>
  <c r="I176" i="13"/>
  <c r="H176" i="13"/>
  <c r="I175" i="13"/>
  <c r="H175" i="13"/>
  <c r="I174" i="13"/>
  <c r="H174" i="13"/>
  <c r="I173" i="13"/>
  <c r="H173" i="13"/>
  <c r="I172" i="13"/>
  <c r="H172" i="13"/>
  <c r="I171" i="13"/>
  <c r="H171" i="13"/>
  <c r="I170" i="13"/>
  <c r="H170" i="13"/>
  <c r="I169" i="13"/>
  <c r="H169" i="13"/>
  <c r="I168" i="13"/>
  <c r="H168" i="13"/>
  <c r="I167" i="13"/>
  <c r="H167" i="13"/>
  <c r="I166" i="13"/>
  <c r="H166" i="13"/>
  <c r="I165" i="13"/>
  <c r="H165" i="13"/>
  <c r="I164" i="13"/>
  <c r="H164" i="13"/>
  <c r="I163" i="13"/>
  <c r="H163" i="13"/>
  <c r="I162" i="13"/>
  <c r="H162" i="13"/>
  <c r="I161" i="13"/>
  <c r="H161" i="13"/>
  <c r="I160" i="13"/>
  <c r="H160" i="13"/>
  <c r="I159" i="13"/>
  <c r="H159" i="13"/>
  <c r="I158" i="13"/>
  <c r="H158" i="13"/>
  <c r="I157" i="13"/>
  <c r="H157" i="13"/>
  <c r="I156" i="13"/>
  <c r="H156" i="13"/>
  <c r="I155" i="13"/>
  <c r="H155" i="13"/>
  <c r="I154" i="13"/>
  <c r="H154" i="13"/>
  <c r="I153" i="13"/>
  <c r="H153" i="13"/>
  <c r="I152" i="13"/>
  <c r="H152" i="13"/>
  <c r="I151" i="13"/>
  <c r="H151" i="13"/>
  <c r="I150" i="13"/>
  <c r="H150" i="13"/>
  <c r="I149" i="13"/>
  <c r="H149" i="13"/>
  <c r="I148" i="13"/>
  <c r="H148" i="13"/>
  <c r="I147" i="13"/>
  <c r="H147" i="13"/>
  <c r="I146" i="13"/>
  <c r="H146" i="13"/>
  <c r="I145" i="13"/>
  <c r="H145" i="13"/>
  <c r="I144" i="13"/>
  <c r="H144" i="13"/>
  <c r="I143" i="13"/>
  <c r="H143" i="13"/>
  <c r="I142" i="13"/>
  <c r="H142" i="13"/>
  <c r="I141" i="13"/>
  <c r="H141" i="13"/>
  <c r="I140" i="13"/>
  <c r="H140" i="13"/>
  <c r="I139" i="13"/>
  <c r="H139" i="13"/>
  <c r="I138" i="13"/>
  <c r="H138" i="13"/>
  <c r="I137" i="13"/>
  <c r="H137" i="13"/>
  <c r="I136" i="13"/>
  <c r="H136" i="13"/>
  <c r="I129" i="13"/>
  <c r="H129" i="13"/>
  <c r="I128" i="13"/>
  <c r="H128" i="13"/>
  <c r="I127" i="13"/>
  <c r="H127" i="13"/>
  <c r="I126" i="13"/>
  <c r="H126" i="13"/>
  <c r="I125" i="13"/>
  <c r="H125" i="13"/>
  <c r="I124" i="13"/>
  <c r="H124" i="13"/>
  <c r="I123" i="13"/>
  <c r="H123" i="13"/>
  <c r="I122" i="13"/>
  <c r="H122" i="13"/>
  <c r="I121" i="13"/>
  <c r="H121" i="13"/>
  <c r="I120" i="13"/>
  <c r="H120" i="13"/>
  <c r="I119" i="13"/>
  <c r="H119" i="13"/>
  <c r="I118" i="13"/>
  <c r="H118" i="13"/>
  <c r="I117" i="13"/>
  <c r="H117" i="13"/>
  <c r="I116" i="13"/>
  <c r="H116" i="13"/>
  <c r="I115" i="13"/>
  <c r="H115" i="13"/>
  <c r="I114" i="13"/>
  <c r="H114" i="13"/>
  <c r="I113" i="13"/>
  <c r="H113" i="13"/>
  <c r="I112" i="13"/>
  <c r="H112" i="13"/>
  <c r="I111" i="13"/>
  <c r="H111" i="13"/>
  <c r="I110" i="13"/>
  <c r="H110" i="13"/>
  <c r="I109" i="13"/>
  <c r="H109" i="13"/>
  <c r="I108" i="13"/>
  <c r="H108" i="13"/>
  <c r="I107" i="13"/>
  <c r="H107" i="13"/>
  <c r="I106" i="13"/>
  <c r="H106" i="13"/>
  <c r="I100" i="13"/>
  <c r="H100" i="13"/>
  <c r="I99" i="13"/>
  <c r="H99" i="13"/>
  <c r="I98" i="13"/>
  <c r="H98" i="13"/>
  <c r="I97" i="13"/>
  <c r="H97" i="13"/>
  <c r="I96" i="13"/>
  <c r="H96" i="13"/>
  <c r="I95" i="13"/>
  <c r="H95" i="13"/>
  <c r="I94" i="13"/>
  <c r="H94" i="13"/>
  <c r="I93" i="13"/>
  <c r="H93" i="13"/>
  <c r="I92" i="13"/>
  <c r="H92" i="13"/>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69" i="13"/>
  <c r="H69" i="13"/>
  <c r="I68" i="13"/>
  <c r="H68" i="13"/>
  <c r="I67" i="13"/>
  <c r="H67" i="13"/>
  <c r="I66" i="13"/>
  <c r="H66" i="13"/>
  <c r="I65" i="13"/>
  <c r="H65" i="13"/>
  <c r="I64" i="13"/>
  <c r="H64" i="13"/>
  <c r="I63" i="13"/>
  <c r="H63" i="13"/>
  <c r="I62" i="13"/>
  <c r="H62" i="13"/>
  <c r="I61" i="13"/>
  <c r="H61" i="13"/>
  <c r="I60" i="13"/>
  <c r="H60" i="13"/>
  <c r="I59" i="13"/>
  <c r="H59" i="13"/>
  <c r="I58" i="13"/>
  <c r="H58" i="13"/>
  <c r="I57" i="13"/>
  <c r="H57" i="13"/>
  <c r="I56" i="13"/>
  <c r="H56" i="13"/>
  <c r="I55" i="13"/>
  <c r="H55" i="13"/>
  <c r="I54" i="13"/>
  <c r="H54" i="13"/>
  <c r="I53" i="13"/>
  <c r="H53" i="13"/>
  <c r="I52" i="13"/>
  <c r="H52" i="13"/>
  <c r="I51" i="13"/>
  <c r="H51" i="13"/>
  <c r="I50" i="13"/>
  <c r="H50" i="13"/>
  <c r="I49" i="13"/>
  <c r="H49" i="13"/>
  <c r="I48" i="13"/>
  <c r="H48" i="13"/>
  <c r="I47" i="13"/>
  <c r="H47" i="13"/>
  <c r="I46" i="13"/>
  <c r="H46" i="13"/>
  <c r="I39" i="13"/>
  <c r="H39" i="13"/>
  <c r="I38" i="13"/>
  <c r="H38" i="13"/>
  <c r="I37" i="13"/>
  <c r="H37" i="13"/>
  <c r="I36" i="13"/>
  <c r="H36" i="13"/>
  <c r="I35" i="13"/>
  <c r="H35" i="13"/>
  <c r="I34" i="13"/>
  <c r="H34" i="13"/>
  <c r="I33" i="13"/>
  <c r="H33" i="13"/>
  <c r="I32" i="13"/>
  <c r="H32" i="13"/>
  <c r="I31" i="13"/>
  <c r="H31" i="13"/>
  <c r="I30" i="13"/>
  <c r="H30" i="13"/>
  <c r="I29" i="13"/>
  <c r="H29" i="13"/>
  <c r="I28" i="13"/>
  <c r="H28" i="13"/>
  <c r="I27" i="13"/>
  <c r="H27" i="13"/>
  <c r="I26" i="13"/>
  <c r="H26" i="13"/>
  <c r="I25" i="13"/>
  <c r="H25" i="13"/>
  <c r="I24" i="13"/>
  <c r="H24" i="13"/>
  <c r="I23" i="13"/>
  <c r="H23" i="13"/>
  <c r="I22" i="13"/>
  <c r="H22" i="13"/>
  <c r="I21" i="13"/>
  <c r="H21" i="13"/>
  <c r="I20" i="13"/>
  <c r="H20" i="13"/>
  <c r="I19" i="13"/>
  <c r="H19" i="13"/>
  <c r="I18" i="13"/>
  <c r="H18" i="13"/>
  <c r="I17" i="13"/>
  <c r="H17" i="13"/>
  <c r="I16" i="13"/>
  <c r="H16" i="13"/>
  <c r="I15" i="13"/>
  <c r="H15" i="13"/>
  <c r="I14" i="13"/>
  <c r="H14" i="13"/>
  <c r="I13" i="13"/>
  <c r="H13" i="13"/>
  <c r="I12" i="13"/>
  <c r="H12" i="13"/>
  <c r="I11" i="13"/>
  <c r="H11" i="13"/>
  <c r="I10" i="13"/>
  <c r="H10" i="13"/>
  <c r="I9" i="13"/>
  <c r="H9" i="13"/>
  <c r="I8" i="13"/>
  <c r="H8" i="13"/>
  <c r="I7" i="13"/>
  <c r="H7" i="13"/>
  <c r="I6" i="13"/>
  <c r="H6" i="13"/>
  <c r="I5" i="13"/>
  <c r="H5" i="13"/>
  <c r="I4" i="13"/>
  <c r="H4" i="13"/>
  <c r="I128" i="12"/>
  <c r="H128" i="12"/>
  <c r="I127" i="12"/>
  <c r="H127" i="12"/>
  <c r="I126" i="12"/>
  <c r="H126" i="12"/>
  <c r="I125" i="12"/>
  <c r="H125" i="12"/>
  <c r="I124" i="12"/>
  <c r="H124" i="12"/>
  <c r="I123" i="12"/>
  <c r="H123" i="12"/>
  <c r="I122" i="12"/>
  <c r="H122" i="12"/>
  <c r="I121" i="12"/>
  <c r="H121" i="12"/>
  <c r="I120" i="12"/>
  <c r="H120" i="12"/>
  <c r="I119" i="12"/>
  <c r="H119" i="12"/>
  <c r="I118" i="12"/>
  <c r="H118" i="12"/>
  <c r="I117" i="12"/>
  <c r="H117" i="12"/>
  <c r="I116" i="12"/>
  <c r="H116" i="12"/>
  <c r="I115" i="12"/>
  <c r="H115" i="12"/>
  <c r="I114" i="12"/>
  <c r="H114" i="12"/>
  <c r="I113" i="12"/>
  <c r="H113" i="12"/>
  <c r="I111" i="12"/>
  <c r="H111" i="12"/>
  <c r="I110" i="12"/>
  <c r="H110" i="12"/>
  <c r="I109" i="12"/>
  <c r="H109" i="12"/>
  <c r="I108" i="12"/>
  <c r="H108" i="12"/>
  <c r="I107" i="12"/>
  <c r="H107" i="12"/>
  <c r="I106" i="12"/>
  <c r="H106" i="12"/>
  <c r="I105" i="12"/>
  <c r="H105" i="12"/>
  <c r="I104" i="12"/>
  <c r="H104" i="12"/>
  <c r="I103" i="12"/>
  <c r="H103" i="12"/>
  <c r="I102" i="12"/>
  <c r="H102" i="12"/>
  <c r="I101" i="12"/>
  <c r="H101" i="12"/>
  <c r="I100" i="12"/>
  <c r="H100" i="12"/>
  <c r="I99" i="12"/>
  <c r="H99" i="12"/>
  <c r="I97" i="12"/>
  <c r="H97" i="12"/>
  <c r="I96" i="12"/>
  <c r="H96" i="12"/>
  <c r="I95" i="12"/>
  <c r="H95" i="12"/>
  <c r="I94" i="12"/>
  <c r="H94" i="12"/>
  <c r="I93" i="12"/>
  <c r="H93" i="12"/>
  <c r="I92" i="12"/>
  <c r="H92" i="12"/>
  <c r="I91" i="12"/>
  <c r="H91" i="12"/>
  <c r="I90" i="12"/>
  <c r="H90" i="12"/>
  <c r="I89" i="12"/>
  <c r="H89" i="12"/>
  <c r="I88" i="12"/>
  <c r="H88" i="12"/>
  <c r="I87" i="12"/>
  <c r="H87" i="12"/>
  <c r="I86" i="12"/>
  <c r="H86" i="12"/>
  <c r="I83" i="12"/>
  <c r="H83" i="12"/>
  <c r="I82" i="12"/>
  <c r="H82" i="12"/>
  <c r="I81" i="12"/>
  <c r="H81" i="12"/>
  <c r="I80" i="12"/>
  <c r="H80" i="12"/>
  <c r="I79" i="12"/>
  <c r="H79" i="12"/>
  <c r="I78" i="12"/>
  <c r="H78" i="12"/>
  <c r="I77" i="12"/>
  <c r="H77" i="12"/>
  <c r="I76" i="12"/>
  <c r="H76" i="12"/>
  <c r="I75" i="12"/>
  <c r="H75" i="12"/>
  <c r="I74" i="12"/>
  <c r="H74" i="12"/>
  <c r="I73" i="12"/>
  <c r="H73" i="12"/>
  <c r="I72" i="12"/>
  <c r="H72" i="12"/>
  <c r="I71" i="12"/>
  <c r="H71" i="12"/>
  <c r="I70" i="12"/>
  <c r="H70" i="12"/>
  <c r="I69" i="12"/>
  <c r="H69" i="12"/>
  <c r="I68" i="12"/>
  <c r="H68" i="12"/>
  <c r="I67" i="12"/>
  <c r="H67" i="12"/>
  <c r="I64" i="12"/>
  <c r="H64" i="12"/>
  <c r="I63" i="12"/>
  <c r="H63" i="12"/>
  <c r="I62" i="12"/>
  <c r="H62" i="12"/>
  <c r="I61" i="12"/>
  <c r="H61" i="12"/>
  <c r="I60" i="12"/>
  <c r="H60" i="12"/>
  <c r="I59" i="12"/>
  <c r="H59" i="12"/>
  <c r="I58" i="12"/>
  <c r="H58" i="12"/>
  <c r="I57" i="12"/>
  <c r="H57" i="12"/>
  <c r="I56" i="12"/>
  <c r="H56" i="12"/>
  <c r="I55" i="12"/>
  <c r="H55" i="12"/>
  <c r="I54" i="12"/>
  <c r="H54" i="12"/>
  <c r="I53" i="12"/>
  <c r="H53" i="12"/>
  <c r="I52" i="12"/>
  <c r="H52" i="12"/>
  <c r="I51" i="12"/>
  <c r="H51" i="12"/>
  <c r="I50" i="12"/>
  <c r="H50" i="12"/>
  <c r="I49" i="12"/>
  <c r="H49" i="12"/>
  <c r="I48" i="12"/>
  <c r="H48" i="12"/>
  <c r="I47" i="12"/>
  <c r="H47" i="12"/>
  <c r="I46" i="12"/>
  <c r="H46" i="12"/>
  <c r="I45" i="12"/>
  <c r="H45" i="12"/>
  <c r="I44" i="12"/>
  <c r="H44" i="12"/>
  <c r="I43" i="12"/>
  <c r="H43" i="12"/>
  <c r="I42" i="12"/>
  <c r="H42" i="12"/>
  <c r="I41" i="12"/>
  <c r="H41" i="12"/>
  <c r="I40" i="12"/>
  <c r="H40" i="12"/>
  <c r="I39" i="12"/>
  <c r="H39" i="12"/>
  <c r="I38" i="12"/>
  <c r="H38" i="12"/>
  <c r="I37" i="12"/>
  <c r="H37" i="12"/>
  <c r="I36" i="12"/>
  <c r="H36" i="12"/>
  <c r="I35" i="12"/>
  <c r="H35" i="12"/>
  <c r="I34" i="12"/>
  <c r="H34" i="12"/>
  <c r="I33" i="12"/>
  <c r="H33" i="12"/>
  <c r="I32" i="12"/>
  <c r="H32" i="12"/>
  <c r="I31" i="12"/>
  <c r="H31" i="12"/>
  <c r="I29" i="12"/>
  <c r="H29" i="12"/>
  <c r="I28" i="12"/>
  <c r="H28" i="12"/>
  <c r="I27" i="12"/>
  <c r="H27" i="12"/>
  <c r="I26" i="12"/>
  <c r="H26" i="12"/>
  <c r="I25" i="12"/>
  <c r="H25" i="12"/>
  <c r="I24" i="12"/>
  <c r="H24" i="12"/>
  <c r="I23" i="12"/>
  <c r="H23" i="12"/>
  <c r="I22" i="12"/>
  <c r="H22" i="12"/>
  <c r="I21" i="12"/>
  <c r="H21" i="12"/>
  <c r="I20" i="12"/>
  <c r="H20" i="12"/>
  <c r="I19" i="12"/>
  <c r="H19" i="12"/>
  <c r="I18" i="12"/>
  <c r="H18" i="12"/>
  <c r="I17" i="12"/>
  <c r="H17" i="12"/>
  <c r="I16" i="12"/>
  <c r="H16" i="12"/>
  <c r="I15" i="12"/>
  <c r="H15" i="12"/>
  <c r="I14" i="12"/>
  <c r="H14" i="12"/>
  <c r="I13" i="12"/>
  <c r="H13" i="12"/>
  <c r="I12" i="12"/>
  <c r="H12" i="12"/>
  <c r="I11" i="12"/>
  <c r="H11" i="12"/>
  <c r="I10" i="12"/>
  <c r="H10" i="12"/>
  <c r="I9" i="12"/>
  <c r="H9" i="12"/>
  <c r="I8" i="12"/>
  <c r="H8" i="12"/>
  <c r="I7" i="12"/>
  <c r="H7" i="12"/>
  <c r="I6" i="12"/>
  <c r="H6" i="12"/>
  <c r="I5" i="12"/>
  <c r="H5" i="12"/>
  <c r="I4" i="12"/>
  <c r="H4" i="12"/>
  <c r="B5" i="7"/>
  <c r="B4" i="7"/>
  <c r="B3" i="7"/>
  <c r="H21" i="6"/>
  <c r="G21" i="6"/>
  <c r="F21" i="6"/>
  <c r="E21" i="6"/>
  <c r="D21" i="6"/>
  <c r="C21" i="6"/>
  <c r="H11" i="6"/>
  <c r="H13" i="6" s="1"/>
  <c r="G11" i="6"/>
  <c r="G13" i="6" s="1"/>
  <c r="F11" i="6"/>
  <c r="F13" i="6" s="1"/>
  <c r="E11" i="6"/>
  <c r="E13" i="6" s="1"/>
  <c r="D11" i="6"/>
  <c r="D13" i="6" s="1"/>
  <c r="C11" i="6"/>
  <c r="C13" i="6" s="1"/>
  <c r="H4" i="6"/>
  <c r="G4" i="6"/>
  <c r="F4" i="6"/>
  <c r="E4" i="6"/>
  <c r="D4" i="6"/>
  <c r="C4" i="6"/>
  <c r="F666" i="4"/>
  <c r="F665" i="4"/>
  <c r="F664" i="4"/>
  <c r="F663" i="4"/>
  <c r="F662" i="4"/>
  <c r="F661" i="4"/>
  <c r="F660" i="4"/>
  <c r="F659" i="4"/>
  <c r="F658" i="4"/>
  <c r="F657" i="4"/>
  <c r="F656" i="4"/>
  <c r="O655" i="4"/>
  <c r="M655" i="4"/>
  <c r="P655" i="4" s="1"/>
  <c r="F655" i="4"/>
  <c r="O654" i="4"/>
  <c r="M654" i="4"/>
  <c r="P654" i="4" s="1"/>
  <c r="F654" i="4"/>
  <c r="O653" i="4"/>
  <c r="M653" i="4"/>
  <c r="P653" i="4" s="1"/>
  <c r="F653" i="4"/>
  <c r="O652" i="4"/>
  <c r="M652" i="4"/>
  <c r="P652" i="4" s="1"/>
  <c r="F652" i="4"/>
  <c r="O651" i="4"/>
  <c r="M651" i="4"/>
  <c r="P651" i="4" s="1"/>
  <c r="F651" i="4"/>
  <c r="O650" i="4"/>
  <c r="M650" i="4"/>
  <c r="P650" i="4" s="1"/>
  <c r="F650" i="4"/>
  <c r="O649" i="4"/>
  <c r="M649" i="4"/>
  <c r="P649" i="4" s="1"/>
  <c r="F649" i="4"/>
  <c r="O648" i="4"/>
  <c r="M648" i="4"/>
  <c r="P648" i="4" s="1"/>
  <c r="F648" i="4"/>
  <c r="O647" i="4"/>
  <c r="M647" i="4"/>
  <c r="P647" i="4" s="1"/>
  <c r="F647" i="4"/>
  <c r="O646" i="4"/>
  <c r="M646" i="4"/>
  <c r="P646" i="4" s="1"/>
  <c r="F646" i="4"/>
  <c r="O645" i="4"/>
  <c r="M645" i="4"/>
  <c r="P645" i="4" s="1"/>
  <c r="F645" i="4"/>
  <c r="O644" i="4"/>
  <c r="M644" i="4"/>
  <c r="P644" i="4" s="1"/>
  <c r="F644" i="4"/>
  <c r="O643" i="4"/>
  <c r="M643" i="4"/>
  <c r="P643" i="4" s="1"/>
  <c r="F643" i="4"/>
  <c r="O642" i="4"/>
  <c r="M642" i="4"/>
  <c r="P642" i="4" s="1"/>
  <c r="F642" i="4"/>
  <c r="O641" i="4"/>
  <c r="M641" i="4"/>
  <c r="P641" i="4" s="1"/>
  <c r="F641" i="4"/>
  <c r="O640" i="4"/>
  <c r="M640" i="4"/>
  <c r="P640" i="4" s="1"/>
  <c r="F640" i="4"/>
  <c r="O639" i="4"/>
  <c r="M639" i="4"/>
  <c r="P639" i="4" s="1"/>
  <c r="F639" i="4"/>
  <c r="O638" i="4"/>
  <c r="M638" i="4"/>
  <c r="P638" i="4" s="1"/>
  <c r="F638" i="4"/>
  <c r="O637" i="4"/>
  <c r="M637" i="4"/>
  <c r="P637" i="4" s="1"/>
  <c r="F637" i="4"/>
  <c r="O636" i="4"/>
  <c r="M636" i="4"/>
  <c r="P636" i="4" s="1"/>
  <c r="F636" i="4"/>
  <c r="O635" i="4"/>
  <c r="M635" i="4"/>
  <c r="P635" i="4" s="1"/>
  <c r="F635" i="4"/>
  <c r="O634" i="4"/>
  <c r="M634" i="4"/>
  <c r="P634" i="4" s="1"/>
  <c r="F634" i="4"/>
  <c r="O633" i="4"/>
  <c r="M633" i="4"/>
  <c r="P633" i="4" s="1"/>
  <c r="F633" i="4"/>
  <c r="O632" i="4"/>
  <c r="M632" i="4"/>
  <c r="P632" i="4" s="1"/>
  <c r="F632" i="4"/>
  <c r="O631" i="4"/>
  <c r="M631" i="4"/>
  <c r="P631" i="4" s="1"/>
  <c r="F631" i="4"/>
  <c r="O630" i="4"/>
  <c r="M630" i="4"/>
  <c r="P630" i="4" s="1"/>
  <c r="F630" i="4"/>
  <c r="O629" i="4"/>
  <c r="M629" i="4"/>
  <c r="P629" i="4" s="1"/>
  <c r="F629" i="4"/>
  <c r="O628" i="4"/>
  <c r="M628" i="4"/>
  <c r="P628" i="4" s="1"/>
  <c r="F628" i="4"/>
  <c r="O627" i="4"/>
  <c r="M627" i="4"/>
  <c r="P627" i="4" s="1"/>
  <c r="F627" i="4"/>
  <c r="O626" i="4"/>
  <c r="M626" i="4"/>
  <c r="P626" i="4" s="1"/>
  <c r="F626" i="4"/>
  <c r="O625" i="4"/>
  <c r="M625" i="4"/>
  <c r="P625" i="4" s="1"/>
  <c r="F625" i="4"/>
  <c r="O624" i="4"/>
  <c r="M624" i="4"/>
  <c r="P624" i="4" s="1"/>
  <c r="F624" i="4"/>
  <c r="O623" i="4"/>
  <c r="M623" i="4"/>
  <c r="P623" i="4" s="1"/>
  <c r="F623" i="4"/>
  <c r="O622" i="4"/>
  <c r="M622" i="4"/>
  <c r="P622" i="4" s="1"/>
  <c r="F622" i="4"/>
  <c r="O621" i="4"/>
  <c r="M621" i="4"/>
  <c r="P621" i="4" s="1"/>
  <c r="F621" i="4"/>
  <c r="O620" i="4"/>
  <c r="M620" i="4"/>
  <c r="P620" i="4" s="1"/>
  <c r="F620" i="4"/>
  <c r="O619" i="4"/>
  <c r="M619" i="4"/>
  <c r="P619" i="4" s="1"/>
  <c r="F619" i="4"/>
  <c r="O618" i="4"/>
  <c r="M618" i="4"/>
  <c r="P618" i="4" s="1"/>
  <c r="F618" i="4"/>
  <c r="O617" i="4"/>
  <c r="M617" i="4"/>
  <c r="P617" i="4" s="1"/>
  <c r="F617" i="4"/>
  <c r="O616" i="4"/>
  <c r="M616" i="4"/>
  <c r="P616" i="4" s="1"/>
  <c r="F616" i="4"/>
  <c r="O615" i="4"/>
  <c r="M615" i="4"/>
  <c r="P615" i="4" s="1"/>
  <c r="F615" i="4"/>
  <c r="O614" i="4"/>
  <c r="M614" i="4"/>
  <c r="P614" i="4" s="1"/>
  <c r="F614" i="4"/>
  <c r="O613" i="4"/>
  <c r="M613" i="4"/>
  <c r="P613" i="4" s="1"/>
  <c r="F613" i="4"/>
  <c r="O612" i="4"/>
  <c r="M612" i="4"/>
  <c r="P612" i="4" s="1"/>
  <c r="F612" i="4"/>
  <c r="O611" i="4"/>
  <c r="M611" i="4"/>
  <c r="P611" i="4" s="1"/>
  <c r="F611" i="4"/>
  <c r="P610" i="4"/>
  <c r="O610" i="4"/>
  <c r="M610" i="4"/>
  <c r="F610" i="4"/>
  <c r="O609" i="4"/>
  <c r="M609" i="4"/>
  <c r="P609" i="4" s="1"/>
  <c r="F609" i="4"/>
  <c r="O608" i="4"/>
  <c r="M608" i="4"/>
  <c r="P608" i="4" s="1"/>
  <c r="F608" i="4"/>
  <c r="O607" i="4"/>
  <c r="M607" i="4"/>
  <c r="P607" i="4" s="1"/>
  <c r="F607" i="4"/>
  <c r="O606" i="4"/>
  <c r="M606" i="4"/>
  <c r="P606" i="4" s="1"/>
  <c r="F606" i="4"/>
  <c r="O605" i="4"/>
  <c r="M605" i="4"/>
  <c r="P605" i="4" s="1"/>
  <c r="F605" i="4"/>
  <c r="O604" i="4"/>
  <c r="M604" i="4"/>
  <c r="P604" i="4" s="1"/>
  <c r="F604" i="4"/>
  <c r="O603" i="4"/>
  <c r="M603" i="4"/>
  <c r="P603" i="4" s="1"/>
  <c r="F603" i="4"/>
  <c r="O602" i="4"/>
  <c r="M602" i="4"/>
  <c r="P602" i="4" s="1"/>
  <c r="F602" i="4"/>
  <c r="O601" i="4"/>
  <c r="M601" i="4"/>
  <c r="P601" i="4" s="1"/>
  <c r="F601" i="4"/>
  <c r="O600" i="4"/>
  <c r="M600" i="4"/>
  <c r="P600" i="4" s="1"/>
  <c r="F600" i="4"/>
  <c r="O599" i="4"/>
  <c r="M599" i="4"/>
  <c r="P599" i="4" s="1"/>
  <c r="F599" i="4"/>
  <c r="O598" i="4"/>
  <c r="M598" i="4"/>
  <c r="P598" i="4" s="1"/>
  <c r="F598" i="4"/>
  <c r="O597" i="4"/>
  <c r="M597" i="4"/>
  <c r="P597" i="4" s="1"/>
  <c r="F597" i="4"/>
  <c r="O596" i="4"/>
  <c r="M596" i="4"/>
  <c r="P596" i="4" s="1"/>
  <c r="F596" i="4"/>
  <c r="O595" i="4"/>
  <c r="M595" i="4"/>
  <c r="P595" i="4" s="1"/>
  <c r="F595" i="4"/>
  <c r="O594" i="4"/>
  <c r="M594" i="4"/>
  <c r="P594" i="4" s="1"/>
  <c r="F594" i="4"/>
  <c r="O593" i="4"/>
  <c r="M593" i="4"/>
  <c r="P593" i="4" s="1"/>
  <c r="F593" i="4"/>
  <c r="O592" i="4"/>
  <c r="M592" i="4"/>
  <c r="P592" i="4" s="1"/>
  <c r="F592" i="4"/>
  <c r="O591" i="4"/>
  <c r="M591" i="4"/>
  <c r="P591" i="4" s="1"/>
  <c r="F591" i="4"/>
  <c r="O590" i="4"/>
  <c r="M590" i="4"/>
  <c r="P590" i="4" s="1"/>
  <c r="F590" i="4"/>
  <c r="O589" i="4"/>
  <c r="M589" i="4"/>
  <c r="P589" i="4" s="1"/>
  <c r="F589" i="4"/>
  <c r="O588" i="4"/>
  <c r="M588" i="4"/>
  <c r="P588" i="4" s="1"/>
  <c r="F588" i="4"/>
  <c r="O587" i="4"/>
  <c r="M587" i="4"/>
  <c r="P587" i="4" s="1"/>
  <c r="F587" i="4"/>
  <c r="O586" i="4"/>
  <c r="M586" i="4"/>
  <c r="P586" i="4" s="1"/>
  <c r="F586" i="4"/>
  <c r="O585" i="4"/>
  <c r="M585" i="4"/>
  <c r="P585" i="4" s="1"/>
  <c r="F585" i="4"/>
  <c r="O584" i="4"/>
  <c r="M584" i="4"/>
  <c r="P584" i="4" s="1"/>
  <c r="F584" i="4"/>
  <c r="O583" i="4"/>
  <c r="M583" i="4"/>
  <c r="P583" i="4" s="1"/>
  <c r="F583" i="4"/>
  <c r="O582" i="4"/>
  <c r="M582" i="4"/>
  <c r="P582" i="4" s="1"/>
  <c r="F582" i="4"/>
  <c r="O581" i="4"/>
  <c r="M581" i="4"/>
  <c r="P581" i="4" s="1"/>
  <c r="F581" i="4"/>
  <c r="O580" i="4"/>
  <c r="M580" i="4"/>
  <c r="P580" i="4" s="1"/>
  <c r="F580" i="4"/>
  <c r="O579" i="4"/>
  <c r="M579" i="4"/>
  <c r="P579" i="4" s="1"/>
  <c r="F579" i="4"/>
  <c r="O578" i="4"/>
  <c r="M578" i="4"/>
  <c r="P578" i="4" s="1"/>
  <c r="F578" i="4"/>
  <c r="O577" i="4"/>
  <c r="M577" i="4"/>
  <c r="P577" i="4" s="1"/>
  <c r="F577" i="4"/>
  <c r="O576" i="4"/>
  <c r="M576" i="4"/>
  <c r="P576" i="4" s="1"/>
  <c r="F576" i="4"/>
  <c r="O575" i="4"/>
  <c r="M575" i="4"/>
  <c r="P575" i="4" s="1"/>
  <c r="F575" i="4"/>
  <c r="O574" i="4"/>
  <c r="M574" i="4"/>
  <c r="P574" i="4" s="1"/>
  <c r="F574" i="4"/>
  <c r="O573" i="4"/>
  <c r="M573" i="4"/>
  <c r="P573" i="4" s="1"/>
  <c r="F573" i="4"/>
  <c r="O572" i="4"/>
  <c r="M572" i="4"/>
  <c r="P572" i="4" s="1"/>
  <c r="F572" i="4"/>
  <c r="O571" i="4"/>
  <c r="M571" i="4"/>
  <c r="P571" i="4" s="1"/>
  <c r="F571" i="4"/>
  <c r="O570" i="4"/>
  <c r="M570" i="4"/>
  <c r="P570" i="4" s="1"/>
  <c r="F570" i="4"/>
  <c r="O569" i="4"/>
  <c r="M569" i="4"/>
  <c r="P569" i="4" s="1"/>
  <c r="F569" i="4"/>
  <c r="O568" i="4"/>
  <c r="M568" i="4"/>
  <c r="P568" i="4" s="1"/>
  <c r="F568" i="4"/>
  <c r="O567" i="4"/>
  <c r="M567" i="4"/>
  <c r="P567" i="4" s="1"/>
  <c r="F567" i="4"/>
  <c r="O566" i="4"/>
  <c r="M566" i="4"/>
  <c r="P566" i="4" s="1"/>
  <c r="F566" i="4"/>
  <c r="O565" i="4"/>
  <c r="M565" i="4"/>
  <c r="P565" i="4" s="1"/>
  <c r="F565" i="4"/>
  <c r="O564" i="4"/>
  <c r="M564" i="4"/>
  <c r="P564" i="4" s="1"/>
  <c r="F564" i="4"/>
  <c r="O563" i="4"/>
  <c r="M563" i="4"/>
  <c r="P563" i="4" s="1"/>
  <c r="F563" i="4"/>
  <c r="O562" i="4"/>
  <c r="M562" i="4"/>
  <c r="P562" i="4" s="1"/>
  <c r="F562" i="4"/>
  <c r="O561" i="4"/>
  <c r="M561" i="4"/>
  <c r="P561" i="4" s="1"/>
  <c r="F561" i="4"/>
  <c r="O560" i="4"/>
  <c r="M560" i="4"/>
  <c r="P560" i="4" s="1"/>
  <c r="F560" i="4"/>
  <c r="O559" i="4"/>
  <c r="M559" i="4"/>
  <c r="P559" i="4" s="1"/>
  <c r="F559" i="4"/>
  <c r="O558" i="4"/>
  <c r="M558" i="4"/>
  <c r="P558" i="4" s="1"/>
  <c r="F558" i="4"/>
  <c r="O557" i="4"/>
  <c r="M557" i="4"/>
  <c r="P557" i="4" s="1"/>
  <c r="F557" i="4"/>
  <c r="O556" i="4"/>
  <c r="M556" i="4"/>
  <c r="P556" i="4" s="1"/>
  <c r="F556" i="4"/>
  <c r="O555" i="4"/>
  <c r="M555" i="4"/>
  <c r="P555" i="4" s="1"/>
  <c r="F555" i="4"/>
  <c r="O554" i="4"/>
  <c r="M554" i="4"/>
  <c r="P554" i="4" s="1"/>
  <c r="F554" i="4"/>
  <c r="O553" i="4"/>
  <c r="M553" i="4"/>
  <c r="P553" i="4" s="1"/>
  <c r="F553" i="4"/>
  <c r="O552" i="4"/>
  <c r="M552" i="4"/>
  <c r="P552" i="4" s="1"/>
  <c r="F552" i="4"/>
  <c r="O551" i="4"/>
  <c r="M551" i="4"/>
  <c r="P551" i="4" s="1"/>
  <c r="F551" i="4"/>
  <c r="O550" i="4"/>
  <c r="M550" i="4"/>
  <c r="P550" i="4" s="1"/>
  <c r="F550" i="4"/>
  <c r="O549" i="4"/>
  <c r="M549" i="4"/>
  <c r="P549" i="4" s="1"/>
  <c r="F549" i="4"/>
  <c r="O548" i="4"/>
  <c r="M548" i="4"/>
  <c r="P548" i="4" s="1"/>
  <c r="F548" i="4"/>
  <c r="O547" i="4"/>
  <c r="M547" i="4"/>
  <c r="P547" i="4" s="1"/>
  <c r="F547" i="4"/>
  <c r="O546" i="4"/>
  <c r="M546" i="4"/>
  <c r="P546" i="4" s="1"/>
  <c r="F546" i="4"/>
  <c r="O545" i="4"/>
  <c r="M545" i="4"/>
  <c r="P545" i="4" s="1"/>
  <c r="F545" i="4"/>
  <c r="O544" i="4"/>
  <c r="M544" i="4"/>
  <c r="P544" i="4" s="1"/>
  <c r="F544" i="4"/>
  <c r="O543" i="4"/>
  <c r="M543" i="4"/>
  <c r="P543" i="4" s="1"/>
  <c r="F543" i="4"/>
  <c r="O542" i="4"/>
  <c r="M542" i="4"/>
  <c r="P542" i="4" s="1"/>
  <c r="F542" i="4"/>
  <c r="O541" i="4"/>
  <c r="M541" i="4"/>
  <c r="P541" i="4" s="1"/>
  <c r="F541" i="4"/>
  <c r="O540" i="4"/>
  <c r="M540" i="4"/>
  <c r="P540" i="4" s="1"/>
  <c r="F540" i="4"/>
  <c r="O539" i="4"/>
  <c r="M539" i="4"/>
  <c r="P539" i="4" s="1"/>
  <c r="F539" i="4"/>
  <c r="O538" i="4"/>
  <c r="M538" i="4"/>
  <c r="P538" i="4" s="1"/>
  <c r="F538" i="4"/>
  <c r="O537" i="4"/>
  <c r="M537" i="4"/>
  <c r="P537" i="4" s="1"/>
  <c r="F537" i="4"/>
  <c r="O536" i="4"/>
  <c r="M536" i="4"/>
  <c r="P536" i="4" s="1"/>
  <c r="F536" i="4"/>
  <c r="O535" i="4"/>
  <c r="M535" i="4"/>
  <c r="P535" i="4" s="1"/>
  <c r="F535" i="4"/>
  <c r="O534" i="4"/>
  <c r="M534" i="4"/>
  <c r="P534" i="4" s="1"/>
  <c r="F534" i="4"/>
  <c r="O533" i="4"/>
  <c r="M533" i="4"/>
  <c r="P533" i="4" s="1"/>
  <c r="F533" i="4"/>
  <c r="O532" i="4"/>
  <c r="M532" i="4"/>
  <c r="P532" i="4" s="1"/>
  <c r="F532" i="4"/>
  <c r="O531" i="4"/>
  <c r="M531" i="4"/>
  <c r="P531" i="4" s="1"/>
  <c r="F531" i="4"/>
  <c r="O530" i="4"/>
  <c r="M530" i="4"/>
  <c r="P530" i="4" s="1"/>
  <c r="F530" i="4"/>
  <c r="O529" i="4"/>
  <c r="M529" i="4"/>
  <c r="P529" i="4" s="1"/>
  <c r="F529" i="4"/>
  <c r="O528" i="4"/>
  <c r="M528" i="4"/>
  <c r="P528" i="4" s="1"/>
  <c r="F528" i="4"/>
  <c r="O527" i="4"/>
  <c r="M527" i="4"/>
  <c r="P527" i="4" s="1"/>
  <c r="F527" i="4"/>
  <c r="O526" i="4"/>
  <c r="M526" i="4"/>
  <c r="P526" i="4" s="1"/>
  <c r="F526" i="4"/>
  <c r="O525" i="4"/>
  <c r="M525" i="4"/>
  <c r="P525" i="4" s="1"/>
  <c r="F525" i="4"/>
  <c r="O524" i="4"/>
  <c r="M524" i="4"/>
  <c r="P524" i="4" s="1"/>
  <c r="F524" i="4"/>
  <c r="O523" i="4"/>
  <c r="M523" i="4"/>
  <c r="P523" i="4" s="1"/>
  <c r="F523" i="4"/>
  <c r="O522" i="4"/>
  <c r="M522" i="4"/>
  <c r="P522" i="4" s="1"/>
  <c r="F522" i="4"/>
  <c r="O521" i="4"/>
  <c r="M521" i="4"/>
  <c r="P521" i="4" s="1"/>
  <c r="F521" i="4"/>
  <c r="O520" i="4"/>
  <c r="M520" i="4"/>
  <c r="P520" i="4" s="1"/>
  <c r="F520" i="4"/>
  <c r="O519" i="4"/>
  <c r="M519" i="4"/>
  <c r="P519" i="4" s="1"/>
  <c r="F519" i="4"/>
  <c r="O518" i="4"/>
  <c r="M518" i="4"/>
  <c r="P518" i="4" s="1"/>
  <c r="F518" i="4"/>
  <c r="O517" i="4"/>
  <c r="M517" i="4"/>
  <c r="P517" i="4" s="1"/>
  <c r="F517" i="4"/>
  <c r="O516" i="4"/>
  <c r="M516" i="4"/>
  <c r="P516" i="4" s="1"/>
  <c r="F516" i="4"/>
  <c r="O515" i="4"/>
  <c r="M515" i="4"/>
  <c r="P515" i="4" s="1"/>
  <c r="F515" i="4"/>
  <c r="O514" i="4"/>
  <c r="M514" i="4"/>
  <c r="P514" i="4" s="1"/>
  <c r="F514" i="4"/>
  <c r="O513" i="4"/>
  <c r="M513" i="4"/>
  <c r="P513" i="4" s="1"/>
  <c r="F513" i="4"/>
  <c r="O512" i="4"/>
  <c r="M512" i="4"/>
  <c r="P512" i="4" s="1"/>
  <c r="F512" i="4"/>
  <c r="O511" i="4"/>
  <c r="M511" i="4"/>
  <c r="P511" i="4" s="1"/>
  <c r="F511" i="4"/>
  <c r="O510" i="4"/>
  <c r="M510" i="4"/>
  <c r="P510" i="4" s="1"/>
  <c r="F510" i="4"/>
  <c r="O509" i="4"/>
  <c r="M509" i="4"/>
  <c r="P509" i="4" s="1"/>
  <c r="F509" i="4"/>
  <c r="O508" i="4"/>
  <c r="M508" i="4"/>
  <c r="P508" i="4" s="1"/>
  <c r="F508" i="4"/>
  <c r="O507" i="4"/>
  <c r="M507" i="4"/>
  <c r="P507" i="4" s="1"/>
  <c r="F507" i="4"/>
  <c r="O506" i="4"/>
  <c r="M506" i="4"/>
  <c r="P506" i="4" s="1"/>
  <c r="F506" i="4"/>
  <c r="O505" i="4"/>
  <c r="M505" i="4"/>
  <c r="P505" i="4" s="1"/>
  <c r="F505" i="4"/>
  <c r="O504" i="4"/>
  <c r="M504" i="4"/>
  <c r="P504" i="4" s="1"/>
  <c r="F504" i="4"/>
  <c r="O503" i="4"/>
  <c r="M503" i="4"/>
  <c r="P503" i="4" s="1"/>
  <c r="F503" i="4"/>
  <c r="O502" i="4"/>
  <c r="M502" i="4"/>
  <c r="P502" i="4" s="1"/>
  <c r="F502" i="4"/>
  <c r="O501" i="4"/>
  <c r="M501" i="4"/>
  <c r="P501" i="4" s="1"/>
  <c r="F501" i="4"/>
  <c r="O500" i="4"/>
  <c r="M500" i="4"/>
  <c r="P500" i="4" s="1"/>
  <c r="F500" i="4"/>
  <c r="O499" i="4"/>
  <c r="M499" i="4"/>
  <c r="P499" i="4" s="1"/>
  <c r="F499" i="4"/>
  <c r="O498" i="4"/>
  <c r="M498" i="4"/>
  <c r="P498" i="4" s="1"/>
  <c r="F498" i="4"/>
  <c r="O497" i="4"/>
  <c r="M497" i="4"/>
  <c r="P497" i="4" s="1"/>
  <c r="F497" i="4"/>
  <c r="O496" i="4"/>
  <c r="M496" i="4"/>
  <c r="P496" i="4" s="1"/>
  <c r="F496" i="4"/>
  <c r="O495" i="4"/>
  <c r="M495" i="4"/>
  <c r="P495" i="4" s="1"/>
  <c r="F495" i="4"/>
  <c r="O494" i="4"/>
  <c r="M494" i="4"/>
  <c r="P494" i="4" s="1"/>
  <c r="F494" i="4"/>
  <c r="O493" i="4"/>
  <c r="M493" i="4"/>
  <c r="P493" i="4" s="1"/>
  <c r="F493" i="4"/>
  <c r="O492" i="4"/>
  <c r="M492" i="4"/>
  <c r="P492" i="4" s="1"/>
  <c r="F492" i="4"/>
  <c r="O491" i="4"/>
  <c r="M491" i="4"/>
  <c r="P491" i="4" s="1"/>
  <c r="F491" i="4"/>
  <c r="O490" i="4"/>
  <c r="M490" i="4"/>
  <c r="P490" i="4" s="1"/>
  <c r="F490" i="4"/>
  <c r="O489" i="4"/>
  <c r="M489" i="4"/>
  <c r="P489" i="4" s="1"/>
  <c r="F489" i="4"/>
  <c r="O488" i="4"/>
  <c r="M488" i="4"/>
  <c r="P488" i="4" s="1"/>
  <c r="F488" i="4"/>
  <c r="O487" i="4"/>
  <c r="M487" i="4"/>
  <c r="P487" i="4" s="1"/>
  <c r="F487" i="4"/>
  <c r="O486" i="4"/>
  <c r="M486" i="4"/>
  <c r="P486" i="4" s="1"/>
  <c r="F486" i="4"/>
  <c r="O485" i="4"/>
  <c r="M485" i="4"/>
  <c r="P485" i="4" s="1"/>
  <c r="F485" i="4"/>
  <c r="O484" i="4"/>
  <c r="M484" i="4"/>
  <c r="P484" i="4" s="1"/>
  <c r="F484" i="4"/>
  <c r="O483" i="4"/>
  <c r="M483" i="4"/>
  <c r="P483" i="4" s="1"/>
  <c r="F483" i="4"/>
  <c r="O482" i="4"/>
  <c r="M482" i="4"/>
  <c r="P482" i="4" s="1"/>
  <c r="F482" i="4"/>
  <c r="O481" i="4"/>
  <c r="M481" i="4"/>
  <c r="P481" i="4" s="1"/>
  <c r="F481" i="4"/>
  <c r="O480" i="4"/>
  <c r="M480" i="4"/>
  <c r="P480" i="4" s="1"/>
  <c r="F480" i="4"/>
  <c r="O479" i="4"/>
  <c r="M479" i="4"/>
  <c r="P479" i="4" s="1"/>
  <c r="F479" i="4"/>
  <c r="O478" i="4"/>
  <c r="M478" i="4"/>
  <c r="P478" i="4" s="1"/>
  <c r="F478" i="4"/>
  <c r="O477" i="4"/>
  <c r="M477" i="4"/>
  <c r="P477" i="4" s="1"/>
  <c r="F477" i="4"/>
  <c r="O476" i="4"/>
  <c r="M476" i="4"/>
  <c r="P476" i="4" s="1"/>
  <c r="F476" i="4"/>
  <c r="O475" i="4"/>
  <c r="M475" i="4"/>
  <c r="P475" i="4" s="1"/>
  <c r="F475" i="4"/>
  <c r="O474" i="4"/>
  <c r="M474" i="4"/>
  <c r="P474" i="4" s="1"/>
  <c r="F474" i="4"/>
  <c r="O473" i="4"/>
  <c r="M473" i="4"/>
  <c r="P473" i="4" s="1"/>
  <c r="F473" i="4"/>
  <c r="O472" i="4"/>
  <c r="M472" i="4"/>
  <c r="P472" i="4" s="1"/>
  <c r="F472" i="4"/>
  <c r="O471" i="4"/>
  <c r="M471" i="4"/>
  <c r="P471" i="4" s="1"/>
  <c r="F471" i="4"/>
  <c r="O470" i="4"/>
  <c r="M470" i="4"/>
  <c r="P470" i="4" s="1"/>
  <c r="F470" i="4"/>
  <c r="O469" i="4"/>
  <c r="M469" i="4"/>
  <c r="P469" i="4" s="1"/>
  <c r="F469" i="4"/>
  <c r="O468" i="4"/>
  <c r="M468" i="4"/>
  <c r="P468" i="4" s="1"/>
  <c r="F468" i="4"/>
  <c r="O467" i="4"/>
  <c r="M467" i="4"/>
  <c r="P467" i="4" s="1"/>
  <c r="F467" i="4"/>
  <c r="O466" i="4"/>
  <c r="M466" i="4"/>
  <c r="P466" i="4" s="1"/>
  <c r="F466" i="4"/>
  <c r="O465" i="4"/>
  <c r="M465" i="4"/>
  <c r="P465" i="4" s="1"/>
  <c r="F465" i="4"/>
  <c r="O464" i="4"/>
  <c r="M464" i="4"/>
  <c r="P464" i="4" s="1"/>
  <c r="F464" i="4"/>
  <c r="O463" i="4"/>
  <c r="M463" i="4"/>
  <c r="P463" i="4" s="1"/>
  <c r="F463" i="4"/>
  <c r="O462" i="4"/>
  <c r="M462" i="4"/>
  <c r="P462" i="4" s="1"/>
  <c r="F462" i="4"/>
  <c r="O461" i="4"/>
  <c r="M461" i="4"/>
  <c r="P461" i="4" s="1"/>
  <c r="F461" i="4"/>
  <c r="O460" i="4"/>
  <c r="M460" i="4"/>
  <c r="P460" i="4" s="1"/>
  <c r="F460" i="4"/>
  <c r="O459" i="4"/>
  <c r="M459" i="4"/>
  <c r="P459" i="4" s="1"/>
  <c r="F459" i="4"/>
  <c r="O458" i="4"/>
  <c r="M458" i="4"/>
  <c r="P458" i="4" s="1"/>
  <c r="F458" i="4"/>
  <c r="O457" i="4"/>
  <c r="M457" i="4"/>
  <c r="P457" i="4" s="1"/>
  <c r="F457" i="4"/>
  <c r="O456" i="4"/>
  <c r="M456" i="4"/>
  <c r="P456" i="4" s="1"/>
  <c r="F456" i="4"/>
  <c r="O455" i="4"/>
  <c r="M455" i="4"/>
  <c r="P455" i="4" s="1"/>
  <c r="F455" i="4"/>
  <c r="O454" i="4"/>
  <c r="M454" i="4"/>
  <c r="P454" i="4" s="1"/>
  <c r="F454" i="4"/>
  <c r="O453" i="4"/>
  <c r="M453" i="4"/>
  <c r="P453" i="4" s="1"/>
  <c r="F453" i="4"/>
  <c r="O452" i="4"/>
  <c r="M452" i="4"/>
  <c r="P452" i="4" s="1"/>
  <c r="F452" i="4"/>
  <c r="O451" i="4"/>
  <c r="M451" i="4"/>
  <c r="P451" i="4" s="1"/>
  <c r="F451" i="4"/>
  <c r="O450" i="4"/>
  <c r="M450" i="4"/>
  <c r="P450" i="4" s="1"/>
  <c r="F450" i="4"/>
  <c r="O449" i="4"/>
  <c r="M449" i="4"/>
  <c r="P449" i="4" s="1"/>
  <c r="F449" i="4"/>
  <c r="O448" i="4"/>
  <c r="M448" i="4"/>
  <c r="P448" i="4" s="1"/>
  <c r="F448" i="4"/>
  <c r="O447" i="4"/>
  <c r="M447" i="4"/>
  <c r="P447" i="4" s="1"/>
  <c r="F447" i="4"/>
  <c r="O446" i="4"/>
  <c r="M446" i="4"/>
  <c r="P446" i="4" s="1"/>
  <c r="F446" i="4"/>
  <c r="O445" i="4"/>
  <c r="M445" i="4"/>
  <c r="P445" i="4" s="1"/>
  <c r="F445" i="4"/>
  <c r="O444" i="4"/>
  <c r="M444" i="4"/>
  <c r="P444" i="4" s="1"/>
  <c r="F444" i="4"/>
  <c r="O443" i="4"/>
  <c r="M443" i="4"/>
  <c r="P443" i="4" s="1"/>
  <c r="F443" i="4"/>
  <c r="O442" i="4"/>
  <c r="M442" i="4"/>
  <c r="P442" i="4" s="1"/>
  <c r="F442" i="4"/>
  <c r="O441" i="4"/>
  <c r="M441" i="4"/>
  <c r="P441" i="4" s="1"/>
  <c r="F441" i="4"/>
  <c r="O440" i="4"/>
  <c r="M440" i="4"/>
  <c r="P440" i="4" s="1"/>
  <c r="F440" i="4"/>
  <c r="O439" i="4"/>
  <c r="M439" i="4"/>
  <c r="P439" i="4" s="1"/>
  <c r="F439" i="4"/>
  <c r="O438" i="4"/>
  <c r="M438" i="4"/>
  <c r="P438" i="4" s="1"/>
  <c r="F438" i="4"/>
  <c r="O437" i="4"/>
  <c r="M437" i="4"/>
  <c r="P437" i="4" s="1"/>
  <c r="F437" i="4"/>
  <c r="O436" i="4"/>
  <c r="M436" i="4"/>
  <c r="P436" i="4" s="1"/>
  <c r="F436" i="4"/>
  <c r="O435" i="4"/>
  <c r="M435" i="4"/>
  <c r="P435" i="4" s="1"/>
  <c r="F435" i="4"/>
  <c r="O434" i="4"/>
  <c r="M434" i="4"/>
  <c r="P434" i="4" s="1"/>
  <c r="F434" i="4"/>
  <c r="O433" i="4"/>
  <c r="M433" i="4"/>
  <c r="P433" i="4" s="1"/>
  <c r="F433" i="4"/>
  <c r="O432" i="4"/>
  <c r="M432" i="4"/>
  <c r="P432" i="4" s="1"/>
  <c r="F432" i="4"/>
  <c r="O431" i="4"/>
  <c r="M431" i="4"/>
  <c r="P431" i="4" s="1"/>
  <c r="F431" i="4"/>
  <c r="O430" i="4"/>
  <c r="M430" i="4"/>
  <c r="P430" i="4" s="1"/>
  <c r="F430" i="4"/>
  <c r="O429" i="4"/>
  <c r="M429" i="4"/>
  <c r="P429" i="4" s="1"/>
  <c r="F429" i="4"/>
  <c r="O428" i="4"/>
  <c r="M428" i="4"/>
  <c r="P428" i="4" s="1"/>
  <c r="F428" i="4"/>
  <c r="O427" i="4"/>
  <c r="M427" i="4"/>
  <c r="P427" i="4" s="1"/>
  <c r="F427" i="4"/>
  <c r="O426" i="4"/>
  <c r="M426" i="4"/>
  <c r="P426" i="4" s="1"/>
  <c r="F426" i="4"/>
  <c r="O425" i="4"/>
  <c r="M425" i="4"/>
  <c r="P425" i="4" s="1"/>
  <c r="F425" i="4"/>
  <c r="O424" i="4"/>
  <c r="M424" i="4"/>
  <c r="P424" i="4" s="1"/>
  <c r="F424" i="4"/>
  <c r="O423" i="4"/>
  <c r="M423" i="4"/>
  <c r="P423" i="4" s="1"/>
  <c r="F423" i="4"/>
  <c r="O422" i="4"/>
  <c r="M422" i="4"/>
  <c r="P422" i="4" s="1"/>
  <c r="F422" i="4"/>
  <c r="O421" i="4"/>
  <c r="M421" i="4"/>
  <c r="P421" i="4" s="1"/>
  <c r="F421" i="4"/>
  <c r="O420" i="4"/>
  <c r="M420" i="4"/>
  <c r="P420" i="4" s="1"/>
  <c r="F420" i="4"/>
  <c r="O419" i="4"/>
  <c r="M419" i="4"/>
  <c r="P419" i="4" s="1"/>
  <c r="F419" i="4"/>
  <c r="O418" i="4"/>
  <c r="M418" i="4"/>
  <c r="P418" i="4" s="1"/>
  <c r="F418" i="4"/>
  <c r="O417" i="4"/>
  <c r="M417" i="4"/>
  <c r="P417" i="4" s="1"/>
  <c r="F417" i="4"/>
  <c r="O416" i="4"/>
  <c r="M416" i="4"/>
  <c r="P416" i="4" s="1"/>
  <c r="F416" i="4"/>
  <c r="O415" i="4"/>
  <c r="M415" i="4"/>
  <c r="P415" i="4" s="1"/>
  <c r="F415" i="4"/>
  <c r="O414" i="4"/>
  <c r="M414" i="4"/>
  <c r="P414" i="4" s="1"/>
  <c r="F414" i="4"/>
  <c r="O413" i="4"/>
  <c r="M413" i="4"/>
  <c r="P413" i="4" s="1"/>
  <c r="F413" i="4"/>
  <c r="O412" i="4"/>
  <c r="M412" i="4"/>
  <c r="P412" i="4" s="1"/>
  <c r="F412" i="4"/>
  <c r="O411" i="4"/>
  <c r="M411" i="4"/>
  <c r="P411" i="4" s="1"/>
  <c r="F411" i="4"/>
  <c r="O410" i="4"/>
  <c r="M410" i="4"/>
  <c r="P410" i="4" s="1"/>
  <c r="F410" i="4"/>
  <c r="O409" i="4"/>
  <c r="M409" i="4"/>
  <c r="P409" i="4" s="1"/>
  <c r="F409" i="4"/>
  <c r="F408" i="4"/>
  <c r="O407" i="4"/>
  <c r="M407" i="4"/>
  <c r="P407" i="4" s="1"/>
  <c r="F407" i="4"/>
  <c r="O406" i="4"/>
  <c r="M406" i="4"/>
  <c r="P406" i="4" s="1"/>
  <c r="F406" i="4"/>
  <c r="O405" i="4"/>
  <c r="M405" i="4"/>
  <c r="P405" i="4" s="1"/>
  <c r="F405" i="4"/>
  <c r="O404" i="4"/>
  <c r="M404" i="4"/>
  <c r="P404" i="4" s="1"/>
  <c r="F404" i="4"/>
  <c r="O403" i="4"/>
  <c r="M403" i="4"/>
  <c r="P403" i="4" s="1"/>
  <c r="F403" i="4"/>
  <c r="O402" i="4"/>
  <c r="M402" i="4"/>
  <c r="P402" i="4" s="1"/>
  <c r="F402" i="4"/>
  <c r="O401" i="4"/>
  <c r="M401" i="4"/>
  <c r="P401" i="4" s="1"/>
  <c r="F401" i="4"/>
  <c r="O400" i="4"/>
  <c r="M400" i="4"/>
  <c r="P400" i="4" s="1"/>
  <c r="F400" i="4"/>
  <c r="O399" i="4"/>
  <c r="M399" i="4"/>
  <c r="P399" i="4" s="1"/>
  <c r="F399" i="4"/>
  <c r="O398" i="4"/>
  <c r="M398" i="4"/>
  <c r="P398" i="4" s="1"/>
  <c r="F398" i="4"/>
  <c r="O397" i="4"/>
  <c r="M397" i="4"/>
  <c r="P397" i="4" s="1"/>
  <c r="F397" i="4"/>
  <c r="O396" i="4"/>
  <c r="M396" i="4"/>
  <c r="P396" i="4" s="1"/>
  <c r="F396" i="4"/>
  <c r="O395" i="4"/>
  <c r="M395" i="4"/>
  <c r="P395" i="4" s="1"/>
  <c r="F395" i="4"/>
  <c r="O394" i="4"/>
  <c r="M394" i="4"/>
  <c r="P394" i="4" s="1"/>
  <c r="F394" i="4"/>
  <c r="O393" i="4"/>
  <c r="M393" i="4"/>
  <c r="P393" i="4" s="1"/>
  <c r="F393" i="4"/>
  <c r="O392" i="4"/>
  <c r="M392" i="4"/>
  <c r="P392" i="4" s="1"/>
  <c r="F392" i="4"/>
  <c r="O391" i="4"/>
  <c r="M391" i="4"/>
  <c r="P391" i="4" s="1"/>
  <c r="F391" i="4"/>
  <c r="O390" i="4"/>
  <c r="M390" i="4"/>
  <c r="P390" i="4" s="1"/>
  <c r="F390" i="4"/>
  <c r="O389" i="4"/>
  <c r="M389" i="4"/>
  <c r="P389" i="4" s="1"/>
  <c r="F389" i="4"/>
  <c r="O388" i="4"/>
  <c r="M388" i="4"/>
  <c r="P388" i="4" s="1"/>
  <c r="F388" i="4"/>
  <c r="O387" i="4"/>
  <c r="M387" i="4"/>
  <c r="P387" i="4" s="1"/>
  <c r="F387" i="4"/>
  <c r="O386" i="4"/>
  <c r="M386" i="4"/>
  <c r="P386" i="4" s="1"/>
  <c r="F386" i="4"/>
  <c r="O385" i="4"/>
  <c r="M385" i="4"/>
  <c r="P385" i="4" s="1"/>
  <c r="F385" i="4"/>
  <c r="O384" i="4"/>
  <c r="M384" i="4"/>
  <c r="P384" i="4" s="1"/>
  <c r="F384" i="4"/>
  <c r="O383" i="4"/>
  <c r="M383" i="4"/>
  <c r="P383" i="4" s="1"/>
  <c r="F383" i="4"/>
  <c r="O381" i="4"/>
  <c r="M381" i="4"/>
  <c r="P381" i="4" s="1"/>
  <c r="F381" i="4"/>
  <c r="O380" i="4"/>
  <c r="M380" i="4"/>
  <c r="P380" i="4" s="1"/>
  <c r="F380" i="4"/>
  <c r="O379" i="4"/>
  <c r="M379" i="4"/>
  <c r="P379" i="4" s="1"/>
  <c r="F379" i="4"/>
  <c r="O378" i="4"/>
  <c r="M378" i="4"/>
  <c r="P378" i="4" s="1"/>
  <c r="F378" i="4"/>
  <c r="O377" i="4"/>
  <c r="M377" i="4"/>
  <c r="P377" i="4" s="1"/>
  <c r="F377" i="4"/>
  <c r="O376" i="4"/>
  <c r="M376" i="4"/>
  <c r="P376" i="4" s="1"/>
  <c r="F376" i="4"/>
  <c r="O375" i="4"/>
  <c r="M375" i="4"/>
  <c r="P375" i="4" s="1"/>
  <c r="F375" i="4"/>
  <c r="O374" i="4"/>
  <c r="M374" i="4"/>
  <c r="P374" i="4" s="1"/>
  <c r="F374" i="4"/>
  <c r="O373" i="4"/>
  <c r="M373" i="4"/>
  <c r="P373" i="4" s="1"/>
  <c r="F373" i="4"/>
  <c r="O372" i="4"/>
  <c r="M372" i="4"/>
  <c r="P372" i="4" s="1"/>
  <c r="F372" i="4"/>
  <c r="O371" i="4"/>
  <c r="M371" i="4"/>
  <c r="P371" i="4" s="1"/>
  <c r="F371" i="4"/>
  <c r="O370" i="4"/>
  <c r="M370" i="4"/>
  <c r="P370" i="4" s="1"/>
  <c r="F370" i="4"/>
  <c r="O369" i="4"/>
  <c r="M369" i="4"/>
  <c r="P369" i="4" s="1"/>
  <c r="F369" i="4"/>
  <c r="O368" i="4"/>
  <c r="M368" i="4"/>
  <c r="P368" i="4" s="1"/>
  <c r="F368" i="4"/>
  <c r="O367" i="4"/>
  <c r="M367" i="4"/>
  <c r="P367" i="4" s="1"/>
  <c r="F367" i="4"/>
  <c r="O366" i="4"/>
  <c r="M366" i="4"/>
  <c r="P366" i="4" s="1"/>
  <c r="F366" i="4"/>
  <c r="O365" i="4"/>
  <c r="M365" i="4"/>
  <c r="P365" i="4" s="1"/>
  <c r="F365" i="4"/>
  <c r="O364" i="4"/>
  <c r="M364" i="4"/>
  <c r="P364" i="4" s="1"/>
  <c r="F364" i="4"/>
  <c r="O363" i="4"/>
  <c r="M363" i="4"/>
  <c r="P363" i="4" s="1"/>
  <c r="F363" i="4"/>
  <c r="O362" i="4"/>
  <c r="M362" i="4"/>
  <c r="P362" i="4" s="1"/>
  <c r="F362" i="4"/>
  <c r="O361" i="4"/>
  <c r="M361" i="4"/>
  <c r="P361" i="4" s="1"/>
  <c r="F361" i="4"/>
  <c r="O360" i="4"/>
  <c r="M360" i="4"/>
  <c r="P360" i="4" s="1"/>
  <c r="F360" i="4"/>
  <c r="O359" i="4"/>
  <c r="M359" i="4"/>
  <c r="P359" i="4" s="1"/>
  <c r="F359" i="4"/>
  <c r="O358" i="4"/>
  <c r="M358" i="4"/>
  <c r="P358" i="4" s="1"/>
  <c r="F358" i="4"/>
  <c r="O357" i="4"/>
  <c r="M357" i="4"/>
  <c r="P357" i="4" s="1"/>
  <c r="F357" i="4"/>
  <c r="O356" i="4"/>
  <c r="M356" i="4"/>
  <c r="P356" i="4" s="1"/>
  <c r="F356" i="4"/>
  <c r="O355" i="4"/>
  <c r="M355" i="4"/>
  <c r="P355" i="4" s="1"/>
  <c r="F355" i="4"/>
  <c r="O354" i="4"/>
  <c r="M354" i="4"/>
  <c r="P354" i="4" s="1"/>
  <c r="F354" i="4"/>
  <c r="O353" i="4"/>
  <c r="M353" i="4"/>
  <c r="P353" i="4" s="1"/>
  <c r="F353" i="4"/>
  <c r="O352" i="4"/>
  <c r="M352" i="4"/>
  <c r="P352" i="4" s="1"/>
  <c r="F352" i="4"/>
  <c r="O351" i="4"/>
  <c r="M351" i="4"/>
  <c r="P351" i="4" s="1"/>
  <c r="F351" i="4"/>
  <c r="O350" i="4"/>
  <c r="M350" i="4"/>
  <c r="P350" i="4" s="1"/>
  <c r="F350" i="4"/>
  <c r="O349" i="4"/>
  <c r="M349" i="4"/>
  <c r="P349" i="4" s="1"/>
  <c r="F349" i="4"/>
  <c r="O348" i="4"/>
  <c r="M348" i="4"/>
  <c r="P348" i="4" s="1"/>
  <c r="F348" i="4"/>
  <c r="P347" i="4"/>
  <c r="O347" i="4"/>
  <c r="M347" i="4"/>
  <c r="F347" i="4"/>
  <c r="O346" i="4"/>
  <c r="M346" i="4"/>
  <c r="P346" i="4" s="1"/>
  <c r="F346" i="4"/>
  <c r="O345" i="4"/>
  <c r="M345" i="4"/>
  <c r="P345" i="4" s="1"/>
  <c r="F345" i="4"/>
  <c r="O344" i="4"/>
  <c r="M344" i="4"/>
  <c r="P344" i="4" s="1"/>
  <c r="F344" i="4"/>
  <c r="O343" i="4"/>
  <c r="M343" i="4"/>
  <c r="P343" i="4" s="1"/>
  <c r="F343" i="4"/>
  <c r="O342" i="4"/>
  <c r="M342" i="4"/>
  <c r="P342" i="4" s="1"/>
  <c r="F342" i="4"/>
  <c r="O341" i="4"/>
  <c r="M341" i="4"/>
  <c r="P341" i="4" s="1"/>
  <c r="F341" i="4"/>
  <c r="O340" i="4"/>
  <c r="M340" i="4"/>
  <c r="P340" i="4" s="1"/>
  <c r="F340" i="4"/>
  <c r="O339" i="4"/>
  <c r="M339" i="4"/>
  <c r="P339" i="4" s="1"/>
  <c r="F339" i="4"/>
  <c r="O338" i="4"/>
  <c r="M338" i="4"/>
  <c r="P338" i="4" s="1"/>
  <c r="F338" i="4"/>
  <c r="O337" i="4"/>
  <c r="M337" i="4"/>
  <c r="P337" i="4" s="1"/>
  <c r="F337" i="4"/>
  <c r="O336" i="4"/>
  <c r="M336" i="4"/>
  <c r="P336" i="4" s="1"/>
  <c r="F336" i="4"/>
  <c r="O335" i="4"/>
  <c r="M335" i="4"/>
  <c r="P335" i="4" s="1"/>
  <c r="F335" i="4"/>
  <c r="O334" i="4"/>
  <c r="M334" i="4"/>
  <c r="P334" i="4" s="1"/>
  <c r="F334" i="4"/>
  <c r="O333" i="4"/>
  <c r="M333" i="4"/>
  <c r="P333" i="4" s="1"/>
  <c r="F333" i="4"/>
  <c r="O332" i="4"/>
  <c r="M332" i="4"/>
  <c r="P332" i="4" s="1"/>
  <c r="F332" i="4"/>
  <c r="O331" i="4"/>
  <c r="M331" i="4"/>
  <c r="P331" i="4" s="1"/>
  <c r="F331" i="4"/>
  <c r="O330" i="4"/>
  <c r="M330" i="4"/>
  <c r="P330" i="4" s="1"/>
  <c r="F330" i="4"/>
  <c r="O329" i="4"/>
  <c r="M329" i="4"/>
  <c r="P329" i="4" s="1"/>
  <c r="F329" i="4"/>
  <c r="O328" i="4"/>
  <c r="M328" i="4"/>
  <c r="P328" i="4" s="1"/>
  <c r="F328" i="4"/>
  <c r="O327" i="4"/>
  <c r="M327" i="4"/>
  <c r="P327" i="4" s="1"/>
  <c r="F327" i="4"/>
  <c r="O326" i="4"/>
  <c r="M326" i="4"/>
  <c r="P326" i="4" s="1"/>
  <c r="F326" i="4"/>
  <c r="O325" i="4"/>
  <c r="M325" i="4"/>
  <c r="P325" i="4" s="1"/>
  <c r="F325" i="4"/>
  <c r="O324" i="4"/>
  <c r="M324" i="4"/>
  <c r="P324" i="4" s="1"/>
  <c r="F324" i="4"/>
  <c r="O323" i="4"/>
  <c r="M323" i="4"/>
  <c r="P323" i="4" s="1"/>
  <c r="F323" i="4"/>
  <c r="O322" i="4"/>
  <c r="M322" i="4"/>
  <c r="P322" i="4" s="1"/>
  <c r="F322" i="4"/>
  <c r="O321" i="4"/>
  <c r="M321" i="4"/>
  <c r="P321" i="4" s="1"/>
  <c r="F321" i="4"/>
  <c r="O320" i="4"/>
  <c r="M320" i="4"/>
  <c r="P320" i="4" s="1"/>
  <c r="F320" i="4"/>
  <c r="O319" i="4"/>
  <c r="M319" i="4"/>
  <c r="P319" i="4" s="1"/>
  <c r="F319" i="4"/>
  <c r="O318" i="4"/>
  <c r="M318" i="4"/>
  <c r="P318" i="4" s="1"/>
  <c r="F318" i="4"/>
  <c r="O317" i="4"/>
  <c r="M317" i="4"/>
  <c r="P317" i="4" s="1"/>
  <c r="F317" i="4"/>
  <c r="O316" i="4"/>
  <c r="M316" i="4"/>
  <c r="P316" i="4" s="1"/>
  <c r="F316" i="4"/>
  <c r="O315" i="4"/>
  <c r="M315" i="4"/>
  <c r="P315" i="4" s="1"/>
  <c r="F315" i="4"/>
  <c r="O314" i="4"/>
  <c r="M314" i="4"/>
  <c r="P314" i="4" s="1"/>
  <c r="F314" i="4"/>
  <c r="O313" i="4"/>
  <c r="M313" i="4"/>
  <c r="P313" i="4" s="1"/>
  <c r="F313" i="4"/>
  <c r="O312" i="4"/>
  <c r="M312" i="4"/>
  <c r="P312" i="4" s="1"/>
  <c r="F312" i="4"/>
  <c r="O311" i="4"/>
  <c r="M311" i="4"/>
  <c r="P311" i="4" s="1"/>
  <c r="F311" i="4"/>
  <c r="O310" i="4"/>
  <c r="M310" i="4"/>
  <c r="P310" i="4" s="1"/>
  <c r="F310" i="4"/>
  <c r="O309" i="4"/>
  <c r="M309" i="4"/>
  <c r="P309" i="4" s="1"/>
  <c r="F309" i="4"/>
  <c r="O308" i="4"/>
  <c r="M308" i="4"/>
  <c r="P308" i="4" s="1"/>
  <c r="F308" i="4"/>
  <c r="O307" i="4"/>
  <c r="M307" i="4"/>
  <c r="P307" i="4" s="1"/>
  <c r="F307" i="4"/>
  <c r="O306" i="4"/>
  <c r="M306" i="4"/>
  <c r="P306" i="4" s="1"/>
  <c r="F306" i="4"/>
  <c r="O305" i="4"/>
  <c r="M305" i="4"/>
  <c r="P305" i="4" s="1"/>
  <c r="F305" i="4"/>
  <c r="O304" i="4"/>
  <c r="M304" i="4"/>
  <c r="P304" i="4" s="1"/>
  <c r="F304" i="4"/>
  <c r="O303" i="4"/>
  <c r="M303" i="4"/>
  <c r="P303" i="4" s="1"/>
  <c r="F303" i="4"/>
  <c r="O302" i="4"/>
  <c r="M302" i="4"/>
  <c r="P302" i="4" s="1"/>
  <c r="F302" i="4"/>
  <c r="O301" i="4"/>
  <c r="M301" i="4"/>
  <c r="P301" i="4" s="1"/>
  <c r="F301" i="4"/>
  <c r="O300" i="4"/>
  <c r="M300" i="4"/>
  <c r="P300" i="4" s="1"/>
  <c r="F300" i="4"/>
  <c r="O299" i="4"/>
  <c r="M299" i="4"/>
  <c r="P299" i="4" s="1"/>
  <c r="F299" i="4"/>
  <c r="O298" i="4"/>
  <c r="M298" i="4"/>
  <c r="P298" i="4" s="1"/>
  <c r="F298" i="4"/>
  <c r="O297" i="4"/>
  <c r="M297" i="4"/>
  <c r="P297" i="4" s="1"/>
  <c r="F297" i="4"/>
  <c r="O296" i="4"/>
  <c r="M296" i="4"/>
  <c r="P296" i="4" s="1"/>
  <c r="F296" i="4"/>
  <c r="O295" i="4"/>
  <c r="M295" i="4"/>
  <c r="P295" i="4" s="1"/>
  <c r="F295" i="4"/>
  <c r="O294" i="4"/>
  <c r="M294" i="4"/>
  <c r="P294" i="4" s="1"/>
  <c r="F294" i="4"/>
  <c r="O293" i="4"/>
  <c r="M293" i="4"/>
  <c r="P293" i="4" s="1"/>
  <c r="F293" i="4"/>
  <c r="O292" i="4"/>
  <c r="M292" i="4"/>
  <c r="P292" i="4" s="1"/>
  <c r="F292" i="4"/>
  <c r="O291" i="4"/>
  <c r="M291" i="4"/>
  <c r="P291" i="4" s="1"/>
  <c r="F291" i="4"/>
  <c r="O290" i="4"/>
  <c r="M290" i="4"/>
  <c r="P290" i="4" s="1"/>
  <c r="F290" i="4"/>
  <c r="O289" i="4"/>
  <c r="M289" i="4"/>
  <c r="P289" i="4" s="1"/>
  <c r="F289" i="4"/>
  <c r="O288" i="4"/>
  <c r="M288" i="4"/>
  <c r="P288" i="4" s="1"/>
  <c r="F288" i="4"/>
  <c r="O287" i="4"/>
  <c r="M287" i="4"/>
  <c r="P287" i="4" s="1"/>
  <c r="F287" i="4"/>
  <c r="O286" i="4"/>
  <c r="M286" i="4"/>
  <c r="P286" i="4" s="1"/>
  <c r="F286" i="4"/>
  <c r="O285" i="4"/>
  <c r="M285" i="4"/>
  <c r="P285" i="4" s="1"/>
  <c r="F285" i="4"/>
  <c r="O284" i="4"/>
  <c r="M284" i="4"/>
  <c r="P284" i="4" s="1"/>
  <c r="F284" i="4"/>
  <c r="O283" i="4"/>
  <c r="M283" i="4"/>
  <c r="P283" i="4" s="1"/>
  <c r="F283" i="4"/>
  <c r="O282" i="4"/>
  <c r="M282" i="4"/>
  <c r="P282" i="4" s="1"/>
  <c r="F282" i="4"/>
  <c r="O281" i="4"/>
  <c r="M281" i="4"/>
  <c r="P281" i="4" s="1"/>
  <c r="F281" i="4"/>
  <c r="P280" i="4"/>
  <c r="O280" i="4"/>
  <c r="F280" i="4"/>
  <c r="O279" i="4"/>
  <c r="M279" i="4"/>
  <c r="P279" i="4" s="1"/>
  <c r="F279" i="4"/>
  <c r="O278" i="4"/>
  <c r="M278" i="4"/>
  <c r="P278" i="4" s="1"/>
  <c r="F278" i="4"/>
  <c r="O277" i="4"/>
  <c r="M277" i="4"/>
  <c r="P277" i="4" s="1"/>
  <c r="F277" i="4"/>
  <c r="O276" i="4"/>
  <c r="M276" i="4"/>
  <c r="P276" i="4" s="1"/>
  <c r="F276" i="4"/>
  <c r="O275" i="4"/>
  <c r="M275" i="4"/>
  <c r="P275" i="4" s="1"/>
  <c r="F275" i="4"/>
  <c r="O274" i="4"/>
  <c r="M274" i="4"/>
  <c r="P274" i="4" s="1"/>
  <c r="F274" i="4"/>
  <c r="O273" i="4"/>
  <c r="M273" i="4"/>
  <c r="P273" i="4" s="1"/>
  <c r="F273" i="4"/>
  <c r="O272" i="4"/>
  <c r="M272" i="4"/>
  <c r="P272" i="4" s="1"/>
  <c r="F272" i="4"/>
  <c r="O271" i="4"/>
  <c r="M271" i="4"/>
  <c r="P271" i="4" s="1"/>
  <c r="F271" i="4"/>
  <c r="O270" i="4"/>
  <c r="M270" i="4"/>
  <c r="P270" i="4" s="1"/>
  <c r="F270" i="4"/>
  <c r="O269" i="4"/>
  <c r="M269" i="4"/>
  <c r="P269" i="4" s="1"/>
  <c r="F269" i="4"/>
  <c r="O268" i="4"/>
  <c r="M268" i="4"/>
  <c r="P268" i="4" s="1"/>
  <c r="F268" i="4"/>
  <c r="O267" i="4"/>
  <c r="M267" i="4"/>
  <c r="P267" i="4" s="1"/>
  <c r="F267" i="4"/>
  <c r="O266" i="4"/>
  <c r="M266" i="4"/>
  <c r="P266" i="4" s="1"/>
  <c r="F266" i="4"/>
  <c r="O265" i="4"/>
  <c r="M265" i="4"/>
  <c r="P265" i="4" s="1"/>
  <c r="F265" i="4"/>
  <c r="O264" i="4"/>
  <c r="M264" i="4"/>
  <c r="P264" i="4" s="1"/>
  <c r="F264" i="4"/>
  <c r="O263" i="4"/>
  <c r="M263" i="4"/>
  <c r="P263" i="4" s="1"/>
  <c r="F263" i="4"/>
  <c r="O262" i="4"/>
  <c r="M262" i="4"/>
  <c r="P262" i="4" s="1"/>
  <c r="F262" i="4"/>
  <c r="O261" i="4"/>
  <c r="M261" i="4"/>
  <c r="P261" i="4" s="1"/>
  <c r="F261" i="4"/>
  <c r="O260" i="4"/>
  <c r="M260" i="4"/>
  <c r="P260" i="4" s="1"/>
  <c r="F260" i="4"/>
  <c r="O259" i="4"/>
  <c r="M259" i="4"/>
  <c r="P259" i="4" s="1"/>
  <c r="F259" i="4"/>
  <c r="O258" i="4"/>
  <c r="M258" i="4"/>
  <c r="P258" i="4" s="1"/>
  <c r="F258" i="4"/>
  <c r="O257" i="4"/>
  <c r="M257" i="4"/>
  <c r="P257" i="4" s="1"/>
  <c r="F257" i="4"/>
  <c r="O256" i="4"/>
  <c r="M256" i="4"/>
  <c r="P256" i="4" s="1"/>
  <c r="F256" i="4"/>
  <c r="O255" i="4"/>
  <c r="M255" i="4"/>
  <c r="P255" i="4" s="1"/>
  <c r="F255" i="4"/>
  <c r="O254" i="4"/>
  <c r="M254" i="4"/>
  <c r="P254" i="4" s="1"/>
  <c r="F254" i="4"/>
  <c r="O253" i="4"/>
  <c r="M253" i="4"/>
  <c r="P253" i="4" s="1"/>
  <c r="F253" i="4"/>
  <c r="O252" i="4"/>
  <c r="M252" i="4"/>
  <c r="P252" i="4" s="1"/>
  <c r="F252" i="4"/>
  <c r="O251" i="4"/>
  <c r="M251" i="4"/>
  <c r="P251" i="4" s="1"/>
  <c r="F251" i="4"/>
  <c r="O250" i="4"/>
  <c r="M250" i="4"/>
  <c r="P250" i="4" s="1"/>
  <c r="F250" i="4"/>
  <c r="O249" i="4"/>
  <c r="M249" i="4"/>
  <c r="P249" i="4" s="1"/>
  <c r="F249" i="4"/>
  <c r="O248" i="4"/>
  <c r="M248" i="4"/>
  <c r="P248" i="4" s="1"/>
  <c r="F248" i="4"/>
  <c r="O247" i="4"/>
  <c r="M247" i="4"/>
  <c r="P247" i="4" s="1"/>
  <c r="F247" i="4"/>
  <c r="O246" i="4"/>
  <c r="M246" i="4"/>
  <c r="P246" i="4" s="1"/>
  <c r="F246" i="4"/>
  <c r="O245" i="4"/>
  <c r="M245" i="4"/>
  <c r="P245" i="4" s="1"/>
  <c r="F245" i="4"/>
  <c r="O244" i="4"/>
  <c r="M244" i="4"/>
  <c r="P244" i="4" s="1"/>
  <c r="F244" i="4"/>
  <c r="O243" i="4"/>
  <c r="M243" i="4"/>
  <c r="P243" i="4" s="1"/>
  <c r="F243" i="4"/>
  <c r="O242" i="4"/>
  <c r="M242" i="4"/>
  <c r="P242" i="4" s="1"/>
  <c r="F242" i="4"/>
  <c r="O241" i="4"/>
  <c r="M241" i="4"/>
  <c r="P241" i="4" s="1"/>
  <c r="F241" i="4"/>
  <c r="O240" i="4"/>
  <c r="M240" i="4"/>
  <c r="P240" i="4" s="1"/>
  <c r="F240" i="4"/>
  <c r="O239" i="4"/>
  <c r="M239" i="4"/>
  <c r="P239" i="4" s="1"/>
  <c r="F239" i="4"/>
  <c r="O238" i="4"/>
  <c r="M238" i="4"/>
  <c r="P238" i="4" s="1"/>
  <c r="F238" i="4"/>
  <c r="O237" i="4"/>
  <c r="M237" i="4"/>
  <c r="P237" i="4" s="1"/>
  <c r="F237" i="4"/>
  <c r="O236" i="4"/>
  <c r="M236" i="4"/>
  <c r="P236" i="4" s="1"/>
  <c r="F236" i="4"/>
  <c r="O235" i="4"/>
  <c r="M235" i="4"/>
  <c r="P235" i="4" s="1"/>
  <c r="F235" i="4"/>
  <c r="O234" i="4"/>
  <c r="M234" i="4"/>
  <c r="P234" i="4" s="1"/>
  <c r="F234" i="4"/>
  <c r="O233" i="4"/>
  <c r="M233" i="4"/>
  <c r="P233" i="4" s="1"/>
  <c r="F233" i="4"/>
  <c r="O232" i="4"/>
  <c r="M232" i="4"/>
  <c r="P232" i="4" s="1"/>
  <c r="F232" i="4"/>
  <c r="O231" i="4"/>
  <c r="M231" i="4"/>
  <c r="P231" i="4" s="1"/>
  <c r="F231" i="4"/>
  <c r="O230" i="4"/>
  <c r="M230" i="4"/>
  <c r="P230" i="4" s="1"/>
  <c r="F230" i="4"/>
  <c r="O229" i="4"/>
  <c r="M229" i="4"/>
  <c r="P229" i="4" s="1"/>
  <c r="F229" i="4"/>
  <c r="O228" i="4"/>
  <c r="M228" i="4"/>
  <c r="P228" i="4" s="1"/>
  <c r="F228" i="4"/>
  <c r="O227" i="4"/>
  <c r="M227" i="4"/>
  <c r="P227" i="4" s="1"/>
  <c r="F227" i="4"/>
  <c r="O226" i="4"/>
  <c r="M226" i="4"/>
  <c r="P226" i="4" s="1"/>
  <c r="F226" i="4"/>
  <c r="O225" i="4"/>
  <c r="M225" i="4"/>
  <c r="P225" i="4" s="1"/>
  <c r="F225" i="4"/>
  <c r="O224" i="4"/>
  <c r="M224" i="4"/>
  <c r="P224" i="4" s="1"/>
  <c r="F224" i="4"/>
  <c r="O223" i="4"/>
  <c r="M223" i="4"/>
  <c r="P223" i="4" s="1"/>
  <c r="F223" i="4"/>
  <c r="O222" i="4"/>
  <c r="M222" i="4"/>
  <c r="P222" i="4" s="1"/>
  <c r="F222" i="4"/>
  <c r="O221" i="4"/>
  <c r="M221" i="4"/>
  <c r="P221" i="4" s="1"/>
  <c r="F221" i="4"/>
  <c r="O220" i="4"/>
  <c r="M220" i="4"/>
  <c r="P220" i="4" s="1"/>
  <c r="F220" i="4"/>
  <c r="O219" i="4"/>
  <c r="M219" i="4"/>
  <c r="P219" i="4" s="1"/>
  <c r="F219" i="4"/>
  <c r="O218" i="4"/>
  <c r="M218" i="4"/>
  <c r="P218" i="4" s="1"/>
  <c r="F218" i="4"/>
  <c r="O217" i="4"/>
  <c r="M217" i="4"/>
  <c r="P217" i="4" s="1"/>
  <c r="F217" i="4"/>
  <c r="O216" i="4"/>
  <c r="M216" i="4"/>
  <c r="P216" i="4" s="1"/>
  <c r="F216" i="4"/>
  <c r="O215" i="4"/>
  <c r="M215" i="4"/>
  <c r="P215" i="4" s="1"/>
  <c r="F215" i="4"/>
  <c r="O214" i="4"/>
  <c r="M214" i="4"/>
  <c r="P214" i="4" s="1"/>
  <c r="F214" i="4"/>
  <c r="O213" i="4"/>
  <c r="M213" i="4"/>
  <c r="P213" i="4" s="1"/>
  <c r="F213" i="4"/>
  <c r="O212" i="4"/>
  <c r="M212" i="4"/>
  <c r="P212" i="4" s="1"/>
  <c r="F212" i="4"/>
  <c r="O211" i="4"/>
  <c r="M211" i="4"/>
  <c r="P211" i="4" s="1"/>
  <c r="F211" i="4"/>
  <c r="O210" i="4"/>
  <c r="M210" i="4"/>
  <c r="P210" i="4" s="1"/>
  <c r="F210" i="4"/>
  <c r="O209" i="4"/>
  <c r="M209" i="4"/>
  <c r="P209" i="4" s="1"/>
  <c r="F209" i="4"/>
  <c r="O208" i="4"/>
  <c r="M208" i="4"/>
  <c r="P208" i="4" s="1"/>
  <c r="F208" i="4"/>
  <c r="O207" i="4"/>
  <c r="M207" i="4"/>
  <c r="P207" i="4" s="1"/>
  <c r="F207" i="4"/>
  <c r="O206" i="4"/>
  <c r="M206" i="4"/>
  <c r="P206" i="4" s="1"/>
  <c r="F206" i="4"/>
  <c r="O205" i="4"/>
  <c r="M205" i="4"/>
  <c r="P205" i="4" s="1"/>
  <c r="F205" i="4"/>
  <c r="O204" i="4"/>
  <c r="M204" i="4"/>
  <c r="P204" i="4" s="1"/>
  <c r="F204" i="4"/>
  <c r="O203" i="4"/>
  <c r="M203" i="4"/>
  <c r="P203" i="4" s="1"/>
  <c r="F203" i="4"/>
  <c r="O202" i="4"/>
  <c r="M202" i="4"/>
  <c r="P202" i="4" s="1"/>
  <c r="F202" i="4"/>
  <c r="O201" i="4"/>
  <c r="M201" i="4"/>
  <c r="P201" i="4" s="1"/>
  <c r="F201" i="4"/>
  <c r="O200" i="4"/>
  <c r="M200" i="4"/>
  <c r="P200" i="4" s="1"/>
  <c r="F200" i="4"/>
  <c r="O199" i="4"/>
  <c r="M199" i="4"/>
  <c r="P199" i="4" s="1"/>
  <c r="F199" i="4"/>
  <c r="O198" i="4"/>
  <c r="M198" i="4"/>
  <c r="P198" i="4" s="1"/>
  <c r="F198" i="4"/>
  <c r="O197" i="4"/>
  <c r="M197" i="4"/>
  <c r="P197" i="4" s="1"/>
  <c r="F197" i="4"/>
  <c r="O196" i="4"/>
  <c r="M196" i="4"/>
  <c r="P196" i="4" s="1"/>
  <c r="F196" i="4"/>
  <c r="O195" i="4"/>
  <c r="M195" i="4"/>
  <c r="P195" i="4" s="1"/>
  <c r="F195" i="4"/>
  <c r="O194" i="4"/>
  <c r="M194" i="4"/>
  <c r="P194" i="4" s="1"/>
  <c r="F194" i="4"/>
  <c r="O193" i="4"/>
  <c r="M193" i="4"/>
  <c r="P193" i="4" s="1"/>
  <c r="F193" i="4"/>
  <c r="O192" i="4"/>
  <c r="M192" i="4"/>
  <c r="P192" i="4" s="1"/>
  <c r="F192" i="4"/>
  <c r="N191" i="4"/>
  <c r="O191" i="4" s="1"/>
  <c r="M191" i="4"/>
  <c r="P191" i="4" s="1"/>
  <c r="F191" i="4"/>
  <c r="N190" i="4"/>
  <c r="O190" i="4" s="1"/>
  <c r="M190" i="4"/>
  <c r="P190" i="4" s="1"/>
  <c r="F190" i="4"/>
  <c r="O189" i="4"/>
  <c r="M189" i="4"/>
  <c r="P189" i="4" s="1"/>
  <c r="F189" i="4"/>
  <c r="O188" i="4"/>
  <c r="M188" i="4"/>
  <c r="P188" i="4" s="1"/>
  <c r="F188" i="4"/>
  <c r="O187" i="4"/>
  <c r="M187" i="4"/>
  <c r="P187" i="4" s="1"/>
  <c r="F187" i="4"/>
  <c r="O186" i="4"/>
  <c r="M186" i="4"/>
  <c r="P186" i="4" s="1"/>
  <c r="F186" i="4"/>
  <c r="O185" i="4"/>
  <c r="M185" i="4"/>
  <c r="P185" i="4" s="1"/>
  <c r="F185" i="4"/>
  <c r="O184" i="4"/>
  <c r="M184" i="4"/>
  <c r="P184" i="4" s="1"/>
  <c r="F184" i="4"/>
  <c r="O183" i="4"/>
  <c r="M183" i="4"/>
  <c r="P183" i="4" s="1"/>
  <c r="F183" i="4"/>
  <c r="O182" i="4"/>
  <c r="M182" i="4"/>
  <c r="P182" i="4" s="1"/>
  <c r="F182" i="4"/>
  <c r="O181" i="4"/>
  <c r="M181" i="4"/>
  <c r="P181" i="4" s="1"/>
  <c r="F181" i="4"/>
  <c r="O180" i="4"/>
  <c r="M180" i="4"/>
  <c r="P180" i="4" s="1"/>
  <c r="F180" i="4"/>
  <c r="O179" i="4"/>
  <c r="M179" i="4"/>
  <c r="P179" i="4" s="1"/>
  <c r="F179" i="4"/>
  <c r="O178" i="4"/>
  <c r="M178" i="4"/>
  <c r="P178" i="4" s="1"/>
  <c r="F178" i="4"/>
  <c r="O177" i="4"/>
  <c r="M177" i="4"/>
  <c r="P177" i="4" s="1"/>
  <c r="F177" i="4"/>
  <c r="O176" i="4"/>
  <c r="M176" i="4"/>
  <c r="P176" i="4" s="1"/>
  <c r="F176" i="4"/>
  <c r="O175" i="4"/>
  <c r="M175" i="4"/>
  <c r="P175" i="4" s="1"/>
  <c r="F175" i="4"/>
  <c r="O174" i="4"/>
  <c r="M174" i="4"/>
  <c r="P174" i="4" s="1"/>
  <c r="F174" i="4"/>
  <c r="O173" i="4"/>
  <c r="M173" i="4"/>
  <c r="P173" i="4" s="1"/>
  <c r="F173" i="4"/>
  <c r="O172" i="4"/>
  <c r="M172" i="4"/>
  <c r="P172" i="4" s="1"/>
  <c r="F172" i="4"/>
  <c r="O171" i="4"/>
  <c r="M171" i="4"/>
  <c r="P171" i="4" s="1"/>
  <c r="F171" i="4"/>
  <c r="O170" i="4"/>
  <c r="M170" i="4"/>
  <c r="P170" i="4" s="1"/>
  <c r="F170" i="4"/>
  <c r="O169" i="4"/>
  <c r="M169" i="4"/>
  <c r="P169" i="4" s="1"/>
  <c r="F169" i="4"/>
  <c r="O168" i="4"/>
  <c r="M168" i="4"/>
  <c r="P168" i="4" s="1"/>
  <c r="F168" i="4"/>
  <c r="O167" i="4"/>
  <c r="M167" i="4"/>
  <c r="P167" i="4" s="1"/>
  <c r="F167" i="4"/>
  <c r="O166" i="4"/>
  <c r="M166" i="4"/>
  <c r="P166" i="4" s="1"/>
  <c r="F166" i="4"/>
  <c r="O165" i="4"/>
  <c r="M165" i="4"/>
  <c r="P165" i="4" s="1"/>
  <c r="F165" i="4"/>
  <c r="O164" i="4"/>
  <c r="M164" i="4"/>
  <c r="P164" i="4" s="1"/>
  <c r="F164" i="4"/>
  <c r="O163" i="4"/>
  <c r="M163" i="4"/>
  <c r="P163" i="4" s="1"/>
  <c r="F163" i="4"/>
  <c r="O162" i="4"/>
  <c r="M162" i="4"/>
  <c r="P162" i="4" s="1"/>
  <c r="F162" i="4"/>
  <c r="O161" i="4"/>
  <c r="M161" i="4"/>
  <c r="P161" i="4" s="1"/>
  <c r="F161" i="4"/>
  <c r="O160" i="4"/>
  <c r="M160" i="4"/>
  <c r="P160" i="4" s="1"/>
  <c r="F160" i="4"/>
  <c r="O159" i="4"/>
  <c r="M159" i="4"/>
  <c r="P159" i="4" s="1"/>
  <c r="F159" i="4"/>
  <c r="O158" i="4"/>
  <c r="M158" i="4"/>
  <c r="P158" i="4" s="1"/>
  <c r="F158" i="4"/>
  <c r="O157" i="4"/>
  <c r="M157" i="4"/>
  <c r="P157" i="4" s="1"/>
  <c r="F157" i="4"/>
  <c r="O156" i="4"/>
  <c r="M156" i="4"/>
  <c r="P156" i="4" s="1"/>
  <c r="F156" i="4"/>
  <c r="O155" i="4"/>
  <c r="M155" i="4"/>
  <c r="P155" i="4" s="1"/>
  <c r="F155" i="4"/>
  <c r="O154" i="4"/>
  <c r="M154" i="4"/>
  <c r="P154" i="4" s="1"/>
  <c r="F154" i="4"/>
  <c r="O153" i="4"/>
  <c r="M153" i="4"/>
  <c r="P153" i="4" s="1"/>
  <c r="F153" i="4"/>
  <c r="O152" i="4"/>
  <c r="M152" i="4"/>
  <c r="P152" i="4" s="1"/>
  <c r="F152" i="4"/>
  <c r="O151" i="4"/>
  <c r="M151" i="4"/>
  <c r="P151" i="4" s="1"/>
  <c r="F151" i="4"/>
  <c r="O150" i="4"/>
  <c r="M150" i="4"/>
  <c r="P150" i="4" s="1"/>
  <c r="F150" i="4"/>
  <c r="O149" i="4"/>
  <c r="M149" i="4"/>
  <c r="P149" i="4" s="1"/>
  <c r="F149" i="4"/>
  <c r="O148" i="4"/>
  <c r="M148" i="4"/>
  <c r="P148" i="4" s="1"/>
  <c r="F148" i="4"/>
  <c r="O147" i="4"/>
  <c r="M147" i="4"/>
  <c r="P147" i="4" s="1"/>
  <c r="F147" i="4"/>
  <c r="O146" i="4"/>
  <c r="M146" i="4"/>
  <c r="P146" i="4" s="1"/>
  <c r="F146" i="4"/>
  <c r="O145" i="4"/>
  <c r="M145" i="4"/>
  <c r="P145" i="4" s="1"/>
  <c r="F145" i="4"/>
  <c r="O144" i="4"/>
  <c r="M144" i="4"/>
  <c r="P144" i="4" s="1"/>
  <c r="F144" i="4"/>
  <c r="O143" i="4"/>
  <c r="M143" i="4"/>
  <c r="P143" i="4" s="1"/>
  <c r="F143" i="4"/>
  <c r="O142" i="4"/>
  <c r="M142" i="4"/>
  <c r="P142" i="4" s="1"/>
  <c r="F142" i="4"/>
  <c r="O141" i="4"/>
  <c r="M141" i="4"/>
  <c r="P141" i="4" s="1"/>
  <c r="F141" i="4"/>
  <c r="O140" i="4"/>
  <c r="M140" i="4"/>
  <c r="P140" i="4" s="1"/>
  <c r="F140" i="4"/>
  <c r="O139" i="4"/>
  <c r="M139" i="4"/>
  <c r="P139" i="4" s="1"/>
  <c r="F139" i="4"/>
  <c r="O138" i="4"/>
  <c r="M138" i="4"/>
  <c r="P138" i="4" s="1"/>
  <c r="F138" i="4"/>
  <c r="O137" i="4"/>
  <c r="M137" i="4"/>
  <c r="P137" i="4" s="1"/>
  <c r="F137" i="4"/>
  <c r="O136" i="4"/>
  <c r="M136" i="4"/>
  <c r="P136" i="4" s="1"/>
  <c r="F136" i="4"/>
  <c r="O135" i="4"/>
  <c r="M135" i="4"/>
  <c r="P135" i="4" s="1"/>
  <c r="F135" i="4"/>
  <c r="O134" i="4"/>
  <c r="M134" i="4"/>
  <c r="P134" i="4" s="1"/>
  <c r="F134" i="4"/>
  <c r="O133" i="4"/>
  <c r="M133" i="4"/>
  <c r="P133" i="4" s="1"/>
  <c r="F133" i="4"/>
  <c r="O132" i="4"/>
  <c r="M132" i="4"/>
  <c r="P132" i="4" s="1"/>
  <c r="F132" i="4"/>
  <c r="O131" i="4"/>
  <c r="M131" i="4"/>
  <c r="P131" i="4" s="1"/>
  <c r="F131" i="4"/>
  <c r="O130" i="4"/>
  <c r="M130" i="4"/>
  <c r="P130" i="4" s="1"/>
  <c r="F130" i="4"/>
  <c r="O129" i="4"/>
  <c r="M129" i="4"/>
  <c r="P129" i="4" s="1"/>
  <c r="F129" i="4"/>
  <c r="O128" i="4"/>
  <c r="M128" i="4"/>
  <c r="P128" i="4" s="1"/>
  <c r="F128" i="4"/>
  <c r="O127" i="4"/>
  <c r="M127" i="4"/>
  <c r="P127" i="4" s="1"/>
  <c r="F127" i="4"/>
  <c r="O126" i="4"/>
  <c r="M126" i="4"/>
  <c r="P126" i="4" s="1"/>
  <c r="F126" i="4"/>
  <c r="O125" i="4"/>
  <c r="M125" i="4"/>
  <c r="P125" i="4" s="1"/>
  <c r="F125" i="4"/>
  <c r="O124" i="4"/>
  <c r="M124" i="4"/>
  <c r="P124" i="4" s="1"/>
  <c r="F124" i="4"/>
  <c r="O123" i="4"/>
  <c r="M123" i="4"/>
  <c r="P123" i="4" s="1"/>
  <c r="F123" i="4"/>
  <c r="O122" i="4"/>
  <c r="M122" i="4"/>
  <c r="P122" i="4" s="1"/>
  <c r="F122" i="4"/>
  <c r="O121" i="4"/>
  <c r="M121" i="4"/>
  <c r="P121" i="4" s="1"/>
  <c r="F121" i="4"/>
  <c r="O120" i="4"/>
  <c r="M120" i="4"/>
  <c r="P120" i="4" s="1"/>
  <c r="F120" i="4"/>
  <c r="O119" i="4"/>
  <c r="M119" i="4"/>
  <c r="P119" i="4" s="1"/>
  <c r="F119" i="4"/>
  <c r="O118" i="4"/>
  <c r="M118" i="4"/>
  <c r="P118" i="4" s="1"/>
  <c r="F118" i="4"/>
  <c r="O117" i="4"/>
  <c r="M117" i="4"/>
  <c r="P117" i="4" s="1"/>
  <c r="F117" i="4"/>
  <c r="O116" i="4"/>
  <c r="M116" i="4"/>
  <c r="P116" i="4" s="1"/>
  <c r="F116" i="4"/>
  <c r="O115" i="4"/>
  <c r="M115" i="4"/>
  <c r="P115" i="4" s="1"/>
  <c r="F115" i="4"/>
  <c r="O114" i="4"/>
  <c r="M114" i="4"/>
  <c r="P114" i="4" s="1"/>
  <c r="F114" i="4"/>
  <c r="O113" i="4"/>
  <c r="M113" i="4"/>
  <c r="P113" i="4" s="1"/>
  <c r="F113" i="4"/>
  <c r="O112" i="4"/>
  <c r="M112" i="4"/>
  <c r="P112" i="4" s="1"/>
  <c r="F112" i="4"/>
  <c r="O111" i="4"/>
  <c r="M111" i="4"/>
  <c r="P111" i="4" s="1"/>
  <c r="F111" i="4"/>
  <c r="O110" i="4"/>
  <c r="M110" i="4"/>
  <c r="P110" i="4" s="1"/>
  <c r="F110" i="4"/>
  <c r="O109" i="4"/>
  <c r="M109" i="4"/>
  <c r="P109" i="4" s="1"/>
  <c r="F109" i="4"/>
  <c r="O108" i="4"/>
  <c r="M108" i="4"/>
  <c r="P108" i="4" s="1"/>
  <c r="F108" i="4"/>
  <c r="O107" i="4"/>
  <c r="M107" i="4"/>
  <c r="P107" i="4" s="1"/>
  <c r="F107" i="4"/>
  <c r="O106" i="4"/>
  <c r="M106" i="4"/>
  <c r="P106" i="4" s="1"/>
  <c r="F106" i="4"/>
  <c r="O105" i="4"/>
  <c r="M105" i="4"/>
  <c r="P105" i="4" s="1"/>
  <c r="F105" i="4"/>
  <c r="O104" i="4"/>
  <c r="M104" i="4"/>
  <c r="P104" i="4" s="1"/>
  <c r="F104" i="4"/>
  <c r="O103" i="4"/>
  <c r="M103" i="4"/>
  <c r="P103" i="4" s="1"/>
  <c r="F103" i="4"/>
  <c r="O102" i="4"/>
  <c r="M102" i="4"/>
  <c r="P102" i="4" s="1"/>
  <c r="F102" i="4"/>
  <c r="O101" i="4"/>
  <c r="M101" i="4"/>
  <c r="P101" i="4" s="1"/>
  <c r="F101" i="4"/>
  <c r="O100" i="4"/>
  <c r="M100" i="4"/>
  <c r="P100" i="4" s="1"/>
  <c r="F100" i="4"/>
  <c r="O99" i="4"/>
  <c r="M99" i="4"/>
  <c r="P99" i="4" s="1"/>
  <c r="F99" i="4"/>
  <c r="O98" i="4"/>
  <c r="M98" i="4"/>
  <c r="P98" i="4" s="1"/>
  <c r="F98" i="4"/>
  <c r="O97" i="4"/>
  <c r="M97" i="4"/>
  <c r="P97" i="4" s="1"/>
  <c r="F97" i="4"/>
  <c r="O96" i="4"/>
  <c r="M96" i="4"/>
  <c r="P96" i="4" s="1"/>
  <c r="F96" i="4"/>
  <c r="O95" i="4"/>
  <c r="M95" i="4"/>
  <c r="P95" i="4" s="1"/>
  <c r="F95" i="4"/>
  <c r="O94" i="4"/>
  <c r="M94" i="4"/>
  <c r="P94" i="4" s="1"/>
  <c r="F94" i="4"/>
  <c r="O93" i="4"/>
  <c r="M93" i="4"/>
  <c r="P93" i="4" s="1"/>
  <c r="F93" i="4"/>
  <c r="O92" i="4"/>
  <c r="M92" i="4"/>
  <c r="P92" i="4" s="1"/>
  <c r="F92" i="4"/>
  <c r="O91" i="4"/>
  <c r="M91" i="4"/>
  <c r="P91" i="4" s="1"/>
  <c r="F91" i="4"/>
  <c r="O90" i="4"/>
  <c r="M90" i="4"/>
  <c r="P90" i="4" s="1"/>
  <c r="F90" i="4"/>
  <c r="O89" i="4"/>
  <c r="M89" i="4"/>
  <c r="P89" i="4" s="1"/>
  <c r="F89" i="4"/>
  <c r="O88" i="4"/>
  <c r="M88" i="4"/>
  <c r="P88" i="4" s="1"/>
  <c r="F88" i="4"/>
  <c r="O87" i="4"/>
  <c r="M87" i="4"/>
  <c r="P87" i="4" s="1"/>
  <c r="F87" i="4"/>
  <c r="P86" i="4"/>
  <c r="O86" i="4"/>
  <c r="M86" i="4"/>
  <c r="F86" i="4"/>
  <c r="O85" i="4"/>
  <c r="M85" i="4"/>
  <c r="P85" i="4" s="1"/>
  <c r="F85" i="4"/>
  <c r="O84" i="4"/>
  <c r="M84" i="4"/>
  <c r="P84" i="4" s="1"/>
  <c r="F84" i="4"/>
  <c r="O83" i="4"/>
  <c r="M83" i="4"/>
  <c r="P83" i="4" s="1"/>
  <c r="F83" i="4"/>
  <c r="O82" i="4"/>
  <c r="M82" i="4"/>
  <c r="P82" i="4" s="1"/>
  <c r="F82" i="4"/>
  <c r="O81" i="4"/>
  <c r="M81" i="4"/>
  <c r="P81" i="4" s="1"/>
  <c r="F81" i="4"/>
  <c r="O80" i="4"/>
  <c r="M80" i="4"/>
  <c r="P80" i="4" s="1"/>
  <c r="F80" i="4"/>
  <c r="O79" i="4"/>
  <c r="M79" i="4"/>
  <c r="P79" i="4" s="1"/>
  <c r="F79" i="4"/>
  <c r="O78" i="4"/>
  <c r="M78" i="4"/>
  <c r="P78" i="4" s="1"/>
  <c r="F78" i="4"/>
  <c r="O77" i="4"/>
  <c r="M77" i="4"/>
  <c r="P77" i="4" s="1"/>
  <c r="F77" i="4"/>
  <c r="F76" i="4"/>
  <c r="O73" i="4"/>
  <c r="M73" i="4"/>
  <c r="P73" i="4" s="1"/>
  <c r="F73" i="4"/>
  <c r="O72" i="4"/>
  <c r="M72" i="4"/>
  <c r="P72" i="4" s="1"/>
  <c r="F72" i="4"/>
  <c r="O71" i="4"/>
  <c r="M71" i="4"/>
  <c r="P71" i="4" s="1"/>
  <c r="F71" i="4"/>
  <c r="O70" i="4"/>
  <c r="M70" i="4"/>
  <c r="P70" i="4" s="1"/>
  <c r="F70" i="4"/>
  <c r="O69" i="4"/>
  <c r="M69" i="4"/>
  <c r="P69" i="4" s="1"/>
  <c r="F69" i="4"/>
  <c r="O68" i="4"/>
  <c r="M68" i="4"/>
  <c r="P68" i="4" s="1"/>
  <c r="F68" i="4"/>
  <c r="O67" i="4"/>
  <c r="M67" i="4"/>
  <c r="P67" i="4" s="1"/>
  <c r="F67" i="4"/>
  <c r="O66" i="4"/>
  <c r="M66" i="4"/>
  <c r="P66" i="4" s="1"/>
  <c r="F66" i="4"/>
  <c r="O65" i="4"/>
  <c r="M65" i="4"/>
  <c r="P65" i="4" s="1"/>
  <c r="F65" i="4"/>
  <c r="O64" i="4"/>
  <c r="M64" i="4"/>
  <c r="P64" i="4" s="1"/>
  <c r="F64" i="4"/>
  <c r="O63" i="4"/>
  <c r="M63" i="4"/>
  <c r="P63" i="4" s="1"/>
  <c r="F63" i="4"/>
  <c r="O62" i="4"/>
  <c r="M62" i="4"/>
  <c r="P62" i="4" s="1"/>
  <c r="F62" i="4"/>
  <c r="O61" i="4"/>
  <c r="M61" i="4"/>
  <c r="P61" i="4" s="1"/>
  <c r="F61" i="4"/>
  <c r="O60" i="4"/>
  <c r="M60" i="4"/>
  <c r="P60" i="4" s="1"/>
  <c r="F60" i="4"/>
  <c r="O59" i="4"/>
  <c r="M59" i="4"/>
  <c r="P59" i="4" s="1"/>
  <c r="F59" i="4"/>
  <c r="O58" i="4"/>
  <c r="M58" i="4"/>
  <c r="P58" i="4" s="1"/>
  <c r="F58" i="4"/>
  <c r="O57" i="4"/>
  <c r="M57" i="4"/>
  <c r="P57" i="4" s="1"/>
  <c r="F57" i="4"/>
  <c r="O56" i="4"/>
  <c r="M56" i="4"/>
  <c r="P56" i="4" s="1"/>
  <c r="F56" i="4"/>
  <c r="O55" i="4"/>
  <c r="M55" i="4"/>
  <c r="P55" i="4" s="1"/>
  <c r="F55" i="4"/>
  <c r="O54" i="4"/>
  <c r="M54" i="4"/>
  <c r="P54" i="4" s="1"/>
  <c r="F54" i="4"/>
  <c r="O53" i="4"/>
  <c r="M53" i="4"/>
  <c r="P53" i="4" s="1"/>
  <c r="F53" i="4"/>
  <c r="O52" i="4"/>
  <c r="M52" i="4"/>
  <c r="P52" i="4" s="1"/>
  <c r="F52" i="4"/>
  <c r="O51" i="4"/>
  <c r="M51" i="4"/>
  <c r="P51" i="4" s="1"/>
  <c r="F51" i="4"/>
  <c r="O50" i="4"/>
  <c r="M50" i="4"/>
  <c r="P50" i="4" s="1"/>
  <c r="F50" i="4"/>
  <c r="O49" i="4"/>
  <c r="M49" i="4"/>
  <c r="P49" i="4" s="1"/>
  <c r="F49" i="4"/>
  <c r="O48" i="4"/>
  <c r="M48" i="4"/>
  <c r="P48" i="4" s="1"/>
  <c r="F48" i="4"/>
  <c r="O45" i="4"/>
  <c r="M45" i="4"/>
  <c r="P45" i="4" s="1"/>
  <c r="O44" i="4"/>
  <c r="M44" i="4"/>
  <c r="P44" i="4" s="1"/>
  <c r="F43" i="4"/>
  <c r="O42" i="4"/>
  <c r="M42" i="4"/>
  <c r="P42" i="4" s="1"/>
  <c r="F42" i="4"/>
  <c r="O41" i="4"/>
  <c r="M41" i="4"/>
  <c r="P41" i="4" s="1"/>
  <c r="F41" i="4"/>
  <c r="O40" i="4"/>
  <c r="M40" i="4"/>
  <c r="P40" i="4" s="1"/>
  <c r="F40" i="4"/>
  <c r="O39" i="4"/>
  <c r="M39" i="4"/>
  <c r="P39" i="4" s="1"/>
  <c r="F39" i="4"/>
  <c r="O38" i="4"/>
  <c r="M38" i="4"/>
  <c r="P38" i="4" s="1"/>
  <c r="F38" i="4"/>
  <c r="O37" i="4"/>
  <c r="M37" i="4"/>
  <c r="P37" i="4" s="1"/>
  <c r="F37" i="4"/>
  <c r="O36" i="4"/>
  <c r="M36" i="4"/>
  <c r="P36" i="4" s="1"/>
  <c r="F36" i="4"/>
  <c r="O35" i="4"/>
  <c r="M35" i="4"/>
  <c r="P35" i="4" s="1"/>
  <c r="F35" i="4"/>
  <c r="O34" i="4"/>
  <c r="M34" i="4"/>
  <c r="P34" i="4" s="1"/>
  <c r="F34" i="4"/>
  <c r="O33" i="4"/>
  <c r="M33" i="4"/>
  <c r="P33" i="4" s="1"/>
  <c r="F33" i="4"/>
  <c r="O32" i="4"/>
  <c r="M32" i="4"/>
  <c r="P32" i="4" s="1"/>
  <c r="F32" i="4"/>
  <c r="O31" i="4"/>
  <c r="M31" i="4"/>
  <c r="P31" i="4" s="1"/>
  <c r="F31" i="4"/>
  <c r="O30" i="4"/>
  <c r="M30" i="4"/>
  <c r="P30" i="4" s="1"/>
  <c r="F30" i="4"/>
  <c r="O29" i="4"/>
  <c r="M29" i="4"/>
  <c r="P29" i="4" s="1"/>
  <c r="F29" i="4"/>
  <c r="O28" i="4"/>
  <c r="M28" i="4"/>
  <c r="P28" i="4" s="1"/>
  <c r="F28" i="4"/>
  <c r="O27" i="4"/>
  <c r="M27" i="4"/>
  <c r="P27" i="4" s="1"/>
  <c r="F27" i="4"/>
  <c r="O26" i="4"/>
  <c r="M26" i="4"/>
  <c r="P26" i="4" s="1"/>
  <c r="F26" i="4"/>
  <c r="O25" i="4"/>
  <c r="M25" i="4"/>
  <c r="P25" i="4" s="1"/>
  <c r="F25" i="4"/>
  <c r="O24" i="4"/>
  <c r="M24" i="4"/>
  <c r="P24" i="4" s="1"/>
  <c r="F24" i="4"/>
  <c r="O23" i="4"/>
  <c r="M23" i="4"/>
  <c r="P23" i="4" s="1"/>
  <c r="F23" i="4"/>
  <c r="O22" i="4"/>
  <c r="M22" i="4"/>
  <c r="P22" i="4" s="1"/>
  <c r="F22" i="4"/>
  <c r="O21" i="4"/>
  <c r="M21" i="4"/>
  <c r="P21" i="4" s="1"/>
  <c r="F21" i="4"/>
  <c r="O20" i="4"/>
  <c r="M20" i="4"/>
  <c r="P20" i="4" s="1"/>
  <c r="F20" i="4"/>
  <c r="F19" i="4"/>
  <c r="O18" i="4"/>
  <c r="M18" i="4"/>
  <c r="P18" i="4" s="1"/>
  <c r="F18" i="4"/>
  <c r="O17" i="4"/>
  <c r="M17" i="4"/>
  <c r="P17" i="4" s="1"/>
  <c r="F17" i="4"/>
  <c r="O16" i="4"/>
  <c r="M16" i="4"/>
  <c r="P16" i="4" s="1"/>
  <c r="F16" i="4"/>
  <c r="O15" i="4"/>
  <c r="M15" i="4"/>
  <c r="P15" i="4" s="1"/>
  <c r="F15" i="4"/>
  <c r="O14" i="4"/>
  <c r="M14" i="4"/>
  <c r="P14" i="4" s="1"/>
  <c r="F14" i="4"/>
  <c r="O13" i="4"/>
  <c r="M13" i="4"/>
  <c r="P13" i="4" s="1"/>
  <c r="F13" i="4"/>
  <c r="O12" i="4"/>
  <c r="M12" i="4"/>
  <c r="P12" i="4" s="1"/>
  <c r="F12" i="4"/>
  <c r="O11" i="4"/>
  <c r="M11" i="4"/>
  <c r="P11" i="4" s="1"/>
  <c r="F11" i="4"/>
  <c r="O10" i="4"/>
  <c r="M10" i="4"/>
  <c r="P10" i="4" s="1"/>
  <c r="F10" i="4"/>
  <c r="O9" i="4"/>
  <c r="M9" i="4"/>
  <c r="P9" i="4" s="1"/>
  <c r="F9" i="4"/>
  <c r="O8" i="4"/>
  <c r="M8" i="4"/>
  <c r="P8" i="4" s="1"/>
  <c r="F8" i="4"/>
  <c r="O7" i="4"/>
  <c r="M7" i="4"/>
  <c r="P7" i="4" s="1"/>
  <c r="F7" i="4"/>
  <c r="O6" i="4"/>
  <c r="M6" i="4"/>
  <c r="P6" i="4" s="1"/>
  <c r="F6" i="4"/>
  <c r="O5" i="4"/>
  <c r="M5" i="4"/>
  <c r="P5" i="4" s="1"/>
  <c r="F5" i="4"/>
  <c r="O675" i="3"/>
  <c r="M675" i="3"/>
  <c r="P675" i="3" s="1"/>
  <c r="F675" i="3"/>
  <c r="O674" i="3"/>
  <c r="M674" i="3"/>
  <c r="P674" i="3" s="1"/>
  <c r="F674" i="3"/>
  <c r="O673" i="3"/>
  <c r="M673" i="3"/>
  <c r="P673" i="3" s="1"/>
  <c r="F673" i="3"/>
  <c r="O672" i="3"/>
  <c r="M672" i="3"/>
  <c r="P672" i="3" s="1"/>
  <c r="F672" i="3"/>
  <c r="O671" i="3"/>
  <c r="M671" i="3"/>
  <c r="P671" i="3" s="1"/>
  <c r="F671" i="3"/>
  <c r="O670" i="3"/>
  <c r="M670" i="3"/>
  <c r="P670" i="3" s="1"/>
  <c r="F670" i="3"/>
  <c r="O669" i="3"/>
  <c r="M669" i="3"/>
  <c r="P669" i="3" s="1"/>
  <c r="F669" i="3"/>
  <c r="O668" i="3"/>
  <c r="M668" i="3"/>
  <c r="P668" i="3" s="1"/>
  <c r="F668" i="3"/>
  <c r="O667" i="3"/>
  <c r="M667" i="3"/>
  <c r="P667" i="3" s="1"/>
  <c r="F667" i="3"/>
  <c r="O666" i="3"/>
  <c r="M666" i="3"/>
  <c r="P666" i="3" s="1"/>
  <c r="F666" i="3"/>
  <c r="O665" i="3"/>
  <c r="M665" i="3"/>
  <c r="P665" i="3" s="1"/>
  <c r="F665" i="3"/>
  <c r="O664" i="3"/>
  <c r="M664" i="3"/>
  <c r="P664" i="3" s="1"/>
  <c r="F664" i="3"/>
  <c r="O663" i="3"/>
  <c r="M663" i="3"/>
  <c r="P663" i="3" s="1"/>
  <c r="F663" i="3"/>
  <c r="O662" i="3"/>
  <c r="M662" i="3"/>
  <c r="P662" i="3" s="1"/>
  <c r="F662" i="3"/>
  <c r="O661" i="3"/>
  <c r="M661" i="3"/>
  <c r="P661" i="3" s="1"/>
  <c r="F661" i="3"/>
  <c r="O660" i="3"/>
  <c r="M660" i="3"/>
  <c r="P660" i="3" s="1"/>
  <c r="F660" i="3"/>
  <c r="O659" i="3"/>
  <c r="M659" i="3"/>
  <c r="P659" i="3" s="1"/>
  <c r="F659" i="3"/>
  <c r="O658" i="3"/>
  <c r="M658" i="3"/>
  <c r="P658" i="3" s="1"/>
  <c r="F658" i="3"/>
  <c r="O657" i="3"/>
  <c r="M657" i="3"/>
  <c r="P657" i="3" s="1"/>
  <c r="F657" i="3"/>
  <c r="O656" i="3"/>
  <c r="M656" i="3"/>
  <c r="P656" i="3" s="1"/>
  <c r="F656" i="3"/>
  <c r="O655" i="3"/>
  <c r="M655" i="3"/>
  <c r="P655" i="3" s="1"/>
  <c r="F655" i="3"/>
  <c r="O654" i="3"/>
  <c r="M654" i="3"/>
  <c r="P654" i="3" s="1"/>
  <c r="F654" i="3"/>
  <c r="O653" i="3"/>
  <c r="M653" i="3"/>
  <c r="P653" i="3" s="1"/>
  <c r="F653" i="3"/>
  <c r="O652" i="3"/>
  <c r="M652" i="3"/>
  <c r="P652" i="3" s="1"/>
  <c r="F652" i="3"/>
  <c r="O651" i="3"/>
  <c r="M651" i="3"/>
  <c r="P651" i="3" s="1"/>
  <c r="F651" i="3"/>
  <c r="O650" i="3"/>
  <c r="M650" i="3"/>
  <c r="P650" i="3" s="1"/>
  <c r="F650" i="3"/>
  <c r="O649" i="3"/>
  <c r="M649" i="3"/>
  <c r="P649" i="3" s="1"/>
  <c r="F649" i="3"/>
  <c r="O648" i="3"/>
  <c r="M648" i="3"/>
  <c r="P648" i="3" s="1"/>
  <c r="F648" i="3"/>
  <c r="O647" i="3"/>
  <c r="M647" i="3"/>
  <c r="P647" i="3" s="1"/>
  <c r="F647" i="3"/>
  <c r="O646" i="3"/>
  <c r="M646" i="3"/>
  <c r="P646" i="3" s="1"/>
  <c r="F646" i="3"/>
  <c r="O645" i="3"/>
  <c r="M645" i="3"/>
  <c r="P645" i="3" s="1"/>
  <c r="F645" i="3"/>
  <c r="O644" i="3"/>
  <c r="M644" i="3"/>
  <c r="P644" i="3" s="1"/>
  <c r="F644" i="3"/>
  <c r="O643" i="3"/>
  <c r="M643" i="3"/>
  <c r="P643" i="3" s="1"/>
  <c r="F643" i="3"/>
  <c r="O642" i="3"/>
  <c r="M642" i="3"/>
  <c r="P642" i="3" s="1"/>
  <c r="F642" i="3"/>
  <c r="O641" i="3"/>
  <c r="M641" i="3"/>
  <c r="P641" i="3" s="1"/>
  <c r="F641" i="3"/>
  <c r="O640" i="3"/>
  <c r="M640" i="3"/>
  <c r="P640" i="3" s="1"/>
  <c r="F640" i="3"/>
  <c r="O639" i="3"/>
  <c r="M639" i="3"/>
  <c r="P639" i="3" s="1"/>
  <c r="F639" i="3"/>
  <c r="O638" i="3"/>
  <c r="M638" i="3"/>
  <c r="P638" i="3" s="1"/>
  <c r="F638" i="3"/>
  <c r="O637" i="3"/>
  <c r="M637" i="3"/>
  <c r="P637" i="3" s="1"/>
  <c r="F637" i="3"/>
  <c r="O636" i="3"/>
  <c r="M636" i="3"/>
  <c r="P636" i="3" s="1"/>
  <c r="F636" i="3"/>
  <c r="O635" i="3"/>
  <c r="M635" i="3"/>
  <c r="P635" i="3" s="1"/>
  <c r="F635" i="3"/>
  <c r="O634" i="3"/>
  <c r="M634" i="3"/>
  <c r="P634" i="3" s="1"/>
  <c r="F634" i="3"/>
  <c r="O633" i="3"/>
  <c r="M633" i="3"/>
  <c r="P633" i="3" s="1"/>
  <c r="F633" i="3"/>
  <c r="O632" i="3"/>
  <c r="M632" i="3"/>
  <c r="P632" i="3" s="1"/>
  <c r="F632" i="3"/>
  <c r="O631" i="3"/>
  <c r="M631" i="3"/>
  <c r="P631" i="3" s="1"/>
  <c r="F631" i="3"/>
  <c r="O630" i="3"/>
  <c r="M630" i="3"/>
  <c r="P630" i="3" s="1"/>
  <c r="F630" i="3"/>
  <c r="O629" i="3"/>
  <c r="M629" i="3"/>
  <c r="P629" i="3" s="1"/>
  <c r="F629" i="3"/>
  <c r="O628" i="3"/>
  <c r="M628" i="3"/>
  <c r="P628" i="3" s="1"/>
  <c r="F628" i="3"/>
  <c r="O627" i="3"/>
  <c r="M627" i="3"/>
  <c r="P627" i="3" s="1"/>
  <c r="F627" i="3"/>
  <c r="O626" i="3"/>
  <c r="M626" i="3"/>
  <c r="P626" i="3" s="1"/>
  <c r="F626" i="3"/>
  <c r="O625" i="3"/>
  <c r="M625" i="3"/>
  <c r="P625" i="3" s="1"/>
  <c r="F625" i="3"/>
  <c r="O624" i="3"/>
  <c r="M624" i="3"/>
  <c r="P624" i="3" s="1"/>
  <c r="F624" i="3"/>
  <c r="O623" i="3"/>
  <c r="M623" i="3"/>
  <c r="P623" i="3" s="1"/>
  <c r="F623" i="3"/>
  <c r="O622" i="3"/>
  <c r="M622" i="3"/>
  <c r="P622" i="3" s="1"/>
  <c r="F622" i="3"/>
  <c r="O621" i="3"/>
  <c r="M621" i="3"/>
  <c r="P621" i="3" s="1"/>
  <c r="F621" i="3"/>
  <c r="O620" i="3"/>
  <c r="M620" i="3"/>
  <c r="P620" i="3" s="1"/>
  <c r="F620" i="3"/>
  <c r="O619" i="3"/>
  <c r="M619" i="3"/>
  <c r="P619" i="3" s="1"/>
  <c r="F619" i="3"/>
  <c r="O618" i="3"/>
  <c r="M618" i="3"/>
  <c r="P618" i="3" s="1"/>
  <c r="F618" i="3"/>
  <c r="O617" i="3"/>
  <c r="M617" i="3"/>
  <c r="P617" i="3" s="1"/>
  <c r="F617" i="3"/>
  <c r="O616" i="3"/>
  <c r="M616" i="3"/>
  <c r="P616" i="3" s="1"/>
  <c r="F616" i="3"/>
  <c r="O615" i="3"/>
  <c r="M615" i="3"/>
  <c r="P615" i="3" s="1"/>
  <c r="F615" i="3"/>
  <c r="O614" i="3"/>
  <c r="M614" i="3"/>
  <c r="P614" i="3" s="1"/>
  <c r="F614" i="3"/>
  <c r="O613" i="3"/>
  <c r="M613" i="3"/>
  <c r="P613" i="3" s="1"/>
  <c r="F613" i="3"/>
  <c r="O612" i="3"/>
  <c r="M612" i="3"/>
  <c r="P612" i="3" s="1"/>
  <c r="F612" i="3"/>
  <c r="O611" i="3"/>
  <c r="M611" i="3"/>
  <c r="P611" i="3" s="1"/>
  <c r="F611" i="3"/>
  <c r="O610" i="3"/>
  <c r="M610" i="3"/>
  <c r="P610" i="3" s="1"/>
  <c r="F610" i="3"/>
  <c r="O609" i="3"/>
  <c r="M609" i="3"/>
  <c r="P609" i="3" s="1"/>
  <c r="F609" i="3"/>
  <c r="O608" i="3"/>
  <c r="M608" i="3"/>
  <c r="P608" i="3" s="1"/>
  <c r="F608" i="3"/>
  <c r="O607" i="3"/>
  <c r="M607" i="3"/>
  <c r="P607" i="3" s="1"/>
  <c r="F607" i="3"/>
  <c r="O606" i="3"/>
  <c r="M606" i="3"/>
  <c r="P606" i="3" s="1"/>
  <c r="F606" i="3"/>
  <c r="O605" i="3"/>
  <c r="M605" i="3"/>
  <c r="P605" i="3" s="1"/>
  <c r="F605" i="3"/>
  <c r="O604" i="3"/>
  <c r="M604" i="3"/>
  <c r="P604" i="3" s="1"/>
  <c r="F604" i="3"/>
  <c r="O603" i="3"/>
  <c r="M603" i="3"/>
  <c r="P603" i="3" s="1"/>
  <c r="F603" i="3"/>
  <c r="O602" i="3"/>
  <c r="M602" i="3"/>
  <c r="P602" i="3" s="1"/>
  <c r="F602" i="3"/>
  <c r="O601" i="3"/>
  <c r="M601" i="3"/>
  <c r="P601" i="3" s="1"/>
  <c r="F601" i="3"/>
  <c r="O600" i="3"/>
  <c r="M600" i="3"/>
  <c r="P600" i="3" s="1"/>
  <c r="F600" i="3"/>
  <c r="O599" i="3"/>
  <c r="M599" i="3"/>
  <c r="P599" i="3" s="1"/>
  <c r="F599" i="3"/>
  <c r="O598" i="3"/>
  <c r="M598" i="3"/>
  <c r="P598" i="3" s="1"/>
  <c r="F598" i="3"/>
  <c r="O597" i="3"/>
  <c r="M597" i="3"/>
  <c r="P597" i="3" s="1"/>
  <c r="F597" i="3"/>
  <c r="O596" i="3"/>
  <c r="M596" i="3"/>
  <c r="P596" i="3" s="1"/>
  <c r="F596" i="3"/>
  <c r="O595" i="3"/>
  <c r="M595" i="3"/>
  <c r="P595" i="3" s="1"/>
  <c r="F595" i="3"/>
  <c r="O594" i="3"/>
  <c r="M594" i="3"/>
  <c r="P594" i="3" s="1"/>
  <c r="F594" i="3"/>
  <c r="O593" i="3"/>
  <c r="M593" i="3"/>
  <c r="P593" i="3" s="1"/>
  <c r="F593" i="3"/>
  <c r="O592" i="3"/>
  <c r="M592" i="3"/>
  <c r="P592" i="3" s="1"/>
  <c r="F592" i="3"/>
  <c r="O591" i="3"/>
  <c r="M591" i="3"/>
  <c r="P591" i="3" s="1"/>
  <c r="F591" i="3"/>
  <c r="O590" i="3"/>
  <c r="M590" i="3"/>
  <c r="P590" i="3" s="1"/>
  <c r="F590" i="3"/>
  <c r="O589" i="3"/>
  <c r="M589" i="3"/>
  <c r="P589" i="3" s="1"/>
  <c r="F589" i="3"/>
  <c r="O588" i="3"/>
  <c r="M588" i="3"/>
  <c r="P588" i="3" s="1"/>
  <c r="F588" i="3"/>
  <c r="O587" i="3"/>
  <c r="M587" i="3"/>
  <c r="P587" i="3" s="1"/>
  <c r="F587" i="3"/>
  <c r="O586" i="3"/>
  <c r="M586" i="3"/>
  <c r="P586" i="3" s="1"/>
  <c r="F586" i="3"/>
  <c r="O585" i="3"/>
  <c r="M585" i="3"/>
  <c r="P585" i="3" s="1"/>
  <c r="F585" i="3"/>
  <c r="O584" i="3"/>
  <c r="M584" i="3"/>
  <c r="P584" i="3" s="1"/>
  <c r="F584" i="3"/>
  <c r="O583" i="3"/>
  <c r="M583" i="3"/>
  <c r="P583" i="3" s="1"/>
  <c r="F583" i="3"/>
  <c r="O582" i="3"/>
  <c r="M582" i="3"/>
  <c r="P582" i="3" s="1"/>
  <c r="F582" i="3"/>
  <c r="O581" i="3"/>
  <c r="M581" i="3"/>
  <c r="P581" i="3" s="1"/>
  <c r="F581" i="3"/>
  <c r="O580" i="3"/>
  <c r="M580" i="3"/>
  <c r="P580" i="3" s="1"/>
  <c r="F580" i="3"/>
  <c r="O579" i="3"/>
  <c r="M579" i="3"/>
  <c r="P579" i="3" s="1"/>
  <c r="F579" i="3"/>
  <c r="O578" i="3"/>
  <c r="M578" i="3"/>
  <c r="P578" i="3" s="1"/>
  <c r="F578" i="3"/>
  <c r="O577" i="3"/>
  <c r="M577" i="3"/>
  <c r="P577" i="3" s="1"/>
  <c r="F577" i="3"/>
  <c r="O576" i="3"/>
  <c r="M576" i="3"/>
  <c r="P576" i="3" s="1"/>
  <c r="F576" i="3"/>
  <c r="O575" i="3"/>
  <c r="M575" i="3"/>
  <c r="P575" i="3" s="1"/>
  <c r="F575" i="3"/>
  <c r="O574" i="3"/>
  <c r="M574" i="3"/>
  <c r="P574" i="3" s="1"/>
  <c r="F574" i="3"/>
  <c r="O573" i="3"/>
  <c r="M573" i="3"/>
  <c r="P573" i="3" s="1"/>
  <c r="F573" i="3"/>
  <c r="O572" i="3"/>
  <c r="M572" i="3"/>
  <c r="P572" i="3" s="1"/>
  <c r="F572" i="3"/>
  <c r="O571" i="3"/>
  <c r="M571" i="3"/>
  <c r="P571" i="3" s="1"/>
  <c r="F571" i="3"/>
  <c r="O570" i="3"/>
  <c r="M570" i="3"/>
  <c r="P570" i="3" s="1"/>
  <c r="F570" i="3"/>
  <c r="O569" i="3"/>
  <c r="M569" i="3"/>
  <c r="P569" i="3" s="1"/>
  <c r="F569" i="3"/>
  <c r="O568" i="3"/>
  <c r="M568" i="3"/>
  <c r="P568" i="3" s="1"/>
  <c r="F568" i="3"/>
  <c r="O567" i="3"/>
  <c r="M567" i="3"/>
  <c r="P567" i="3" s="1"/>
  <c r="F567" i="3"/>
  <c r="O566" i="3"/>
  <c r="M566" i="3"/>
  <c r="P566" i="3" s="1"/>
  <c r="F566" i="3"/>
  <c r="O565" i="3"/>
  <c r="M565" i="3"/>
  <c r="P565" i="3" s="1"/>
  <c r="F565" i="3"/>
  <c r="O564" i="3"/>
  <c r="M564" i="3"/>
  <c r="P564" i="3" s="1"/>
  <c r="F564" i="3"/>
  <c r="O563" i="3"/>
  <c r="M563" i="3"/>
  <c r="P563" i="3" s="1"/>
  <c r="F563" i="3"/>
  <c r="O562" i="3"/>
  <c r="M562" i="3"/>
  <c r="P562" i="3" s="1"/>
  <c r="F562" i="3"/>
  <c r="O561" i="3"/>
  <c r="M561" i="3"/>
  <c r="P561" i="3" s="1"/>
  <c r="F561" i="3"/>
  <c r="O560" i="3"/>
  <c r="M560" i="3"/>
  <c r="P560" i="3" s="1"/>
  <c r="F560" i="3"/>
  <c r="O559" i="3"/>
  <c r="M559" i="3"/>
  <c r="P559" i="3" s="1"/>
  <c r="F559" i="3"/>
  <c r="O558" i="3"/>
  <c r="M558" i="3"/>
  <c r="P558" i="3" s="1"/>
  <c r="F558" i="3"/>
  <c r="O557" i="3"/>
  <c r="M557" i="3"/>
  <c r="P557" i="3" s="1"/>
  <c r="F557" i="3"/>
  <c r="O556" i="3"/>
  <c r="M556" i="3"/>
  <c r="P556" i="3" s="1"/>
  <c r="F556" i="3"/>
  <c r="O555" i="3"/>
  <c r="M555" i="3"/>
  <c r="P555" i="3" s="1"/>
  <c r="F555" i="3"/>
  <c r="O554" i="3"/>
  <c r="M554" i="3"/>
  <c r="P554" i="3" s="1"/>
  <c r="F554" i="3"/>
  <c r="O553" i="3"/>
  <c r="M553" i="3"/>
  <c r="P553" i="3" s="1"/>
  <c r="F553" i="3"/>
  <c r="O552" i="3"/>
  <c r="M552" i="3"/>
  <c r="P552" i="3" s="1"/>
  <c r="F552" i="3"/>
  <c r="O551" i="3"/>
  <c r="M551" i="3"/>
  <c r="P551" i="3" s="1"/>
  <c r="F551" i="3"/>
  <c r="O550" i="3"/>
  <c r="M550" i="3"/>
  <c r="P550" i="3" s="1"/>
  <c r="F550" i="3"/>
  <c r="O549" i="3"/>
  <c r="M549" i="3"/>
  <c r="P549" i="3" s="1"/>
  <c r="F549" i="3"/>
  <c r="O548" i="3"/>
  <c r="M548" i="3"/>
  <c r="P548" i="3" s="1"/>
  <c r="F548" i="3"/>
  <c r="O547" i="3"/>
  <c r="M547" i="3"/>
  <c r="P547" i="3" s="1"/>
  <c r="F547" i="3"/>
  <c r="O546" i="3"/>
  <c r="M546" i="3"/>
  <c r="P546" i="3" s="1"/>
  <c r="F546" i="3"/>
  <c r="O545" i="3"/>
  <c r="M545" i="3"/>
  <c r="P545" i="3" s="1"/>
  <c r="F545" i="3"/>
  <c r="O544" i="3"/>
  <c r="M544" i="3"/>
  <c r="P544" i="3" s="1"/>
  <c r="F544" i="3"/>
  <c r="O543" i="3"/>
  <c r="M543" i="3"/>
  <c r="P543" i="3" s="1"/>
  <c r="F543" i="3"/>
  <c r="O542" i="3"/>
  <c r="M542" i="3"/>
  <c r="P542" i="3" s="1"/>
  <c r="F542" i="3"/>
  <c r="O541" i="3"/>
  <c r="M541" i="3"/>
  <c r="P541" i="3" s="1"/>
  <c r="F541" i="3"/>
  <c r="O540" i="3"/>
  <c r="M540" i="3"/>
  <c r="P540" i="3" s="1"/>
  <c r="F540" i="3"/>
  <c r="O539" i="3"/>
  <c r="M539" i="3"/>
  <c r="P539" i="3" s="1"/>
  <c r="F539" i="3"/>
  <c r="O538" i="3"/>
  <c r="M538" i="3"/>
  <c r="P538" i="3" s="1"/>
  <c r="F538" i="3"/>
  <c r="O537" i="3"/>
  <c r="M537" i="3"/>
  <c r="P537" i="3" s="1"/>
  <c r="F537" i="3"/>
  <c r="O536" i="3"/>
  <c r="M536" i="3"/>
  <c r="P536" i="3" s="1"/>
  <c r="F536" i="3"/>
  <c r="O535" i="3"/>
  <c r="M535" i="3"/>
  <c r="P535" i="3" s="1"/>
  <c r="F535" i="3"/>
  <c r="O534" i="3"/>
  <c r="M534" i="3"/>
  <c r="P534" i="3" s="1"/>
  <c r="F534" i="3"/>
  <c r="O533" i="3"/>
  <c r="M533" i="3"/>
  <c r="P533" i="3" s="1"/>
  <c r="F533" i="3"/>
  <c r="O532" i="3"/>
  <c r="M532" i="3"/>
  <c r="P532" i="3" s="1"/>
  <c r="F532" i="3"/>
  <c r="O531" i="3"/>
  <c r="M531" i="3"/>
  <c r="P531" i="3" s="1"/>
  <c r="F531" i="3"/>
  <c r="O530" i="3"/>
  <c r="M530" i="3"/>
  <c r="P530" i="3" s="1"/>
  <c r="F530" i="3"/>
  <c r="O529" i="3"/>
  <c r="M529" i="3"/>
  <c r="P529" i="3" s="1"/>
  <c r="F529" i="3"/>
  <c r="O528" i="3"/>
  <c r="M528" i="3"/>
  <c r="P528" i="3" s="1"/>
  <c r="F528" i="3"/>
  <c r="O527" i="3"/>
  <c r="M527" i="3"/>
  <c r="P527" i="3" s="1"/>
  <c r="F527" i="3"/>
  <c r="O526" i="3"/>
  <c r="M526" i="3"/>
  <c r="P526" i="3" s="1"/>
  <c r="F526" i="3"/>
  <c r="O525" i="3"/>
  <c r="M525" i="3"/>
  <c r="P525" i="3" s="1"/>
  <c r="F525" i="3"/>
  <c r="O524" i="3"/>
  <c r="M524" i="3"/>
  <c r="P524" i="3" s="1"/>
  <c r="F524" i="3"/>
  <c r="O523" i="3"/>
  <c r="M523" i="3"/>
  <c r="P523" i="3" s="1"/>
  <c r="F523" i="3"/>
  <c r="O522" i="3"/>
  <c r="M522" i="3"/>
  <c r="P522" i="3" s="1"/>
  <c r="F522" i="3"/>
  <c r="O521" i="3"/>
  <c r="M521" i="3"/>
  <c r="P521" i="3" s="1"/>
  <c r="F521" i="3"/>
  <c r="O520" i="3"/>
  <c r="M520" i="3"/>
  <c r="P520" i="3" s="1"/>
  <c r="F520" i="3"/>
  <c r="O519" i="3"/>
  <c r="M519" i="3"/>
  <c r="P519" i="3" s="1"/>
  <c r="F519" i="3"/>
  <c r="O518" i="3"/>
  <c r="M518" i="3"/>
  <c r="P518" i="3" s="1"/>
  <c r="F518" i="3"/>
  <c r="O517" i="3"/>
  <c r="M517" i="3"/>
  <c r="P517" i="3" s="1"/>
  <c r="F517" i="3"/>
  <c r="O516" i="3"/>
  <c r="M516" i="3"/>
  <c r="P516" i="3" s="1"/>
  <c r="F516" i="3"/>
  <c r="O515" i="3"/>
  <c r="M515" i="3"/>
  <c r="P515" i="3" s="1"/>
  <c r="F515" i="3"/>
  <c r="O514" i="3"/>
  <c r="M514" i="3"/>
  <c r="P514" i="3" s="1"/>
  <c r="F514" i="3"/>
  <c r="O513" i="3"/>
  <c r="M513" i="3"/>
  <c r="P513" i="3" s="1"/>
  <c r="F513" i="3"/>
  <c r="O512" i="3"/>
  <c r="M512" i="3"/>
  <c r="P512" i="3" s="1"/>
  <c r="F512" i="3"/>
  <c r="O511" i="3"/>
  <c r="M511" i="3"/>
  <c r="P511" i="3" s="1"/>
  <c r="F511" i="3"/>
  <c r="O510" i="3"/>
  <c r="M510" i="3"/>
  <c r="P510" i="3" s="1"/>
  <c r="F510" i="3"/>
  <c r="O509" i="3"/>
  <c r="M509" i="3"/>
  <c r="P509" i="3" s="1"/>
  <c r="F509" i="3"/>
  <c r="O508" i="3"/>
  <c r="M508" i="3"/>
  <c r="P508" i="3" s="1"/>
  <c r="F508" i="3"/>
  <c r="O507" i="3"/>
  <c r="M507" i="3"/>
  <c r="P507" i="3" s="1"/>
  <c r="F507" i="3"/>
  <c r="O506" i="3"/>
  <c r="M506" i="3"/>
  <c r="P506" i="3" s="1"/>
  <c r="F506" i="3"/>
  <c r="O505" i="3"/>
  <c r="M505" i="3"/>
  <c r="P505" i="3" s="1"/>
  <c r="F505" i="3"/>
  <c r="O504" i="3"/>
  <c r="M504" i="3"/>
  <c r="P504" i="3" s="1"/>
  <c r="F504" i="3"/>
  <c r="O503" i="3"/>
  <c r="M503" i="3"/>
  <c r="P503" i="3" s="1"/>
  <c r="F503" i="3"/>
  <c r="O502" i="3"/>
  <c r="M502" i="3"/>
  <c r="P502" i="3" s="1"/>
  <c r="F502" i="3"/>
  <c r="O501" i="3"/>
  <c r="M501" i="3"/>
  <c r="P501" i="3" s="1"/>
  <c r="F501" i="3"/>
  <c r="O500" i="3"/>
  <c r="M500" i="3"/>
  <c r="P500" i="3" s="1"/>
  <c r="F500" i="3"/>
  <c r="O499" i="3"/>
  <c r="M499" i="3"/>
  <c r="P499" i="3" s="1"/>
  <c r="F499" i="3"/>
  <c r="O498" i="3"/>
  <c r="M498" i="3"/>
  <c r="P498" i="3" s="1"/>
  <c r="F498" i="3"/>
  <c r="O497" i="3"/>
  <c r="M497" i="3"/>
  <c r="P497" i="3" s="1"/>
  <c r="F497" i="3"/>
  <c r="O496" i="3"/>
  <c r="M496" i="3"/>
  <c r="P496" i="3" s="1"/>
  <c r="F496" i="3"/>
  <c r="O495" i="3"/>
  <c r="M495" i="3"/>
  <c r="P495" i="3" s="1"/>
  <c r="F495" i="3"/>
  <c r="O494" i="3"/>
  <c r="M494" i="3"/>
  <c r="P494" i="3" s="1"/>
  <c r="F494" i="3"/>
  <c r="O493" i="3"/>
  <c r="M493" i="3"/>
  <c r="P493" i="3" s="1"/>
  <c r="F493" i="3"/>
  <c r="O492" i="3"/>
  <c r="M492" i="3"/>
  <c r="P492" i="3" s="1"/>
  <c r="F492" i="3"/>
  <c r="O491" i="3"/>
  <c r="M491" i="3"/>
  <c r="P491" i="3" s="1"/>
  <c r="F491" i="3"/>
  <c r="O490" i="3"/>
  <c r="M490" i="3"/>
  <c r="P490" i="3" s="1"/>
  <c r="F490" i="3"/>
  <c r="O489" i="3"/>
  <c r="M489" i="3"/>
  <c r="P489" i="3" s="1"/>
  <c r="F489" i="3"/>
  <c r="O488" i="3"/>
  <c r="M488" i="3"/>
  <c r="P488" i="3" s="1"/>
  <c r="F488" i="3"/>
  <c r="O487" i="3"/>
  <c r="M487" i="3"/>
  <c r="P487" i="3" s="1"/>
  <c r="F487" i="3"/>
  <c r="O486" i="3"/>
  <c r="M486" i="3"/>
  <c r="P486" i="3" s="1"/>
  <c r="F486" i="3"/>
  <c r="O485" i="3"/>
  <c r="M485" i="3"/>
  <c r="P485" i="3" s="1"/>
  <c r="F485" i="3"/>
  <c r="O484" i="3"/>
  <c r="M484" i="3"/>
  <c r="P484" i="3" s="1"/>
  <c r="F484" i="3"/>
  <c r="O483" i="3"/>
  <c r="M483" i="3"/>
  <c r="P483" i="3" s="1"/>
  <c r="F483" i="3"/>
  <c r="O482" i="3"/>
  <c r="M482" i="3"/>
  <c r="P482" i="3" s="1"/>
  <c r="F482" i="3"/>
  <c r="O481" i="3"/>
  <c r="M481" i="3"/>
  <c r="P481" i="3" s="1"/>
  <c r="F481" i="3"/>
  <c r="O480" i="3"/>
  <c r="M480" i="3"/>
  <c r="P480" i="3" s="1"/>
  <c r="F480" i="3"/>
  <c r="O479" i="3"/>
  <c r="M479" i="3"/>
  <c r="P479" i="3" s="1"/>
  <c r="F479" i="3"/>
  <c r="O478" i="3"/>
  <c r="M478" i="3"/>
  <c r="P478" i="3" s="1"/>
  <c r="F478" i="3"/>
  <c r="O477" i="3"/>
  <c r="M477" i="3"/>
  <c r="P477" i="3" s="1"/>
  <c r="F477" i="3"/>
  <c r="O476" i="3"/>
  <c r="M476" i="3"/>
  <c r="P476" i="3" s="1"/>
  <c r="F476" i="3"/>
  <c r="O475" i="3"/>
  <c r="M475" i="3"/>
  <c r="P475" i="3" s="1"/>
  <c r="F475" i="3"/>
  <c r="O474" i="3"/>
  <c r="M474" i="3"/>
  <c r="P474" i="3" s="1"/>
  <c r="F474" i="3"/>
  <c r="O473" i="3"/>
  <c r="M473" i="3"/>
  <c r="P473" i="3" s="1"/>
  <c r="F473" i="3"/>
  <c r="O472" i="3"/>
  <c r="M472" i="3"/>
  <c r="P472" i="3" s="1"/>
  <c r="F472" i="3"/>
  <c r="O471" i="3"/>
  <c r="M471" i="3"/>
  <c r="P471" i="3" s="1"/>
  <c r="F471" i="3"/>
  <c r="O470" i="3"/>
  <c r="M470" i="3"/>
  <c r="P470" i="3" s="1"/>
  <c r="F470" i="3"/>
  <c r="O469" i="3"/>
  <c r="M469" i="3"/>
  <c r="P469" i="3" s="1"/>
  <c r="F469" i="3"/>
  <c r="O468" i="3"/>
  <c r="M468" i="3"/>
  <c r="P468" i="3" s="1"/>
  <c r="F468" i="3"/>
  <c r="O467" i="3"/>
  <c r="M467" i="3"/>
  <c r="P467" i="3" s="1"/>
  <c r="F467" i="3"/>
  <c r="O466" i="3"/>
  <c r="M466" i="3"/>
  <c r="P466" i="3" s="1"/>
  <c r="F466" i="3"/>
  <c r="O465" i="3"/>
  <c r="M465" i="3"/>
  <c r="P465" i="3" s="1"/>
  <c r="F465" i="3"/>
  <c r="O464" i="3"/>
  <c r="M464" i="3"/>
  <c r="P464" i="3" s="1"/>
  <c r="F464" i="3"/>
  <c r="O463" i="3"/>
  <c r="M463" i="3"/>
  <c r="P463" i="3" s="1"/>
  <c r="F463" i="3"/>
  <c r="O462" i="3"/>
  <c r="M462" i="3"/>
  <c r="P462" i="3" s="1"/>
  <c r="F462" i="3"/>
  <c r="O461" i="3"/>
  <c r="M461" i="3"/>
  <c r="P461" i="3" s="1"/>
  <c r="F461" i="3"/>
  <c r="O460" i="3"/>
  <c r="M460" i="3"/>
  <c r="P460" i="3" s="1"/>
  <c r="F460" i="3"/>
  <c r="O459" i="3"/>
  <c r="M459" i="3"/>
  <c r="P459" i="3" s="1"/>
  <c r="F459" i="3"/>
  <c r="O458" i="3"/>
  <c r="M458" i="3"/>
  <c r="P458" i="3" s="1"/>
  <c r="F458" i="3"/>
  <c r="O457" i="3"/>
  <c r="M457" i="3"/>
  <c r="P457" i="3" s="1"/>
  <c r="F457" i="3"/>
  <c r="O456" i="3"/>
  <c r="M456" i="3"/>
  <c r="P456" i="3" s="1"/>
  <c r="F456" i="3"/>
  <c r="O455" i="3"/>
  <c r="M455" i="3"/>
  <c r="P455" i="3" s="1"/>
  <c r="F455" i="3"/>
  <c r="O454" i="3"/>
  <c r="M454" i="3"/>
  <c r="P454" i="3" s="1"/>
  <c r="F454" i="3"/>
  <c r="O453" i="3"/>
  <c r="M453" i="3"/>
  <c r="P453" i="3" s="1"/>
  <c r="F453" i="3"/>
  <c r="O452" i="3"/>
  <c r="M452" i="3"/>
  <c r="P452" i="3" s="1"/>
  <c r="F452" i="3"/>
  <c r="O451" i="3"/>
  <c r="M451" i="3"/>
  <c r="P451" i="3" s="1"/>
  <c r="F451" i="3"/>
  <c r="O450" i="3"/>
  <c r="M450" i="3"/>
  <c r="P450" i="3" s="1"/>
  <c r="F450" i="3"/>
  <c r="O449" i="3"/>
  <c r="M449" i="3"/>
  <c r="P449" i="3" s="1"/>
  <c r="F449" i="3"/>
  <c r="O448" i="3"/>
  <c r="M448" i="3"/>
  <c r="P448" i="3" s="1"/>
  <c r="F448" i="3"/>
  <c r="O447" i="3"/>
  <c r="M447" i="3"/>
  <c r="P447" i="3" s="1"/>
  <c r="F447" i="3"/>
  <c r="O446" i="3"/>
  <c r="M446" i="3"/>
  <c r="P446" i="3" s="1"/>
  <c r="F446" i="3"/>
  <c r="O445" i="3"/>
  <c r="M445" i="3"/>
  <c r="P445" i="3" s="1"/>
  <c r="F445" i="3"/>
  <c r="O444" i="3"/>
  <c r="M444" i="3"/>
  <c r="P444" i="3" s="1"/>
  <c r="F444" i="3"/>
  <c r="O443" i="3"/>
  <c r="M443" i="3"/>
  <c r="P443" i="3" s="1"/>
  <c r="F443" i="3"/>
  <c r="P442" i="3"/>
  <c r="O442" i="3"/>
  <c r="M442" i="3"/>
  <c r="F442" i="3"/>
  <c r="O441" i="3"/>
  <c r="M441" i="3"/>
  <c r="P441" i="3" s="1"/>
  <c r="F441" i="3"/>
  <c r="O440" i="3"/>
  <c r="M440" i="3"/>
  <c r="P440" i="3" s="1"/>
  <c r="F440" i="3"/>
  <c r="O439" i="3"/>
  <c r="M439" i="3"/>
  <c r="P439" i="3" s="1"/>
  <c r="F439" i="3"/>
  <c r="O438" i="3"/>
  <c r="M438" i="3"/>
  <c r="P438" i="3" s="1"/>
  <c r="F438" i="3"/>
  <c r="O437" i="3"/>
  <c r="M437" i="3"/>
  <c r="P437" i="3" s="1"/>
  <c r="F437" i="3"/>
  <c r="O436" i="3"/>
  <c r="M436" i="3"/>
  <c r="P436" i="3" s="1"/>
  <c r="F436" i="3"/>
  <c r="O435" i="3"/>
  <c r="M435" i="3"/>
  <c r="P435" i="3" s="1"/>
  <c r="F435" i="3"/>
  <c r="O434" i="3"/>
  <c r="M434" i="3"/>
  <c r="P434" i="3" s="1"/>
  <c r="F434" i="3"/>
  <c r="O433" i="3"/>
  <c r="M433" i="3"/>
  <c r="P433" i="3" s="1"/>
  <c r="F433" i="3"/>
  <c r="O432" i="3"/>
  <c r="M432" i="3"/>
  <c r="P432" i="3" s="1"/>
  <c r="F432" i="3"/>
  <c r="O431" i="3"/>
  <c r="M431" i="3"/>
  <c r="P431" i="3" s="1"/>
  <c r="F431" i="3"/>
  <c r="O430" i="3"/>
  <c r="M430" i="3"/>
  <c r="P430" i="3" s="1"/>
  <c r="F430" i="3"/>
  <c r="O429" i="3"/>
  <c r="M429" i="3"/>
  <c r="P429" i="3" s="1"/>
  <c r="F429" i="3"/>
  <c r="O428" i="3"/>
  <c r="M428" i="3"/>
  <c r="P428" i="3" s="1"/>
  <c r="F428" i="3"/>
  <c r="O427" i="3"/>
  <c r="M427" i="3"/>
  <c r="P427" i="3" s="1"/>
  <c r="F427" i="3"/>
  <c r="O426" i="3"/>
  <c r="M426" i="3"/>
  <c r="P426" i="3" s="1"/>
  <c r="F426" i="3"/>
  <c r="O425" i="3"/>
  <c r="M425" i="3"/>
  <c r="P425" i="3" s="1"/>
  <c r="F425" i="3"/>
  <c r="O424" i="3"/>
  <c r="M424" i="3"/>
  <c r="P424" i="3" s="1"/>
  <c r="F424" i="3"/>
  <c r="O423" i="3"/>
  <c r="M423" i="3"/>
  <c r="P423" i="3" s="1"/>
  <c r="F423" i="3"/>
  <c r="O422" i="3"/>
  <c r="M422" i="3"/>
  <c r="P422" i="3" s="1"/>
  <c r="F422" i="3"/>
  <c r="O421" i="3"/>
  <c r="M421" i="3"/>
  <c r="P421" i="3" s="1"/>
  <c r="F421" i="3"/>
  <c r="O420" i="3"/>
  <c r="M420" i="3"/>
  <c r="P420" i="3" s="1"/>
  <c r="F420" i="3"/>
  <c r="O419" i="3"/>
  <c r="M419" i="3"/>
  <c r="P419" i="3" s="1"/>
  <c r="F419" i="3"/>
  <c r="O418" i="3"/>
  <c r="M418" i="3"/>
  <c r="P418" i="3" s="1"/>
  <c r="F418" i="3"/>
  <c r="O417" i="3"/>
  <c r="M417" i="3"/>
  <c r="P417" i="3" s="1"/>
  <c r="F417" i="3"/>
  <c r="O416" i="3"/>
  <c r="M416" i="3"/>
  <c r="P416" i="3" s="1"/>
  <c r="F416" i="3"/>
  <c r="O415" i="3"/>
  <c r="M415" i="3"/>
  <c r="P415" i="3" s="1"/>
  <c r="F415" i="3"/>
  <c r="O414" i="3"/>
  <c r="M414" i="3"/>
  <c r="P414" i="3" s="1"/>
  <c r="F414" i="3"/>
  <c r="O413" i="3"/>
  <c r="M413" i="3"/>
  <c r="P413" i="3" s="1"/>
  <c r="F413" i="3"/>
  <c r="O412" i="3"/>
  <c r="M412" i="3"/>
  <c r="P412" i="3" s="1"/>
  <c r="F412" i="3"/>
  <c r="O411" i="3"/>
  <c r="M411" i="3"/>
  <c r="P411" i="3" s="1"/>
  <c r="F411" i="3"/>
  <c r="O410" i="3"/>
  <c r="M410" i="3"/>
  <c r="P410" i="3" s="1"/>
  <c r="F410" i="3"/>
  <c r="O409" i="3"/>
  <c r="M409" i="3"/>
  <c r="P409" i="3" s="1"/>
  <c r="F409" i="3"/>
  <c r="O408" i="3"/>
  <c r="M408" i="3"/>
  <c r="P408" i="3" s="1"/>
  <c r="F408" i="3"/>
  <c r="O407" i="3"/>
  <c r="M407" i="3"/>
  <c r="P407" i="3" s="1"/>
  <c r="F407" i="3"/>
  <c r="O406" i="3"/>
  <c r="M406" i="3"/>
  <c r="P406" i="3" s="1"/>
  <c r="F406" i="3"/>
  <c r="O405" i="3"/>
  <c r="M405" i="3"/>
  <c r="P405" i="3" s="1"/>
  <c r="F405" i="3"/>
  <c r="O404" i="3"/>
  <c r="M404" i="3"/>
  <c r="P404" i="3" s="1"/>
  <c r="F404" i="3"/>
  <c r="O403" i="3"/>
  <c r="M403" i="3"/>
  <c r="P403" i="3" s="1"/>
  <c r="F403" i="3"/>
  <c r="O402" i="3"/>
  <c r="M402" i="3"/>
  <c r="P402" i="3" s="1"/>
  <c r="F402" i="3"/>
  <c r="O401" i="3"/>
  <c r="M401" i="3"/>
  <c r="P401" i="3" s="1"/>
  <c r="F401" i="3"/>
  <c r="O400" i="3"/>
  <c r="M400" i="3"/>
  <c r="P400" i="3" s="1"/>
  <c r="F400" i="3"/>
  <c r="O399" i="3"/>
  <c r="M399" i="3"/>
  <c r="P399" i="3" s="1"/>
  <c r="F399" i="3"/>
  <c r="O398" i="3"/>
  <c r="M398" i="3"/>
  <c r="P398" i="3" s="1"/>
  <c r="F398" i="3"/>
  <c r="O397" i="3"/>
  <c r="M397" i="3"/>
  <c r="P397" i="3" s="1"/>
  <c r="F397" i="3"/>
  <c r="O396" i="3"/>
  <c r="M396" i="3"/>
  <c r="P396" i="3" s="1"/>
  <c r="F396" i="3"/>
  <c r="O395" i="3"/>
  <c r="M395" i="3"/>
  <c r="P395" i="3" s="1"/>
  <c r="F395" i="3"/>
  <c r="O394" i="3"/>
  <c r="M394" i="3"/>
  <c r="P394" i="3" s="1"/>
  <c r="F394" i="3"/>
  <c r="O393" i="3"/>
  <c r="M393" i="3"/>
  <c r="P393" i="3" s="1"/>
  <c r="F393" i="3"/>
  <c r="O392" i="3"/>
  <c r="M392" i="3"/>
  <c r="P392" i="3" s="1"/>
  <c r="F392" i="3"/>
  <c r="O391" i="3"/>
  <c r="M391" i="3"/>
  <c r="P391" i="3" s="1"/>
  <c r="F391" i="3"/>
  <c r="O390" i="3"/>
  <c r="M390" i="3"/>
  <c r="P390" i="3" s="1"/>
  <c r="F390" i="3"/>
  <c r="O389" i="3"/>
  <c r="M389" i="3"/>
  <c r="P389" i="3" s="1"/>
  <c r="F389" i="3"/>
  <c r="O388" i="3"/>
  <c r="M388" i="3"/>
  <c r="P388" i="3" s="1"/>
  <c r="F388" i="3"/>
  <c r="O387" i="3"/>
  <c r="M387" i="3"/>
  <c r="P387" i="3" s="1"/>
  <c r="F387" i="3"/>
  <c r="O386" i="3"/>
  <c r="M386" i="3"/>
  <c r="P386" i="3" s="1"/>
  <c r="F386" i="3"/>
  <c r="O385" i="3"/>
  <c r="M385" i="3"/>
  <c r="P385" i="3" s="1"/>
  <c r="F385" i="3"/>
  <c r="O384" i="3"/>
  <c r="M384" i="3"/>
  <c r="P384" i="3" s="1"/>
  <c r="F384" i="3"/>
  <c r="O383" i="3"/>
  <c r="M383" i="3"/>
  <c r="P383" i="3" s="1"/>
  <c r="F383" i="3"/>
  <c r="O382" i="3"/>
  <c r="M382" i="3"/>
  <c r="P382" i="3" s="1"/>
  <c r="F382" i="3"/>
  <c r="O381" i="3"/>
  <c r="M381" i="3"/>
  <c r="P381" i="3" s="1"/>
  <c r="F381" i="3"/>
  <c r="O380" i="3"/>
  <c r="M380" i="3"/>
  <c r="P380" i="3" s="1"/>
  <c r="F380" i="3"/>
  <c r="O379" i="3"/>
  <c r="M379" i="3"/>
  <c r="P379" i="3" s="1"/>
  <c r="F379" i="3"/>
  <c r="O378" i="3"/>
  <c r="M378" i="3"/>
  <c r="P378" i="3" s="1"/>
  <c r="F378" i="3"/>
  <c r="O377" i="3"/>
  <c r="M377" i="3"/>
  <c r="P377" i="3" s="1"/>
  <c r="F377" i="3"/>
  <c r="O376" i="3"/>
  <c r="M376" i="3"/>
  <c r="P376" i="3" s="1"/>
  <c r="F376" i="3"/>
  <c r="O375" i="3"/>
  <c r="M375" i="3"/>
  <c r="P375" i="3" s="1"/>
  <c r="F375" i="3"/>
  <c r="O374" i="3"/>
  <c r="M374" i="3"/>
  <c r="P374" i="3" s="1"/>
  <c r="F374" i="3"/>
  <c r="O373" i="3"/>
  <c r="M373" i="3"/>
  <c r="P373" i="3" s="1"/>
  <c r="F373" i="3"/>
  <c r="O372" i="3"/>
  <c r="M372" i="3"/>
  <c r="P372" i="3" s="1"/>
  <c r="F372" i="3"/>
  <c r="O371" i="3"/>
  <c r="M371" i="3"/>
  <c r="P371" i="3" s="1"/>
  <c r="F371" i="3"/>
  <c r="O370" i="3"/>
  <c r="M370" i="3"/>
  <c r="P370" i="3" s="1"/>
  <c r="F370" i="3"/>
  <c r="O369" i="3"/>
  <c r="M369" i="3"/>
  <c r="P369" i="3" s="1"/>
  <c r="F369" i="3"/>
  <c r="O368" i="3"/>
  <c r="M368" i="3"/>
  <c r="P368" i="3" s="1"/>
  <c r="F368" i="3"/>
  <c r="O367" i="3"/>
  <c r="M367" i="3"/>
  <c r="P367" i="3" s="1"/>
  <c r="F367" i="3"/>
  <c r="O366" i="3"/>
  <c r="M366" i="3"/>
  <c r="P366" i="3" s="1"/>
  <c r="F366" i="3"/>
  <c r="O365" i="3"/>
  <c r="M365" i="3"/>
  <c r="P365" i="3" s="1"/>
  <c r="F365" i="3"/>
  <c r="O364" i="3"/>
  <c r="M364" i="3"/>
  <c r="P364" i="3" s="1"/>
  <c r="F364" i="3"/>
  <c r="O363" i="3"/>
  <c r="M363" i="3"/>
  <c r="P363" i="3" s="1"/>
  <c r="F363" i="3"/>
  <c r="O362" i="3"/>
  <c r="M362" i="3"/>
  <c r="P362" i="3" s="1"/>
  <c r="F362" i="3"/>
  <c r="O361" i="3"/>
  <c r="M361" i="3"/>
  <c r="P361" i="3" s="1"/>
  <c r="F361" i="3"/>
  <c r="O360" i="3"/>
  <c r="M360" i="3"/>
  <c r="P360" i="3" s="1"/>
  <c r="F360" i="3"/>
  <c r="O359" i="3"/>
  <c r="M359" i="3"/>
  <c r="P359" i="3" s="1"/>
  <c r="F359" i="3"/>
  <c r="O358" i="3"/>
  <c r="M358" i="3"/>
  <c r="P358" i="3" s="1"/>
  <c r="F358" i="3"/>
  <c r="O357" i="3"/>
  <c r="M357" i="3"/>
  <c r="P357" i="3" s="1"/>
  <c r="F357" i="3"/>
  <c r="O356" i="3"/>
  <c r="M356" i="3"/>
  <c r="P356" i="3" s="1"/>
  <c r="F356" i="3"/>
  <c r="O355" i="3"/>
  <c r="M355" i="3"/>
  <c r="P355" i="3" s="1"/>
  <c r="F355" i="3"/>
  <c r="O354" i="3"/>
  <c r="M354" i="3"/>
  <c r="P354" i="3" s="1"/>
  <c r="F354" i="3"/>
  <c r="O353" i="3"/>
  <c r="M353" i="3"/>
  <c r="P353" i="3" s="1"/>
  <c r="F353" i="3"/>
  <c r="O352" i="3"/>
  <c r="M352" i="3"/>
  <c r="P352" i="3" s="1"/>
  <c r="F352" i="3"/>
  <c r="O351" i="3"/>
  <c r="M351" i="3"/>
  <c r="P351" i="3" s="1"/>
  <c r="F351" i="3"/>
  <c r="O350" i="3"/>
  <c r="M350" i="3"/>
  <c r="P350" i="3" s="1"/>
  <c r="F350" i="3"/>
  <c r="O349" i="3"/>
  <c r="M349" i="3"/>
  <c r="P349" i="3" s="1"/>
  <c r="F349" i="3"/>
  <c r="O348" i="3"/>
  <c r="M348" i="3"/>
  <c r="P348" i="3" s="1"/>
  <c r="F348" i="3"/>
  <c r="O347" i="3"/>
  <c r="M347" i="3"/>
  <c r="P347" i="3" s="1"/>
  <c r="F347" i="3"/>
  <c r="O346" i="3"/>
  <c r="M346" i="3"/>
  <c r="P346" i="3" s="1"/>
  <c r="F346" i="3"/>
  <c r="O345" i="3"/>
  <c r="M345" i="3"/>
  <c r="P345" i="3" s="1"/>
  <c r="F345" i="3"/>
  <c r="O344" i="3"/>
  <c r="M344" i="3"/>
  <c r="P344" i="3" s="1"/>
  <c r="F344" i="3"/>
  <c r="O343" i="3"/>
  <c r="M343" i="3"/>
  <c r="P343" i="3" s="1"/>
  <c r="F343" i="3"/>
  <c r="O342" i="3"/>
  <c r="M342" i="3"/>
  <c r="P342" i="3" s="1"/>
  <c r="F342" i="3"/>
  <c r="O341" i="3"/>
  <c r="M341" i="3"/>
  <c r="P341" i="3" s="1"/>
  <c r="F341" i="3"/>
  <c r="O340" i="3"/>
  <c r="M340" i="3"/>
  <c r="P340" i="3" s="1"/>
  <c r="F340" i="3"/>
  <c r="O339" i="3"/>
  <c r="M339" i="3"/>
  <c r="P339" i="3" s="1"/>
  <c r="F339" i="3"/>
  <c r="O338" i="3"/>
  <c r="M338" i="3"/>
  <c r="P338" i="3" s="1"/>
  <c r="F338" i="3"/>
  <c r="O337" i="3"/>
  <c r="M337" i="3"/>
  <c r="P337" i="3" s="1"/>
  <c r="F337" i="3"/>
  <c r="O336" i="3"/>
  <c r="M336" i="3"/>
  <c r="P336" i="3" s="1"/>
  <c r="F336" i="3"/>
  <c r="O335" i="3"/>
  <c r="M335" i="3"/>
  <c r="P335" i="3" s="1"/>
  <c r="F335" i="3"/>
  <c r="O334" i="3"/>
  <c r="M334" i="3"/>
  <c r="P334" i="3" s="1"/>
  <c r="F334" i="3"/>
  <c r="O333" i="3"/>
  <c r="M333" i="3"/>
  <c r="P333" i="3" s="1"/>
  <c r="F333" i="3"/>
  <c r="O332" i="3"/>
  <c r="M332" i="3"/>
  <c r="P332" i="3" s="1"/>
  <c r="F332" i="3"/>
  <c r="O331" i="3"/>
  <c r="M331" i="3"/>
  <c r="P331" i="3" s="1"/>
  <c r="F331" i="3"/>
  <c r="O330" i="3"/>
  <c r="M330" i="3"/>
  <c r="P330" i="3" s="1"/>
  <c r="F330" i="3"/>
  <c r="O329" i="3"/>
  <c r="M329" i="3"/>
  <c r="P329" i="3" s="1"/>
  <c r="F329" i="3"/>
  <c r="O328" i="3"/>
  <c r="M328" i="3"/>
  <c r="P328" i="3" s="1"/>
  <c r="F328" i="3"/>
  <c r="O327" i="3"/>
  <c r="M327" i="3"/>
  <c r="P327" i="3" s="1"/>
  <c r="F327" i="3"/>
  <c r="O326" i="3"/>
  <c r="M326" i="3"/>
  <c r="P326" i="3" s="1"/>
  <c r="F326" i="3"/>
  <c r="O325" i="3"/>
  <c r="M325" i="3"/>
  <c r="P325" i="3" s="1"/>
  <c r="F325" i="3"/>
  <c r="O324" i="3"/>
  <c r="M324" i="3"/>
  <c r="P324" i="3" s="1"/>
  <c r="F324" i="3"/>
  <c r="O323" i="3"/>
  <c r="M323" i="3"/>
  <c r="P323" i="3" s="1"/>
  <c r="F323" i="3"/>
  <c r="O322" i="3"/>
  <c r="M322" i="3"/>
  <c r="P322" i="3" s="1"/>
  <c r="F322" i="3"/>
  <c r="O321" i="3"/>
  <c r="M321" i="3"/>
  <c r="P321" i="3" s="1"/>
  <c r="F321" i="3"/>
  <c r="O320" i="3"/>
  <c r="M320" i="3"/>
  <c r="P320" i="3" s="1"/>
  <c r="F320" i="3"/>
  <c r="O319" i="3"/>
  <c r="M319" i="3"/>
  <c r="P319" i="3" s="1"/>
  <c r="F319" i="3"/>
  <c r="O318" i="3"/>
  <c r="M318" i="3"/>
  <c r="P318" i="3" s="1"/>
  <c r="F318" i="3"/>
  <c r="O317" i="3"/>
  <c r="M317" i="3"/>
  <c r="P317" i="3" s="1"/>
  <c r="F317" i="3"/>
  <c r="O316" i="3"/>
  <c r="M316" i="3"/>
  <c r="P316" i="3" s="1"/>
  <c r="F316" i="3"/>
  <c r="O315" i="3"/>
  <c r="M315" i="3"/>
  <c r="P315" i="3" s="1"/>
  <c r="F315" i="3"/>
  <c r="O314" i="3"/>
  <c r="M314" i="3"/>
  <c r="P314" i="3" s="1"/>
  <c r="F314" i="3"/>
  <c r="O313" i="3"/>
  <c r="M313" i="3"/>
  <c r="P313" i="3" s="1"/>
  <c r="F313" i="3"/>
  <c r="O312" i="3"/>
  <c r="M312" i="3"/>
  <c r="P312" i="3" s="1"/>
  <c r="F312" i="3"/>
  <c r="O311" i="3"/>
  <c r="M311" i="3"/>
  <c r="P311" i="3" s="1"/>
  <c r="F311" i="3"/>
  <c r="O310" i="3"/>
  <c r="M310" i="3"/>
  <c r="P310" i="3" s="1"/>
  <c r="F310" i="3"/>
  <c r="O309" i="3"/>
  <c r="M309" i="3"/>
  <c r="P309" i="3" s="1"/>
  <c r="F309" i="3"/>
  <c r="O308" i="3"/>
  <c r="M308" i="3"/>
  <c r="P308" i="3" s="1"/>
  <c r="F308" i="3"/>
  <c r="O307" i="3"/>
  <c r="M307" i="3"/>
  <c r="P307" i="3" s="1"/>
  <c r="F307" i="3"/>
  <c r="O306" i="3"/>
  <c r="M306" i="3"/>
  <c r="P306" i="3" s="1"/>
  <c r="F306" i="3"/>
  <c r="O305" i="3"/>
  <c r="M305" i="3"/>
  <c r="P305" i="3" s="1"/>
  <c r="F305" i="3"/>
  <c r="O304" i="3"/>
  <c r="M304" i="3"/>
  <c r="P304" i="3" s="1"/>
  <c r="F304" i="3"/>
  <c r="O303" i="3"/>
  <c r="M303" i="3"/>
  <c r="P303" i="3" s="1"/>
  <c r="F303" i="3"/>
  <c r="O302" i="3"/>
  <c r="M302" i="3"/>
  <c r="P302" i="3" s="1"/>
  <c r="F302" i="3"/>
  <c r="O301" i="3"/>
  <c r="M301" i="3"/>
  <c r="P301" i="3" s="1"/>
  <c r="F301" i="3"/>
  <c r="O300" i="3"/>
  <c r="M300" i="3"/>
  <c r="P300" i="3" s="1"/>
  <c r="F300" i="3"/>
  <c r="O299" i="3"/>
  <c r="M299" i="3"/>
  <c r="P299" i="3" s="1"/>
  <c r="F299" i="3"/>
  <c r="O298" i="3"/>
  <c r="M298" i="3"/>
  <c r="P298" i="3" s="1"/>
  <c r="F298" i="3"/>
  <c r="O297" i="3"/>
  <c r="M297" i="3"/>
  <c r="P297" i="3" s="1"/>
  <c r="F297" i="3"/>
  <c r="O296" i="3"/>
  <c r="M296" i="3"/>
  <c r="P296" i="3" s="1"/>
  <c r="F296" i="3"/>
  <c r="O295" i="3"/>
  <c r="M295" i="3"/>
  <c r="P295" i="3" s="1"/>
  <c r="F295" i="3"/>
  <c r="O294" i="3"/>
  <c r="M294" i="3"/>
  <c r="P294" i="3" s="1"/>
  <c r="F294" i="3"/>
  <c r="O293" i="3"/>
  <c r="M293" i="3"/>
  <c r="P293" i="3" s="1"/>
  <c r="F293" i="3"/>
  <c r="O292" i="3"/>
  <c r="M292" i="3"/>
  <c r="P292" i="3" s="1"/>
  <c r="F292" i="3"/>
  <c r="O291" i="3"/>
  <c r="M291" i="3"/>
  <c r="P291" i="3" s="1"/>
  <c r="F291" i="3"/>
  <c r="O290" i="3"/>
  <c r="M290" i="3"/>
  <c r="P290" i="3" s="1"/>
  <c r="F290" i="3"/>
  <c r="O289" i="3"/>
  <c r="M289" i="3"/>
  <c r="P289" i="3" s="1"/>
  <c r="F289" i="3"/>
  <c r="O288" i="3"/>
  <c r="M288" i="3"/>
  <c r="P288" i="3" s="1"/>
  <c r="F288" i="3"/>
  <c r="O287" i="3"/>
  <c r="M287" i="3"/>
  <c r="P287" i="3" s="1"/>
  <c r="F287" i="3"/>
  <c r="O286" i="3"/>
  <c r="M286" i="3"/>
  <c r="P286" i="3" s="1"/>
  <c r="F286" i="3"/>
  <c r="O285" i="3"/>
  <c r="M285" i="3"/>
  <c r="P285" i="3" s="1"/>
  <c r="F285" i="3"/>
  <c r="O284" i="3"/>
  <c r="M284" i="3"/>
  <c r="P284" i="3" s="1"/>
  <c r="F284" i="3"/>
  <c r="O283" i="3"/>
  <c r="M283" i="3"/>
  <c r="P283" i="3" s="1"/>
  <c r="F283" i="3"/>
  <c r="O282" i="3"/>
  <c r="M282" i="3"/>
  <c r="P282" i="3" s="1"/>
  <c r="F282" i="3"/>
  <c r="O281" i="3"/>
  <c r="M281" i="3"/>
  <c r="P281" i="3" s="1"/>
  <c r="F281" i="3"/>
  <c r="O280" i="3"/>
  <c r="M280" i="3"/>
  <c r="P280" i="3" s="1"/>
  <c r="F280" i="3"/>
  <c r="O279" i="3"/>
  <c r="M279" i="3"/>
  <c r="P279" i="3" s="1"/>
  <c r="F279" i="3"/>
  <c r="O278" i="3"/>
  <c r="M278" i="3"/>
  <c r="P278" i="3" s="1"/>
  <c r="F278" i="3"/>
  <c r="O277" i="3"/>
  <c r="M277" i="3"/>
  <c r="P277" i="3" s="1"/>
  <c r="F277" i="3"/>
  <c r="O276" i="3"/>
  <c r="M276" i="3"/>
  <c r="P276" i="3" s="1"/>
  <c r="F276" i="3"/>
  <c r="O275" i="3"/>
  <c r="M275" i="3"/>
  <c r="P275" i="3" s="1"/>
  <c r="F275" i="3"/>
  <c r="O274" i="3"/>
  <c r="M274" i="3"/>
  <c r="P274" i="3" s="1"/>
  <c r="F274" i="3"/>
  <c r="O273" i="3"/>
  <c r="M273" i="3"/>
  <c r="P273" i="3" s="1"/>
  <c r="F273" i="3"/>
  <c r="O272" i="3"/>
  <c r="M272" i="3"/>
  <c r="P272" i="3" s="1"/>
  <c r="F272" i="3"/>
  <c r="O271" i="3"/>
  <c r="M271" i="3"/>
  <c r="P271" i="3" s="1"/>
  <c r="F271" i="3"/>
  <c r="O270" i="3"/>
  <c r="M270" i="3"/>
  <c r="P270" i="3" s="1"/>
  <c r="F270" i="3"/>
  <c r="O269" i="3"/>
  <c r="M269" i="3"/>
  <c r="P269" i="3" s="1"/>
  <c r="F269" i="3"/>
  <c r="O268" i="3"/>
  <c r="M268" i="3"/>
  <c r="P268" i="3" s="1"/>
  <c r="F268" i="3"/>
  <c r="O267" i="3"/>
  <c r="M267" i="3"/>
  <c r="P267" i="3" s="1"/>
  <c r="F267" i="3"/>
  <c r="O266" i="3"/>
  <c r="M266" i="3"/>
  <c r="P266" i="3" s="1"/>
  <c r="F266" i="3"/>
  <c r="O265" i="3"/>
  <c r="M265" i="3"/>
  <c r="P265" i="3" s="1"/>
  <c r="F265" i="3"/>
  <c r="O264" i="3"/>
  <c r="M264" i="3"/>
  <c r="P264" i="3" s="1"/>
  <c r="F264" i="3"/>
  <c r="O263" i="3"/>
  <c r="M263" i="3"/>
  <c r="P263" i="3" s="1"/>
  <c r="F263" i="3"/>
  <c r="O262" i="3"/>
  <c r="M262" i="3"/>
  <c r="P262" i="3" s="1"/>
  <c r="F262" i="3"/>
  <c r="O261" i="3"/>
  <c r="M261" i="3"/>
  <c r="P261" i="3" s="1"/>
  <c r="F261" i="3"/>
  <c r="O260" i="3"/>
  <c r="M260" i="3"/>
  <c r="P260" i="3" s="1"/>
  <c r="F260" i="3"/>
  <c r="O259" i="3"/>
  <c r="M259" i="3"/>
  <c r="P259" i="3" s="1"/>
  <c r="F259" i="3"/>
  <c r="O258" i="3"/>
  <c r="M258" i="3"/>
  <c r="P258" i="3" s="1"/>
  <c r="F258" i="3"/>
  <c r="O257" i="3"/>
  <c r="M257" i="3"/>
  <c r="P257" i="3" s="1"/>
  <c r="F257" i="3"/>
  <c r="O256" i="3"/>
  <c r="M256" i="3"/>
  <c r="P256" i="3" s="1"/>
  <c r="F256" i="3"/>
  <c r="O255" i="3"/>
  <c r="M255" i="3"/>
  <c r="P255" i="3" s="1"/>
  <c r="F255" i="3"/>
  <c r="O254" i="3"/>
  <c r="M254" i="3"/>
  <c r="P254" i="3" s="1"/>
  <c r="F254" i="3"/>
  <c r="O253" i="3"/>
  <c r="M253" i="3"/>
  <c r="P253" i="3" s="1"/>
  <c r="F253" i="3"/>
  <c r="O252" i="3"/>
  <c r="M252" i="3"/>
  <c r="P252" i="3" s="1"/>
  <c r="F252" i="3"/>
  <c r="O251" i="3"/>
  <c r="M251" i="3"/>
  <c r="P251" i="3" s="1"/>
  <c r="F251" i="3"/>
  <c r="O250" i="3"/>
  <c r="M250" i="3"/>
  <c r="P250" i="3" s="1"/>
  <c r="F250" i="3"/>
  <c r="O249" i="3"/>
  <c r="M249" i="3"/>
  <c r="P249" i="3" s="1"/>
  <c r="F249" i="3"/>
  <c r="O248" i="3"/>
  <c r="M248" i="3"/>
  <c r="P248" i="3" s="1"/>
  <c r="F248" i="3"/>
  <c r="O247" i="3"/>
  <c r="M247" i="3"/>
  <c r="P247" i="3" s="1"/>
  <c r="F247" i="3"/>
  <c r="O246" i="3"/>
  <c r="M246" i="3"/>
  <c r="P246" i="3" s="1"/>
  <c r="F246" i="3"/>
  <c r="O245" i="3"/>
  <c r="M245" i="3"/>
  <c r="P245" i="3" s="1"/>
  <c r="F245" i="3"/>
  <c r="O244" i="3"/>
  <c r="M244" i="3"/>
  <c r="P244" i="3" s="1"/>
  <c r="F244" i="3"/>
  <c r="O243" i="3"/>
  <c r="M243" i="3"/>
  <c r="P243" i="3" s="1"/>
  <c r="F243" i="3"/>
  <c r="O242" i="3"/>
  <c r="M242" i="3"/>
  <c r="P242" i="3" s="1"/>
  <c r="F242" i="3"/>
  <c r="O241" i="3"/>
  <c r="M241" i="3"/>
  <c r="P241" i="3" s="1"/>
  <c r="F241" i="3"/>
  <c r="O240" i="3"/>
  <c r="M240" i="3"/>
  <c r="P240" i="3" s="1"/>
  <c r="F240" i="3"/>
  <c r="O239" i="3"/>
  <c r="M239" i="3"/>
  <c r="P239" i="3" s="1"/>
  <c r="F239" i="3"/>
  <c r="O238" i="3"/>
  <c r="M238" i="3"/>
  <c r="P238" i="3" s="1"/>
  <c r="F238" i="3"/>
  <c r="O237" i="3"/>
  <c r="M237" i="3"/>
  <c r="P237" i="3" s="1"/>
  <c r="F237" i="3"/>
  <c r="O236" i="3"/>
  <c r="M236" i="3"/>
  <c r="P236" i="3" s="1"/>
  <c r="F236" i="3"/>
  <c r="O235" i="3"/>
  <c r="M235" i="3"/>
  <c r="P235" i="3" s="1"/>
  <c r="F235" i="3"/>
  <c r="O234" i="3"/>
  <c r="M234" i="3"/>
  <c r="P234" i="3" s="1"/>
  <c r="F234" i="3"/>
  <c r="O233" i="3"/>
  <c r="M233" i="3"/>
  <c r="P233" i="3" s="1"/>
  <c r="F233" i="3"/>
  <c r="O232" i="3"/>
  <c r="M232" i="3"/>
  <c r="P232" i="3" s="1"/>
  <c r="F232" i="3"/>
  <c r="O231" i="3"/>
  <c r="M231" i="3"/>
  <c r="P231" i="3" s="1"/>
  <c r="F231" i="3"/>
  <c r="O230" i="3"/>
  <c r="M230" i="3"/>
  <c r="P230" i="3" s="1"/>
  <c r="F230" i="3"/>
  <c r="O229" i="3"/>
  <c r="M229" i="3"/>
  <c r="P229" i="3" s="1"/>
  <c r="F229" i="3"/>
  <c r="O228" i="3"/>
  <c r="M228" i="3"/>
  <c r="P228" i="3" s="1"/>
  <c r="F228" i="3"/>
  <c r="O227" i="3"/>
  <c r="M227" i="3"/>
  <c r="P227" i="3" s="1"/>
  <c r="F227" i="3"/>
  <c r="O226" i="3"/>
  <c r="M226" i="3"/>
  <c r="P226" i="3" s="1"/>
  <c r="F226" i="3"/>
  <c r="O225" i="3"/>
  <c r="M225" i="3"/>
  <c r="P225" i="3" s="1"/>
  <c r="F225" i="3"/>
  <c r="O224" i="3"/>
  <c r="M224" i="3"/>
  <c r="P224" i="3" s="1"/>
  <c r="F224" i="3"/>
  <c r="O223" i="3"/>
  <c r="M223" i="3"/>
  <c r="P223" i="3" s="1"/>
  <c r="F223" i="3"/>
  <c r="O222" i="3"/>
  <c r="M222" i="3"/>
  <c r="P222" i="3" s="1"/>
  <c r="F222" i="3"/>
  <c r="O221" i="3"/>
  <c r="M221" i="3"/>
  <c r="P221" i="3" s="1"/>
  <c r="F221" i="3"/>
  <c r="O220" i="3"/>
  <c r="M220" i="3"/>
  <c r="P220" i="3" s="1"/>
  <c r="F220" i="3"/>
  <c r="P219" i="3"/>
  <c r="O219" i="3"/>
  <c r="F219" i="3"/>
  <c r="O218" i="3"/>
  <c r="M218" i="3"/>
  <c r="P218" i="3" s="1"/>
  <c r="F218" i="3"/>
  <c r="O217" i="3"/>
  <c r="M217" i="3"/>
  <c r="P217" i="3" s="1"/>
  <c r="F217" i="3"/>
  <c r="O216" i="3"/>
  <c r="M216" i="3"/>
  <c r="P216" i="3" s="1"/>
  <c r="F216" i="3"/>
  <c r="O215" i="3"/>
  <c r="M215" i="3"/>
  <c r="P215" i="3" s="1"/>
  <c r="F215" i="3"/>
  <c r="O214" i="3"/>
  <c r="M214" i="3"/>
  <c r="P214" i="3" s="1"/>
  <c r="F214" i="3"/>
  <c r="O213" i="3"/>
  <c r="M213" i="3"/>
  <c r="P213" i="3" s="1"/>
  <c r="F213" i="3"/>
  <c r="O212" i="3"/>
  <c r="M212" i="3"/>
  <c r="P212" i="3" s="1"/>
  <c r="F212" i="3"/>
  <c r="O211" i="3"/>
  <c r="M211" i="3"/>
  <c r="P211" i="3" s="1"/>
  <c r="F211" i="3"/>
  <c r="O210" i="3"/>
  <c r="M210" i="3"/>
  <c r="P210" i="3" s="1"/>
  <c r="F210" i="3"/>
  <c r="O209" i="3"/>
  <c r="M209" i="3"/>
  <c r="P209" i="3" s="1"/>
  <c r="F209" i="3"/>
  <c r="O208" i="3"/>
  <c r="M208" i="3"/>
  <c r="P208" i="3" s="1"/>
  <c r="F208" i="3"/>
  <c r="O207" i="3"/>
  <c r="M207" i="3"/>
  <c r="P207" i="3" s="1"/>
  <c r="F207" i="3"/>
  <c r="O206" i="3"/>
  <c r="M206" i="3"/>
  <c r="P206" i="3" s="1"/>
  <c r="F206" i="3"/>
  <c r="O205" i="3"/>
  <c r="M205" i="3"/>
  <c r="P205" i="3" s="1"/>
  <c r="F205" i="3"/>
  <c r="O204" i="3"/>
  <c r="M204" i="3"/>
  <c r="P204" i="3" s="1"/>
  <c r="F204" i="3"/>
  <c r="O203" i="3"/>
  <c r="M203" i="3"/>
  <c r="P203" i="3" s="1"/>
  <c r="F203" i="3"/>
  <c r="O202" i="3"/>
  <c r="M202" i="3"/>
  <c r="P202" i="3" s="1"/>
  <c r="F202" i="3"/>
  <c r="O201" i="3"/>
  <c r="M201" i="3"/>
  <c r="P201" i="3" s="1"/>
  <c r="F201" i="3"/>
  <c r="O200" i="3"/>
  <c r="M200" i="3"/>
  <c r="P200" i="3" s="1"/>
  <c r="F200" i="3"/>
  <c r="O199" i="3"/>
  <c r="M199" i="3"/>
  <c r="P199" i="3" s="1"/>
  <c r="F199" i="3"/>
  <c r="O198" i="3"/>
  <c r="M198" i="3"/>
  <c r="P198" i="3" s="1"/>
  <c r="F198" i="3"/>
  <c r="O197" i="3"/>
  <c r="M197" i="3"/>
  <c r="P197" i="3" s="1"/>
  <c r="F197" i="3"/>
  <c r="O196" i="3"/>
  <c r="M196" i="3"/>
  <c r="P196" i="3" s="1"/>
  <c r="F196" i="3"/>
  <c r="O195" i="3"/>
  <c r="M195" i="3"/>
  <c r="P195" i="3" s="1"/>
  <c r="F195" i="3"/>
  <c r="O194" i="3"/>
  <c r="M194" i="3"/>
  <c r="P194" i="3" s="1"/>
  <c r="F194" i="3"/>
  <c r="O193" i="3"/>
  <c r="M193" i="3"/>
  <c r="P193" i="3" s="1"/>
  <c r="F193" i="3"/>
  <c r="O192" i="3"/>
  <c r="M192" i="3"/>
  <c r="P192" i="3" s="1"/>
  <c r="F192" i="3"/>
  <c r="O191" i="3"/>
  <c r="M191" i="3"/>
  <c r="P191" i="3" s="1"/>
  <c r="F191" i="3"/>
  <c r="O190" i="3"/>
  <c r="M190" i="3"/>
  <c r="P190" i="3" s="1"/>
  <c r="F190" i="3"/>
  <c r="O189" i="3"/>
  <c r="M189" i="3"/>
  <c r="P189" i="3" s="1"/>
  <c r="F189" i="3"/>
  <c r="O188" i="3"/>
  <c r="M188" i="3"/>
  <c r="P188" i="3" s="1"/>
  <c r="F188" i="3"/>
  <c r="O187" i="3"/>
  <c r="M187" i="3"/>
  <c r="P187" i="3" s="1"/>
  <c r="F187" i="3"/>
  <c r="O186" i="3"/>
  <c r="M186" i="3"/>
  <c r="P186" i="3" s="1"/>
  <c r="F186" i="3"/>
  <c r="O185" i="3"/>
  <c r="M185" i="3"/>
  <c r="P185" i="3" s="1"/>
  <c r="F185" i="3"/>
  <c r="O184" i="3"/>
  <c r="M184" i="3"/>
  <c r="P184" i="3" s="1"/>
  <c r="F184" i="3"/>
  <c r="O183" i="3"/>
  <c r="M183" i="3"/>
  <c r="P183" i="3" s="1"/>
  <c r="F183" i="3"/>
  <c r="O182" i="3"/>
  <c r="M182" i="3"/>
  <c r="P182" i="3" s="1"/>
  <c r="F182" i="3"/>
  <c r="O181" i="3"/>
  <c r="M181" i="3"/>
  <c r="P181" i="3" s="1"/>
  <c r="F181" i="3"/>
  <c r="O180" i="3"/>
  <c r="M180" i="3"/>
  <c r="P180" i="3" s="1"/>
  <c r="F180" i="3"/>
  <c r="O179" i="3"/>
  <c r="M179" i="3"/>
  <c r="P179" i="3" s="1"/>
  <c r="F179" i="3"/>
  <c r="O178" i="3"/>
  <c r="M178" i="3"/>
  <c r="P178" i="3" s="1"/>
  <c r="F178" i="3"/>
  <c r="O177" i="3"/>
  <c r="M177" i="3"/>
  <c r="P177" i="3" s="1"/>
  <c r="F177" i="3"/>
  <c r="O176" i="3"/>
  <c r="M176" i="3"/>
  <c r="P176" i="3" s="1"/>
  <c r="F176" i="3"/>
  <c r="O175" i="3"/>
  <c r="M175" i="3"/>
  <c r="P175" i="3" s="1"/>
  <c r="F175" i="3"/>
  <c r="O174" i="3"/>
  <c r="M174" i="3"/>
  <c r="P174" i="3" s="1"/>
  <c r="F174" i="3"/>
  <c r="O173" i="3"/>
  <c r="M173" i="3"/>
  <c r="P173" i="3" s="1"/>
  <c r="F173" i="3"/>
  <c r="O172" i="3"/>
  <c r="M172" i="3"/>
  <c r="P172" i="3" s="1"/>
  <c r="F172" i="3"/>
  <c r="O171" i="3"/>
  <c r="M171" i="3"/>
  <c r="P171" i="3" s="1"/>
  <c r="F171" i="3"/>
  <c r="O170" i="3"/>
  <c r="M170" i="3"/>
  <c r="P170" i="3" s="1"/>
  <c r="F170" i="3"/>
  <c r="O169" i="3"/>
  <c r="M169" i="3"/>
  <c r="P169" i="3" s="1"/>
  <c r="F169" i="3"/>
  <c r="O168" i="3"/>
  <c r="M168" i="3"/>
  <c r="P168" i="3" s="1"/>
  <c r="F168" i="3"/>
  <c r="O167" i="3"/>
  <c r="M167" i="3"/>
  <c r="P167" i="3" s="1"/>
  <c r="F167" i="3"/>
  <c r="O166" i="3"/>
  <c r="M166" i="3"/>
  <c r="P166" i="3" s="1"/>
  <c r="F166" i="3"/>
  <c r="O165" i="3"/>
  <c r="M165" i="3"/>
  <c r="P165" i="3" s="1"/>
  <c r="O164" i="3"/>
  <c r="M164" i="3"/>
  <c r="P164" i="3" s="1"/>
  <c r="F164" i="3"/>
  <c r="O163" i="3"/>
  <c r="M163" i="3"/>
  <c r="P163" i="3" s="1"/>
  <c r="F163" i="3"/>
  <c r="O162" i="3"/>
  <c r="M162" i="3"/>
  <c r="P162" i="3" s="1"/>
  <c r="F162" i="3"/>
  <c r="O161" i="3"/>
  <c r="M161" i="3"/>
  <c r="P161" i="3" s="1"/>
  <c r="F161" i="3"/>
  <c r="O160" i="3"/>
  <c r="M160" i="3"/>
  <c r="P160" i="3" s="1"/>
  <c r="F160" i="3"/>
  <c r="O159" i="3"/>
  <c r="M159" i="3"/>
  <c r="P159" i="3" s="1"/>
  <c r="O158" i="3"/>
  <c r="M158" i="3"/>
  <c r="P158" i="3" s="1"/>
  <c r="F158" i="3"/>
  <c r="O157" i="3"/>
  <c r="M157" i="3"/>
  <c r="P157" i="3" s="1"/>
  <c r="F157" i="3"/>
  <c r="O156" i="3"/>
  <c r="M156" i="3"/>
  <c r="P156" i="3" s="1"/>
  <c r="F156" i="3"/>
  <c r="O155" i="3"/>
  <c r="M155" i="3"/>
  <c r="P155" i="3" s="1"/>
  <c r="F155" i="3"/>
  <c r="O154" i="3"/>
  <c r="M154" i="3"/>
  <c r="P154" i="3" s="1"/>
  <c r="F154" i="3"/>
  <c r="O153" i="3"/>
  <c r="M153" i="3"/>
  <c r="P153" i="3" s="1"/>
  <c r="F153" i="3"/>
  <c r="O152" i="3"/>
  <c r="M152" i="3"/>
  <c r="P152" i="3" s="1"/>
  <c r="F152" i="3"/>
  <c r="O151" i="3"/>
  <c r="M151" i="3"/>
  <c r="P151" i="3" s="1"/>
  <c r="F151" i="3"/>
  <c r="O150" i="3"/>
  <c r="M150" i="3"/>
  <c r="P150" i="3" s="1"/>
  <c r="F150" i="3"/>
  <c r="O149" i="3"/>
  <c r="M149" i="3"/>
  <c r="P149" i="3" s="1"/>
  <c r="F149" i="3"/>
  <c r="O148" i="3"/>
  <c r="M148" i="3"/>
  <c r="P148" i="3" s="1"/>
  <c r="F148" i="3"/>
  <c r="O147" i="3"/>
  <c r="M147" i="3"/>
  <c r="P147" i="3" s="1"/>
  <c r="F147" i="3"/>
  <c r="O146" i="3"/>
  <c r="M146" i="3"/>
  <c r="P146" i="3" s="1"/>
  <c r="F146" i="3"/>
  <c r="O145" i="3"/>
  <c r="M145" i="3"/>
  <c r="P145" i="3" s="1"/>
  <c r="F145" i="3"/>
  <c r="O144" i="3"/>
  <c r="M144" i="3"/>
  <c r="P144" i="3" s="1"/>
  <c r="F144" i="3"/>
  <c r="O143" i="3"/>
  <c r="M143" i="3"/>
  <c r="P143" i="3" s="1"/>
  <c r="F143" i="3"/>
  <c r="O142" i="3"/>
  <c r="M142" i="3"/>
  <c r="P142" i="3" s="1"/>
  <c r="F142" i="3"/>
  <c r="O141" i="3"/>
  <c r="M141" i="3"/>
  <c r="P141" i="3" s="1"/>
  <c r="F141" i="3"/>
  <c r="O140" i="3"/>
  <c r="M140" i="3"/>
  <c r="P140" i="3" s="1"/>
  <c r="O139" i="3"/>
  <c r="M139" i="3"/>
  <c r="P139" i="3" s="1"/>
  <c r="F139" i="3"/>
  <c r="O138" i="3"/>
  <c r="M138" i="3"/>
  <c r="P138" i="3" s="1"/>
  <c r="F138" i="3"/>
  <c r="O137" i="3"/>
  <c r="M137" i="3"/>
  <c r="P137" i="3" s="1"/>
  <c r="F137" i="3"/>
  <c r="O136" i="3"/>
  <c r="M136" i="3"/>
  <c r="P136" i="3" s="1"/>
  <c r="F136" i="3"/>
  <c r="O135" i="3"/>
  <c r="M135" i="3"/>
  <c r="P135" i="3" s="1"/>
  <c r="F135" i="3"/>
  <c r="O134" i="3"/>
  <c r="M134" i="3"/>
  <c r="P134" i="3" s="1"/>
  <c r="F134" i="3"/>
  <c r="O133" i="3"/>
  <c r="M133" i="3"/>
  <c r="P133" i="3" s="1"/>
  <c r="F133" i="3"/>
  <c r="O132" i="3"/>
  <c r="M132" i="3"/>
  <c r="P132" i="3" s="1"/>
  <c r="F132" i="3"/>
  <c r="O131" i="3"/>
  <c r="M131" i="3"/>
  <c r="P131" i="3" s="1"/>
  <c r="F131" i="3"/>
  <c r="O130" i="3"/>
  <c r="M130" i="3"/>
  <c r="P130" i="3" s="1"/>
  <c r="F130" i="3"/>
  <c r="O129" i="3"/>
  <c r="M129" i="3"/>
  <c r="P129" i="3" s="1"/>
  <c r="F129" i="3"/>
  <c r="O128" i="3"/>
  <c r="M128" i="3"/>
  <c r="P128" i="3" s="1"/>
  <c r="F128" i="3"/>
  <c r="O127" i="3"/>
  <c r="M127" i="3"/>
  <c r="P127" i="3" s="1"/>
  <c r="F127" i="3"/>
  <c r="O126" i="3"/>
  <c r="M126" i="3"/>
  <c r="P126" i="3" s="1"/>
  <c r="F126" i="3"/>
  <c r="O125" i="3"/>
  <c r="M125" i="3"/>
  <c r="P125" i="3" s="1"/>
  <c r="F125" i="3"/>
  <c r="O124" i="3"/>
  <c r="M124" i="3"/>
  <c r="P124" i="3" s="1"/>
  <c r="F124" i="3"/>
  <c r="O123" i="3"/>
  <c r="M123" i="3"/>
  <c r="P123" i="3" s="1"/>
  <c r="F123" i="3"/>
  <c r="O122" i="3"/>
  <c r="M122" i="3"/>
  <c r="P122" i="3" s="1"/>
  <c r="F122" i="3"/>
  <c r="O121" i="3"/>
  <c r="M121" i="3"/>
  <c r="P121" i="3" s="1"/>
  <c r="F121" i="3"/>
  <c r="O120" i="3"/>
  <c r="M120" i="3"/>
  <c r="P120" i="3" s="1"/>
  <c r="F120" i="3"/>
  <c r="O119" i="3"/>
  <c r="M119" i="3"/>
  <c r="P119" i="3" s="1"/>
  <c r="F119" i="3"/>
  <c r="O118" i="3"/>
  <c r="M118" i="3"/>
  <c r="P118" i="3" s="1"/>
  <c r="F118" i="3"/>
  <c r="O117" i="3"/>
  <c r="M117" i="3"/>
  <c r="P117" i="3" s="1"/>
  <c r="F117" i="3"/>
  <c r="O116" i="3"/>
  <c r="M116" i="3"/>
  <c r="P116" i="3" s="1"/>
  <c r="F116" i="3"/>
  <c r="O115" i="3"/>
  <c r="M115" i="3"/>
  <c r="P115" i="3" s="1"/>
  <c r="F115" i="3"/>
  <c r="O114" i="3"/>
  <c r="M114" i="3"/>
  <c r="P114" i="3" s="1"/>
  <c r="F114" i="3"/>
  <c r="O113" i="3"/>
  <c r="M113" i="3"/>
  <c r="P113" i="3" s="1"/>
  <c r="F113" i="3"/>
  <c r="O112" i="3"/>
  <c r="M112" i="3"/>
  <c r="P112" i="3" s="1"/>
  <c r="F112" i="3"/>
  <c r="O111" i="3"/>
  <c r="M111" i="3"/>
  <c r="P111" i="3" s="1"/>
  <c r="F111" i="3"/>
  <c r="O110" i="3"/>
  <c r="M110" i="3"/>
  <c r="P110" i="3" s="1"/>
  <c r="F110" i="3"/>
  <c r="O109" i="3"/>
  <c r="M109" i="3"/>
  <c r="P109" i="3" s="1"/>
  <c r="F109" i="3"/>
  <c r="O108" i="3"/>
  <c r="M108" i="3"/>
  <c r="P108" i="3" s="1"/>
  <c r="F108" i="3"/>
  <c r="O107" i="3"/>
  <c r="M107" i="3"/>
  <c r="P107" i="3" s="1"/>
  <c r="F107" i="3"/>
  <c r="O106" i="3"/>
  <c r="M106" i="3"/>
  <c r="P106" i="3" s="1"/>
  <c r="F106" i="3"/>
  <c r="O105" i="3"/>
  <c r="M105" i="3"/>
  <c r="P105" i="3" s="1"/>
  <c r="F105" i="3"/>
  <c r="O104" i="3"/>
  <c r="M104" i="3"/>
  <c r="P104" i="3" s="1"/>
  <c r="F104" i="3"/>
  <c r="O103" i="3"/>
  <c r="M103" i="3"/>
  <c r="P103" i="3" s="1"/>
  <c r="F103" i="3"/>
  <c r="O102" i="3"/>
  <c r="M102" i="3"/>
  <c r="P102" i="3" s="1"/>
  <c r="F102" i="3"/>
  <c r="O101" i="3"/>
  <c r="M101" i="3"/>
  <c r="P101" i="3" s="1"/>
  <c r="F101" i="3"/>
  <c r="O100" i="3"/>
  <c r="M100" i="3"/>
  <c r="P100" i="3" s="1"/>
  <c r="F100" i="3"/>
  <c r="O99" i="3"/>
  <c r="M99" i="3"/>
  <c r="P99" i="3" s="1"/>
  <c r="F99" i="3"/>
  <c r="O98" i="3"/>
  <c r="M98" i="3"/>
  <c r="P98" i="3" s="1"/>
  <c r="F98" i="3"/>
  <c r="O97" i="3"/>
  <c r="M97" i="3"/>
  <c r="P97" i="3" s="1"/>
  <c r="F97" i="3"/>
  <c r="O96" i="3"/>
  <c r="M96" i="3"/>
  <c r="P96" i="3" s="1"/>
  <c r="F96" i="3"/>
  <c r="O95" i="3"/>
  <c r="M95" i="3"/>
  <c r="P95" i="3" s="1"/>
  <c r="F95" i="3"/>
  <c r="O94" i="3"/>
  <c r="M94" i="3"/>
  <c r="P94" i="3" s="1"/>
  <c r="F94" i="3"/>
  <c r="O93" i="3"/>
  <c r="M93" i="3"/>
  <c r="P93" i="3" s="1"/>
  <c r="F93" i="3"/>
  <c r="O92" i="3"/>
  <c r="M92" i="3"/>
  <c r="P92" i="3" s="1"/>
  <c r="F92" i="3"/>
  <c r="O91" i="3"/>
  <c r="M91" i="3"/>
  <c r="P91" i="3" s="1"/>
  <c r="F91" i="3"/>
  <c r="O90" i="3"/>
  <c r="M90" i="3"/>
  <c r="P90" i="3" s="1"/>
  <c r="F90" i="3"/>
  <c r="O89" i="3"/>
  <c r="M89" i="3"/>
  <c r="P89" i="3" s="1"/>
  <c r="F89" i="3"/>
  <c r="O88" i="3"/>
  <c r="M88" i="3"/>
  <c r="P88" i="3" s="1"/>
  <c r="F88" i="3"/>
  <c r="O87" i="3"/>
  <c r="M87" i="3"/>
  <c r="P87" i="3" s="1"/>
  <c r="F87" i="3"/>
  <c r="O86" i="3"/>
  <c r="M86" i="3"/>
  <c r="P86" i="3" s="1"/>
  <c r="F86" i="3"/>
  <c r="O85" i="3"/>
  <c r="M85" i="3"/>
  <c r="P85" i="3" s="1"/>
  <c r="F85" i="3"/>
  <c r="O84" i="3"/>
  <c r="M84" i="3"/>
  <c r="P84" i="3" s="1"/>
  <c r="F84" i="3"/>
  <c r="O83" i="3"/>
  <c r="M83" i="3"/>
  <c r="P83" i="3" s="1"/>
  <c r="F83" i="3"/>
  <c r="O82" i="3"/>
  <c r="M82" i="3"/>
  <c r="P82" i="3" s="1"/>
  <c r="F82" i="3"/>
  <c r="O81" i="3"/>
  <c r="M81" i="3"/>
  <c r="P81" i="3" s="1"/>
  <c r="F81" i="3"/>
  <c r="O80" i="3"/>
  <c r="M80" i="3"/>
  <c r="P80" i="3" s="1"/>
  <c r="F80" i="3"/>
  <c r="O79" i="3"/>
  <c r="M79" i="3"/>
  <c r="P79" i="3" s="1"/>
  <c r="F79" i="3"/>
  <c r="O78" i="3"/>
  <c r="M78" i="3"/>
  <c r="P78" i="3" s="1"/>
  <c r="F78" i="3"/>
  <c r="O77" i="3"/>
  <c r="M77" i="3"/>
  <c r="P77" i="3" s="1"/>
  <c r="F77" i="3"/>
  <c r="O76" i="3"/>
  <c r="M76" i="3"/>
  <c r="P76" i="3" s="1"/>
  <c r="F76" i="3"/>
  <c r="O75" i="3"/>
  <c r="M75" i="3"/>
  <c r="P75" i="3" s="1"/>
  <c r="F75" i="3"/>
  <c r="O74" i="3"/>
  <c r="M74" i="3"/>
  <c r="P74" i="3" s="1"/>
  <c r="F74" i="3"/>
  <c r="O73" i="3"/>
  <c r="M73" i="3"/>
  <c r="P73" i="3" s="1"/>
  <c r="F73" i="3"/>
  <c r="O72" i="3"/>
  <c r="M72" i="3"/>
  <c r="P72" i="3" s="1"/>
  <c r="F72" i="3"/>
  <c r="O71" i="3"/>
  <c r="M71" i="3"/>
  <c r="P71" i="3" s="1"/>
  <c r="F71" i="3"/>
  <c r="O70" i="3"/>
  <c r="M70" i="3"/>
  <c r="P70" i="3" s="1"/>
  <c r="F70" i="3"/>
  <c r="O69" i="3"/>
  <c r="M69" i="3"/>
  <c r="P69" i="3" s="1"/>
  <c r="F69" i="3"/>
  <c r="O68" i="3"/>
  <c r="M68" i="3"/>
  <c r="P68" i="3" s="1"/>
  <c r="F68" i="3"/>
  <c r="O67" i="3"/>
  <c r="M67" i="3"/>
  <c r="P67" i="3" s="1"/>
  <c r="F67" i="3"/>
  <c r="O66" i="3"/>
  <c r="M66" i="3"/>
  <c r="P66" i="3" s="1"/>
  <c r="F66" i="3"/>
  <c r="O65" i="3"/>
  <c r="M65" i="3"/>
  <c r="P65" i="3" s="1"/>
  <c r="F65" i="3"/>
  <c r="O64" i="3"/>
  <c r="M64" i="3"/>
  <c r="P64" i="3" s="1"/>
  <c r="F64" i="3"/>
  <c r="O63" i="3"/>
  <c r="M63" i="3"/>
  <c r="P63" i="3" s="1"/>
  <c r="F63" i="3"/>
  <c r="O62" i="3"/>
  <c r="M62" i="3"/>
  <c r="P62" i="3" s="1"/>
  <c r="F62" i="3"/>
  <c r="O61" i="3"/>
  <c r="M61" i="3"/>
  <c r="P61" i="3" s="1"/>
  <c r="F61" i="3"/>
  <c r="O60" i="3"/>
  <c r="M60" i="3"/>
  <c r="P60" i="3" s="1"/>
  <c r="F60" i="3"/>
  <c r="O59" i="3"/>
  <c r="M59" i="3"/>
  <c r="P59" i="3" s="1"/>
  <c r="F59" i="3"/>
  <c r="O58" i="3"/>
  <c r="M58" i="3"/>
  <c r="P58" i="3" s="1"/>
  <c r="F58" i="3"/>
  <c r="O57" i="3"/>
  <c r="M57" i="3"/>
  <c r="P57" i="3" s="1"/>
  <c r="F57" i="3"/>
  <c r="O56" i="3"/>
  <c r="M56" i="3"/>
  <c r="P56" i="3" s="1"/>
  <c r="F56" i="3"/>
  <c r="O55" i="3"/>
  <c r="M55" i="3"/>
  <c r="P55" i="3" s="1"/>
  <c r="F55" i="3"/>
  <c r="O54" i="3"/>
  <c r="M54" i="3"/>
  <c r="P54" i="3" s="1"/>
  <c r="F54" i="3"/>
  <c r="O53" i="3"/>
  <c r="M53" i="3"/>
  <c r="P53" i="3" s="1"/>
  <c r="F53" i="3"/>
  <c r="O52" i="3"/>
  <c r="M52" i="3"/>
  <c r="P52" i="3" s="1"/>
  <c r="F52" i="3"/>
  <c r="O51" i="3"/>
  <c r="M51" i="3"/>
  <c r="P51" i="3" s="1"/>
  <c r="F51" i="3"/>
  <c r="O50" i="3"/>
  <c r="M50" i="3"/>
  <c r="P50" i="3" s="1"/>
  <c r="F50" i="3"/>
  <c r="O49" i="3"/>
  <c r="M49" i="3"/>
  <c r="P49" i="3" s="1"/>
  <c r="F49" i="3"/>
  <c r="O48" i="3"/>
  <c r="M48" i="3"/>
  <c r="P48" i="3" s="1"/>
  <c r="F48" i="3"/>
  <c r="O47" i="3"/>
  <c r="M47" i="3"/>
  <c r="P47" i="3" s="1"/>
  <c r="F47" i="3"/>
  <c r="O46" i="3"/>
  <c r="M46" i="3"/>
  <c r="P46" i="3" s="1"/>
  <c r="F46" i="3"/>
  <c r="O45" i="3"/>
  <c r="M45" i="3"/>
  <c r="P45" i="3" s="1"/>
  <c r="F45" i="3"/>
  <c r="O44" i="3"/>
  <c r="M44" i="3"/>
  <c r="P44" i="3" s="1"/>
  <c r="F44" i="3"/>
  <c r="O43" i="3"/>
  <c r="M43" i="3"/>
  <c r="P43" i="3" s="1"/>
  <c r="F43" i="3"/>
  <c r="O42" i="3"/>
  <c r="M42" i="3"/>
  <c r="P42" i="3" s="1"/>
  <c r="F42" i="3"/>
  <c r="O41" i="3"/>
  <c r="M41" i="3"/>
  <c r="P41" i="3" s="1"/>
  <c r="F41" i="3"/>
  <c r="O40" i="3"/>
  <c r="M40" i="3"/>
  <c r="P40" i="3" s="1"/>
  <c r="F40" i="3"/>
  <c r="O39" i="3"/>
  <c r="M39" i="3"/>
  <c r="P39" i="3" s="1"/>
  <c r="F39" i="3"/>
  <c r="O38" i="3"/>
  <c r="M38" i="3"/>
  <c r="P38" i="3" s="1"/>
  <c r="F38" i="3"/>
  <c r="O37" i="3"/>
  <c r="M37" i="3"/>
  <c r="P37" i="3" s="1"/>
  <c r="F37" i="3"/>
  <c r="O36" i="3"/>
  <c r="M36" i="3"/>
  <c r="P36" i="3" s="1"/>
  <c r="F36" i="3"/>
  <c r="O35" i="3"/>
  <c r="M35" i="3"/>
  <c r="P35" i="3" s="1"/>
  <c r="F35" i="3"/>
  <c r="O34" i="3"/>
  <c r="M34" i="3"/>
  <c r="P34" i="3" s="1"/>
  <c r="F34" i="3"/>
  <c r="O33" i="3"/>
  <c r="M33" i="3"/>
  <c r="P33" i="3" s="1"/>
  <c r="F33" i="3"/>
  <c r="O32" i="3"/>
  <c r="M32" i="3"/>
  <c r="P32" i="3" s="1"/>
  <c r="F32" i="3"/>
  <c r="O31" i="3"/>
  <c r="M31" i="3"/>
  <c r="P31" i="3" s="1"/>
  <c r="F31" i="3"/>
  <c r="O30" i="3"/>
  <c r="M30" i="3"/>
  <c r="P30" i="3" s="1"/>
  <c r="F30" i="3"/>
  <c r="O29" i="3"/>
  <c r="M29" i="3"/>
  <c r="P29" i="3" s="1"/>
  <c r="F29" i="3"/>
  <c r="O28" i="3"/>
  <c r="M28" i="3"/>
  <c r="P28" i="3" s="1"/>
  <c r="F28" i="3"/>
  <c r="O27" i="3"/>
  <c r="M27" i="3"/>
  <c r="P27" i="3" s="1"/>
  <c r="F27" i="3"/>
  <c r="O26" i="3"/>
  <c r="M26" i="3"/>
  <c r="P26" i="3" s="1"/>
  <c r="F26" i="3"/>
  <c r="O25" i="3"/>
  <c r="M25" i="3"/>
  <c r="P25" i="3" s="1"/>
  <c r="F25" i="3"/>
  <c r="O24" i="3"/>
  <c r="M24" i="3"/>
  <c r="P24" i="3" s="1"/>
  <c r="F24" i="3"/>
  <c r="O23" i="3"/>
  <c r="M23" i="3"/>
  <c r="P23" i="3" s="1"/>
  <c r="F23" i="3"/>
  <c r="O22" i="3"/>
  <c r="M22" i="3"/>
  <c r="P22" i="3" s="1"/>
  <c r="F22" i="3"/>
  <c r="O21" i="3"/>
  <c r="M21" i="3"/>
  <c r="P21" i="3" s="1"/>
  <c r="F21" i="3"/>
  <c r="O20" i="3"/>
  <c r="M20" i="3"/>
  <c r="P20" i="3" s="1"/>
  <c r="F20" i="3"/>
  <c r="O19" i="3"/>
  <c r="M19" i="3"/>
  <c r="P19" i="3" s="1"/>
  <c r="F19" i="3"/>
  <c r="O18" i="3"/>
  <c r="M18" i="3"/>
  <c r="P18" i="3" s="1"/>
  <c r="F18" i="3"/>
  <c r="O17" i="3"/>
  <c r="M17" i="3"/>
  <c r="P17" i="3" s="1"/>
  <c r="F17" i="3"/>
  <c r="O16" i="3"/>
  <c r="M16" i="3"/>
  <c r="P16" i="3" s="1"/>
  <c r="F16" i="3"/>
  <c r="O15" i="3"/>
  <c r="M15" i="3"/>
  <c r="P15" i="3" s="1"/>
  <c r="F15" i="3"/>
  <c r="O14" i="3"/>
  <c r="M14" i="3"/>
  <c r="P14" i="3" s="1"/>
  <c r="F14" i="3"/>
  <c r="O13" i="3"/>
  <c r="M13" i="3"/>
  <c r="P13" i="3" s="1"/>
  <c r="F13" i="3"/>
  <c r="O12" i="3"/>
  <c r="M12" i="3"/>
  <c r="P12" i="3" s="1"/>
  <c r="F12" i="3"/>
  <c r="O11" i="3"/>
  <c r="M11" i="3"/>
  <c r="P11" i="3" s="1"/>
  <c r="F11" i="3"/>
  <c r="O10" i="3"/>
  <c r="M10" i="3"/>
  <c r="P10" i="3" s="1"/>
  <c r="F10" i="3"/>
  <c r="O9" i="3"/>
  <c r="M9" i="3"/>
  <c r="P9" i="3" s="1"/>
  <c r="F9" i="3"/>
  <c r="O8" i="3"/>
  <c r="M8" i="3"/>
  <c r="P8" i="3" s="1"/>
  <c r="F8" i="3"/>
  <c r="O7" i="3"/>
  <c r="M7" i="3"/>
  <c r="P7" i="3" s="1"/>
  <c r="F7" i="3"/>
  <c r="O673" i="2"/>
  <c r="M673" i="2"/>
  <c r="F673" i="2"/>
  <c r="O672" i="2"/>
  <c r="M672" i="2"/>
  <c r="F672" i="2"/>
  <c r="O671" i="2"/>
  <c r="M671" i="2"/>
  <c r="F671" i="2"/>
  <c r="O670" i="2"/>
  <c r="M670" i="2"/>
  <c r="F670" i="2"/>
  <c r="O669" i="2"/>
  <c r="M669" i="2"/>
  <c r="F669" i="2"/>
  <c r="O668" i="2"/>
  <c r="M668" i="2"/>
  <c r="F668" i="2"/>
  <c r="O667" i="2"/>
  <c r="M667" i="2"/>
  <c r="F667" i="2"/>
  <c r="O666" i="2"/>
  <c r="M666" i="2"/>
  <c r="F666" i="2"/>
  <c r="O665" i="2"/>
  <c r="M665" i="2"/>
  <c r="F665" i="2"/>
  <c r="O664" i="2"/>
  <c r="M664" i="2"/>
  <c r="F664" i="2"/>
  <c r="O663" i="2"/>
  <c r="M663" i="2"/>
  <c r="F663" i="2"/>
  <c r="O662" i="2"/>
  <c r="M662" i="2"/>
  <c r="F662" i="2"/>
  <c r="O661" i="2"/>
  <c r="M661" i="2"/>
  <c r="F661" i="2"/>
  <c r="O660" i="2"/>
  <c r="M660" i="2"/>
  <c r="F660" i="2"/>
  <c r="O659" i="2"/>
  <c r="M659" i="2"/>
  <c r="F659" i="2"/>
  <c r="O658" i="2"/>
  <c r="M658" i="2"/>
  <c r="F658" i="2"/>
  <c r="O657" i="2"/>
  <c r="M657" i="2"/>
  <c r="F657" i="2"/>
  <c r="O656" i="2"/>
  <c r="M656" i="2"/>
  <c r="F656" i="2"/>
  <c r="O655" i="2"/>
  <c r="M655" i="2"/>
  <c r="F655" i="2"/>
  <c r="O654" i="2"/>
  <c r="M654" i="2"/>
  <c r="F654" i="2"/>
  <c r="O653" i="2"/>
  <c r="M653" i="2"/>
  <c r="F653" i="2"/>
  <c r="O652" i="2"/>
  <c r="M652" i="2"/>
  <c r="F652" i="2"/>
  <c r="O651" i="2"/>
  <c r="M651" i="2"/>
  <c r="F651" i="2"/>
  <c r="O650" i="2"/>
  <c r="M650" i="2"/>
  <c r="F650" i="2"/>
  <c r="O649" i="2"/>
  <c r="M649" i="2"/>
  <c r="F649" i="2"/>
  <c r="O648" i="2"/>
  <c r="M648" i="2"/>
  <c r="F648" i="2"/>
  <c r="O647" i="2"/>
  <c r="M647" i="2"/>
  <c r="F647" i="2"/>
  <c r="O646" i="2"/>
  <c r="M646" i="2"/>
  <c r="F646" i="2"/>
  <c r="O645" i="2"/>
  <c r="M645" i="2"/>
  <c r="F645" i="2"/>
  <c r="O644" i="2"/>
  <c r="M644" i="2"/>
  <c r="F644" i="2"/>
  <c r="O643" i="2"/>
  <c r="M643" i="2"/>
  <c r="F643" i="2"/>
  <c r="O642" i="2"/>
  <c r="M642" i="2"/>
  <c r="F642" i="2"/>
  <c r="O641" i="2"/>
  <c r="M641" i="2"/>
  <c r="F641" i="2"/>
  <c r="O640" i="2"/>
  <c r="M640" i="2"/>
  <c r="F640" i="2"/>
  <c r="O639" i="2"/>
  <c r="M639" i="2"/>
  <c r="F639" i="2"/>
  <c r="O638" i="2"/>
  <c r="M638" i="2"/>
  <c r="F638" i="2"/>
  <c r="O637" i="2"/>
  <c r="M637" i="2"/>
  <c r="F637" i="2"/>
  <c r="O636" i="2"/>
  <c r="M636" i="2"/>
  <c r="F636" i="2"/>
  <c r="O635" i="2"/>
  <c r="M635" i="2"/>
  <c r="F635" i="2"/>
  <c r="O634" i="2"/>
  <c r="M634" i="2"/>
  <c r="F634" i="2"/>
  <c r="O633" i="2"/>
  <c r="M633" i="2"/>
  <c r="F633" i="2"/>
  <c r="O632" i="2"/>
  <c r="M632" i="2"/>
  <c r="F632" i="2"/>
  <c r="O631" i="2"/>
  <c r="M631" i="2"/>
  <c r="F631" i="2"/>
  <c r="O630" i="2"/>
  <c r="M630" i="2"/>
  <c r="F630" i="2"/>
  <c r="O629" i="2"/>
  <c r="M629" i="2"/>
  <c r="F629" i="2"/>
  <c r="O628" i="2"/>
  <c r="M628" i="2"/>
  <c r="F628" i="2"/>
  <c r="O627" i="2"/>
  <c r="M627" i="2"/>
  <c r="F627" i="2"/>
  <c r="O626" i="2"/>
  <c r="M626" i="2"/>
  <c r="F626" i="2"/>
  <c r="O625" i="2"/>
  <c r="M625" i="2"/>
  <c r="F625" i="2"/>
  <c r="O624" i="2"/>
  <c r="M624" i="2"/>
  <c r="F624" i="2"/>
  <c r="O623" i="2"/>
  <c r="M623" i="2"/>
  <c r="F623" i="2"/>
  <c r="O622" i="2"/>
  <c r="M622" i="2"/>
  <c r="F622" i="2"/>
  <c r="O621" i="2"/>
  <c r="M621" i="2"/>
  <c r="F621" i="2"/>
  <c r="O620" i="2"/>
  <c r="M620" i="2"/>
  <c r="F620" i="2"/>
  <c r="O619" i="2"/>
  <c r="M619" i="2"/>
  <c r="F619" i="2"/>
  <c r="O618" i="2"/>
  <c r="M618" i="2"/>
  <c r="F618" i="2"/>
  <c r="O617" i="2"/>
  <c r="M617" i="2"/>
  <c r="F617" i="2"/>
  <c r="O616" i="2"/>
  <c r="M616" i="2"/>
  <c r="F616" i="2"/>
  <c r="O615" i="2"/>
  <c r="M615" i="2"/>
  <c r="F615" i="2"/>
  <c r="O614" i="2"/>
  <c r="M614" i="2"/>
  <c r="F614" i="2"/>
  <c r="O613" i="2"/>
  <c r="M613" i="2"/>
  <c r="F613" i="2"/>
  <c r="O612" i="2"/>
  <c r="M612" i="2"/>
  <c r="F612" i="2"/>
  <c r="O611" i="2"/>
  <c r="M611" i="2"/>
  <c r="F611" i="2"/>
  <c r="O610" i="2"/>
  <c r="M610" i="2"/>
  <c r="F610" i="2"/>
  <c r="O609" i="2"/>
  <c r="M609" i="2"/>
  <c r="F609" i="2"/>
  <c r="O608" i="2"/>
  <c r="M608" i="2"/>
  <c r="F608" i="2"/>
  <c r="O607" i="2"/>
  <c r="M607" i="2"/>
  <c r="F607" i="2"/>
  <c r="O606" i="2"/>
  <c r="M606" i="2"/>
  <c r="F606" i="2"/>
  <c r="O605" i="2"/>
  <c r="M605" i="2"/>
  <c r="F605" i="2"/>
  <c r="O604" i="2"/>
  <c r="M604" i="2"/>
  <c r="F604" i="2"/>
  <c r="O603" i="2"/>
  <c r="M603" i="2"/>
  <c r="F603" i="2"/>
  <c r="O602" i="2"/>
  <c r="M602" i="2"/>
  <c r="F602" i="2"/>
  <c r="O601" i="2"/>
  <c r="M601" i="2"/>
  <c r="F601" i="2"/>
  <c r="O600" i="2"/>
  <c r="M600" i="2"/>
  <c r="F600" i="2"/>
  <c r="O599" i="2"/>
  <c r="M599" i="2"/>
  <c r="F599" i="2"/>
  <c r="O598" i="2"/>
  <c r="M598" i="2"/>
  <c r="F598" i="2"/>
  <c r="O597" i="2"/>
  <c r="M597" i="2"/>
  <c r="F597" i="2"/>
  <c r="O596" i="2"/>
  <c r="M596" i="2"/>
  <c r="F596" i="2"/>
  <c r="O595" i="2"/>
  <c r="M595" i="2"/>
  <c r="F595" i="2"/>
  <c r="O594" i="2"/>
  <c r="M594" i="2"/>
  <c r="F594" i="2"/>
  <c r="O593" i="2"/>
  <c r="M593" i="2"/>
  <c r="F593" i="2"/>
  <c r="O592" i="2"/>
  <c r="M592" i="2"/>
  <c r="F592" i="2"/>
  <c r="O591" i="2"/>
  <c r="M591" i="2"/>
  <c r="F591" i="2"/>
  <c r="O590" i="2"/>
  <c r="M590" i="2"/>
  <c r="F590" i="2"/>
  <c r="O589" i="2"/>
  <c r="M589" i="2"/>
  <c r="F589" i="2"/>
  <c r="O588" i="2"/>
  <c r="M588" i="2"/>
  <c r="F588" i="2"/>
  <c r="O587" i="2"/>
  <c r="M587" i="2"/>
  <c r="F587" i="2"/>
  <c r="O586" i="2"/>
  <c r="M586" i="2"/>
  <c r="F586" i="2"/>
  <c r="O585" i="2"/>
  <c r="M585" i="2"/>
  <c r="F585" i="2"/>
  <c r="O584" i="2"/>
  <c r="M584" i="2"/>
  <c r="F584" i="2"/>
  <c r="O583" i="2"/>
  <c r="M583" i="2"/>
  <c r="F583" i="2"/>
  <c r="O582" i="2"/>
  <c r="M582" i="2"/>
  <c r="F582" i="2"/>
  <c r="O581" i="2"/>
  <c r="M581" i="2"/>
  <c r="F581" i="2"/>
  <c r="O580" i="2"/>
  <c r="M580" i="2"/>
  <c r="F580" i="2"/>
  <c r="O579" i="2"/>
  <c r="M579" i="2"/>
  <c r="F579" i="2"/>
  <c r="O578" i="2"/>
  <c r="M578" i="2"/>
  <c r="F578" i="2"/>
  <c r="O577" i="2"/>
  <c r="M577" i="2"/>
  <c r="F577" i="2"/>
  <c r="O576" i="2"/>
  <c r="M576" i="2"/>
  <c r="F576" i="2"/>
  <c r="O575" i="2"/>
  <c r="M575" i="2"/>
  <c r="F575" i="2"/>
  <c r="O574" i="2"/>
  <c r="M574" i="2"/>
  <c r="F574" i="2"/>
  <c r="O573" i="2"/>
  <c r="M573" i="2"/>
  <c r="F573" i="2"/>
  <c r="O572" i="2"/>
  <c r="M572" i="2"/>
  <c r="F572" i="2"/>
  <c r="O571" i="2"/>
  <c r="M571" i="2"/>
  <c r="F571" i="2"/>
  <c r="O570" i="2"/>
  <c r="M570" i="2"/>
  <c r="F570" i="2"/>
  <c r="O569" i="2"/>
  <c r="M569" i="2"/>
  <c r="F569" i="2"/>
  <c r="F568" i="2"/>
  <c r="O567" i="2"/>
  <c r="M567" i="2"/>
  <c r="F567" i="2"/>
  <c r="O566" i="2"/>
  <c r="M566" i="2"/>
  <c r="F566" i="2"/>
  <c r="O565" i="2"/>
  <c r="M565" i="2"/>
  <c r="F565" i="2"/>
  <c r="O564" i="2"/>
  <c r="M564" i="2"/>
  <c r="F564" i="2"/>
  <c r="O563" i="2"/>
  <c r="M563" i="2"/>
  <c r="F563" i="2"/>
  <c r="O562" i="2"/>
  <c r="M562" i="2"/>
  <c r="F562" i="2"/>
  <c r="O561" i="2"/>
  <c r="M561" i="2"/>
  <c r="F561" i="2"/>
  <c r="O560" i="2"/>
  <c r="M560" i="2"/>
  <c r="F560" i="2"/>
  <c r="O559" i="2"/>
  <c r="M559" i="2"/>
  <c r="F559" i="2"/>
  <c r="O558" i="2"/>
  <c r="M558" i="2"/>
  <c r="F558" i="2"/>
  <c r="O557" i="2"/>
  <c r="M557" i="2"/>
  <c r="F557" i="2"/>
  <c r="O556" i="2"/>
  <c r="M556" i="2"/>
  <c r="F556" i="2"/>
  <c r="O555" i="2"/>
  <c r="M555" i="2"/>
  <c r="F555" i="2"/>
  <c r="O554" i="2"/>
  <c r="M554" i="2"/>
  <c r="F554" i="2"/>
  <c r="O553" i="2"/>
  <c r="M553" i="2"/>
  <c r="F553" i="2"/>
  <c r="O552" i="2"/>
  <c r="M552" i="2"/>
  <c r="F552" i="2"/>
  <c r="O551" i="2"/>
  <c r="M551" i="2"/>
  <c r="F551" i="2"/>
  <c r="O550" i="2"/>
  <c r="M550" i="2"/>
  <c r="F550" i="2"/>
  <c r="O549" i="2"/>
  <c r="M549" i="2"/>
  <c r="F549" i="2"/>
  <c r="O548" i="2"/>
  <c r="M548" i="2"/>
  <c r="F548" i="2"/>
  <c r="O547" i="2"/>
  <c r="M547" i="2"/>
  <c r="F547" i="2"/>
  <c r="O546" i="2"/>
  <c r="M546" i="2"/>
  <c r="F546" i="2"/>
  <c r="O545" i="2"/>
  <c r="M545" i="2"/>
  <c r="F545" i="2"/>
  <c r="O544" i="2"/>
  <c r="M544" i="2"/>
  <c r="F544" i="2"/>
  <c r="O543" i="2"/>
  <c r="M543" i="2"/>
  <c r="F543" i="2"/>
  <c r="O542" i="2"/>
  <c r="M542" i="2"/>
  <c r="F542" i="2"/>
  <c r="O541" i="2"/>
  <c r="M541" i="2"/>
  <c r="F541" i="2"/>
  <c r="O540" i="2"/>
  <c r="M540" i="2"/>
  <c r="F540" i="2"/>
  <c r="O539" i="2"/>
  <c r="M539" i="2"/>
  <c r="F539" i="2"/>
  <c r="O538" i="2"/>
  <c r="M538" i="2"/>
  <c r="F538" i="2"/>
  <c r="O537" i="2"/>
  <c r="M537" i="2"/>
  <c r="F537" i="2"/>
  <c r="O536" i="2"/>
  <c r="M536" i="2"/>
  <c r="F536" i="2"/>
  <c r="O535" i="2"/>
  <c r="M535" i="2"/>
  <c r="F535" i="2"/>
  <c r="O534" i="2"/>
  <c r="M534" i="2"/>
  <c r="F534" i="2"/>
  <c r="O533" i="2"/>
  <c r="M533" i="2"/>
  <c r="F533" i="2"/>
  <c r="O532" i="2"/>
  <c r="M532" i="2"/>
  <c r="F532" i="2"/>
  <c r="O531" i="2"/>
  <c r="M531" i="2"/>
  <c r="F531" i="2"/>
  <c r="O530" i="2"/>
  <c r="M530" i="2"/>
  <c r="F530" i="2"/>
  <c r="O529" i="2"/>
  <c r="M529" i="2"/>
  <c r="F529" i="2"/>
  <c r="O528" i="2"/>
  <c r="M528" i="2"/>
  <c r="F528" i="2"/>
  <c r="O527" i="2"/>
  <c r="M527" i="2"/>
  <c r="F527" i="2"/>
  <c r="O526" i="2"/>
  <c r="M526" i="2"/>
  <c r="F526" i="2"/>
  <c r="O525" i="2"/>
  <c r="M525" i="2"/>
  <c r="F525" i="2"/>
  <c r="O524" i="2"/>
  <c r="M524" i="2"/>
  <c r="F524" i="2"/>
  <c r="O523" i="2"/>
  <c r="M523" i="2"/>
  <c r="F523" i="2"/>
  <c r="O522" i="2"/>
  <c r="M522" i="2"/>
  <c r="F522" i="2"/>
  <c r="O521" i="2"/>
  <c r="M521" i="2"/>
  <c r="F521" i="2"/>
  <c r="O520" i="2"/>
  <c r="M520" i="2"/>
  <c r="F520" i="2"/>
  <c r="O519" i="2"/>
  <c r="M519" i="2"/>
  <c r="F519" i="2"/>
  <c r="O518" i="2"/>
  <c r="M518" i="2"/>
  <c r="F518" i="2"/>
  <c r="O517" i="2"/>
  <c r="M517" i="2"/>
  <c r="F517" i="2"/>
  <c r="O516" i="2"/>
  <c r="M516" i="2"/>
  <c r="F516" i="2"/>
  <c r="O515" i="2"/>
  <c r="M515" i="2"/>
  <c r="F515" i="2"/>
  <c r="O514" i="2"/>
  <c r="M514" i="2"/>
  <c r="F514" i="2"/>
  <c r="O513" i="2"/>
  <c r="M513" i="2"/>
  <c r="F513" i="2"/>
  <c r="O512" i="2"/>
  <c r="M512" i="2"/>
  <c r="F512" i="2"/>
  <c r="O511" i="2"/>
  <c r="M511" i="2"/>
  <c r="F511" i="2"/>
  <c r="O510" i="2"/>
  <c r="M510" i="2"/>
  <c r="F510" i="2"/>
  <c r="O509" i="2"/>
  <c r="M509" i="2"/>
  <c r="F509" i="2"/>
  <c r="O508" i="2"/>
  <c r="M508" i="2"/>
  <c r="F508" i="2"/>
  <c r="O507" i="2"/>
  <c r="M507" i="2"/>
  <c r="F507" i="2"/>
  <c r="O506" i="2"/>
  <c r="M506" i="2"/>
  <c r="F506" i="2"/>
  <c r="O505" i="2"/>
  <c r="M505" i="2"/>
  <c r="F505" i="2"/>
  <c r="O504" i="2"/>
  <c r="M504" i="2"/>
  <c r="F504" i="2"/>
  <c r="O503" i="2"/>
  <c r="M503" i="2"/>
  <c r="F503" i="2"/>
  <c r="O502" i="2"/>
  <c r="M502" i="2"/>
  <c r="F502" i="2"/>
  <c r="O501" i="2"/>
  <c r="M501" i="2"/>
  <c r="F501" i="2"/>
  <c r="O500" i="2"/>
  <c r="M500" i="2"/>
  <c r="F500" i="2"/>
  <c r="O499" i="2"/>
  <c r="M499" i="2"/>
  <c r="F499" i="2"/>
  <c r="O498" i="2"/>
  <c r="M498" i="2"/>
  <c r="F498" i="2"/>
  <c r="O497" i="2"/>
  <c r="M497" i="2"/>
  <c r="F497" i="2"/>
  <c r="O496" i="2"/>
  <c r="M496" i="2"/>
  <c r="F496" i="2"/>
  <c r="O495" i="2"/>
  <c r="M495" i="2"/>
  <c r="F495" i="2"/>
  <c r="O494" i="2"/>
  <c r="M494" i="2"/>
  <c r="F494" i="2"/>
  <c r="O493" i="2"/>
  <c r="M493" i="2"/>
  <c r="F493" i="2"/>
  <c r="O492" i="2"/>
  <c r="M492" i="2"/>
  <c r="F492" i="2"/>
  <c r="O491" i="2"/>
  <c r="M491" i="2"/>
  <c r="F491" i="2"/>
  <c r="O490" i="2"/>
  <c r="M490" i="2"/>
  <c r="F490" i="2"/>
  <c r="O489" i="2"/>
  <c r="M489" i="2"/>
  <c r="F489" i="2"/>
  <c r="O488" i="2"/>
  <c r="M488" i="2"/>
  <c r="F488" i="2"/>
  <c r="O487" i="2"/>
  <c r="M487" i="2"/>
  <c r="F487" i="2"/>
  <c r="O486" i="2"/>
  <c r="M486" i="2"/>
  <c r="F486" i="2"/>
  <c r="O485" i="2"/>
  <c r="M485" i="2"/>
  <c r="F485" i="2"/>
  <c r="O484" i="2"/>
  <c r="M484" i="2"/>
  <c r="F484" i="2"/>
  <c r="O483" i="2"/>
  <c r="M483" i="2"/>
  <c r="F483" i="2"/>
  <c r="O482" i="2"/>
  <c r="M482" i="2"/>
  <c r="F482" i="2"/>
  <c r="O481" i="2"/>
  <c r="M481" i="2"/>
  <c r="F481" i="2"/>
  <c r="O480" i="2"/>
  <c r="M480" i="2"/>
  <c r="F480" i="2"/>
  <c r="O479" i="2"/>
  <c r="M479" i="2"/>
  <c r="F479" i="2"/>
  <c r="O478" i="2"/>
  <c r="M478" i="2"/>
  <c r="F478" i="2"/>
  <c r="O477" i="2"/>
  <c r="M477" i="2"/>
  <c r="F477" i="2"/>
  <c r="O476" i="2"/>
  <c r="M476" i="2"/>
  <c r="F476" i="2"/>
  <c r="O475" i="2"/>
  <c r="M475" i="2"/>
  <c r="F475" i="2"/>
  <c r="O474" i="2"/>
  <c r="M474" i="2"/>
  <c r="F474" i="2"/>
  <c r="O473" i="2"/>
  <c r="M473" i="2"/>
  <c r="F473" i="2"/>
  <c r="O472" i="2"/>
  <c r="M472" i="2"/>
  <c r="F472" i="2"/>
  <c r="O471" i="2"/>
  <c r="M471" i="2"/>
  <c r="F471" i="2"/>
  <c r="O470" i="2"/>
  <c r="M470" i="2"/>
  <c r="F470" i="2"/>
  <c r="O469" i="2"/>
  <c r="M469" i="2"/>
  <c r="F469" i="2"/>
  <c r="O468" i="2"/>
  <c r="M468" i="2"/>
  <c r="F468" i="2"/>
  <c r="O467" i="2"/>
  <c r="M467" i="2"/>
  <c r="F467" i="2"/>
  <c r="O466" i="2"/>
  <c r="M466" i="2"/>
  <c r="F466" i="2"/>
  <c r="O465" i="2"/>
  <c r="M465" i="2"/>
  <c r="F465" i="2"/>
  <c r="O464" i="2"/>
  <c r="M464" i="2"/>
  <c r="F464" i="2"/>
  <c r="O463" i="2"/>
  <c r="M463" i="2"/>
  <c r="F463" i="2"/>
  <c r="O462" i="2"/>
  <c r="M462" i="2"/>
  <c r="F462" i="2"/>
  <c r="O461" i="2"/>
  <c r="M461" i="2"/>
  <c r="F461" i="2"/>
  <c r="O460" i="2"/>
  <c r="M460" i="2"/>
  <c r="F460" i="2"/>
  <c r="O459" i="2"/>
  <c r="M459" i="2"/>
  <c r="F459" i="2"/>
  <c r="O458" i="2"/>
  <c r="M458" i="2"/>
  <c r="F458" i="2"/>
  <c r="O457" i="2"/>
  <c r="M457" i="2"/>
  <c r="F457" i="2"/>
  <c r="O456" i="2"/>
  <c r="M456" i="2"/>
  <c r="F456" i="2"/>
  <c r="O455" i="2"/>
  <c r="M455" i="2"/>
  <c r="F455" i="2"/>
  <c r="O454" i="2"/>
  <c r="M454" i="2"/>
  <c r="F454" i="2"/>
  <c r="O453" i="2"/>
  <c r="M453" i="2"/>
  <c r="F453" i="2"/>
  <c r="O452" i="2"/>
  <c r="M452" i="2"/>
  <c r="F452" i="2"/>
  <c r="O451" i="2"/>
  <c r="M451" i="2"/>
  <c r="F451" i="2"/>
  <c r="O450" i="2"/>
  <c r="M450" i="2"/>
  <c r="F450" i="2"/>
  <c r="O449" i="2"/>
  <c r="M449" i="2"/>
  <c r="F449" i="2"/>
  <c r="O448" i="2"/>
  <c r="M448" i="2"/>
  <c r="F448" i="2"/>
  <c r="O447" i="2"/>
  <c r="M447" i="2"/>
  <c r="F447" i="2"/>
  <c r="O446" i="2"/>
  <c r="M446" i="2"/>
  <c r="F446" i="2"/>
  <c r="O445" i="2"/>
  <c r="M445" i="2"/>
  <c r="F445" i="2"/>
  <c r="O444" i="2"/>
  <c r="M444" i="2"/>
  <c r="F444" i="2"/>
  <c r="O443" i="2"/>
  <c r="M443" i="2"/>
  <c r="F443" i="2"/>
  <c r="O442" i="2"/>
  <c r="M442" i="2"/>
  <c r="F442" i="2"/>
  <c r="O441" i="2"/>
  <c r="M441" i="2"/>
  <c r="F441" i="2"/>
  <c r="O440" i="2"/>
  <c r="M440" i="2"/>
  <c r="F440" i="2"/>
  <c r="O439" i="2"/>
  <c r="M439" i="2"/>
  <c r="F439" i="2"/>
  <c r="O438" i="2"/>
  <c r="M438" i="2"/>
  <c r="F438" i="2"/>
  <c r="O437" i="2"/>
  <c r="M437" i="2"/>
  <c r="F437" i="2"/>
  <c r="O436" i="2"/>
  <c r="M436" i="2"/>
  <c r="F436" i="2"/>
  <c r="O435" i="2"/>
  <c r="M435" i="2"/>
  <c r="F435" i="2"/>
  <c r="O434" i="2"/>
  <c r="M434" i="2"/>
  <c r="F434" i="2"/>
  <c r="O433" i="2"/>
  <c r="M433" i="2"/>
  <c r="F433" i="2"/>
  <c r="O432" i="2"/>
  <c r="M432" i="2"/>
  <c r="F432" i="2"/>
  <c r="O431" i="2"/>
  <c r="M431" i="2"/>
  <c r="F431" i="2"/>
  <c r="O430" i="2"/>
  <c r="M430" i="2"/>
  <c r="F430" i="2"/>
  <c r="O429" i="2"/>
  <c r="M429" i="2"/>
  <c r="F429" i="2"/>
  <c r="O428" i="2"/>
  <c r="M428" i="2"/>
  <c r="F428" i="2"/>
  <c r="O427" i="2"/>
  <c r="M427" i="2"/>
  <c r="F427" i="2"/>
  <c r="O426" i="2"/>
  <c r="M426" i="2"/>
  <c r="F426" i="2"/>
  <c r="O425" i="2"/>
  <c r="M425" i="2"/>
  <c r="F425" i="2"/>
  <c r="O424" i="2"/>
  <c r="M424" i="2"/>
  <c r="F424" i="2"/>
  <c r="O423" i="2"/>
  <c r="M423" i="2"/>
  <c r="F423" i="2"/>
  <c r="O422" i="2"/>
  <c r="M422" i="2"/>
  <c r="F422" i="2"/>
  <c r="O421" i="2"/>
  <c r="M421" i="2"/>
  <c r="F421" i="2"/>
  <c r="O420" i="2"/>
  <c r="M420" i="2"/>
  <c r="F420" i="2"/>
  <c r="O419" i="2"/>
  <c r="M419" i="2"/>
  <c r="F419" i="2"/>
  <c r="O418" i="2"/>
  <c r="M418" i="2"/>
  <c r="F418" i="2"/>
  <c r="O417" i="2"/>
  <c r="M417" i="2"/>
  <c r="F417" i="2"/>
  <c r="O416" i="2"/>
  <c r="M416" i="2"/>
  <c r="F416" i="2"/>
  <c r="O415" i="2"/>
  <c r="M415" i="2"/>
  <c r="F415" i="2"/>
  <c r="O414" i="2"/>
  <c r="M414" i="2"/>
  <c r="F414" i="2"/>
  <c r="O413" i="2"/>
  <c r="M413" i="2"/>
  <c r="F413" i="2"/>
  <c r="O412" i="2"/>
  <c r="M412" i="2"/>
  <c r="F412" i="2"/>
  <c r="O411" i="2"/>
  <c r="M411" i="2"/>
  <c r="F411" i="2"/>
  <c r="O410" i="2"/>
  <c r="M410" i="2"/>
  <c r="F410" i="2"/>
  <c r="O409" i="2"/>
  <c r="M409" i="2"/>
  <c r="F409" i="2"/>
  <c r="O408" i="2"/>
  <c r="M408" i="2"/>
  <c r="F408" i="2"/>
  <c r="O407" i="2"/>
  <c r="M407" i="2"/>
  <c r="F407" i="2"/>
  <c r="O406" i="2"/>
  <c r="M406" i="2"/>
  <c r="F406" i="2"/>
  <c r="O405" i="2"/>
  <c r="M405" i="2"/>
  <c r="F405" i="2"/>
  <c r="O404" i="2"/>
  <c r="M404" i="2"/>
  <c r="F404" i="2"/>
  <c r="O403" i="2"/>
  <c r="M403" i="2"/>
  <c r="F403" i="2"/>
  <c r="O402" i="2"/>
  <c r="M402" i="2"/>
  <c r="F402" i="2"/>
  <c r="O401" i="2"/>
  <c r="M401" i="2"/>
  <c r="F401" i="2"/>
  <c r="O400" i="2"/>
  <c r="M400" i="2"/>
  <c r="F400" i="2"/>
  <c r="O399" i="2"/>
  <c r="M399" i="2"/>
  <c r="F399" i="2"/>
  <c r="O398" i="2"/>
  <c r="M398" i="2"/>
  <c r="F398" i="2"/>
  <c r="O397" i="2"/>
  <c r="M397" i="2"/>
  <c r="F397" i="2"/>
  <c r="O396" i="2"/>
  <c r="M396" i="2"/>
  <c r="F396" i="2"/>
  <c r="O395" i="2"/>
  <c r="M395" i="2"/>
  <c r="F395" i="2"/>
  <c r="O394" i="2"/>
  <c r="M394" i="2"/>
  <c r="F394" i="2"/>
  <c r="O393" i="2"/>
  <c r="M393" i="2"/>
  <c r="F393" i="2"/>
  <c r="O392" i="2"/>
  <c r="M392" i="2"/>
  <c r="F392" i="2"/>
  <c r="O391" i="2"/>
  <c r="M391" i="2"/>
  <c r="F391" i="2"/>
  <c r="O390" i="2"/>
  <c r="M390" i="2"/>
  <c r="F390" i="2"/>
  <c r="O389" i="2"/>
  <c r="M389" i="2"/>
  <c r="F389" i="2"/>
  <c r="O388" i="2"/>
  <c r="M388" i="2"/>
  <c r="F388" i="2"/>
  <c r="O387" i="2"/>
  <c r="M387" i="2"/>
  <c r="F387" i="2"/>
  <c r="O386" i="2"/>
  <c r="M386" i="2"/>
  <c r="F386" i="2"/>
  <c r="O385" i="2"/>
  <c r="M385" i="2"/>
  <c r="F385" i="2"/>
  <c r="O384" i="2"/>
  <c r="M384" i="2"/>
  <c r="F384" i="2"/>
  <c r="O383" i="2"/>
  <c r="M383" i="2"/>
  <c r="F383" i="2"/>
  <c r="O382" i="2"/>
  <c r="M382" i="2"/>
  <c r="F382" i="2"/>
  <c r="O381" i="2"/>
  <c r="M381" i="2"/>
  <c r="F381" i="2"/>
  <c r="O380" i="2"/>
  <c r="M380" i="2"/>
  <c r="F380" i="2"/>
  <c r="O379" i="2"/>
  <c r="M379" i="2"/>
  <c r="F379" i="2"/>
  <c r="O378" i="2"/>
  <c r="M378" i="2"/>
  <c r="F378" i="2"/>
  <c r="O377" i="2"/>
  <c r="M377" i="2"/>
  <c r="F377" i="2"/>
  <c r="O376" i="2"/>
  <c r="M376" i="2"/>
  <c r="F376" i="2"/>
  <c r="O375" i="2"/>
  <c r="M375" i="2"/>
  <c r="F375" i="2"/>
  <c r="O374" i="2"/>
  <c r="M374" i="2"/>
  <c r="F374" i="2"/>
  <c r="O373" i="2"/>
  <c r="M373" i="2"/>
  <c r="F373" i="2"/>
  <c r="O372" i="2"/>
  <c r="M372" i="2"/>
  <c r="F372" i="2"/>
  <c r="O371" i="2"/>
  <c r="M371" i="2"/>
  <c r="F371" i="2"/>
  <c r="O370" i="2"/>
  <c r="M370" i="2"/>
  <c r="F370" i="2"/>
  <c r="O369" i="2"/>
  <c r="M369" i="2"/>
  <c r="F369" i="2"/>
  <c r="O368" i="2"/>
  <c r="M368" i="2"/>
  <c r="F368" i="2"/>
  <c r="O367" i="2"/>
  <c r="M367" i="2"/>
  <c r="F367" i="2"/>
  <c r="O366" i="2"/>
  <c r="M366" i="2"/>
  <c r="F366" i="2"/>
  <c r="O365" i="2"/>
  <c r="M365" i="2"/>
  <c r="F365" i="2"/>
  <c r="O364" i="2"/>
  <c r="M364" i="2"/>
  <c r="F364" i="2"/>
  <c r="O363" i="2"/>
  <c r="M363" i="2"/>
  <c r="F363" i="2"/>
  <c r="O362" i="2"/>
  <c r="M362" i="2"/>
  <c r="F362" i="2"/>
  <c r="O361" i="2"/>
  <c r="M361" i="2"/>
  <c r="F361" i="2"/>
  <c r="O360" i="2"/>
  <c r="M360" i="2"/>
  <c r="F360" i="2"/>
  <c r="O359" i="2"/>
  <c r="M359" i="2"/>
  <c r="F359" i="2"/>
  <c r="O358" i="2"/>
  <c r="M358" i="2"/>
  <c r="F358" i="2"/>
  <c r="O357" i="2"/>
  <c r="M357" i="2"/>
  <c r="F357" i="2"/>
  <c r="O356" i="2"/>
  <c r="M356" i="2"/>
  <c r="F356" i="2"/>
  <c r="O355" i="2"/>
  <c r="M355" i="2"/>
  <c r="F355" i="2"/>
  <c r="O354" i="2"/>
  <c r="M354" i="2"/>
  <c r="F354" i="2"/>
  <c r="O353" i="2"/>
  <c r="M353" i="2"/>
  <c r="F353" i="2"/>
  <c r="O352" i="2"/>
  <c r="M352" i="2"/>
  <c r="F352" i="2"/>
  <c r="O351" i="2"/>
  <c r="M351" i="2"/>
  <c r="F351" i="2"/>
  <c r="O350" i="2"/>
  <c r="M350" i="2"/>
  <c r="F350" i="2"/>
  <c r="O349" i="2"/>
  <c r="M349" i="2"/>
  <c r="F349" i="2"/>
  <c r="O348" i="2"/>
  <c r="M348" i="2"/>
  <c r="F348" i="2"/>
  <c r="O347" i="2"/>
  <c r="M347" i="2"/>
  <c r="F347" i="2"/>
  <c r="O346" i="2"/>
  <c r="M346" i="2"/>
  <c r="F346" i="2"/>
  <c r="O345" i="2"/>
  <c r="M345" i="2"/>
  <c r="F345" i="2"/>
  <c r="O344" i="2"/>
  <c r="M344" i="2"/>
  <c r="F344" i="2"/>
  <c r="O343" i="2"/>
  <c r="M343" i="2"/>
  <c r="F343" i="2"/>
  <c r="O342" i="2"/>
  <c r="M342" i="2"/>
  <c r="F342" i="2"/>
  <c r="O341" i="2"/>
  <c r="M341" i="2"/>
  <c r="F341" i="2"/>
  <c r="O340" i="2"/>
  <c r="M340" i="2"/>
  <c r="F340" i="2"/>
  <c r="O339" i="2"/>
  <c r="M339" i="2"/>
  <c r="F339" i="2"/>
  <c r="O338" i="2"/>
  <c r="M338" i="2"/>
  <c r="F338" i="2"/>
  <c r="O337" i="2"/>
  <c r="M337" i="2"/>
  <c r="F337" i="2"/>
  <c r="O336" i="2"/>
  <c r="M336" i="2"/>
  <c r="F336" i="2"/>
  <c r="O335" i="2"/>
  <c r="M335" i="2"/>
  <c r="F335" i="2"/>
  <c r="O334" i="2"/>
  <c r="M334" i="2"/>
  <c r="F334" i="2"/>
  <c r="O333" i="2"/>
  <c r="M333" i="2"/>
  <c r="F333" i="2"/>
  <c r="O332" i="2"/>
  <c r="M332" i="2"/>
  <c r="F332" i="2"/>
  <c r="O331" i="2"/>
  <c r="M331" i="2"/>
  <c r="F331" i="2"/>
  <c r="O330" i="2"/>
  <c r="M330" i="2"/>
  <c r="F330" i="2"/>
  <c r="O329" i="2"/>
  <c r="M329" i="2"/>
  <c r="F329" i="2"/>
  <c r="O328" i="2"/>
  <c r="M328" i="2"/>
  <c r="F328" i="2"/>
  <c r="O327" i="2"/>
  <c r="M327" i="2"/>
  <c r="F327" i="2"/>
  <c r="O326" i="2"/>
  <c r="M326" i="2"/>
  <c r="F326" i="2"/>
  <c r="O325" i="2"/>
  <c r="M325" i="2"/>
  <c r="F325" i="2"/>
  <c r="O324" i="2"/>
  <c r="M324" i="2"/>
  <c r="F324" i="2"/>
  <c r="O323" i="2"/>
  <c r="M323" i="2"/>
  <c r="F323" i="2"/>
  <c r="O322" i="2"/>
  <c r="M322" i="2"/>
  <c r="F322" i="2"/>
  <c r="O321" i="2"/>
  <c r="M321" i="2"/>
  <c r="F321" i="2"/>
  <c r="O320" i="2"/>
  <c r="M320" i="2"/>
  <c r="F320" i="2"/>
  <c r="O319" i="2"/>
  <c r="M319" i="2"/>
  <c r="F319" i="2"/>
  <c r="O318" i="2"/>
  <c r="M318" i="2"/>
  <c r="F318" i="2"/>
  <c r="O317" i="2"/>
  <c r="M317" i="2"/>
  <c r="F317" i="2"/>
  <c r="O316" i="2"/>
  <c r="M316" i="2"/>
  <c r="F316" i="2"/>
  <c r="O315" i="2"/>
  <c r="M315" i="2"/>
  <c r="F315" i="2"/>
  <c r="O314" i="2"/>
  <c r="M314" i="2"/>
  <c r="F314" i="2"/>
  <c r="O313" i="2"/>
  <c r="M313" i="2"/>
  <c r="F313" i="2"/>
  <c r="O312" i="2"/>
  <c r="M312" i="2"/>
  <c r="F312" i="2"/>
  <c r="O311" i="2"/>
  <c r="M311" i="2"/>
  <c r="F311" i="2"/>
  <c r="O310" i="2"/>
  <c r="M310" i="2"/>
  <c r="F310" i="2"/>
  <c r="O309" i="2"/>
  <c r="M309" i="2"/>
  <c r="F309" i="2"/>
  <c r="O308" i="2"/>
  <c r="M308" i="2"/>
  <c r="F308" i="2"/>
  <c r="O307" i="2"/>
  <c r="M307" i="2"/>
  <c r="F307" i="2"/>
  <c r="O306" i="2"/>
  <c r="M306" i="2"/>
  <c r="F306" i="2"/>
  <c r="O305" i="2"/>
  <c r="M305" i="2"/>
  <c r="F305" i="2"/>
  <c r="O304" i="2"/>
  <c r="M304" i="2"/>
  <c r="F304" i="2"/>
  <c r="O303" i="2"/>
  <c r="M303" i="2"/>
  <c r="F303" i="2"/>
  <c r="O302" i="2"/>
  <c r="M302" i="2"/>
  <c r="F302" i="2"/>
  <c r="O301" i="2"/>
  <c r="M301" i="2"/>
  <c r="F301" i="2"/>
  <c r="O300" i="2"/>
  <c r="M300" i="2"/>
  <c r="F300" i="2"/>
  <c r="O299" i="2"/>
  <c r="M299" i="2"/>
  <c r="F299" i="2"/>
  <c r="O298" i="2"/>
  <c r="M298" i="2"/>
  <c r="F298" i="2"/>
  <c r="O297" i="2"/>
  <c r="M297" i="2"/>
  <c r="F297" i="2"/>
  <c r="O296" i="2"/>
  <c r="M296" i="2"/>
  <c r="F296" i="2"/>
  <c r="O295" i="2"/>
  <c r="M295" i="2"/>
  <c r="F295" i="2"/>
  <c r="O294" i="2"/>
  <c r="M294" i="2"/>
  <c r="F294" i="2"/>
  <c r="O293" i="2"/>
  <c r="M293" i="2"/>
  <c r="F293" i="2"/>
  <c r="O292" i="2"/>
  <c r="M292" i="2"/>
  <c r="O291" i="2"/>
  <c r="M291" i="2"/>
  <c r="F291" i="2"/>
  <c r="O290" i="2"/>
  <c r="M290" i="2"/>
  <c r="F290" i="2"/>
  <c r="O289" i="2"/>
  <c r="M289" i="2"/>
  <c r="F289" i="2"/>
  <c r="O288" i="2"/>
  <c r="M288" i="2"/>
  <c r="F288" i="2"/>
  <c r="O287" i="2"/>
  <c r="M287" i="2"/>
  <c r="F287" i="2"/>
  <c r="O286" i="2"/>
  <c r="M286" i="2"/>
  <c r="F286" i="2"/>
  <c r="O285" i="2"/>
  <c r="M285" i="2"/>
  <c r="F285" i="2"/>
  <c r="O284" i="2"/>
  <c r="M284" i="2"/>
  <c r="F284" i="2"/>
  <c r="O283" i="2"/>
  <c r="M283" i="2"/>
  <c r="F283" i="2"/>
  <c r="O282" i="2"/>
  <c r="M282" i="2"/>
  <c r="F282" i="2"/>
  <c r="O281" i="2"/>
  <c r="M281" i="2"/>
  <c r="F281" i="2"/>
  <c r="O280" i="2"/>
  <c r="M280" i="2"/>
  <c r="F280" i="2"/>
  <c r="O279" i="2"/>
  <c r="M279" i="2"/>
  <c r="F279" i="2"/>
  <c r="O278" i="2"/>
  <c r="M278" i="2"/>
  <c r="F278" i="2"/>
  <c r="O277" i="2"/>
  <c r="M277" i="2"/>
  <c r="F277" i="2"/>
  <c r="O218" i="2"/>
  <c r="M218" i="2"/>
  <c r="F218" i="2"/>
  <c r="O217" i="2"/>
  <c r="M217" i="2"/>
  <c r="F217" i="2"/>
  <c r="O196" i="2"/>
  <c r="M196" i="2"/>
  <c r="F196" i="2"/>
  <c r="O195" i="2"/>
  <c r="M195" i="2"/>
  <c r="F195" i="2"/>
  <c r="O194" i="2"/>
  <c r="M194" i="2"/>
  <c r="F194" i="2"/>
  <c r="O193" i="2"/>
  <c r="M193" i="2"/>
  <c r="F193" i="2"/>
  <c r="O192" i="2"/>
  <c r="M192" i="2"/>
  <c r="F192" i="2"/>
  <c r="O191" i="2"/>
  <c r="M191" i="2"/>
  <c r="F191" i="2"/>
  <c r="O190" i="2"/>
  <c r="M190" i="2"/>
  <c r="F190" i="2"/>
  <c r="O189" i="2"/>
  <c r="M189" i="2"/>
  <c r="F189" i="2"/>
  <c r="O188" i="2"/>
  <c r="M188" i="2"/>
  <c r="F188" i="2"/>
  <c r="O187" i="2"/>
  <c r="M187" i="2"/>
  <c r="F187" i="2"/>
  <c r="O186" i="2"/>
  <c r="M186" i="2"/>
  <c r="F186" i="2"/>
  <c r="O185" i="2"/>
  <c r="M185" i="2"/>
  <c r="F185" i="2"/>
  <c r="O184" i="2"/>
  <c r="M184" i="2"/>
  <c r="F184" i="2"/>
  <c r="O183" i="2"/>
  <c r="M183" i="2"/>
  <c r="F183" i="2"/>
  <c r="O182" i="2"/>
  <c r="M182" i="2"/>
  <c r="F182" i="2"/>
  <c r="O180" i="2"/>
  <c r="M180" i="2"/>
  <c r="F180" i="2"/>
  <c r="O179" i="2"/>
  <c r="M179" i="2"/>
  <c r="F179" i="2"/>
  <c r="O178" i="2"/>
  <c r="M178" i="2"/>
  <c r="F178" i="2"/>
  <c r="O177" i="2"/>
  <c r="M177" i="2"/>
  <c r="F177" i="2"/>
  <c r="O176" i="2"/>
  <c r="M176" i="2"/>
  <c r="F176" i="2"/>
  <c r="O175" i="2"/>
  <c r="M175" i="2"/>
  <c r="F175" i="2"/>
  <c r="O174" i="2"/>
  <c r="M174" i="2"/>
  <c r="F174" i="2"/>
  <c r="O173" i="2"/>
  <c r="M173" i="2"/>
  <c r="F173" i="2"/>
  <c r="O172" i="2"/>
  <c r="M172" i="2"/>
  <c r="F172" i="2"/>
  <c r="O171" i="2"/>
  <c r="M171" i="2"/>
  <c r="F171" i="2"/>
  <c r="O170" i="2"/>
  <c r="M170" i="2"/>
  <c r="F170" i="2"/>
  <c r="O169" i="2"/>
  <c r="M169" i="2"/>
  <c r="F169" i="2"/>
  <c r="O168" i="2"/>
  <c r="M168" i="2"/>
  <c r="F168" i="2"/>
  <c r="O167" i="2"/>
  <c r="M167" i="2"/>
  <c r="F167" i="2"/>
  <c r="O166" i="2"/>
  <c r="M166" i="2"/>
  <c r="F166" i="2"/>
  <c r="O165" i="2"/>
  <c r="M165" i="2"/>
  <c r="F165" i="2"/>
  <c r="O164" i="2"/>
  <c r="M164" i="2"/>
  <c r="F164" i="2"/>
  <c r="O163" i="2"/>
  <c r="M163" i="2"/>
  <c r="F163" i="2"/>
  <c r="O162" i="2"/>
  <c r="M162" i="2"/>
  <c r="F162" i="2"/>
  <c r="O161" i="2"/>
  <c r="M161" i="2"/>
  <c r="F161" i="2"/>
  <c r="O160" i="2"/>
  <c r="M160" i="2"/>
  <c r="F160" i="2"/>
  <c r="O159" i="2"/>
  <c r="M159" i="2"/>
  <c r="F159" i="2"/>
  <c r="O158" i="2"/>
  <c r="M158" i="2"/>
  <c r="F158" i="2"/>
  <c r="O157" i="2"/>
  <c r="M157" i="2"/>
  <c r="F157" i="2"/>
  <c r="O156" i="2"/>
  <c r="M156" i="2"/>
  <c r="F156" i="2"/>
  <c r="O155" i="2"/>
  <c r="M155" i="2"/>
  <c r="F155" i="2"/>
  <c r="O154" i="2"/>
  <c r="M154" i="2"/>
  <c r="F154" i="2"/>
  <c r="O153" i="2"/>
  <c r="M153" i="2"/>
  <c r="F153" i="2"/>
  <c r="O152" i="2"/>
  <c r="M152" i="2"/>
  <c r="F152" i="2"/>
  <c r="O151" i="2"/>
  <c r="M151" i="2"/>
  <c r="F151" i="2"/>
  <c r="O150" i="2"/>
  <c r="M150" i="2"/>
  <c r="F150" i="2"/>
  <c r="O149" i="2"/>
  <c r="M149" i="2"/>
  <c r="F149" i="2"/>
  <c r="O148" i="2"/>
  <c r="M148" i="2"/>
  <c r="F148" i="2"/>
  <c r="O147" i="2"/>
  <c r="M147" i="2"/>
  <c r="F147" i="2"/>
  <c r="O146" i="2"/>
  <c r="M146" i="2"/>
  <c r="F146" i="2"/>
  <c r="O145" i="2"/>
  <c r="M145" i="2"/>
  <c r="F145" i="2"/>
  <c r="O144" i="2"/>
  <c r="M144" i="2"/>
  <c r="F144" i="2"/>
  <c r="O143" i="2"/>
  <c r="M143" i="2"/>
  <c r="F143" i="2"/>
  <c r="O142" i="2"/>
  <c r="M142" i="2"/>
  <c r="F142" i="2"/>
  <c r="O141" i="2"/>
  <c r="M141" i="2"/>
  <c r="F141" i="2"/>
  <c r="O140" i="2"/>
  <c r="M140" i="2"/>
  <c r="F140" i="2"/>
  <c r="O139" i="2"/>
  <c r="M139" i="2"/>
  <c r="F139" i="2"/>
  <c r="O138" i="2"/>
  <c r="M138" i="2"/>
  <c r="F138" i="2"/>
  <c r="O137" i="2"/>
  <c r="M137" i="2"/>
  <c r="F137" i="2"/>
  <c r="O136" i="2"/>
  <c r="M136" i="2"/>
  <c r="F136" i="2"/>
  <c r="O135" i="2"/>
  <c r="M135" i="2"/>
  <c r="F135" i="2"/>
  <c r="O134" i="2"/>
  <c r="M134" i="2"/>
  <c r="F134" i="2"/>
  <c r="O133" i="2"/>
  <c r="M133" i="2"/>
  <c r="F133" i="2"/>
  <c r="O132" i="2"/>
  <c r="M132" i="2"/>
  <c r="F132" i="2"/>
  <c r="O131" i="2"/>
  <c r="M131" i="2"/>
  <c r="F131" i="2"/>
  <c r="O130" i="2"/>
  <c r="M130" i="2"/>
  <c r="F130" i="2"/>
  <c r="O129" i="2"/>
  <c r="M129" i="2"/>
  <c r="F129" i="2"/>
  <c r="O128" i="2"/>
  <c r="M128" i="2"/>
  <c r="F128" i="2"/>
  <c r="O127" i="2"/>
  <c r="M127" i="2"/>
  <c r="F127" i="2"/>
  <c r="O126" i="2"/>
  <c r="M126" i="2"/>
  <c r="F126" i="2"/>
  <c r="O125" i="2"/>
  <c r="M125" i="2"/>
  <c r="F125" i="2"/>
  <c r="O124" i="2"/>
  <c r="M124" i="2"/>
  <c r="F124" i="2"/>
  <c r="O123" i="2"/>
  <c r="M123" i="2"/>
  <c r="F123" i="2"/>
  <c r="O122" i="2"/>
  <c r="M122" i="2"/>
  <c r="F122" i="2"/>
  <c r="O121" i="2"/>
  <c r="M121" i="2"/>
  <c r="F121" i="2"/>
  <c r="O120" i="2"/>
  <c r="M120" i="2"/>
  <c r="F120" i="2"/>
  <c r="O119" i="2"/>
  <c r="M119" i="2"/>
  <c r="F119" i="2"/>
  <c r="O118" i="2"/>
  <c r="M118" i="2"/>
  <c r="F118" i="2"/>
  <c r="O117" i="2"/>
  <c r="M117" i="2"/>
  <c r="F117" i="2"/>
  <c r="O116" i="2"/>
  <c r="M116" i="2"/>
  <c r="F116" i="2"/>
  <c r="O115" i="2"/>
  <c r="M115" i="2"/>
  <c r="F115" i="2"/>
  <c r="O114" i="2"/>
  <c r="M114" i="2"/>
  <c r="F114" i="2"/>
  <c r="O113" i="2"/>
  <c r="M113" i="2"/>
  <c r="F113" i="2"/>
  <c r="O112" i="2"/>
  <c r="M112" i="2"/>
  <c r="F112" i="2"/>
  <c r="O111" i="2"/>
  <c r="M111" i="2"/>
  <c r="F111" i="2"/>
  <c r="O110" i="2"/>
  <c r="M110" i="2"/>
  <c r="F110" i="2"/>
  <c r="O109" i="2"/>
  <c r="M109" i="2"/>
  <c r="F109" i="2"/>
  <c r="O108" i="2"/>
  <c r="M108" i="2"/>
  <c r="F108" i="2"/>
  <c r="O107" i="2"/>
  <c r="M107" i="2"/>
  <c r="F107" i="2"/>
  <c r="O106" i="2"/>
  <c r="M106" i="2"/>
  <c r="F106" i="2"/>
  <c r="O105" i="2"/>
  <c r="M105" i="2"/>
  <c r="F105" i="2"/>
  <c r="O104" i="2"/>
  <c r="M104" i="2"/>
  <c r="F104" i="2"/>
  <c r="O103" i="2"/>
  <c r="M103" i="2"/>
  <c r="F103" i="2"/>
  <c r="O102" i="2"/>
  <c r="M102" i="2"/>
  <c r="F102" i="2"/>
  <c r="O101" i="2"/>
  <c r="M101" i="2"/>
  <c r="F101" i="2"/>
  <c r="O100" i="2"/>
  <c r="M100" i="2"/>
  <c r="F100" i="2"/>
  <c r="O99" i="2"/>
  <c r="M99" i="2"/>
  <c r="F99" i="2"/>
  <c r="O98" i="2"/>
  <c r="M98" i="2"/>
  <c r="F98" i="2"/>
  <c r="O97" i="2"/>
  <c r="M97" i="2"/>
  <c r="F97" i="2"/>
  <c r="O96" i="2"/>
  <c r="M96" i="2"/>
  <c r="F96" i="2"/>
  <c r="O95" i="2"/>
  <c r="M95" i="2"/>
  <c r="F95" i="2"/>
  <c r="O94" i="2"/>
  <c r="M94" i="2"/>
  <c r="F94" i="2"/>
  <c r="O93" i="2"/>
  <c r="M93" i="2"/>
  <c r="F93" i="2"/>
  <c r="O92" i="2"/>
  <c r="M92" i="2"/>
  <c r="F92" i="2"/>
  <c r="O91" i="2"/>
  <c r="M91" i="2"/>
  <c r="F91" i="2"/>
  <c r="O90" i="2"/>
  <c r="M90" i="2"/>
  <c r="F90" i="2"/>
  <c r="O89" i="2"/>
  <c r="M89" i="2"/>
  <c r="F89" i="2"/>
  <c r="O88" i="2"/>
  <c r="M88" i="2"/>
  <c r="F88" i="2"/>
  <c r="O87" i="2"/>
  <c r="M87" i="2"/>
  <c r="F87" i="2"/>
  <c r="O86" i="2"/>
  <c r="M86" i="2"/>
  <c r="F86" i="2"/>
  <c r="O85" i="2"/>
  <c r="M85" i="2"/>
  <c r="F85" i="2"/>
  <c r="O84" i="2"/>
  <c r="M84" i="2"/>
  <c r="F84" i="2"/>
  <c r="O83" i="2"/>
  <c r="M83" i="2"/>
  <c r="F83" i="2"/>
  <c r="O82" i="2"/>
  <c r="M82" i="2"/>
  <c r="F82" i="2"/>
  <c r="O81" i="2"/>
  <c r="M81" i="2"/>
  <c r="F81" i="2"/>
  <c r="O80" i="2"/>
  <c r="M80" i="2"/>
  <c r="F80" i="2"/>
  <c r="O79" i="2"/>
  <c r="M79" i="2"/>
  <c r="F79" i="2"/>
  <c r="O78" i="2"/>
  <c r="M78" i="2"/>
  <c r="F78" i="2"/>
  <c r="O77" i="2"/>
  <c r="M77" i="2"/>
  <c r="F77" i="2"/>
  <c r="O76" i="2"/>
  <c r="M76" i="2"/>
  <c r="F76" i="2"/>
  <c r="O75" i="2"/>
  <c r="M75" i="2"/>
  <c r="F75" i="2"/>
  <c r="O74" i="2"/>
  <c r="M74" i="2"/>
  <c r="F74" i="2"/>
  <c r="O73" i="2"/>
  <c r="M73" i="2"/>
  <c r="F73" i="2"/>
  <c r="O72" i="2"/>
  <c r="M72" i="2"/>
  <c r="F72" i="2"/>
  <c r="O71" i="2"/>
  <c r="M71" i="2"/>
  <c r="F71" i="2"/>
  <c r="O70" i="2"/>
  <c r="M70" i="2"/>
  <c r="F70" i="2"/>
  <c r="O69" i="2"/>
  <c r="M69" i="2"/>
  <c r="F69" i="2"/>
  <c r="O68" i="2"/>
  <c r="M68" i="2"/>
  <c r="F68" i="2"/>
  <c r="O67" i="2"/>
  <c r="M67" i="2"/>
  <c r="F67" i="2"/>
  <c r="O66" i="2"/>
  <c r="M66" i="2"/>
  <c r="F66" i="2"/>
  <c r="O65" i="2"/>
  <c r="M65" i="2"/>
  <c r="F65" i="2"/>
  <c r="O64" i="2"/>
  <c r="M64" i="2"/>
  <c r="F64" i="2"/>
  <c r="O63" i="2"/>
  <c r="M63" i="2"/>
  <c r="F63" i="2"/>
  <c r="O62" i="2"/>
  <c r="M62" i="2"/>
  <c r="F62" i="2"/>
  <c r="O61" i="2"/>
  <c r="M61" i="2"/>
  <c r="F61" i="2"/>
  <c r="O60" i="2"/>
  <c r="M60" i="2"/>
  <c r="F60" i="2"/>
  <c r="O59" i="2"/>
  <c r="M59" i="2"/>
  <c r="F59" i="2"/>
  <c r="O58" i="2"/>
  <c r="M58" i="2"/>
  <c r="F58" i="2"/>
  <c r="O57" i="2"/>
  <c r="M57" i="2"/>
  <c r="F57" i="2"/>
  <c r="O56" i="2"/>
  <c r="M56" i="2"/>
  <c r="F56" i="2"/>
  <c r="O55" i="2"/>
  <c r="M55" i="2"/>
  <c r="F55" i="2"/>
  <c r="O54" i="2"/>
  <c r="M54" i="2"/>
  <c r="F54" i="2"/>
  <c r="O53" i="2"/>
  <c r="M53" i="2"/>
  <c r="F53" i="2"/>
  <c r="O52" i="2"/>
  <c r="M52" i="2"/>
  <c r="F52" i="2"/>
  <c r="O51" i="2"/>
  <c r="M51" i="2"/>
  <c r="F51" i="2"/>
  <c r="O50" i="2"/>
  <c r="M50" i="2"/>
  <c r="F50" i="2"/>
  <c r="O49" i="2"/>
  <c r="M49" i="2"/>
  <c r="F49" i="2"/>
  <c r="O48" i="2"/>
  <c r="M48" i="2"/>
  <c r="F48" i="2"/>
  <c r="O47" i="2"/>
  <c r="M47" i="2"/>
  <c r="F47" i="2"/>
  <c r="O46" i="2"/>
  <c r="M46" i="2"/>
  <c r="F46" i="2"/>
  <c r="O45" i="2"/>
  <c r="M45" i="2"/>
  <c r="F45" i="2"/>
  <c r="O44" i="2"/>
  <c r="M44" i="2"/>
  <c r="F44" i="2"/>
  <c r="O43" i="2"/>
  <c r="M43" i="2"/>
  <c r="F43" i="2"/>
  <c r="O42" i="2"/>
  <c r="M42" i="2"/>
  <c r="F42" i="2"/>
  <c r="O41" i="2"/>
  <c r="M41" i="2"/>
  <c r="F41" i="2"/>
  <c r="O40" i="2"/>
  <c r="M40" i="2"/>
  <c r="F40" i="2"/>
  <c r="O39" i="2"/>
  <c r="M39" i="2"/>
  <c r="F39" i="2"/>
  <c r="O38" i="2"/>
  <c r="M38" i="2"/>
  <c r="F38" i="2"/>
  <c r="O37" i="2"/>
  <c r="M37" i="2"/>
  <c r="F37" i="2"/>
  <c r="O36" i="2"/>
  <c r="M36" i="2"/>
  <c r="F36" i="2"/>
  <c r="O35" i="2"/>
  <c r="M35" i="2"/>
  <c r="F35" i="2"/>
  <c r="O34" i="2"/>
  <c r="M34" i="2"/>
  <c r="F34" i="2"/>
  <c r="O33" i="2"/>
  <c r="M33" i="2"/>
  <c r="F33" i="2"/>
  <c r="O32" i="2"/>
  <c r="M32" i="2"/>
  <c r="F32" i="2"/>
  <c r="O31" i="2"/>
  <c r="M31" i="2"/>
  <c r="F31" i="2"/>
  <c r="O30" i="2"/>
  <c r="M30" i="2"/>
  <c r="F30" i="2"/>
  <c r="O29" i="2"/>
  <c r="M29" i="2"/>
  <c r="F29" i="2"/>
  <c r="O28" i="2"/>
  <c r="M28" i="2"/>
  <c r="F28" i="2"/>
  <c r="O27" i="2"/>
  <c r="M27" i="2"/>
  <c r="P27" i="2" s="1"/>
  <c r="F27" i="2"/>
  <c r="O26" i="2"/>
  <c r="M26" i="2"/>
  <c r="P26" i="2" s="1"/>
  <c r="F26" i="2"/>
  <c r="O25" i="2"/>
  <c r="M25" i="2"/>
  <c r="P25" i="2" s="1"/>
  <c r="F25" i="2"/>
  <c r="O24" i="2"/>
  <c r="M24" i="2"/>
  <c r="P24" i="2" s="1"/>
  <c r="F24" i="2"/>
  <c r="O23" i="2"/>
  <c r="M23" i="2"/>
  <c r="P23" i="2" s="1"/>
  <c r="F23" i="2"/>
  <c r="O22" i="2"/>
  <c r="M22" i="2"/>
  <c r="P22" i="2" s="1"/>
  <c r="F22" i="2"/>
  <c r="O21" i="2"/>
  <c r="M21" i="2"/>
  <c r="P21" i="2" s="1"/>
  <c r="F21" i="2"/>
  <c r="O20" i="2"/>
  <c r="M20" i="2"/>
  <c r="P20" i="2" s="1"/>
  <c r="F20" i="2"/>
  <c r="O19" i="2"/>
  <c r="M19" i="2"/>
  <c r="P19" i="2" s="1"/>
  <c r="F19" i="2"/>
  <c r="O18" i="2"/>
  <c r="M18" i="2"/>
  <c r="P18" i="2" s="1"/>
  <c r="F18" i="2"/>
  <c r="O17" i="2"/>
  <c r="M17" i="2"/>
  <c r="P17" i="2" s="1"/>
  <c r="F17" i="2"/>
  <c r="O16" i="2"/>
  <c r="M16" i="2"/>
  <c r="P16" i="2" s="1"/>
  <c r="F16" i="2"/>
  <c r="O15" i="2"/>
  <c r="M15" i="2"/>
  <c r="P15" i="2" s="1"/>
  <c r="F15" i="2"/>
  <c r="O14" i="2"/>
  <c r="M14" i="2"/>
  <c r="P14" i="2" s="1"/>
  <c r="F14" i="2"/>
  <c r="O13" i="2"/>
  <c r="M13" i="2"/>
  <c r="P13" i="2" s="1"/>
  <c r="F13" i="2"/>
  <c r="O12" i="2"/>
  <c r="M12" i="2"/>
  <c r="P12" i="2" s="1"/>
  <c r="F12" i="2"/>
  <c r="O11" i="2"/>
  <c r="M11" i="2"/>
  <c r="P11" i="2" s="1"/>
  <c r="F11" i="2"/>
  <c r="O10" i="2"/>
  <c r="M10" i="2"/>
  <c r="P10" i="2" s="1"/>
  <c r="F10" i="2"/>
  <c r="O9" i="2"/>
  <c r="M9" i="2"/>
  <c r="P9" i="2" s="1"/>
  <c r="F9" i="2"/>
  <c r="O8" i="2"/>
  <c r="M8" i="2"/>
  <c r="P8" i="2" s="1"/>
  <c r="F8" i="2"/>
  <c r="O7" i="2"/>
  <c r="M7" i="2"/>
  <c r="P7" i="2" s="1"/>
  <c r="F7" i="2"/>
  <c r="F6" i="2"/>
  <c r="P551" i="1"/>
  <c r="O551" i="1"/>
  <c r="M551" i="1"/>
  <c r="F551" i="1"/>
  <c r="O550" i="1"/>
  <c r="M550" i="1"/>
  <c r="P550" i="1" s="1"/>
  <c r="F550" i="1"/>
  <c r="O549" i="1"/>
  <c r="M549" i="1"/>
  <c r="P549" i="1" s="1"/>
  <c r="F549" i="1"/>
  <c r="O548" i="1"/>
  <c r="M548" i="1"/>
  <c r="P548" i="1" s="1"/>
  <c r="F548" i="1"/>
  <c r="O547" i="1"/>
  <c r="M547" i="1"/>
  <c r="P547" i="1" s="1"/>
  <c r="F547" i="1"/>
  <c r="O546" i="1"/>
  <c r="M546" i="1"/>
  <c r="P546" i="1" s="1"/>
  <c r="F546" i="1"/>
  <c r="O545" i="1"/>
  <c r="M545" i="1"/>
  <c r="P545" i="1" s="1"/>
  <c r="F545" i="1"/>
  <c r="O544" i="1"/>
  <c r="M544" i="1"/>
  <c r="P544" i="1" s="1"/>
  <c r="F544" i="1"/>
  <c r="O543" i="1"/>
  <c r="M543" i="1"/>
  <c r="P543" i="1" s="1"/>
  <c r="F543" i="1"/>
  <c r="O542" i="1"/>
  <c r="M542" i="1"/>
  <c r="P542" i="1" s="1"/>
  <c r="F542" i="1"/>
  <c r="O541" i="1"/>
  <c r="M541" i="1"/>
  <c r="P541" i="1" s="1"/>
  <c r="F541" i="1"/>
  <c r="O540" i="1"/>
  <c r="M540" i="1"/>
  <c r="P540" i="1" s="1"/>
  <c r="F540" i="1"/>
  <c r="O539" i="1"/>
  <c r="M539" i="1"/>
  <c r="P539" i="1" s="1"/>
  <c r="F539" i="1"/>
  <c r="O538" i="1"/>
  <c r="M538" i="1"/>
  <c r="P538" i="1" s="1"/>
  <c r="F538" i="1"/>
  <c r="O537" i="1"/>
  <c r="M537" i="1"/>
  <c r="P537" i="1" s="1"/>
  <c r="F537" i="1"/>
  <c r="O536" i="1"/>
  <c r="M536" i="1"/>
  <c r="P536" i="1" s="1"/>
  <c r="F536" i="1"/>
  <c r="O535" i="1"/>
  <c r="M535" i="1"/>
  <c r="P535" i="1" s="1"/>
  <c r="F535" i="1"/>
  <c r="O534" i="1"/>
  <c r="M534" i="1"/>
  <c r="P534" i="1" s="1"/>
  <c r="F534" i="1"/>
  <c r="O533" i="1"/>
  <c r="M533" i="1"/>
  <c r="P533" i="1" s="1"/>
  <c r="F533" i="1"/>
  <c r="O532" i="1"/>
  <c r="M532" i="1"/>
  <c r="P532" i="1" s="1"/>
  <c r="F532" i="1"/>
  <c r="O531" i="1"/>
  <c r="M531" i="1"/>
  <c r="P531" i="1" s="1"/>
  <c r="F531" i="1"/>
  <c r="O530" i="1"/>
  <c r="M530" i="1"/>
  <c r="P530" i="1" s="1"/>
  <c r="F530" i="1"/>
  <c r="O529" i="1"/>
  <c r="M529" i="1"/>
  <c r="P529" i="1" s="1"/>
  <c r="F529" i="1"/>
  <c r="O528" i="1"/>
  <c r="M528" i="1"/>
  <c r="P528" i="1" s="1"/>
  <c r="F528" i="1"/>
  <c r="O527" i="1"/>
  <c r="M527" i="1"/>
  <c r="P527" i="1" s="1"/>
  <c r="F527" i="1"/>
  <c r="O526" i="1"/>
  <c r="M526" i="1"/>
  <c r="P526" i="1" s="1"/>
  <c r="F526" i="1"/>
  <c r="O525" i="1"/>
  <c r="M525" i="1"/>
  <c r="P525" i="1" s="1"/>
  <c r="F525" i="1"/>
  <c r="O524" i="1"/>
  <c r="M524" i="1"/>
  <c r="P524" i="1" s="1"/>
  <c r="F524" i="1"/>
  <c r="O523" i="1"/>
  <c r="M523" i="1"/>
  <c r="P523" i="1" s="1"/>
  <c r="F523" i="1"/>
  <c r="O522" i="1"/>
  <c r="M522" i="1"/>
  <c r="P522" i="1" s="1"/>
  <c r="F522" i="1"/>
  <c r="O521" i="1"/>
  <c r="M521" i="1"/>
  <c r="P521" i="1" s="1"/>
  <c r="F521" i="1"/>
  <c r="O520" i="1"/>
  <c r="M520" i="1"/>
  <c r="P520" i="1" s="1"/>
  <c r="F520" i="1"/>
  <c r="O519" i="1"/>
  <c r="M519" i="1"/>
  <c r="P519" i="1" s="1"/>
  <c r="F519" i="1"/>
  <c r="O518" i="1"/>
  <c r="M518" i="1"/>
  <c r="P518" i="1" s="1"/>
  <c r="F518" i="1"/>
  <c r="O517" i="1"/>
  <c r="M517" i="1"/>
  <c r="P517" i="1" s="1"/>
  <c r="F517" i="1"/>
  <c r="O516" i="1"/>
  <c r="M516" i="1"/>
  <c r="P516" i="1" s="1"/>
  <c r="F516" i="1"/>
  <c r="O515" i="1"/>
  <c r="M515" i="1"/>
  <c r="P515" i="1" s="1"/>
  <c r="F515" i="1"/>
  <c r="O514" i="1"/>
  <c r="M514" i="1"/>
  <c r="P514" i="1" s="1"/>
  <c r="F514" i="1"/>
  <c r="O513" i="1"/>
  <c r="M513" i="1"/>
  <c r="P513" i="1" s="1"/>
  <c r="F513" i="1"/>
  <c r="O512" i="1"/>
  <c r="M512" i="1"/>
  <c r="P512" i="1" s="1"/>
  <c r="F512" i="1"/>
  <c r="O511" i="1"/>
  <c r="M511" i="1"/>
  <c r="P511" i="1" s="1"/>
  <c r="F511" i="1"/>
  <c r="O510" i="1"/>
  <c r="M510" i="1"/>
  <c r="P510" i="1" s="1"/>
  <c r="F510" i="1"/>
  <c r="O509" i="1"/>
  <c r="M509" i="1"/>
  <c r="P509" i="1" s="1"/>
  <c r="F509" i="1"/>
  <c r="O508" i="1"/>
  <c r="M508" i="1"/>
  <c r="P508" i="1" s="1"/>
  <c r="F508" i="1"/>
  <c r="O507" i="1"/>
  <c r="M507" i="1"/>
  <c r="P507" i="1" s="1"/>
  <c r="F507" i="1"/>
  <c r="O506" i="1"/>
  <c r="M506" i="1"/>
  <c r="P506" i="1" s="1"/>
  <c r="F506" i="1"/>
  <c r="O505" i="1"/>
  <c r="M505" i="1"/>
  <c r="P505" i="1" s="1"/>
  <c r="F505" i="1"/>
  <c r="O504" i="1"/>
  <c r="M504" i="1"/>
  <c r="P504" i="1" s="1"/>
  <c r="F504" i="1"/>
  <c r="O503" i="1"/>
  <c r="M503" i="1"/>
  <c r="P503" i="1" s="1"/>
  <c r="F503" i="1"/>
  <c r="O502" i="1"/>
  <c r="M502" i="1"/>
  <c r="P502" i="1" s="1"/>
  <c r="F502" i="1"/>
  <c r="O501" i="1"/>
  <c r="M501" i="1"/>
  <c r="P501" i="1" s="1"/>
  <c r="F501" i="1"/>
  <c r="O500" i="1"/>
  <c r="M500" i="1"/>
  <c r="P500" i="1" s="1"/>
  <c r="F500" i="1"/>
  <c r="O499" i="1"/>
  <c r="M499" i="1"/>
  <c r="P499" i="1" s="1"/>
  <c r="F499" i="1"/>
  <c r="O498" i="1"/>
  <c r="M498" i="1"/>
  <c r="P498" i="1" s="1"/>
  <c r="F498" i="1"/>
  <c r="O497" i="1"/>
  <c r="M497" i="1"/>
  <c r="P497" i="1" s="1"/>
  <c r="F497" i="1"/>
  <c r="O496" i="1"/>
  <c r="M496" i="1"/>
  <c r="P496" i="1" s="1"/>
  <c r="F496" i="1"/>
  <c r="O495" i="1"/>
  <c r="M495" i="1"/>
  <c r="P495" i="1" s="1"/>
  <c r="F495" i="1"/>
  <c r="O494" i="1"/>
  <c r="M494" i="1"/>
  <c r="P494" i="1" s="1"/>
  <c r="F494" i="1"/>
  <c r="O493" i="1"/>
  <c r="M493" i="1"/>
  <c r="P493" i="1" s="1"/>
  <c r="F493" i="1"/>
  <c r="O492" i="1"/>
  <c r="M492" i="1"/>
  <c r="P492" i="1" s="1"/>
  <c r="F492" i="1"/>
  <c r="O491" i="1"/>
  <c r="M491" i="1"/>
  <c r="P491" i="1" s="1"/>
  <c r="F491" i="1"/>
  <c r="O490" i="1"/>
  <c r="M490" i="1"/>
  <c r="P490" i="1" s="1"/>
  <c r="F490" i="1"/>
  <c r="O489" i="1"/>
  <c r="M489" i="1"/>
  <c r="P489" i="1" s="1"/>
  <c r="F489" i="1"/>
  <c r="O488" i="1"/>
  <c r="M488" i="1"/>
  <c r="P488" i="1" s="1"/>
  <c r="F488" i="1"/>
  <c r="O487" i="1"/>
  <c r="M487" i="1"/>
  <c r="P487" i="1" s="1"/>
  <c r="F487" i="1"/>
  <c r="O486" i="1"/>
  <c r="M486" i="1"/>
  <c r="P486" i="1" s="1"/>
  <c r="F486" i="1"/>
  <c r="O485" i="1"/>
  <c r="M485" i="1"/>
  <c r="P485" i="1" s="1"/>
  <c r="F485" i="1"/>
  <c r="O484" i="1"/>
  <c r="M484" i="1"/>
  <c r="P484" i="1" s="1"/>
  <c r="F484" i="1"/>
  <c r="O483" i="1"/>
  <c r="M483" i="1"/>
  <c r="P483" i="1" s="1"/>
  <c r="F483" i="1"/>
  <c r="O482" i="1"/>
  <c r="M482" i="1"/>
  <c r="P482" i="1" s="1"/>
  <c r="F482" i="1"/>
  <c r="O481" i="1"/>
  <c r="M481" i="1"/>
  <c r="P481" i="1" s="1"/>
  <c r="F481" i="1"/>
  <c r="O480" i="1"/>
  <c r="M480" i="1"/>
  <c r="P480" i="1" s="1"/>
  <c r="F480" i="1"/>
  <c r="O479" i="1"/>
  <c r="M479" i="1"/>
  <c r="P479" i="1" s="1"/>
  <c r="F479" i="1"/>
  <c r="O478" i="1"/>
  <c r="M478" i="1"/>
  <c r="P478" i="1" s="1"/>
  <c r="F478" i="1"/>
  <c r="O477" i="1"/>
  <c r="M477" i="1"/>
  <c r="P477" i="1" s="1"/>
  <c r="F477" i="1"/>
  <c r="O476" i="1"/>
  <c r="M476" i="1"/>
  <c r="P476" i="1" s="1"/>
  <c r="F476" i="1"/>
  <c r="O475" i="1"/>
  <c r="M475" i="1"/>
  <c r="P475" i="1" s="1"/>
  <c r="F475" i="1"/>
  <c r="O474" i="1"/>
  <c r="M474" i="1"/>
  <c r="P474" i="1" s="1"/>
  <c r="F474" i="1"/>
  <c r="O473" i="1"/>
  <c r="M473" i="1"/>
  <c r="P473" i="1" s="1"/>
  <c r="F473" i="1"/>
  <c r="O472" i="1"/>
  <c r="M472" i="1"/>
  <c r="P472" i="1" s="1"/>
  <c r="F472" i="1"/>
  <c r="O471" i="1"/>
  <c r="M471" i="1"/>
  <c r="P471" i="1" s="1"/>
  <c r="F471" i="1"/>
  <c r="O470" i="1"/>
  <c r="M470" i="1"/>
  <c r="P470" i="1" s="1"/>
  <c r="F470" i="1"/>
  <c r="O469" i="1"/>
  <c r="M469" i="1"/>
  <c r="P469" i="1" s="1"/>
  <c r="F469" i="1"/>
  <c r="O468" i="1"/>
  <c r="M468" i="1"/>
  <c r="P468" i="1" s="1"/>
  <c r="F468" i="1"/>
  <c r="O467" i="1"/>
  <c r="M467" i="1"/>
  <c r="P467" i="1" s="1"/>
  <c r="F467" i="1"/>
  <c r="O466" i="1"/>
  <c r="M466" i="1"/>
  <c r="P466" i="1" s="1"/>
  <c r="F466" i="1"/>
  <c r="O465" i="1"/>
  <c r="M465" i="1"/>
  <c r="P465" i="1" s="1"/>
  <c r="F465" i="1"/>
  <c r="O464" i="1"/>
  <c r="M464" i="1"/>
  <c r="P464" i="1" s="1"/>
  <c r="F464" i="1"/>
  <c r="O463" i="1"/>
  <c r="M463" i="1"/>
  <c r="P463" i="1" s="1"/>
  <c r="F463" i="1"/>
  <c r="O462" i="1"/>
  <c r="M462" i="1"/>
  <c r="P462" i="1" s="1"/>
  <c r="F462" i="1"/>
  <c r="O461" i="1"/>
  <c r="M461" i="1"/>
  <c r="P461" i="1" s="1"/>
  <c r="F461" i="1"/>
  <c r="O460" i="1"/>
  <c r="M460" i="1"/>
  <c r="P460" i="1" s="1"/>
  <c r="F460" i="1"/>
  <c r="O459" i="1"/>
  <c r="M459" i="1"/>
  <c r="P459" i="1" s="1"/>
  <c r="F459" i="1"/>
  <c r="P458" i="1"/>
  <c r="O458" i="1"/>
  <c r="M458" i="1"/>
  <c r="F458" i="1"/>
  <c r="O457" i="1"/>
  <c r="M457" i="1"/>
  <c r="P457" i="1" s="1"/>
  <c r="F457" i="1"/>
  <c r="O456" i="1"/>
  <c r="M456" i="1"/>
  <c r="P456" i="1" s="1"/>
  <c r="F456" i="1"/>
  <c r="O455" i="1"/>
  <c r="M455" i="1"/>
  <c r="P455" i="1" s="1"/>
  <c r="F455" i="1"/>
  <c r="O454" i="1"/>
  <c r="M454" i="1"/>
  <c r="P454" i="1" s="1"/>
  <c r="F454" i="1"/>
  <c r="O453" i="1"/>
  <c r="M453" i="1"/>
  <c r="P453" i="1" s="1"/>
  <c r="F453" i="1"/>
  <c r="O452" i="1"/>
  <c r="M452" i="1"/>
  <c r="P452" i="1" s="1"/>
  <c r="F452" i="1"/>
  <c r="O451" i="1"/>
  <c r="M451" i="1"/>
  <c r="P451" i="1" s="1"/>
  <c r="F451" i="1"/>
  <c r="O450" i="1"/>
  <c r="M450" i="1"/>
  <c r="P450" i="1" s="1"/>
  <c r="F450" i="1"/>
  <c r="O449" i="1"/>
  <c r="M449" i="1"/>
  <c r="P449" i="1" s="1"/>
  <c r="F449" i="1"/>
  <c r="O448" i="1"/>
  <c r="M448" i="1"/>
  <c r="P448" i="1" s="1"/>
  <c r="F448" i="1"/>
  <c r="O447" i="1"/>
  <c r="M447" i="1"/>
  <c r="P447" i="1" s="1"/>
  <c r="F447" i="1"/>
  <c r="O446" i="1"/>
  <c r="M446" i="1"/>
  <c r="P446" i="1" s="1"/>
  <c r="F446" i="1"/>
  <c r="O445" i="1"/>
  <c r="M445" i="1"/>
  <c r="P445" i="1" s="1"/>
  <c r="F445" i="1"/>
  <c r="O444" i="1"/>
  <c r="M444" i="1"/>
  <c r="P444" i="1" s="1"/>
  <c r="F444" i="1"/>
  <c r="O443" i="1"/>
  <c r="M443" i="1"/>
  <c r="P443" i="1" s="1"/>
  <c r="F443" i="1"/>
  <c r="O442" i="1"/>
  <c r="M442" i="1"/>
  <c r="P442" i="1" s="1"/>
  <c r="F442" i="1"/>
  <c r="O441" i="1"/>
  <c r="M441" i="1"/>
  <c r="P441" i="1" s="1"/>
  <c r="F441" i="1"/>
  <c r="O440" i="1"/>
  <c r="M440" i="1"/>
  <c r="P440" i="1" s="1"/>
  <c r="F440" i="1"/>
  <c r="O439" i="1"/>
  <c r="M439" i="1"/>
  <c r="P439" i="1" s="1"/>
  <c r="F439" i="1"/>
  <c r="O438" i="1"/>
  <c r="M438" i="1"/>
  <c r="P438" i="1" s="1"/>
  <c r="F438" i="1"/>
  <c r="O437" i="1"/>
  <c r="M437" i="1"/>
  <c r="P437" i="1" s="1"/>
  <c r="F437" i="1"/>
  <c r="O436" i="1"/>
  <c r="M436" i="1"/>
  <c r="P436" i="1" s="1"/>
  <c r="F436" i="1"/>
  <c r="O435" i="1"/>
  <c r="M435" i="1"/>
  <c r="P435" i="1" s="1"/>
  <c r="F435" i="1"/>
  <c r="O434" i="1"/>
  <c r="M434" i="1"/>
  <c r="P434" i="1" s="1"/>
  <c r="F434" i="1"/>
  <c r="O433" i="1"/>
  <c r="M433" i="1"/>
  <c r="P433" i="1" s="1"/>
  <c r="F433" i="1"/>
  <c r="O432" i="1"/>
  <c r="M432" i="1"/>
  <c r="P432" i="1" s="1"/>
  <c r="F432" i="1"/>
  <c r="O431" i="1"/>
  <c r="M431" i="1"/>
  <c r="P431" i="1" s="1"/>
  <c r="F431" i="1"/>
  <c r="O430" i="1"/>
  <c r="M430" i="1"/>
  <c r="P430" i="1" s="1"/>
  <c r="F430" i="1"/>
  <c r="O429" i="1"/>
  <c r="M429" i="1"/>
  <c r="P429" i="1" s="1"/>
  <c r="F429" i="1"/>
  <c r="O428" i="1"/>
  <c r="M428" i="1"/>
  <c r="P428" i="1" s="1"/>
  <c r="F428" i="1"/>
  <c r="O427" i="1"/>
  <c r="M427" i="1"/>
  <c r="P427" i="1" s="1"/>
  <c r="F427" i="1"/>
  <c r="O426" i="1"/>
  <c r="M426" i="1"/>
  <c r="P426" i="1" s="1"/>
  <c r="F426" i="1"/>
  <c r="O425" i="1"/>
  <c r="M425" i="1"/>
  <c r="P425" i="1" s="1"/>
  <c r="F425" i="1"/>
  <c r="O424" i="1"/>
  <c r="M424" i="1"/>
  <c r="P424" i="1" s="1"/>
  <c r="F424" i="1"/>
  <c r="O423" i="1"/>
  <c r="M423" i="1"/>
  <c r="P423" i="1" s="1"/>
  <c r="F423" i="1"/>
  <c r="O422" i="1"/>
  <c r="M422" i="1"/>
  <c r="P422" i="1" s="1"/>
  <c r="F422" i="1"/>
  <c r="O421" i="1"/>
  <c r="M421" i="1"/>
  <c r="P421" i="1" s="1"/>
  <c r="F421" i="1"/>
  <c r="O420" i="1"/>
  <c r="M420" i="1"/>
  <c r="P420" i="1" s="1"/>
  <c r="F420" i="1"/>
  <c r="O419" i="1"/>
  <c r="M419" i="1"/>
  <c r="P419" i="1" s="1"/>
  <c r="F419" i="1"/>
  <c r="O418" i="1"/>
  <c r="M418" i="1"/>
  <c r="P418" i="1" s="1"/>
  <c r="F418" i="1"/>
  <c r="O417" i="1"/>
  <c r="M417" i="1"/>
  <c r="P417" i="1" s="1"/>
  <c r="F417" i="1"/>
  <c r="O416" i="1"/>
  <c r="M416" i="1"/>
  <c r="P416" i="1" s="1"/>
  <c r="F416" i="1"/>
  <c r="O415" i="1"/>
  <c r="M415" i="1"/>
  <c r="P415" i="1" s="1"/>
  <c r="F415" i="1"/>
  <c r="O414" i="1"/>
  <c r="M414" i="1"/>
  <c r="P414" i="1" s="1"/>
  <c r="F414" i="1"/>
  <c r="O413" i="1"/>
  <c r="M413" i="1"/>
  <c r="P413" i="1" s="1"/>
  <c r="F413" i="1"/>
  <c r="O412" i="1"/>
  <c r="M412" i="1"/>
  <c r="P412" i="1" s="1"/>
  <c r="F412" i="1"/>
  <c r="O410" i="1"/>
  <c r="M410" i="1"/>
  <c r="P410" i="1" s="1"/>
  <c r="F410" i="1"/>
  <c r="O409" i="1"/>
  <c r="M409" i="1"/>
  <c r="P409" i="1" s="1"/>
  <c r="F409" i="1"/>
  <c r="O408" i="1"/>
  <c r="M408" i="1"/>
  <c r="P408" i="1" s="1"/>
  <c r="F408" i="1"/>
  <c r="O407" i="1"/>
  <c r="M407" i="1"/>
  <c r="P407" i="1" s="1"/>
  <c r="F407" i="1"/>
  <c r="O406" i="1"/>
  <c r="M406" i="1"/>
  <c r="P406" i="1" s="1"/>
  <c r="F406" i="1"/>
  <c r="O405" i="1"/>
  <c r="M405" i="1"/>
  <c r="P405" i="1" s="1"/>
  <c r="F405" i="1"/>
  <c r="O404" i="1"/>
  <c r="M404" i="1"/>
  <c r="P404" i="1" s="1"/>
  <c r="F404" i="1"/>
  <c r="O403" i="1"/>
  <c r="M403" i="1"/>
  <c r="P403" i="1" s="1"/>
  <c r="F403" i="1"/>
  <c r="O402" i="1"/>
  <c r="M402" i="1"/>
  <c r="P402" i="1" s="1"/>
  <c r="F402" i="1"/>
  <c r="O401" i="1"/>
  <c r="M401" i="1"/>
  <c r="P401" i="1" s="1"/>
  <c r="F401" i="1"/>
  <c r="O400" i="1"/>
  <c r="M400" i="1"/>
  <c r="P400" i="1" s="1"/>
  <c r="F400" i="1"/>
  <c r="O399" i="1"/>
  <c r="M399" i="1"/>
  <c r="P399" i="1" s="1"/>
  <c r="F399" i="1"/>
  <c r="O398" i="1"/>
  <c r="M398" i="1"/>
  <c r="P398" i="1" s="1"/>
  <c r="F398" i="1"/>
  <c r="O397" i="1"/>
  <c r="M397" i="1"/>
  <c r="P397" i="1" s="1"/>
  <c r="F397" i="1"/>
  <c r="O396" i="1"/>
  <c r="M396" i="1"/>
  <c r="P396" i="1" s="1"/>
  <c r="F396" i="1"/>
  <c r="O395" i="1"/>
  <c r="M395" i="1"/>
  <c r="P395" i="1" s="1"/>
  <c r="F395" i="1"/>
  <c r="O394" i="1"/>
  <c r="M394" i="1"/>
  <c r="P394" i="1" s="1"/>
  <c r="F394" i="1"/>
  <c r="O393" i="1"/>
  <c r="M393" i="1"/>
  <c r="P393" i="1" s="1"/>
  <c r="F393" i="1"/>
  <c r="O392" i="1"/>
  <c r="M392" i="1"/>
  <c r="P392" i="1" s="1"/>
  <c r="F392" i="1"/>
  <c r="O391" i="1"/>
  <c r="M391" i="1"/>
  <c r="P391" i="1" s="1"/>
  <c r="F391" i="1"/>
  <c r="O390" i="1"/>
  <c r="M390" i="1"/>
  <c r="P390" i="1" s="1"/>
  <c r="F390" i="1"/>
  <c r="O389" i="1"/>
  <c r="M389" i="1"/>
  <c r="P389" i="1" s="1"/>
  <c r="F389" i="1"/>
  <c r="O388" i="1"/>
  <c r="M388" i="1"/>
  <c r="P388" i="1" s="1"/>
  <c r="F388" i="1"/>
  <c r="O387" i="1"/>
  <c r="M387" i="1"/>
  <c r="P387" i="1" s="1"/>
  <c r="F387" i="1"/>
  <c r="O386" i="1"/>
  <c r="M386" i="1"/>
  <c r="P386" i="1" s="1"/>
  <c r="F386" i="1"/>
  <c r="O385" i="1"/>
  <c r="M385" i="1"/>
  <c r="P385" i="1" s="1"/>
  <c r="F385" i="1"/>
  <c r="O384" i="1"/>
  <c r="M384" i="1"/>
  <c r="P384" i="1" s="1"/>
  <c r="F384" i="1"/>
  <c r="O383" i="1"/>
  <c r="M383" i="1"/>
  <c r="P383" i="1" s="1"/>
  <c r="F383" i="1"/>
  <c r="O382" i="1"/>
  <c r="M382" i="1"/>
  <c r="P382" i="1" s="1"/>
  <c r="F382" i="1"/>
  <c r="O381" i="1"/>
  <c r="M381" i="1"/>
  <c r="P381" i="1" s="1"/>
  <c r="F381" i="1"/>
  <c r="O380" i="1"/>
  <c r="M380" i="1"/>
  <c r="P380" i="1" s="1"/>
  <c r="F380" i="1"/>
  <c r="O379" i="1"/>
  <c r="M379" i="1"/>
  <c r="P379" i="1" s="1"/>
  <c r="F379" i="1"/>
  <c r="O378" i="1"/>
  <c r="M378" i="1"/>
  <c r="P378" i="1" s="1"/>
  <c r="F378" i="1"/>
  <c r="O377" i="1"/>
  <c r="M377" i="1"/>
  <c r="P377" i="1" s="1"/>
  <c r="F377" i="1"/>
  <c r="O376" i="1"/>
  <c r="M376" i="1"/>
  <c r="P376" i="1" s="1"/>
  <c r="F376" i="1"/>
  <c r="O375" i="1"/>
  <c r="M375" i="1"/>
  <c r="P375" i="1" s="1"/>
  <c r="F375" i="1"/>
  <c r="O374" i="1"/>
  <c r="M374" i="1"/>
  <c r="P374" i="1" s="1"/>
  <c r="F374" i="1"/>
  <c r="O373" i="1"/>
  <c r="M373" i="1"/>
  <c r="P373" i="1" s="1"/>
  <c r="F373" i="1"/>
  <c r="O372" i="1"/>
  <c r="M372" i="1"/>
  <c r="P372" i="1" s="1"/>
  <c r="F372" i="1"/>
  <c r="O371" i="1"/>
  <c r="M371" i="1"/>
  <c r="P371" i="1" s="1"/>
  <c r="F371" i="1"/>
  <c r="O370" i="1"/>
  <c r="M370" i="1"/>
  <c r="P370" i="1" s="1"/>
  <c r="F370" i="1"/>
  <c r="O369" i="1"/>
  <c r="M369" i="1"/>
  <c r="P369" i="1" s="1"/>
  <c r="F369" i="1"/>
  <c r="O368" i="1"/>
  <c r="M368" i="1"/>
  <c r="P368" i="1" s="1"/>
  <c r="F368" i="1"/>
  <c r="O367" i="1"/>
  <c r="M367" i="1"/>
  <c r="P367" i="1" s="1"/>
  <c r="F367" i="1"/>
  <c r="O366" i="1"/>
  <c r="M366" i="1"/>
  <c r="P366" i="1" s="1"/>
  <c r="F366" i="1"/>
  <c r="O365" i="1"/>
  <c r="M365" i="1"/>
  <c r="P365" i="1" s="1"/>
  <c r="F365" i="1"/>
  <c r="O364" i="1"/>
  <c r="M364" i="1"/>
  <c r="P364" i="1" s="1"/>
  <c r="F364" i="1"/>
  <c r="O363" i="1"/>
  <c r="M363" i="1"/>
  <c r="P363" i="1" s="1"/>
  <c r="F363" i="1"/>
  <c r="O362" i="1"/>
  <c r="M362" i="1"/>
  <c r="P362" i="1" s="1"/>
  <c r="F362" i="1"/>
  <c r="O361" i="1"/>
  <c r="M361" i="1"/>
  <c r="P361" i="1" s="1"/>
  <c r="F361" i="1"/>
  <c r="O360" i="1"/>
  <c r="M360" i="1"/>
  <c r="P360" i="1" s="1"/>
  <c r="F360" i="1"/>
  <c r="O359" i="1"/>
  <c r="M359" i="1"/>
  <c r="P359" i="1" s="1"/>
  <c r="F359" i="1"/>
  <c r="O358" i="1"/>
  <c r="M358" i="1"/>
  <c r="P358" i="1" s="1"/>
  <c r="F358" i="1"/>
  <c r="O357" i="1"/>
  <c r="M357" i="1"/>
  <c r="P357" i="1" s="1"/>
  <c r="F357" i="1"/>
  <c r="O356" i="1"/>
  <c r="M356" i="1"/>
  <c r="P356" i="1" s="1"/>
  <c r="F356" i="1"/>
  <c r="O355" i="1"/>
  <c r="M355" i="1"/>
  <c r="P355" i="1" s="1"/>
  <c r="F355" i="1"/>
  <c r="O354" i="1"/>
  <c r="M354" i="1"/>
  <c r="P354" i="1" s="1"/>
  <c r="F354" i="1"/>
  <c r="O353" i="1"/>
  <c r="M353" i="1"/>
  <c r="P353" i="1" s="1"/>
  <c r="F353" i="1"/>
  <c r="O352" i="1"/>
  <c r="M352" i="1"/>
  <c r="P352" i="1" s="1"/>
  <c r="F352" i="1"/>
  <c r="O351" i="1"/>
  <c r="M351" i="1"/>
  <c r="P351" i="1" s="1"/>
  <c r="F351" i="1"/>
  <c r="O350" i="1"/>
  <c r="M350" i="1"/>
  <c r="P350" i="1" s="1"/>
  <c r="F350" i="1"/>
  <c r="O349" i="1"/>
  <c r="M349" i="1"/>
  <c r="P349" i="1" s="1"/>
  <c r="F349" i="1"/>
  <c r="O348" i="1"/>
  <c r="M348" i="1"/>
  <c r="P348" i="1" s="1"/>
  <c r="F348" i="1"/>
  <c r="O347" i="1"/>
  <c r="M347" i="1"/>
  <c r="P347" i="1" s="1"/>
  <c r="F347" i="1"/>
  <c r="O346" i="1"/>
  <c r="M346" i="1"/>
  <c r="P346" i="1" s="1"/>
  <c r="F346" i="1"/>
  <c r="O345" i="1"/>
  <c r="M345" i="1"/>
  <c r="P345" i="1" s="1"/>
  <c r="F345" i="1"/>
  <c r="O344" i="1"/>
  <c r="M344" i="1"/>
  <c r="P344" i="1" s="1"/>
  <c r="F344" i="1"/>
  <c r="O342" i="1"/>
  <c r="M342" i="1"/>
  <c r="P342" i="1" s="1"/>
  <c r="F342" i="1"/>
  <c r="O341" i="1"/>
  <c r="M341" i="1"/>
  <c r="P341" i="1" s="1"/>
  <c r="F341" i="1"/>
  <c r="O340" i="1"/>
  <c r="M340" i="1"/>
  <c r="P340" i="1" s="1"/>
  <c r="F340" i="1"/>
  <c r="O339" i="1"/>
  <c r="M339" i="1"/>
  <c r="P339" i="1" s="1"/>
  <c r="F339" i="1"/>
  <c r="O338" i="1"/>
  <c r="M338" i="1"/>
  <c r="P338" i="1" s="1"/>
  <c r="F338" i="1"/>
  <c r="O337" i="1"/>
  <c r="M337" i="1"/>
  <c r="P337" i="1" s="1"/>
  <c r="F337" i="1"/>
  <c r="O336" i="1"/>
  <c r="M336" i="1"/>
  <c r="P336" i="1" s="1"/>
  <c r="F336" i="1"/>
  <c r="O335" i="1"/>
  <c r="M335" i="1"/>
  <c r="P335" i="1" s="1"/>
  <c r="F335" i="1"/>
  <c r="O334" i="1"/>
  <c r="M334" i="1"/>
  <c r="P334" i="1" s="1"/>
  <c r="F334" i="1"/>
  <c r="O333" i="1"/>
  <c r="M333" i="1"/>
  <c r="P333" i="1" s="1"/>
  <c r="F333" i="1"/>
  <c r="O332" i="1"/>
  <c r="M332" i="1"/>
  <c r="P332" i="1" s="1"/>
  <c r="F332" i="1"/>
  <c r="O331" i="1"/>
  <c r="M331" i="1"/>
  <c r="P331" i="1" s="1"/>
  <c r="F331" i="1"/>
  <c r="O330" i="1"/>
  <c r="M330" i="1"/>
  <c r="P330" i="1" s="1"/>
  <c r="F330" i="1"/>
  <c r="O329" i="1"/>
  <c r="M329" i="1"/>
  <c r="P329" i="1" s="1"/>
  <c r="F329" i="1"/>
  <c r="O328" i="1"/>
  <c r="M328" i="1"/>
  <c r="P328" i="1" s="1"/>
  <c r="F328" i="1"/>
  <c r="O327" i="1"/>
  <c r="M327" i="1"/>
  <c r="P327" i="1" s="1"/>
  <c r="F327" i="1"/>
  <c r="O326" i="1"/>
  <c r="M326" i="1"/>
  <c r="P326" i="1" s="1"/>
  <c r="F326" i="1"/>
  <c r="O325" i="1"/>
  <c r="M325" i="1"/>
  <c r="P325" i="1" s="1"/>
  <c r="F325" i="1"/>
  <c r="O324" i="1"/>
  <c r="M324" i="1"/>
  <c r="P324" i="1" s="1"/>
  <c r="F324" i="1"/>
  <c r="O323" i="1"/>
  <c r="M323" i="1"/>
  <c r="P323" i="1" s="1"/>
  <c r="F323" i="1"/>
  <c r="O322" i="1"/>
  <c r="M322" i="1"/>
  <c r="P322" i="1" s="1"/>
  <c r="F322" i="1"/>
  <c r="O321" i="1"/>
  <c r="M321" i="1"/>
  <c r="P321" i="1" s="1"/>
  <c r="F321" i="1"/>
  <c r="O320" i="1"/>
  <c r="M320" i="1"/>
  <c r="P320" i="1" s="1"/>
  <c r="F320" i="1"/>
  <c r="O319" i="1"/>
  <c r="M319" i="1"/>
  <c r="P319" i="1" s="1"/>
  <c r="F319" i="1"/>
  <c r="O318" i="1"/>
  <c r="M318" i="1"/>
  <c r="P318" i="1" s="1"/>
  <c r="F318" i="1"/>
  <c r="O317" i="1"/>
  <c r="M317" i="1"/>
  <c r="P317" i="1" s="1"/>
  <c r="F317" i="1"/>
  <c r="O316" i="1"/>
  <c r="M316" i="1"/>
  <c r="P316" i="1" s="1"/>
  <c r="F316" i="1"/>
  <c r="O315" i="1"/>
  <c r="M315" i="1"/>
  <c r="P315" i="1" s="1"/>
  <c r="F315" i="1"/>
  <c r="O314" i="1"/>
  <c r="M314" i="1"/>
  <c r="P314" i="1" s="1"/>
  <c r="F314" i="1"/>
  <c r="O313" i="1"/>
  <c r="M313" i="1"/>
  <c r="P313" i="1" s="1"/>
  <c r="F313" i="1"/>
  <c r="O312" i="1"/>
  <c r="M312" i="1"/>
  <c r="P312" i="1" s="1"/>
  <c r="F312" i="1"/>
  <c r="O311" i="1"/>
  <c r="M311" i="1"/>
  <c r="P311" i="1" s="1"/>
  <c r="F311" i="1"/>
  <c r="O310" i="1"/>
  <c r="M310" i="1"/>
  <c r="P310" i="1" s="1"/>
  <c r="F310" i="1"/>
  <c r="O309" i="1"/>
  <c r="M309" i="1"/>
  <c r="P309" i="1" s="1"/>
  <c r="F309" i="1"/>
  <c r="O308" i="1"/>
  <c r="M308" i="1"/>
  <c r="P308" i="1" s="1"/>
  <c r="F308" i="1"/>
  <c r="O307" i="1"/>
  <c r="M307" i="1"/>
  <c r="P307" i="1" s="1"/>
  <c r="F307" i="1"/>
  <c r="O306" i="1"/>
  <c r="M306" i="1"/>
  <c r="P306" i="1" s="1"/>
  <c r="F306" i="1"/>
  <c r="O305" i="1"/>
  <c r="M305" i="1"/>
  <c r="P305" i="1" s="1"/>
  <c r="F305" i="1"/>
  <c r="O304" i="1"/>
  <c r="M304" i="1"/>
  <c r="P304" i="1" s="1"/>
  <c r="F304" i="1"/>
  <c r="O303" i="1"/>
  <c r="M303" i="1"/>
  <c r="P303" i="1" s="1"/>
  <c r="F303" i="1"/>
  <c r="O302" i="1"/>
  <c r="M302" i="1"/>
  <c r="P302" i="1" s="1"/>
  <c r="F302" i="1"/>
  <c r="O301" i="1"/>
  <c r="M301" i="1"/>
  <c r="P301" i="1" s="1"/>
  <c r="F301" i="1"/>
  <c r="O300" i="1"/>
  <c r="M300" i="1"/>
  <c r="P300" i="1" s="1"/>
  <c r="F300" i="1"/>
  <c r="O299" i="1"/>
  <c r="M299" i="1"/>
  <c r="P299" i="1" s="1"/>
  <c r="F299" i="1"/>
  <c r="O298" i="1"/>
  <c r="M298" i="1"/>
  <c r="P298" i="1" s="1"/>
  <c r="F298" i="1"/>
  <c r="O297" i="1"/>
  <c r="M297" i="1"/>
  <c r="P297" i="1" s="1"/>
  <c r="F297" i="1"/>
  <c r="O296" i="1"/>
  <c r="M296" i="1"/>
  <c r="P296" i="1" s="1"/>
  <c r="F296" i="1"/>
  <c r="O295" i="1"/>
  <c r="M295" i="1"/>
  <c r="P295" i="1" s="1"/>
  <c r="F295" i="1"/>
  <c r="O294" i="1"/>
  <c r="M294" i="1"/>
  <c r="P294" i="1" s="1"/>
  <c r="F294" i="1"/>
  <c r="O293" i="1"/>
  <c r="M293" i="1"/>
  <c r="P293" i="1" s="1"/>
  <c r="F293" i="1"/>
  <c r="O292" i="1"/>
  <c r="M292" i="1"/>
  <c r="P292" i="1" s="1"/>
  <c r="F292" i="1"/>
  <c r="O291" i="1"/>
  <c r="M291" i="1"/>
  <c r="P291" i="1" s="1"/>
  <c r="F291" i="1"/>
  <c r="O290" i="1"/>
  <c r="M290" i="1"/>
  <c r="P290" i="1" s="1"/>
  <c r="F290" i="1"/>
  <c r="O289" i="1"/>
  <c r="M289" i="1"/>
  <c r="P289" i="1" s="1"/>
  <c r="F289" i="1"/>
  <c r="O288" i="1"/>
  <c r="M288" i="1"/>
  <c r="P288" i="1" s="1"/>
  <c r="F288" i="1"/>
  <c r="O287" i="1"/>
  <c r="M287" i="1"/>
  <c r="P287" i="1" s="1"/>
  <c r="F287" i="1"/>
  <c r="O286" i="1"/>
  <c r="M286" i="1"/>
  <c r="P286" i="1" s="1"/>
  <c r="F286" i="1"/>
  <c r="O285" i="1"/>
  <c r="M285" i="1"/>
  <c r="P285" i="1" s="1"/>
  <c r="F285" i="1"/>
  <c r="O284" i="1"/>
  <c r="M284" i="1"/>
  <c r="P284" i="1" s="1"/>
  <c r="F284" i="1"/>
  <c r="O283" i="1"/>
  <c r="M283" i="1"/>
  <c r="P283" i="1" s="1"/>
  <c r="F283" i="1"/>
  <c r="O282" i="1"/>
  <c r="M282" i="1"/>
  <c r="P282" i="1" s="1"/>
  <c r="F282" i="1"/>
  <c r="O281" i="1"/>
  <c r="M281" i="1"/>
  <c r="P281" i="1" s="1"/>
  <c r="F281" i="1"/>
  <c r="O280" i="1"/>
  <c r="M280" i="1"/>
  <c r="P280" i="1" s="1"/>
  <c r="F280" i="1"/>
  <c r="O279" i="1"/>
  <c r="M279" i="1"/>
  <c r="P279" i="1" s="1"/>
  <c r="F279" i="1"/>
  <c r="O278" i="1"/>
  <c r="M278" i="1"/>
  <c r="P278" i="1" s="1"/>
  <c r="F278" i="1"/>
  <c r="O277" i="1"/>
  <c r="M277" i="1"/>
  <c r="P277" i="1" s="1"/>
  <c r="F277" i="1"/>
  <c r="O275" i="1"/>
  <c r="M275" i="1"/>
  <c r="P275" i="1" s="1"/>
  <c r="F275" i="1"/>
  <c r="O273" i="1"/>
  <c r="M273" i="1"/>
  <c r="P273" i="1" s="1"/>
  <c r="F273" i="1"/>
  <c r="O272" i="1"/>
  <c r="M272" i="1"/>
  <c r="P272" i="1" s="1"/>
  <c r="F272" i="1"/>
  <c r="O271" i="1"/>
  <c r="M271" i="1"/>
  <c r="P271" i="1" s="1"/>
  <c r="F271" i="1"/>
  <c r="O270" i="1"/>
  <c r="M270" i="1"/>
  <c r="P270" i="1" s="1"/>
  <c r="F270" i="1"/>
  <c r="O269" i="1"/>
  <c r="M269" i="1"/>
  <c r="P269" i="1" s="1"/>
  <c r="F269" i="1"/>
  <c r="O268" i="1"/>
  <c r="M268" i="1"/>
  <c r="P268" i="1" s="1"/>
  <c r="F268" i="1"/>
  <c r="O267" i="1"/>
  <c r="M267" i="1"/>
  <c r="P267" i="1" s="1"/>
  <c r="F267" i="1"/>
  <c r="O266" i="1"/>
  <c r="M266" i="1"/>
  <c r="P266" i="1" s="1"/>
  <c r="F266" i="1"/>
  <c r="O265" i="1"/>
  <c r="M265" i="1"/>
  <c r="P265" i="1" s="1"/>
  <c r="F265" i="1"/>
  <c r="O264" i="1"/>
  <c r="M264" i="1"/>
  <c r="P264" i="1" s="1"/>
  <c r="F264" i="1"/>
  <c r="O263" i="1"/>
  <c r="M263" i="1"/>
  <c r="P263" i="1" s="1"/>
  <c r="F263" i="1"/>
  <c r="O262" i="1"/>
  <c r="M262" i="1"/>
  <c r="P262" i="1" s="1"/>
  <c r="F262" i="1"/>
  <c r="O261" i="1"/>
  <c r="M261" i="1"/>
  <c r="P261" i="1" s="1"/>
  <c r="F261" i="1"/>
  <c r="O260" i="1"/>
  <c r="M260" i="1"/>
  <c r="P260" i="1" s="1"/>
  <c r="F260" i="1"/>
  <c r="O259" i="1"/>
  <c r="M259" i="1"/>
  <c r="P259" i="1" s="1"/>
  <c r="F259" i="1"/>
  <c r="O258" i="1"/>
  <c r="M258" i="1"/>
  <c r="P258" i="1" s="1"/>
  <c r="F258" i="1"/>
  <c r="O257" i="1"/>
  <c r="M257" i="1"/>
  <c r="P257" i="1" s="1"/>
  <c r="F257" i="1"/>
  <c r="O256" i="1"/>
  <c r="M256" i="1"/>
  <c r="P256" i="1" s="1"/>
  <c r="F256" i="1"/>
  <c r="O255" i="1"/>
  <c r="M255" i="1"/>
  <c r="P255" i="1" s="1"/>
  <c r="F255" i="1"/>
  <c r="O254" i="1"/>
  <c r="M254" i="1"/>
  <c r="P254" i="1" s="1"/>
  <c r="F254" i="1"/>
  <c r="O253" i="1"/>
  <c r="M253" i="1"/>
  <c r="P253" i="1" s="1"/>
  <c r="F253" i="1"/>
  <c r="O252" i="1"/>
  <c r="M252" i="1"/>
  <c r="P252" i="1" s="1"/>
  <c r="F252" i="1"/>
  <c r="O251" i="1"/>
  <c r="M251" i="1"/>
  <c r="P251" i="1" s="1"/>
  <c r="F251" i="1"/>
  <c r="O250" i="1"/>
  <c r="M250" i="1"/>
  <c r="P250" i="1" s="1"/>
  <c r="F250" i="1"/>
  <c r="O249" i="1"/>
  <c r="M249" i="1"/>
  <c r="P249" i="1" s="1"/>
  <c r="F249" i="1"/>
  <c r="O248" i="1"/>
  <c r="M248" i="1"/>
  <c r="P248" i="1" s="1"/>
  <c r="F248" i="1"/>
  <c r="O247" i="1"/>
  <c r="M247" i="1"/>
  <c r="P247" i="1" s="1"/>
  <c r="F247" i="1"/>
  <c r="O246" i="1"/>
  <c r="M246" i="1"/>
  <c r="P246" i="1" s="1"/>
  <c r="F246" i="1"/>
  <c r="O245" i="1"/>
  <c r="M245" i="1"/>
  <c r="P245" i="1" s="1"/>
  <c r="F245" i="1"/>
  <c r="O244" i="1"/>
  <c r="M244" i="1"/>
  <c r="P244" i="1" s="1"/>
  <c r="F244" i="1"/>
  <c r="O243" i="1"/>
  <c r="M243" i="1"/>
  <c r="P243" i="1" s="1"/>
  <c r="F243" i="1"/>
  <c r="O242" i="1"/>
  <c r="M242" i="1"/>
  <c r="P242" i="1" s="1"/>
  <c r="F242" i="1"/>
  <c r="O241" i="1"/>
  <c r="M241" i="1"/>
  <c r="P241" i="1" s="1"/>
  <c r="F241" i="1"/>
  <c r="O240" i="1"/>
  <c r="M240" i="1"/>
  <c r="P240" i="1" s="1"/>
  <c r="F240" i="1"/>
  <c r="O239" i="1"/>
  <c r="M239" i="1"/>
  <c r="P239" i="1" s="1"/>
  <c r="F239" i="1"/>
  <c r="O237" i="1"/>
  <c r="M237" i="1"/>
  <c r="P237" i="1" s="1"/>
  <c r="F237" i="1"/>
  <c r="O236" i="1"/>
  <c r="M236" i="1"/>
  <c r="P236" i="1" s="1"/>
  <c r="F236" i="1"/>
  <c r="O235" i="1"/>
  <c r="M235" i="1"/>
  <c r="P235" i="1" s="1"/>
  <c r="F235" i="1"/>
  <c r="O234" i="1"/>
  <c r="M234" i="1"/>
  <c r="P234" i="1" s="1"/>
  <c r="F234" i="1"/>
  <c r="O233" i="1"/>
  <c r="M233" i="1"/>
  <c r="P233" i="1" s="1"/>
  <c r="F233" i="1"/>
  <c r="O232" i="1"/>
  <c r="M232" i="1"/>
  <c r="P232" i="1" s="1"/>
  <c r="F232" i="1"/>
  <c r="O231" i="1"/>
  <c r="M231" i="1"/>
  <c r="P231" i="1" s="1"/>
  <c r="F231" i="1"/>
  <c r="O230" i="1"/>
  <c r="M230" i="1"/>
  <c r="P230" i="1" s="1"/>
  <c r="F230" i="1"/>
  <c r="O229" i="1"/>
  <c r="M229" i="1"/>
  <c r="P229" i="1" s="1"/>
  <c r="F229" i="1"/>
  <c r="O228" i="1"/>
  <c r="M228" i="1"/>
  <c r="P228" i="1" s="1"/>
  <c r="F228" i="1"/>
  <c r="O227" i="1"/>
  <c r="M227" i="1"/>
  <c r="P227" i="1" s="1"/>
  <c r="F227" i="1"/>
  <c r="O226" i="1"/>
  <c r="M226" i="1"/>
  <c r="P226" i="1" s="1"/>
  <c r="F226" i="1"/>
  <c r="O225" i="1"/>
  <c r="M225" i="1"/>
  <c r="P225" i="1" s="1"/>
  <c r="F225" i="1"/>
  <c r="O224" i="1"/>
  <c r="M224" i="1"/>
  <c r="P224" i="1" s="1"/>
  <c r="F224" i="1"/>
  <c r="O223" i="1"/>
  <c r="M223" i="1"/>
  <c r="P223" i="1" s="1"/>
  <c r="F223" i="1"/>
  <c r="O222" i="1"/>
  <c r="M222" i="1"/>
  <c r="P222" i="1" s="1"/>
  <c r="F222" i="1"/>
  <c r="O221" i="1"/>
  <c r="M221" i="1"/>
  <c r="P221" i="1" s="1"/>
  <c r="F221" i="1"/>
  <c r="O220" i="1"/>
  <c r="M220" i="1"/>
  <c r="P220" i="1" s="1"/>
  <c r="F220" i="1"/>
  <c r="O219" i="1"/>
  <c r="M219" i="1"/>
  <c r="P219" i="1" s="1"/>
  <c r="F219" i="1"/>
  <c r="O218" i="1"/>
  <c r="M218" i="1"/>
  <c r="P218" i="1" s="1"/>
  <c r="F218" i="1"/>
  <c r="O217" i="1"/>
  <c r="M217" i="1"/>
  <c r="P217" i="1" s="1"/>
  <c r="F217" i="1"/>
  <c r="O216" i="1"/>
  <c r="M216" i="1"/>
  <c r="P216" i="1" s="1"/>
  <c r="F216" i="1"/>
  <c r="O215" i="1"/>
  <c r="M215" i="1"/>
  <c r="P215" i="1" s="1"/>
  <c r="F215" i="1"/>
  <c r="O214" i="1"/>
  <c r="M214" i="1"/>
  <c r="P214" i="1" s="1"/>
  <c r="F214" i="1"/>
  <c r="O213" i="1"/>
  <c r="M213" i="1"/>
  <c r="P213" i="1" s="1"/>
  <c r="F213" i="1"/>
  <c r="O212" i="1"/>
  <c r="M212" i="1"/>
  <c r="P212" i="1" s="1"/>
  <c r="F212" i="1"/>
  <c r="O211" i="1"/>
  <c r="M211" i="1"/>
  <c r="P211" i="1" s="1"/>
  <c r="F211" i="1"/>
  <c r="O210" i="1"/>
  <c r="M210" i="1"/>
  <c r="P210" i="1" s="1"/>
  <c r="F210" i="1"/>
  <c r="O209" i="1"/>
  <c r="M209" i="1"/>
  <c r="P209" i="1" s="1"/>
  <c r="F209" i="1"/>
  <c r="O208" i="1"/>
  <c r="M208" i="1"/>
  <c r="P208" i="1" s="1"/>
  <c r="F208" i="1"/>
  <c r="O207" i="1"/>
  <c r="M207" i="1"/>
  <c r="P207" i="1" s="1"/>
  <c r="F207" i="1"/>
  <c r="O206" i="1"/>
  <c r="M206" i="1"/>
  <c r="P206" i="1" s="1"/>
  <c r="F206" i="1"/>
  <c r="O205" i="1"/>
  <c r="M205" i="1"/>
  <c r="P205" i="1" s="1"/>
  <c r="F205" i="1"/>
  <c r="O204" i="1"/>
  <c r="M204" i="1"/>
  <c r="P204" i="1" s="1"/>
  <c r="F204" i="1"/>
  <c r="O203" i="1"/>
  <c r="M203" i="1"/>
  <c r="P203" i="1" s="1"/>
  <c r="F203" i="1"/>
  <c r="O202" i="1"/>
  <c r="M202" i="1"/>
  <c r="P202" i="1" s="1"/>
  <c r="F202" i="1"/>
  <c r="O201" i="1"/>
  <c r="M201" i="1"/>
  <c r="P201" i="1" s="1"/>
  <c r="F201" i="1"/>
  <c r="O200" i="1"/>
  <c r="M200" i="1"/>
  <c r="P200" i="1" s="1"/>
  <c r="F200" i="1"/>
  <c r="O199" i="1"/>
  <c r="M199" i="1"/>
  <c r="P199" i="1" s="1"/>
  <c r="F199" i="1"/>
  <c r="O198" i="1"/>
  <c r="M198" i="1"/>
  <c r="P198" i="1" s="1"/>
  <c r="F198" i="1"/>
  <c r="O197" i="1"/>
  <c r="M197" i="1"/>
  <c r="P197" i="1" s="1"/>
  <c r="F197" i="1"/>
  <c r="O196" i="1"/>
  <c r="M196" i="1"/>
  <c r="P196" i="1" s="1"/>
  <c r="F196" i="1"/>
  <c r="O195" i="1"/>
  <c r="M195" i="1"/>
  <c r="P195" i="1" s="1"/>
  <c r="F195" i="1"/>
  <c r="O194" i="1"/>
  <c r="M194" i="1"/>
  <c r="P194" i="1" s="1"/>
  <c r="F194" i="1"/>
  <c r="O193" i="1"/>
  <c r="M193" i="1"/>
  <c r="P193" i="1" s="1"/>
  <c r="F193" i="1"/>
  <c r="O192" i="1"/>
  <c r="M192" i="1"/>
  <c r="P192" i="1" s="1"/>
  <c r="F192" i="1"/>
  <c r="O191" i="1"/>
  <c r="M191" i="1"/>
  <c r="P191" i="1" s="1"/>
  <c r="F191" i="1"/>
  <c r="O190" i="1"/>
  <c r="M190" i="1"/>
  <c r="P190" i="1" s="1"/>
  <c r="F190" i="1"/>
  <c r="O189" i="1"/>
  <c r="M189" i="1"/>
  <c r="P189" i="1" s="1"/>
  <c r="F189" i="1"/>
  <c r="O188" i="1"/>
  <c r="M188" i="1"/>
  <c r="P188" i="1" s="1"/>
  <c r="F188" i="1"/>
  <c r="O187" i="1"/>
  <c r="M187" i="1"/>
  <c r="P187" i="1" s="1"/>
  <c r="F187" i="1"/>
  <c r="O186" i="1"/>
  <c r="M186" i="1"/>
  <c r="P186" i="1" s="1"/>
  <c r="F186" i="1"/>
  <c r="O185" i="1"/>
  <c r="M185" i="1"/>
  <c r="P185" i="1" s="1"/>
  <c r="F185" i="1"/>
  <c r="O184" i="1"/>
  <c r="M184" i="1"/>
  <c r="P184" i="1" s="1"/>
  <c r="F184" i="1"/>
  <c r="O183" i="1"/>
  <c r="M183" i="1"/>
  <c r="P183" i="1" s="1"/>
  <c r="F183" i="1"/>
  <c r="O182" i="1"/>
  <c r="M182" i="1"/>
  <c r="P182" i="1" s="1"/>
  <c r="F182" i="1"/>
  <c r="O181" i="1"/>
  <c r="M181" i="1"/>
  <c r="P181" i="1" s="1"/>
  <c r="F181" i="1"/>
  <c r="O180" i="1"/>
  <c r="M180" i="1"/>
  <c r="P180" i="1" s="1"/>
  <c r="F180" i="1"/>
  <c r="O179" i="1"/>
  <c r="M179" i="1"/>
  <c r="P179" i="1" s="1"/>
  <c r="F179" i="1"/>
  <c r="O178" i="1"/>
  <c r="M178" i="1"/>
  <c r="P178" i="1" s="1"/>
  <c r="F178" i="1"/>
  <c r="O177" i="1"/>
  <c r="M177" i="1"/>
  <c r="P177" i="1" s="1"/>
  <c r="F177" i="1"/>
  <c r="O176" i="1"/>
  <c r="M176" i="1"/>
  <c r="P176" i="1" s="1"/>
  <c r="F176" i="1"/>
  <c r="O175" i="1"/>
  <c r="M175" i="1"/>
  <c r="P175" i="1" s="1"/>
  <c r="F175" i="1"/>
  <c r="O174" i="1"/>
  <c r="M174" i="1"/>
  <c r="P174" i="1" s="1"/>
  <c r="F174" i="1"/>
  <c r="O173" i="1"/>
  <c r="M173" i="1"/>
  <c r="P173" i="1" s="1"/>
  <c r="F173" i="1"/>
  <c r="O172" i="1"/>
  <c r="M172" i="1"/>
  <c r="P172" i="1" s="1"/>
  <c r="F172" i="1"/>
  <c r="O171" i="1"/>
  <c r="M171" i="1"/>
  <c r="P171" i="1" s="1"/>
  <c r="F171" i="1"/>
  <c r="O170" i="1"/>
  <c r="M170" i="1"/>
  <c r="P170" i="1" s="1"/>
  <c r="F170" i="1"/>
  <c r="O169" i="1"/>
  <c r="M169" i="1"/>
  <c r="P169" i="1" s="1"/>
  <c r="F169" i="1"/>
  <c r="O168" i="1"/>
  <c r="M168" i="1"/>
  <c r="P168" i="1" s="1"/>
  <c r="F168" i="1"/>
  <c r="O167" i="1"/>
  <c r="M167" i="1"/>
  <c r="P167" i="1" s="1"/>
  <c r="F167" i="1"/>
  <c r="O166" i="1"/>
  <c r="M166" i="1"/>
  <c r="P166" i="1" s="1"/>
  <c r="F166" i="1"/>
  <c r="O165" i="1"/>
  <c r="M165" i="1"/>
  <c r="P165" i="1" s="1"/>
  <c r="F165" i="1"/>
  <c r="O164" i="1"/>
  <c r="M164" i="1"/>
  <c r="P164" i="1" s="1"/>
  <c r="F164" i="1"/>
  <c r="O163" i="1"/>
  <c r="M163" i="1"/>
  <c r="P163" i="1" s="1"/>
  <c r="F163" i="1"/>
  <c r="O162" i="1"/>
  <c r="M162" i="1"/>
  <c r="P162" i="1" s="1"/>
  <c r="F162" i="1"/>
  <c r="O161" i="1"/>
  <c r="M161" i="1"/>
  <c r="P161" i="1" s="1"/>
  <c r="F161" i="1"/>
  <c r="O160" i="1"/>
  <c r="M160" i="1"/>
  <c r="P160" i="1" s="1"/>
  <c r="F160" i="1"/>
  <c r="O159" i="1"/>
  <c r="M159" i="1"/>
  <c r="P159" i="1" s="1"/>
  <c r="F159" i="1"/>
  <c r="O158" i="1"/>
  <c r="M158" i="1"/>
  <c r="P158" i="1" s="1"/>
  <c r="F158" i="1"/>
  <c r="O157" i="1"/>
  <c r="M157" i="1"/>
  <c r="P157" i="1" s="1"/>
  <c r="F157" i="1"/>
  <c r="O156" i="1"/>
  <c r="M156" i="1"/>
  <c r="P156" i="1" s="1"/>
  <c r="F156" i="1"/>
  <c r="O155" i="1"/>
  <c r="M155" i="1"/>
  <c r="P155" i="1" s="1"/>
  <c r="F155" i="1"/>
  <c r="O154" i="1"/>
  <c r="M154" i="1"/>
  <c r="P154" i="1" s="1"/>
  <c r="F154" i="1"/>
  <c r="O153" i="1"/>
  <c r="M153" i="1"/>
  <c r="P153" i="1" s="1"/>
  <c r="F153" i="1"/>
  <c r="O152" i="1"/>
  <c r="M152" i="1"/>
  <c r="P152" i="1" s="1"/>
  <c r="F152" i="1"/>
  <c r="O151" i="1"/>
  <c r="M151" i="1"/>
  <c r="P151" i="1" s="1"/>
  <c r="F151" i="1"/>
  <c r="A151" i="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O150" i="1"/>
  <c r="M150" i="1"/>
  <c r="P150" i="1" s="1"/>
  <c r="F150" i="1"/>
  <c r="O149" i="1"/>
  <c r="M149" i="1"/>
  <c r="P149" i="1" s="1"/>
  <c r="F149" i="1"/>
  <c r="O148" i="1"/>
  <c r="M148" i="1"/>
  <c r="P148" i="1" s="1"/>
  <c r="F148" i="1"/>
  <c r="O147" i="1"/>
  <c r="M147" i="1"/>
  <c r="P147" i="1" s="1"/>
  <c r="F147" i="1"/>
  <c r="O146" i="1"/>
  <c r="M146" i="1"/>
  <c r="P146" i="1" s="1"/>
  <c r="F146" i="1"/>
  <c r="O145" i="1"/>
  <c r="M145" i="1"/>
  <c r="P145" i="1" s="1"/>
  <c r="F145" i="1"/>
  <c r="O144" i="1"/>
  <c r="M144" i="1"/>
  <c r="P144" i="1" s="1"/>
  <c r="F144" i="1"/>
  <c r="O143" i="1"/>
  <c r="M143" i="1"/>
  <c r="P143" i="1" s="1"/>
  <c r="F143" i="1"/>
  <c r="O142" i="1"/>
  <c r="M142" i="1"/>
  <c r="P142" i="1" s="1"/>
  <c r="F142" i="1"/>
  <c r="O141" i="1"/>
  <c r="M141" i="1"/>
  <c r="P141" i="1" s="1"/>
  <c r="F141" i="1"/>
  <c r="O140" i="1"/>
  <c r="M140" i="1"/>
  <c r="P140" i="1" s="1"/>
  <c r="F140" i="1"/>
  <c r="O139" i="1"/>
  <c r="M139" i="1"/>
  <c r="P139" i="1" s="1"/>
  <c r="F139" i="1"/>
  <c r="O138" i="1"/>
  <c r="M138" i="1"/>
  <c r="P138" i="1" s="1"/>
  <c r="F138" i="1"/>
  <c r="O137" i="1"/>
  <c r="M137" i="1"/>
  <c r="P137" i="1" s="1"/>
  <c r="F137" i="1"/>
  <c r="O136" i="1"/>
  <c r="M136" i="1"/>
  <c r="P136" i="1" s="1"/>
  <c r="F136" i="1"/>
  <c r="O135" i="1"/>
  <c r="M135" i="1"/>
  <c r="P135" i="1" s="1"/>
  <c r="F135" i="1"/>
  <c r="O134" i="1"/>
  <c r="M134" i="1"/>
  <c r="P134" i="1" s="1"/>
  <c r="F134" i="1"/>
  <c r="O133" i="1"/>
  <c r="M133" i="1"/>
  <c r="P133" i="1" s="1"/>
  <c r="F133" i="1"/>
  <c r="O132" i="1"/>
  <c r="M132" i="1"/>
  <c r="P132" i="1" s="1"/>
  <c r="F132" i="1"/>
  <c r="O131" i="1"/>
  <c r="M131" i="1"/>
  <c r="P131" i="1" s="1"/>
  <c r="F131" i="1"/>
  <c r="O130" i="1"/>
  <c r="M130" i="1"/>
  <c r="P130" i="1" s="1"/>
  <c r="F130" i="1"/>
  <c r="O129" i="1"/>
  <c r="M129" i="1"/>
  <c r="P129" i="1" s="1"/>
  <c r="F129" i="1"/>
  <c r="O128" i="1"/>
  <c r="M128" i="1"/>
  <c r="P128" i="1" s="1"/>
  <c r="F128" i="1"/>
  <c r="O127" i="1"/>
  <c r="M127" i="1"/>
  <c r="P127" i="1" s="1"/>
  <c r="F127" i="1"/>
  <c r="O126" i="1"/>
  <c r="M126" i="1"/>
  <c r="P126" i="1" s="1"/>
  <c r="F126" i="1"/>
  <c r="O125" i="1"/>
  <c r="M125" i="1"/>
  <c r="P125" i="1" s="1"/>
  <c r="F125" i="1"/>
  <c r="O124" i="1"/>
  <c r="M124" i="1"/>
  <c r="P124" i="1" s="1"/>
  <c r="F124" i="1"/>
  <c r="O123" i="1"/>
  <c r="M123" i="1"/>
  <c r="P123" i="1" s="1"/>
  <c r="F123" i="1"/>
  <c r="O122" i="1"/>
  <c r="M122" i="1"/>
  <c r="P122" i="1" s="1"/>
  <c r="F122" i="1"/>
  <c r="O121" i="1"/>
  <c r="M121" i="1"/>
  <c r="P121" i="1" s="1"/>
  <c r="F121" i="1"/>
  <c r="O120" i="1"/>
  <c r="M120" i="1"/>
  <c r="P120" i="1" s="1"/>
  <c r="F120" i="1"/>
  <c r="O119" i="1"/>
  <c r="M119" i="1"/>
  <c r="P119" i="1" s="1"/>
  <c r="F119" i="1"/>
  <c r="O118" i="1"/>
  <c r="M118" i="1"/>
  <c r="P118" i="1" s="1"/>
  <c r="F118" i="1"/>
  <c r="O117" i="1"/>
  <c r="M117" i="1"/>
  <c r="P117" i="1" s="1"/>
  <c r="F117" i="1"/>
  <c r="O116" i="1"/>
  <c r="M116" i="1"/>
  <c r="P116" i="1" s="1"/>
  <c r="F116" i="1"/>
  <c r="O115" i="1"/>
  <c r="M115" i="1"/>
  <c r="P115" i="1" s="1"/>
  <c r="F115" i="1"/>
  <c r="O114" i="1"/>
  <c r="M114" i="1"/>
  <c r="P114" i="1" s="1"/>
  <c r="F114" i="1"/>
  <c r="O113" i="1"/>
  <c r="M113" i="1"/>
  <c r="P113" i="1" s="1"/>
  <c r="F113" i="1"/>
  <c r="O112" i="1"/>
  <c r="M112" i="1"/>
  <c r="P112" i="1" s="1"/>
  <c r="F112" i="1"/>
  <c r="O111" i="1"/>
  <c r="M111" i="1"/>
  <c r="P111" i="1" s="1"/>
  <c r="F111" i="1"/>
  <c r="O110" i="1"/>
  <c r="M110" i="1"/>
  <c r="P110" i="1" s="1"/>
  <c r="F110" i="1"/>
  <c r="O109" i="1"/>
  <c r="M109" i="1"/>
  <c r="P109" i="1" s="1"/>
  <c r="F109" i="1"/>
  <c r="O108" i="1"/>
  <c r="M108" i="1"/>
  <c r="P108" i="1" s="1"/>
  <c r="F108" i="1"/>
  <c r="O107" i="1"/>
  <c r="M107" i="1"/>
  <c r="P107" i="1" s="1"/>
  <c r="F107" i="1"/>
  <c r="O106" i="1"/>
  <c r="M106" i="1"/>
  <c r="P106" i="1" s="1"/>
  <c r="F106" i="1"/>
  <c r="O105" i="1"/>
  <c r="M105" i="1"/>
  <c r="P105" i="1" s="1"/>
  <c r="F105" i="1"/>
  <c r="O104" i="1"/>
  <c r="M104" i="1"/>
  <c r="P104" i="1" s="1"/>
  <c r="F104" i="1"/>
  <c r="O103" i="1"/>
  <c r="M103" i="1"/>
  <c r="P103" i="1" s="1"/>
  <c r="F103" i="1"/>
  <c r="O102" i="1"/>
  <c r="M102" i="1"/>
  <c r="P102" i="1" s="1"/>
  <c r="F102" i="1"/>
  <c r="O101" i="1"/>
  <c r="M101" i="1"/>
  <c r="P101" i="1" s="1"/>
  <c r="F101" i="1"/>
  <c r="O100" i="1"/>
  <c r="M100" i="1"/>
  <c r="P100" i="1" s="1"/>
  <c r="F100" i="1"/>
  <c r="O99" i="1"/>
  <c r="M99" i="1"/>
  <c r="P99" i="1" s="1"/>
  <c r="F99" i="1"/>
  <c r="O98" i="1"/>
  <c r="M98" i="1"/>
  <c r="P98" i="1" s="1"/>
  <c r="F98" i="1"/>
  <c r="O97" i="1"/>
  <c r="M97" i="1"/>
  <c r="P97" i="1" s="1"/>
  <c r="F97" i="1"/>
  <c r="O96" i="1"/>
  <c r="M96" i="1"/>
  <c r="P96" i="1" s="1"/>
  <c r="F96" i="1"/>
  <c r="O95" i="1"/>
  <c r="M95" i="1"/>
  <c r="P95" i="1" s="1"/>
  <c r="F95" i="1"/>
  <c r="O94" i="1"/>
  <c r="M94" i="1"/>
  <c r="P94" i="1" s="1"/>
  <c r="F94" i="1"/>
  <c r="O93" i="1"/>
  <c r="M93" i="1"/>
  <c r="P93" i="1" s="1"/>
  <c r="F93" i="1"/>
  <c r="O92" i="1"/>
  <c r="M92" i="1"/>
  <c r="P92" i="1" s="1"/>
  <c r="F92" i="1"/>
  <c r="O91" i="1"/>
  <c r="M91" i="1"/>
  <c r="P91" i="1" s="1"/>
  <c r="F91" i="1"/>
  <c r="O90" i="1"/>
  <c r="M90" i="1"/>
  <c r="P90" i="1" s="1"/>
  <c r="F90" i="1"/>
  <c r="O89" i="1"/>
  <c r="M89" i="1"/>
  <c r="P89" i="1" s="1"/>
  <c r="F89" i="1"/>
  <c r="O88" i="1"/>
  <c r="M88" i="1"/>
  <c r="P88" i="1" s="1"/>
  <c r="F88" i="1"/>
  <c r="O87" i="1"/>
  <c r="M87" i="1"/>
  <c r="P87" i="1" s="1"/>
  <c r="F87" i="1"/>
  <c r="O86" i="1"/>
  <c r="M86" i="1"/>
  <c r="P86" i="1" s="1"/>
  <c r="F86" i="1"/>
  <c r="O85" i="1"/>
  <c r="M85" i="1"/>
  <c r="P85" i="1" s="1"/>
  <c r="F85" i="1"/>
  <c r="O84" i="1"/>
  <c r="M84" i="1"/>
  <c r="P84" i="1" s="1"/>
  <c r="F84" i="1"/>
  <c r="O83" i="1"/>
  <c r="M83" i="1"/>
  <c r="P83" i="1" s="1"/>
  <c r="F83" i="1"/>
  <c r="O82" i="1"/>
  <c r="M82" i="1"/>
  <c r="P82" i="1" s="1"/>
  <c r="F82" i="1"/>
  <c r="O81" i="1"/>
  <c r="M81" i="1"/>
  <c r="P81" i="1" s="1"/>
  <c r="F81" i="1"/>
  <c r="O80" i="1"/>
  <c r="M80" i="1"/>
  <c r="P80" i="1" s="1"/>
  <c r="F80" i="1"/>
  <c r="O79" i="1"/>
  <c r="M79" i="1"/>
  <c r="P79" i="1" s="1"/>
  <c r="F79" i="1"/>
  <c r="O78" i="1"/>
  <c r="M78" i="1"/>
  <c r="P78" i="1" s="1"/>
  <c r="F78" i="1"/>
  <c r="O77" i="1"/>
  <c r="M77" i="1"/>
  <c r="P77" i="1" s="1"/>
  <c r="F77" i="1"/>
  <c r="O76" i="1"/>
  <c r="M76" i="1"/>
  <c r="P76" i="1" s="1"/>
  <c r="F76" i="1"/>
  <c r="O75" i="1"/>
  <c r="M75" i="1"/>
  <c r="P75" i="1" s="1"/>
  <c r="F75" i="1"/>
  <c r="O74" i="1"/>
  <c r="M74" i="1"/>
  <c r="P74" i="1" s="1"/>
  <c r="F74" i="1"/>
  <c r="O73" i="1"/>
  <c r="M73" i="1"/>
  <c r="P73" i="1" s="1"/>
  <c r="F73" i="1"/>
  <c r="O72" i="1"/>
  <c r="M72" i="1"/>
  <c r="P72" i="1" s="1"/>
  <c r="F72" i="1"/>
  <c r="O71" i="1"/>
  <c r="M71" i="1"/>
  <c r="P71" i="1" s="1"/>
  <c r="F71" i="1"/>
  <c r="O70" i="1"/>
  <c r="M70" i="1"/>
  <c r="P70" i="1" s="1"/>
  <c r="F70" i="1"/>
  <c r="O69" i="1"/>
  <c r="M69" i="1"/>
  <c r="P69" i="1" s="1"/>
  <c r="F69" i="1"/>
  <c r="O68" i="1"/>
  <c r="M68" i="1"/>
  <c r="P68" i="1" s="1"/>
  <c r="F68" i="1"/>
  <c r="O67" i="1"/>
  <c r="M67" i="1"/>
  <c r="P67" i="1" s="1"/>
  <c r="F67" i="1"/>
  <c r="O66" i="1"/>
  <c r="M66" i="1"/>
  <c r="P66" i="1" s="1"/>
  <c r="F66" i="1"/>
  <c r="O65" i="1"/>
  <c r="M65" i="1"/>
  <c r="P65" i="1" s="1"/>
  <c r="F65" i="1"/>
  <c r="O64" i="1"/>
  <c r="M64" i="1"/>
  <c r="P64" i="1" s="1"/>
  <c r="F64" i="1"/>
  <c r="O63" i="1"/>
  <c r="M63" i="1"/>
  <c r="P63" i="1" s="1"/>
  <c r="O62" i="1"/>
  <c r="M62" i="1"/>
  <c r="P62" i="1" s="1"/>
  <c r="F62" i="1"/>
  <c r="O61" i="1"/>
  <c r="M61" i="1"/>
  <c r="P61" i="1" s="1"/>
  <c r="F61" i="1"/>
  <c r="O60" i="1"/>
  <c r="M60" i="1"/>
  <c r="P60" i="1" s="1"/>
  <c r="F60" i="1"/>
  <c r="O59" i="1"/>
  <c r="M59" i="1"/>
  <c r="P59" i="1" s="1"/>
  <c r="F59" i="1"/>
  <c r="O58" i="1"/>
  <c r="M58" i="1"/>
  <c r="P58" i="1" s="1"/>
  <c r="F58" i="1"/>
  <c r="O57" i="1"/>
  <c r="M57" i="1"/>
  <c r="P57" i="1" s="1"/>
  <c r="F57" i="1"/>
  <c r="O56" i="1"/>
  <c r="M56" i="1"/>
  <c r="P56" i="1" s="1"/>
  <c r="F56" i="1"/>
  <c r="O55" i="1"/>
  <c r="M55" i="1"/>
  <c r="P55" i="1" s="1"/>
  <c r="F55" i="1"/>
  <c r="O54" i="1"/>
  <c r="M54" i="1"/>
  <c r="P54" i="1" s="1"/>
  <c r="F54" i="1"/>
  <c r="O53" i="1"/>
  <c r="M53" i="1"/>
  <c r="P53" i="1" s="1"/>
  <c r="F53" i="1"/>
  <c r="O52" i="1"/>
  <c r="M52" i="1"/>
  <c r="P52" i="1" s="1"/>
  <c r="F52" i="1"/>
  <c r="O51" i="1"/>
  <c r="M51" i="1"/>
  <c r="P51" i="1" s="1"/>
  <c r="F51" i="1"/>
  <c r="O50" i="1"/>
  <c r="M50" i="1"/>
  <c r="P50" i="1" s="1"/>
  <c r="F50" i="1"/>
  <c r="O48" i="1"/>
  <c r="M48" i="1"/>
  <c r="P48" i="1" s="1"/>
  <c r="F48" i="1"/>
  <c r="O47" i="1"/>
  <c r="M47" i="1"/>
  <c r="P47" i="1" s="1"/>
  <c r="F47" i="1"/>
  <c r="O46" i="1"/>
  <c r="M46" i="1"/>
  <c r="P46" i="1" s="1"/>
  <c r="F46" i="1"/>
  <c r="O45" i="1"/>
  <c r="M45" i="1"/>
  <c r="P45" i="1" s="1"/>
  <c r="F45" i="1"/>
  <c r="O44" i="1"/>
  <c r="M44" i="1"/>
  <c r="P44" i="1" s="1"/>
  <c r="F44" i="1"/>
  <c r="O43" i="1"/>
  <c r="M43" i="1"/>
  <c r="P43" i="1" s="1"/>
  <c r="F43" i="1"/>
  <c r="O42" i="1"/>
  <c r="M42" i="1"/>
  <c r="P42" i="1" s="1"/>
  <c r="F42" i="1"/>
  <c r="O41" i="1"/>
  <c r="M41" i="1"/>
  <c r="P41" i="1" s="1"/>
  <c r="F41" i="1"/>
  <c r="O40" i="1"/>
  <c r="M40" i="1"/>
  <c r="P40" i="1" s="1"/>
  <c r="F40" i="1"/>
  <c r="O39" i="1"/>
  <c r="M39" i="1"/>
  <c r="P39" i="1" s="1"/>
  <c r="F39" i="1"/>
  <c r="O38" i="1"/>
  <c r="M38" i="1"/>
  <c r="P38" i="1" s="1"/>
  <c r="F38" i="1"/>
  <c r="F37" i="1"/>
  <c r="O36" i="1"/>
  <c r="M36" i="1"/>
  <c r="P36" i="1" s="1"/>
  <c r="F36" i="1"/>
  <c r="O35" i="1"/>
  <c r="M35" i="1"/>
  <c r="P35" i="1" s="1"/>
  <c r="F35" i="1"/>
  <c r="O34" i="1"/>
  <c r="M34" i="1"/>
  <c r="P34" i="1" s="1"/>
  <c r="F34" i="1"/>
  <c r="A34" i="1"/>
  <c r="A35" i="1" s="1"/>
  <c r="A36" i="1" s="1"/>
  <c r="A37" i="1" s="1"/>
  <c r="A38" i="1" s="1"/>
  <c r="A39" i="1" s="1"/>
  <c r="A40" i="1" s="1"/>
  <c r="A41" i="1" s="1"/>
  <c r="A42" i="1" s="1"/>
  <c r="A43" i="1" s="1"/>
  <c r="A44" i="1" s="1"/>
  <c r="A45" i="1" s="1"/>
  <c r="A46" i="1" s="1"/>
  <c r="A47" i="1" s="1"/>
  <c r="A48" i="1" s="1"/>
  <c r="A49" i="1" s="1"/>
  <c r="A50" i="1" s="1"/>
  <c r="A51" i="1" s="1"/>
  <c r="A52" i="1" s="1"/>
  <c r="A53" i="1" s="1"/>
  <c r="A54" i="1" s="1"/>
  <c r="A55" i="1" s="1"/>
  <c r="O33" i="1"/>
  <c r="M33" i="1"/>
  <c r="P33" i="1" s="1"/>
  <c r="F33" i="1"/>
  <c r="O32" i="1"/>
  <c r="M32" i="1"/>
  <c r="P32" i="1" s="1"/>
  <c r="F32" i="1"/>
  <c r="O31" i="1"/>
  <c r="M31" i="1"/>
  <c r="P31" i="1" s="1"/>
  <c r="F31" i="1"/>
  <c r="O30" i="1"/>
  <c r="M30" i="1"/>
  <c r="P30" i="1" s="1"/>
  <c r="F30" i="1"/>
  <c r="O29" i="1"/>
  <c r="M29" i="1"/>
  <c r="P29" i="1" s="1"/>
  <c r="F29" i="1"/>
  <c r="O28" i="1"/>
  <c r="M28" i="1"/>
  <c r="P28" i="1" s="1"/>
  <c r="F28" i="1"/>
  <c r="O27" i="1"/>
  <c r="M27" i="1"/>
  <c r="P27" i="1" s="1"/>
  <c r="F27" i="1"/>
  <c r="O26" i="1"/>
  <c r="M26" i="1"/>
  <c r="P26" i="1" s="1"/>
  <c r="F26" i="1"/>
  <c r="O25" i="1"/>
  <c r="M25" i="1"/>
  <c r="P25" i="1" s="1"/>
  <c r="F25" i="1"/>
  <c r="O24" i="1"/>
  <c r="M24" i="1"/>
  <c r="P24" i="1" s="1"/>
  <c r="F24" i="1"/>
  <c r="O23" i="1"/>
  <c r="M23" i="1"/>
  <c r="P23" i="1" s="1"/>
  <c r="F23" i="1"/>
  <c r="O22" i="1"/>
  <c r="M22" i="1"/>
  <c r="P22" i="1" s="1"/>
  <c r="F22" i="1"/>
  <c r="O21" i="1"/>
  <c r="M21" i="1"/>
  <c r="P21" i="1" s="1"/>
  <c r="F21" i="1"/>
  <c r="O20" i="1"/>
  <c r="M20" i="1"/>
  <c r="P20" i="1" s="1"/>
  <c r="F20" i="1"/>
  <c r="O19" i="1"/>
  <c r="M19" i="1"/>
  <c r="P19" i="1" s="1"/>
  <c r="F19" i="1"/>
  <c r="F18" i="1"/>
  <c r="F17" i="1"/>
  <c r="F16" i="1"/>
  <c r="F15" i="1"/>
  <c r="F14" i="1"/>
  <c r="F13" i="1"/>
  <c r="F12" i="1"/>
  <c r="F11" i="1"/>
  <c r="F10" i="1"/>
  <c r="O9" i="1"/>
  <c r="M9" i="1"/>
  <c r="P9" i="1" s="1"/>
  <c r="F9" i="1"/>
  <c r="O8" i="1"/>
  <c r="M8" i="1"/>
  <c r="P8" i="1" s="1"/>
  <c r="F8" i="1"/>
  <c r="O7" i="1"/>
  <c r="M7" i="1"/>
  <c r="P7" i="1" s="1"/>
  <c r="F7" i="1"/>
  <c r="O6" i="1"/>
  <c r="M6" i="1"/>
  <c r="P6" i="1" s="1"/>
  <c r="F6" i="1"/>
  <c r="O5" i="1"/>
  <c r="M5" i="1"/>
  <c r="P5" i="1" s="1"/>
  <c r="F5" i="1"/>
  <c r="O4" i="1"/>
  <c r="M4" i="1"/>
  <c r="P4" i="1" s="1"/>
  <c r="F4" i="1"/>
  <c r="O3" i="1"/>
  <c r="M3" i="1"/>
  <c r="P3" i="1" s="1"/>
  <c r="F3" i="1"/>
  <c r="I238" i="13" l="1"/>
  <c r="H238" i="13"/>
  <c r="H16" i="6"/>
  <c r="H18" i="6"/>
  <c r="G16" i="6"/>
  <c r="G18" i="6"/>
  <c r="F16" i="6"/>
  <c r="F18" i="6"/>
  <c r="E16" i="6"/>
  <c r="E18" i="6"/>
  <c r="D16" i="6"/>
  <c r="D18" i="6"/>
  <c r="C16" i="6"/>
  <c r="C18" i="6"/>
  <c r="H8" i="6"/>
  <c r="H7" i="6"/>
  <c r="G8" i="6"/>
  <c r="G7" i="6"/>
  <c r="F7" i="6"/>
  <c r="F8" i="6"/>
  <c r="E7" i="6"/>
  <c r="E8" i="6"/>
  <c r="D7" i="6"/>
  <c r="D8" i="6"/>
  <c r="C8" i="6"/>
  <c r="C7" i="6"/>
</calcChain>
</file>

<file path=xl/sharedStrings.xml><?xml version="1.0" encoding="utf-8"?>
<sst xmlns="http://schemas.openxmlformats.org/spreadsheetml/2006/main" count="12498" uniqueCount="2589">
  <si>
    <t>Run Number</t>
  </si>
  <si>
    <t>Target</t>
  </si>
  <si>
    <t>Run</t>
  </si>
  <si>
    <t>Energy</t>
  </si>
  <si>
    <t>Charge</t>
  </si>
  <si>
    <t>ROI</t>
  </si>
  <si>
    <t>Offline Counts</t>
  </si>
  <si>
    <t>Yield</t>
  </si>
  <si>
    <t>dYield</t>
  </si>
  <si>
    <t>Scan</t>
  </si>
  <si>
    <t>Size</t>
  </si>
  <si>
    <t>IMP#1, Scan 1</t>
  </si>
  <si>
    <t>IMP#1, Scan 2</t>
  </si>
  <si>
    <t>IMP#1, Scan 3</t>
  </si>
  <si>
    <t>IMP#1, Scan 4</t>
  </si>
  <si>
    <t>IMP#2, Scan 1</t>
  </si>
  <si>
    <t>IMP#2, Scan 2</t>
  </si>
  <si>
    <t>IMP#2, Scan 3</t>
  </si>
  <si>
    <t>IMP#2, Scan 4</t>
  </si>
  <si>
    <t>IMP#2, Scan 5</t>
  </si>
  <si>
    <t>Ta#1, Scan 1</t>
  </si>
  <si>
    <t>ACD#1, Scan 1</t>
  </si>
  <si>
    <t>ACD#1, Scan 2</t>
  </si>
  <si>
    <t>Ta#1, Scan 2</t>
  </si>
  <si>
    <t>ACD#3, Scan 1</t>
  </si>
  <si>
    <t>ACD#3, Scan 2</t>
  </si>
  <si>
    <t>TA#1, Scan 3</t>
  </si>
  <si>
    <t>EVA#1, Scan 1</t>
  </si>
  <si>
    <t>E</t>
  </si>
  <si>
    <t>Scan 1</t>
  </si>
  <si>
    <t>Scan 2</t>
  </si>
  <si>
    <t>Scan 3</t>
  </si>
  <si>
    <t>Scan 4</t>
  </si>
  <si>
    <t>Scan 5</t>
  </si>
  <si>
    <t>E(cm) / keV</t>
  </si>
  <si>
    <t>E(p) / keV</t>
  </si>
  <si>
    <t>Beam Energy</t>
  </si>
  <si>
    <t>11B(p,g)</t>
  </si>
  <si>
    <t>Q=</t>
  </si>
  <si>
    <t>Ex=</t>
  </si>
  <si>
    <t>Gamma 1</t>
  </si>
  <si>
    <t>Gamma 2</t>
  </si>
  <si>
    <t>Gamma Sum</t>
  </si>
  <si>
    <t>19F(p,g)</t>
  </si>
  <si>
    <t>-&gt; 0</t>
  </si>
  <si>
    <t>Gamma 0</t>
  </si>
  <si>
    <t>-&gt; 1634</t>
  </si>
  <si>
    <t>Gamma 1s</t>
  </si>
  <si>
    <t>-&gt; 4247</t>
  </si>
  <si>
    <t>-&gt; 4966</t>
  </si>
  <si>
    <t>Gamma 2s</t>
  </si>
  <si>
    <t>Gamma 3</t>
  </si>
  <si>
    <t>19F(p,ag)</t>
  </si>
  <si>
    <t>Gamma</t>
  </si>
  <si>
    <t>Pile-Up</t>
  </si>
  <si>
    <t>Target Name</t>
  </si>
  <si>
    <t>Notes</t>
  </si>
  <si>
    <t>60Co#130</t>
  </si>
  <si>
    <t>Calibrated on 01/07/2016 with reported activity of 9.01 +- 0.07 kBq</t>
  </si>
  <si>
    <t>Provided by LNGS</t>
  </si>
  <si>
    <t>137Cs#129</t>
  </si>
  <si>
    <t>Calibrated on 01/07/2016 with reported activity of 6.46 +- 0.07 kBq</t>
  </si>
  <si>
    <t>TA#1</t>
  </si>
  <si>
    <t>Ta backing from the same batch of the other targets.</t>
  </si>
  <si>
    <t>Provided by Campostrini</t>
  </si>
  <si>
    <t>AL#1</t>
  </si>
  <si>
    <t>The rising edge was characterized during the MV calibration.</t>
  </si>
  <si>
    <t>Provided by Matthias</t>
  </si>
  <si>
    <t>ACD#1</t>
  </si>
  <si>
    <t>Used, but no 19F in the target (at least comparable with a blank Ta backing)</t>
  </si>
  <si>
    <t>Produced at LNL</t>
  </si>
  <si>
    <t>ACD#2</t>
  </si>
  <si>
    <t>ACD#3</t>
  </si>
  <si>
    <t>EVA#1</t>
  </si>
  <si>
    <t>Used with 4C accumulated. Measured thickness is 30 keV. Nominal is 240nm.</t>
  </si>
  <si>
    <t>Evaporated at LNL</t>
  </si>
  <si>
    <t>EVA#2</t>
  </si>
  <si>
    <t>EVA#3</t>
  </si>
  <si>
    <t>EVA#4</t>
  </si>
  <si>
    <t>EVA#5</t>
  </si>
  <si>
    <t>EVA#6</t>
  </si>
  <si>
    <t>IMP#1</t>
  </si>
  <si>
    <t>Implanted at HZDR and used with 21 C accumulated. The thickness is 60 keV.</t>
  </si>
  <si>
    <t>First Batch from HZDR</t>
  </si>
  <si>
    <t>IMP#2</t>
  </si>
  <si>
    <t>Implanted at HZDR and used with 28 C accumulated. The thickness is 60 keV.</t>
  </si>
  <si>
    <t>IMP#3</t>
  </si>
  <si>
    <t>IMP#4</t>
  </si>
  <si>
    <t>Second Batch from HZDR</t>
  </si>
  <si>
    <t>IMP#5</t>
  </si>
  <si>
    <t>IMP#6</t>
  </si>
  <si>
    <t>IMP_LTA#1</t>
  </si>
  <si>
    <t>First Batch from Lisbon</t>
  </si>
  <si>
    <t>IMP_LTA#2</t>
  </si>
  <si>
    <t>IMP_LFE#1</t>
  </si>
  <si>
    <t>IMP_LFE#2</t>
  </si>
  <si>
    <t>SUDF#1</t>
  </si>
  <si>
    <t>Produced by SUDFLUOR</t>
  </si>
  <si>
    <t>SUDF#2</t>
  </si>
  <si>
    <t>SUDF#3</t>
  </si>
  <si>
    <t>SUDF#4</t>
  </si>
  <si>
    <t>EVA_AT#1</t>
  </si>
  <si>
    <t>Produced at ATOMKI</t>
  </si>
  <si>
    <t>EVA_AT#2</t>
  </si>
  <si>
    <t>EVA_AT#3</t>
  </si>
  <si>
    <t>EVA_AT#4</t>
  </si>
  <si>
    <t>EVA_AT#5</t>
  </si>
  <si>
    <t>EVA_AT#6</t>
  </si>
  <si>
    <t>Run Type</t>
  </si>
  <si>
    <t>TV</t>
  </si>
  <si>
    <t>PV</t>
  </si>
  <si>
    <t>Start Time</t>
  </si>
  <si>
    <t>Stop Time</t>
  </si>
  <si>
    <t>Current</t>
  </si>
  <si>
    <t>Pulser</t>
  </si>
  <si>
    <t>ROI (BGO1)</t>
  </si>
  <si>
    <t xml:space="preserve">BGO 1 COUNTS </t>
  </si>
  <si>
    <t>Counts Error</t>
  </si>
  <si>
    <t>Yield Error</t>
  </si>
  <si>
    <t>COMMENTS</t>
  </si>
  <si>
    <t>Background</t>
  </si>
  <si>
    <t>16/09/2025 14:26</t>
  </si>
  <si>
    <t>16/09/2025 16:14</t>
  </si>
  <si>
    <t>Calibration</t>
  </si>
  <si>
    <t>16/09/2025 16:59</t>
  </si>
  <si>
    <t>16/09/2025 17:02</t>
  </si>
  <si>
    <t>Source inside the BGO hole for energy calibration.</t>
  </si>
  <si>
    <t>16/09/2025 17:04</t>
  </si>
  <si>
    <t>16/09/2025 17:09</t>
  </si>
  <si>
    <t>18O_80_48V</t>
  </si>
  <si>
    <t>17/09/2025 11:37</t>
  </si>
  <si>
    <t>17/09/2025 11:42</t>
  </si>
  <si>
    <t>5000-20000</t>
  </si>
  <si>
    <t>17/09/2025 11:45</t>
  </si>
  <si>
    <t>17/09/2025 11:46</t>
  </si>
  <si>
    <t>17/09/2025 11:48</t>
  </si>
  <si>
    <t>17/09/2025 11:51</t>
  </si>
  <si>
    <t>17/09/2025 11:52</t>
  </si>
  <si>
    <t>17/09/2025 11:56</t>
  </si>
  <si>
    <t>17/09/2025 12:03</t>
  </si>
  <si>
    <t>17/09/2025 12:06</t>
  </si>
  <si>
    <t>17/09/2025 12:10</t>
  </si>
  <si>
    <t>17/09/2025 12:13</t>
  </si>
  <si>
    <t>17/09/2025 12:14</t>
  </si>
  <si>
    <t>17/09/2025 12:17</t>
  </si>
  <si>
    <t>17/09/2025 12:18</t>
  </si>
  <si>
    <t>17/09/2025 12:22</t>
  </si>
  <si>
    <t>17/09/2025 12:23</t>
  </si>
  <si>
    <t>17/09/2025 12:26</t>
  </si>
  <si>
    <t>17/09/2025 12:27</t>
  </si>
  <si>
    <t>17/09/2025 12:30</t>
  </si>
  <si>
    <t>17/09/2025 12:32</t>
  </si>
  <si>
    <t>17/09/2025 12:34</t>
  </si>
  <si>
    <t>17/09/2025 12:36</t>
  </si>
  <si>
    <t>17/09/2025 12:39</t>
  </si>
  <si>
    <t>17/09/2025 12:41</t>
  </si>
  <si>
    <t>17/09/2025 12:44</t>
  </si>
  <si>
    <t>Long Run</t>
  </si>
  <si>
    <t>17/09/2025 12:46</t>
  </si>
  <si>
    <t>17/09/2025 14:59</t>
  </si>
  <si>
    <t>18/09/2025 17:39</t>
  </si>
  <si>
    <t>19/09/2025 09:29</t>
  </si>
  <si>
    <t>14N - Dep181_2056_LNL?3</t>
  </si>
  <si>
    <t>19/09/2025 11:11</t>
  </si>
  <si>
    <t>19/09/2025 11:14</t>
  </si>
  <si>
    <t>8000 - 14000</t>
  </si>
  <si>
    <t>19/09/2025 11:18</t>
  </si>
  <si>
    <t>19/09/2025 11:21</t>
  </si>
  <si>
    <t>19/09/2025 11:23</t>
  </si>
  <si>
    <t>19/09/2025 11:25</t>
  </si>
  <si>
    <t>19/09/2025 11:27</t>
  </si>
  <si>
    <t>19/09/2025 11:30</t>
  </si>
  <si>
    <t>19/09/2025 11:31</t>
  </si>
  <si>
    <t>19/09/2025 11:32</t>
  </si>
  <si>
    <t>19/09/2025 11:34</t>
  </si>
  <si>
    <t>19/09/2025 11:35</t>
  </si>
  <si>
    <t>19/09/2025 11:36</t>
  </si>
  <si>
    <t>19/09/2025 11:37</t>
  </si>
  <si>
    <t>19/09/2025 11:38</t>
  </si>
  <si>
    <t>19/09/2025 11:39</t>
  </si>
  <si>
    <t>19/09/2025 11:41</t>
  </si>
  <si>
    <t>19/09/2025 11:42</t>
  </si>
  <si>
    <t>19/09/2025 11:43</t>
  </si>
  <si>
    <t>19/09/2025 11:44</t>
  </si>
  <si>
    <t>19/09/2025 11:46</t>
  </si>
  <si>
    <t>19/09/2025 11:49</t>
  </si>
  <si>
    <t>19/09/2025 11:50</t>
  </si>
  <si>
    <t>19/09/2025 11:51</t>
  </si>
  <si>
    <t>19/09/2025 11:52</t>
  </si>
  <si>
    <t>19/09/2025 11:54</t>
  </si>
  <si>
    <t>19/09/2025 11:56</t>
  </si>
  <si>
    <t>19/09/2025 11:57</t>
  </si>
  <si>
    <t>19/09/2025 11:58</t>
  </si>
  <si>
    <t>19/09/2025 11:59</t>
  </si>
  <si>
    <t>19/09/2025 12:01</t>
  </si>
  <si>
    <t>19/09/2025 12:05</t>
  </si>
  <si>
    <t>19/09/2025 12:08</t>
  </si>
  <si>
    <t>19/09/2025 12:11</t>
  </si>
  <si>
    <t>19/09/2025 12:12</t>
  </si>
  <si>
    <t>19/09/2025 12:13</t>
  </si>
  <si>
    <t>19/09/2025 12:14</t>
  </si>
  <si>
    <t>19/09/2025 12:15</t>
  </si>
  <si>
    <t>19/09/2025 12:16</t>
  </si>
  <si>
    <t>19/09/2025 12:17</t>
  </si>
  <si>
    <t>19/09/2025 12:19</t>
  </si>
  <si>
    <t>19/09/2025 12:22</t>
  </si>
  <si>
    <t>19/09/2025 12:25</t>
  </si>
  <si>
    <t>19/09/2025 12:27</t>
  </si>
  <si>
    <t>19/09/2025 14:09</t>
  </si>
  <si>
    <t>Efficiency</t>
  </si>
  <si>
    <t>19/09/2025 14:51</t>
  </si>
  <si>
    <t>19/09/2025 14:52</t>
  </si>
  <si>
    <t>We forgot to close the Pb shielding</t>
  </si>
  <si>
    <t>19/09/2025 14:53</t>
  </si>
  <si>
    <t>19/09/2025 15:20</t>
  </si>
  <si>
    <t>19/09/2025 15:26</t>
  </si>
  <si>
    <t>19/09/2025 15:49</t>
  </si>
  <si>
    <t>IMP_LTA-Low#1</t>
  </si>
  <si>
    <t>20/09/2025 12:36</t>
  </si>
  <si>
    <t>20/09/2025 15:12</t>
  </si>
  <si>
    <t>20/09/2025 15:38</t>
  </si>
  <si>
    <t>20/09/2025 15:40</t>
  </si>
  <si>
    <t>9000 - 12500</t>
  </si>
  <si>
    <t>20/09/2025 15:42</t>
  </si>
  <si>
    <t>20/09/2025 15:43</t>
  </si>
  <si>
    <t>20/09/2025 15:45</t>
  </si>
  <si>
    <t>20/09/2025 15:46</t>
  </si>
  <si>
    <t>20/09/2025 15:47</t>
  </si>
  <si>
    <t>20/09/2025 15:49</t>
  </si>
  <si>
    <t>20/09/2025 15:50</t>
  </si>
  <si>
    <t>20/09/2025 15:52</t>
  </si>
  <si>
    <t>20/09/2025 15:53</t>
  </si>
  <si>
    <t>20/09/2025 15:54</t>
  </si>
  <si>
    <t>20/09/2025 15:55</t>
  </si>
  <si>
    <t>20/09/2025 15:57</t>
  </si>
  <si>
    <t>20/09/2025 15:58</t>
  </si>
  <si>
    <t>20/09/2025 16:00</t>
  </si>
  <si>
    <t>20/09/2025 16:01</t>
  </si>
  <si>
    <t>20/09/2025 16:03</t>
  </si>
  <si>
    <t>20/09/2025 16:04</t>
  </si>
  <si>
    <t>20/09/2025 16:05</t>
  </si>
  <si>
    <t>Disregard.</t>
  </si>
  <si>
    <t>20/09/2025 16:11</t>
  </si>
  <si>
    <t>20/09/2025 16:12</t>
  </si>
  <si>
    <t>20/09/2025 16:13</t>
  </si>
  <si>
    <t>20/09/2025 16:16</t>
  </si>
  <si>
    <t>20/09/2025 16:17</t>
  </si>
  <si>
    <t>20/09/2025 16:18</t>
  </si>
  <si>
    <t>20/09/2025 16:19</t>
  </si>
  <si>
    <t>20/09/2025 16:20</t>
  </si>
  <si>
    <t>20/09/2025 16:21</t>
  </si>
  <si>
    <t>20/09/2025 16:22</t>
  </si>
  <si>
    <t>20/09/2025 16:23</t>
  </si>
  <si>
    <t>20/09/2025 16:24</t>
  </si>
  <si>
    <t>20/09/2025 16:25</t>
  </si>
  <si>
    <t>20/09/2025 16:26</t>
  </si>
  <si>
    <t>20/09/2025 16:27</t>
  </si>
  <si>
    <t>20/09/2025 16:29</t>
  </si>
  <si>
    <t>20/09/2025 16:30</t>
  </si>
  <si>
    <t>20/09/2025 16:31</t>
  </si>
  <si>
    <t>20/09/2025 16:32</t>
  </si>
  <si>
    <t>20/09/2025 16:33</t>
  </si>
  <si>
    <t>20/09/2025 16:35</t>
  </si>
  <si>
    <t>20/09/2025 17:33</t>
  </si>
  <si>
    <t>20/09/2025 17:34</t>
  </si>
  <si>
    <t>60Co on top of the HPGe for quick calibration.</t>
  </si>
  <si>
    <t>20/09/2025 17:36</t>
  </si>
  <si>
    <t>20/09/2025 17:37</t>
  </si>
  <si>
    <t>137Cs on top of the HPGe for quick calibration.</t>
  </si>
  <si>
    <t>20/09/2025 19:11</t>
  </si>
  <si>
    <t>21/09/2025 10:19</t>
  </si>
  <si>
    <t>21/09/2025 10:37</t>
  </si>
  <si>
    <t>21/09/2025 10:38</t>
  </si>
  <si>
    <t>21/09/2025 10:39</t>
  </si>
  <si>
    <t>21/09/2025 10:40</t>
  </si>
  <si>
    <t>21/09/2025 10:41</t>
  </si>
  <si>
    <t>21/09/2025 10:42</t>
  </si>
  <si>
    <t>21/09/2025 10:43</t>
  </si>
  <si>
    <t>21/09/2025 10:44</t>
  </si>
  <si>
    <t>21/09/2025 10:45</t>
  </si>
  <si>
    <t>21/09/2025 10:46</t>
  </si>
  <si>
    <t>21/09/2025 10:47</t>
  </si>
  <si>
    <t>21/09/2025 10:48</t>
  </si>
  <si>
    <t>21/09/2025 10:49</t>
  </si>
  <si>
    <t>21/09/2025 10:50</t>
  </si>
  <si>
    <t>21/09/2025 10:51</t>
  </si>
  <si>
    <t>21/09/2025 10:52</t>
  </si>
  <si>
    <t>21/09/2025 10:53</t>
  </si>
  <si>
    <t>21/09/2025 10:54</t>
  </si>
  <si>
    <t>21/09/2025 10:55</t>
  </si>
  <si>
    <t>21/09/2025 10:59</t>
  </si>
  <si>
    <t>21/09/2025 11:00</t>
  </si>
  <si>
    <t>21/09/2025 11:01</t>
  </si>
  <si>
    <t>21/09/2025 11:02</t>
  </si>
  <si>
    <t>21/09/2025 11:03</t>
  </si>
  <si>
    <t>21/09/2025 11:05</t>
  </si>
  <si>
    <t>21/09/2025 11:06</t>
  </si>
  <si>
    <t>21/09/2025 11:07</t>
  </si>
  <si>
    <t>21/09/2025 11:08</t>
  </si>
  <si>
    <t>21/09/2025 11:10</t>
  </si>
  <si>
    <t>21/09/2025 11:11</t>
  </si>
  <si>
    <t>21/09/2025 11:12</t>
  </si>
  <si>
    <t>21/09/2025 11:13</t>
  </si>
  <si>
    <t>21/09/2025 11:14</t>
  </si>
  <si>
    <t>21/09/2025 11:15</t>
  </si>
  <si>
    <t>21/09/2025 11:22</t>
  </si>
  <si>
    <t>21/09/2025 15:03</t>
  </si>
  <si>
    <t>21/09/2025 15:37</t>
  </si>
  <si>
    <t>21/09/2025 15:39</t>
  </si>
  <si>
    <t>21/09/2025 15:42</t>
  </si>
  <si>
    <t>Test</t>
  </si>
  <si>
    <t>Test with changing Extraction voltage. EV = 12,0 kV</t>
  </si>
  <si>
    <t xml:space="preserve"> EV = 12,5 kV</t>
  </si>
  <si>
    <t xml:space="preserve"> EV = 13,0 kV</t>
  </si>
  <si>
    <t xml:space="preserve"> EV = 13,5 kV</t>
  </si>
  <si>
    <t xml:space="preserve"> EV = 14,0 kV</t>
  </si>
  <si>
    <t xml:space="preserve"> EV = 14,5 kV</t>
  </si>
  <si>
    <t xml:space="preserve"> EV = 15,0 kV</t>
  </si>
  <si>
    <t xml:space="preserve"> EV = 15,5 kV</t>
  </si>
  <si>
    <t xml:space="preserve"> EV = 16,0 kV</t>
  </si>
  <si>
    <t xml:space="preserve"> EV = 16,5 kV</t>
  </si>
  <si>
    <t xml:space="preserve"> EV = 17,0 kV</t>
  </si>
  <si>
    <t xml:space="preserve"> EV = 17,5 kV</t>
  </si>
  <si>
    <t xml:space="preserve"> EV = 18,0 kV</t>
  </si>
  <si>
    <t>this morning the current on Cu pipe is 0.000mA</t>
  </si>
  <si>
    <t>IMP_LTA-Low#1 - current on copper pipe 0.00 mA</t>
  </si>
  <si>
    <t>the current on Cu pipe is 0.001mA</t>
  </si>
  <si>
    <t>run stopped before closing the FC0, the current on Cu pipe is 0.001mA</t>
  </si>
  <si>
    <t>317,44 -&gt; 300</t>
  </si>
  <si>
    <t xml:space="preserve"> run not stopped, to discard</t>
  </si>
  <si>
    <t xml:space="preserve"> </t>
  </si>
  <si>
    <t>charge calculated multiplying current for RT</t>
  </si>
  <si>
    <t>running while focusing, to be descarded</t>
  </si>
  <si>
    <t>184-255</t>
  </si>
  <si>
    <t>Scan 6</t>
  </si>
  <si>
    <t>280 - 150</t>
  </si>
  <si>
    <t>Scan 7</t>
  </si>
  <si>
    <t>the given charge maz be not correct (mistype?)</t>
  </si>
  <si>
    <t>Scan 8</t>
  </si>
  <si>
    <t>TOT CHARGE = 73 C</t>
  </si>
  <si>
    <t>IMP_LFE#3</t>
  </si>
  <si>
    <t>BGO5 is noisy and DT was pretty high. Do not use this run</t>
  </si>
  <si>
    <t>CRYOCOOLER back in the same power line as the BGO DAQ and noise is gone.</t>
  </si>
  <si>
    <t>We forget to reset the total accumulated cherge, done after this run.</t>
  </si>
  <si>
    <t>run partially done with secondary electron suppression off. When we switched it back on no change in the current was observed</t>
  </si>
  <si>
    <t>9000-12500</t>
  </si>
  <si>
    <t>perhaps a mistyped value?</t>
  </si>
  <si>
    <t>RUN STOPPED BECAUSE SECONDARZ ELECTRON SUPPRESSION WAS OFF</t>
  </si>
  <si>
    <t>274-&gt;355</t>
  </si>
  <si>
    <t>EV: 15 -&gt; 13</t>
  </si>
  <si>
    <t>257 -&gt; 335</t>
  </si>
  <si>
    <t>EV: 14 -&gt; 12.3, Apertures: 3.5/3.5 -&gt; 12/12</t>
  </si>
  <si>
    <t>Scan 9</t>
  </si>
  <si>
    <t>This point scatter a bit wrt previous scan</t>
  </si>
  <si>
    <t>Scan 10</t>
  </si>
  <si>
    <t>Scan 11</t>
  </si>
  <si>
    <t>Scan 12</t>
  </si>
  <si>
    <t>9:45:00</t>
  </si>
  <si>
    <t>Scan 13</t>
  </si>
  <si>
    <t>137Cs#139</t>
  </si>
  <si>
    <t>60Co#140</t>
  </si>
  <si>
    <t>24/04/2025 9.35,49</t>
  </si>
  <si>
    <t>2450-3200</t>
  </si>
  <si>
    <t>27Al - 29/02/2024 #1</t>
  </si>
  <si>
    <t>3100-4100</t>
  </si>
  <si>
    <t>27Al - 29/02/2024 #2</t>
  </si>
  <si>
    <t>27Al - 29/02/2024 #3</t>
  </si>
  <si>
    <t>27Al - 29/02/2024 #4</t>
  </si>
  <si>
    <t>27Al - 29/02/2024 #5</t>
  </si>
  <si>
    <t>27Al - 29/02/2024 #6</t>
  </si>
  <si>
    <t>27Al - 29/02/2024 #7</t>
  </si>
  <si>
    <t>27Al - 29/02/2024 #8</t>
  </si>
  <si>
    <t>27Al - 29/02/2024 #9</t>
  </si>
  <si>
    <t>27Al - 29/02/2024 #10</t>
  </si>
  <si>
    <t>27Al - 29/02/2024 #11</t>
  </si>
  <si>
    <t>27Al - 29/02/2024 #12</t>
  </si>
  <si>
    <t>27Al - 29/02/2024 #13</t>
  </si>
  <si>
    <t>27Al - 29/02/2024 #14</t>
  </si>
  <si>
    <t>27Al - 29/02/2024 #15</t>
  </si>
  <si>
    <t>27Al - 29/02/2024 #16</t>
  </si>
  <si>
    <t>27Al - 29/02/2024 #17</t>
  </si>
  <si>
    <t>27Al - 29/02/2024 #18</t>
  </si>
  <si>
    <t>27Al - 29/02/2024 #19</t>
  </si>
  <si>
    <t>27Al - 29/02/2024 #20</t>
  </si>
  <si>
    <t>9500-11500</t>
  </si>
  <si>
    <t>Reference run</t>
  </si>
  <si>
    <t>45-60</t>
  </si>
  <si>
    <t>51-54</t>
  </si>
  <si>
    <t>47-58</t>
  </si>
  <si>
    <t>51-58</t>
  </si>
  <si>
    <t>45-57</t>
  </si>
  <si>
    <t>359-&gt;130</t>
  </si>
  <si>
    <t>61-64</t>
  </si>
  <si>
    <t>These runs are to be discarded due because the BGO was in close geometry</t>
  </si>
  <si>
    <t>39-44</t>
  </si>
  <si>
    <t>On the FUG we need -0,001</t>
  </si>
  <si>
    <t>BGO in far geometry</t>
  </si>
  <si>
    <r>
      <rPr>
        <sz val="11"/>
        <color rgb="FF000000"/>
        <rFont val="Arial"/>
        <family val="2"/>
      </rPr>
      <t xml:space="preserve">Total charge = </t>
    </r>
    <r>
      <rPr>
        <b/>
        <sz val="11"/>
        <color rgb="FF000000"/>
        <rFont val="Arial"/>
        <family val="2"/>
      </rPr>
      <t>84,62 C</t>
    </r>
  </si>
  <si>
    <t>Forgot to reset the total charge</t>
  </si>
  <si>
    <t>Current was too high possibly</t>
  </si>
  <si>
    <t>We might have performed the scans with Wobbler amplitude to 0</t>
  </si>
  <si>
    <t xml:space="preserve">BGOs are in close geometry </t>
  </si>
  <si>
    <t>318-&gt;139</t>
  </si>
  <si>
    <t xml:space="preserve">Current dropped during the run </t>
  </si>
  <si>
    <t>305-&gt;268</t>
  </si>
  <si>
    <t>362-&gt;170</t>
  </si>
  <si>
    <t>Run was stopped because current on the target was dropping pretty fast. The upcharge current decreased by 30 uA and later became unstable</t>
  </si>
  <si>
    <t>250-&gt;54</t>
  </si>
  <si>
    <t>251-&gt;281</t>
  </si>
  <si>
    <t>306-&gt;293</t>
  </si>
  <si>
    <t>276-&gt;316</t>
  </si>
  <si>
    <t>317-&gt;177</t>
  </si>
  <si>
    <t>210 - 145</t>
  </si>
  <si>
    <t>IMP_LFE-Low#1</t>
  </si>
  <si>
    <t>10/05/2025 09:25</t>
  </si>
  <si>
    <t>197 -&gt; 160</t>
  </si>
  <si>
    <t>14/02/2025 17:05:00</t>
  </si>
  <si>
    <t>15/02/2025 10:47:00</t>
  </si>
  <si>
    <t>Background with shielded BGO. Stopped to have an example run.</t>
  </si>
  <si>
    <t>15/02/2025 10:48:00</t>
  </si>
  <si>
    <t>16/02/2025 17:27:00</t>
  </si>
  <si>
    <t>Background with shielded BGO. Stopped to have more precise current in the file.</t>
  </si>
  <si>
    <t>16/02/2025 17:30:00</t>
  </si>
  <si>
    <t>17/02/2025 18:07:00</t>
  </si>
  <si>
    <t>Increased RC-CR2 smoothing to 32 and the Trigger Threshold to 15 due to noise.</t>
  </si>
  <si>
    <t>17/02/2025 18:16:00</t>
  </si>
  <si>
    <t>18/02/2025 10:00:00</t>
  </si>
  <si>
    <t>18/02/2025 10:05:00</t>
  </si>
  <si>
    <t>18/02/2025 10:17:00</t>
  </si>
  <si>
    <t>4000-6800</t>
  </si>
  <si>
    <t>18/02/2025 10:21:00</t>
  </si>
  <si>
    <t>18/02/2025 10:26:00</t>
  </si>
  <si>
    <t>18/02/2025 10:30:00</t>
  </si>
  <si>
    <t>18/02/2025 10:33:00</t>
  </si>
  <si>
    <t>18/02/2025 10:35:00</t>
  </si>
  <si>
    <t>18/02/2025 10:38:00</t>
  </si>
  <si>
    <t>Beam current may have been recorded incorrectly - please check offline</t>
  </si>
  <si>
    <t>18/02/2025 10:40:00</t>
  </si>
  <si>
    <t>18/02/2025 10:50:00</t>
  </si>
  <si>
    <t>18/02/2025 10:54:00</t>
  </si>
  <si>
    <t>18/02/2025 10:58:00</t>
  </si>
  <si>
    <t>18/02/2025 11:00:00</t>
  </si>
  <si>
    <t>18/02/2025 11:02:00</t>
  </si>
  <si>
    <t>18/02/2025 11:03:00</t>
  </si>
  <si>
    <t>18/02/2025 11:05:00</t>
  </si>
  <si>
    <t>18/02/2025 11:06:00</t>
  </si>
  <si>
    <t>18/02/2025 11:10:00</t>
  </si>
  <si>
    <t>18/02/2025 11:11:00</t>
  </si>
  <si>
    <t>18/02/2025 11:13:00</t>
  </si>
  <si>
    <t>Wobbler adjusted</t>
  </si>
  <si>
    <t>18/02/2025 11:15:00</t>
  </si>
  <si>
    <t>18/02/2025 11:17:00</t>
  </si>
  <si>
    <t>18/02/2025 11:20:00</t>
  </si>
  <si>
    <t>18/02/2025 11:22:00</t>
  </si>
  <si>
    <t>18/02/2025 11:27:00</t>
  </si>
  <si>
    <t>18/02/2025 11:29:00</t>
  </si>
  <si>
    <t>18/02/2025 11:32:00</t>
  </si>
  <si>
    <t>18/02/2025 11:38:00</t>
  </si>
  <si>
    <t>18/02/2025 11:40:00</t>
  </si>
  <si>
    <t>18/02/2025 11:44:00</t>
  </si>
  <si>
    <t>18/02/2025 11:47:00</t>
  </si>
  <si>
    <t>18/02/2025 11:49:00</t>
  </si>
  <si>
    <t>18/02/2025 11:51:00</t>
  </si>
  <si>
    <t>18/02/2025 11:53:00</t>
  </si>
  <si>
    <t>18/02/2025 11:54:00</t>
  </si>
  <si>
    <t>18/02/2025 11:56:00</t>
  </si>
  <si>
    <t>18/02/2025 11:57:00</t>
  </si>
  <si>
    <t>18/02/2025 11:59:00</t>
  </si>
  <si>
    <t>18/02/2025 12:00:00</t>
  </si>
  <si>
    <t>18/02/2025 12:03:00</t>
  </si>
  <si>
    <t>18/02/2025 12:05:00</t>
  </si>
  <si>
    <t>18/02/2025 12:14:00</t>
  </si>
  <si>
    <t>18/02/2025 12:57:00</t>
  </si>
  <si>
    <t>18/02/2025 16:45:00</t>
  </si>
  <si>
    <t>Run stopped, beam current somewhat unstable.</t>
  </si>
  <si>
    <t>18/02/2025 16:58:00</t>
  </si>
  <si>
    <t xml:space="preserve">Run stopped, need to adjust TV/PV </t>
  </si>
  <si>
    <t>18/02/2025 17:02:00</t>
  </si>
  <si>
    <t>19/02/2025 08:42:00</t>
  </si>
  <si>
    <t>Overnight run ends OK, beam curremt c. 220uA</t>
  </si>
  <si>
    <t>19/02/2025 08:48:00</t>
  </si>
  <si>
    <t>19/02/2025 08:55:00</t>
  </si>
  <si>
    <t>330keV resonance scan IMP_Ta#1 target c. 17C accumulated, BGO &amp;apos;far&amp;apos; geometry</t>
  </si>
  <si>
    <t>19/02/2025 08:58:00</t>
  </si>
  <si>
    <t>19/02/2025 09:01:00</t>
  </si>
  <si>
    <t>19/02/2025 09:02:00</t>
  </si>
  <si>
    <t>19/02/2025 09:05:00</t>
  </si>
  <si>
    <t>19/02/2025 09:09:00</t>
  </si>
  <si>
    <t>19/02/2025 09:10:00</t>
  </si>
  <si>
    <t>19/02/2025 09:13:00</t>
  </si>
  <si>
    <t>19/02/2025 09:14:00</t>
  </si>
  <si>
    <t>19/02/2025 09:18:00</t>
  </si>
  <si>
    <t>19/02/2025 09:21:00</t>
  </si>
  <si>
    <t>19/02/2025 09:23:00</t>
  </si>
  <si>
    <t>19/02/2025 09:26:00</t>
  </si>
  <si>
    <t>19/02/2025 09:27:00</t>
  </si>
  <si>
    <t>19/02/2025 09:29:00</t>
  </si>
  <si>
    <t>19/02/2025 09:30:00</t>
  </si>
  <si>
    <t>19/02/2025 09:33:00</t>
  </si>
  <si>
    <t>19/02/2025 09:35:00</t>
  </si>
  <si>
    <t>19/02/2025 09:37:00</t>
  </si>
  <si>
    <t>19/02/2025 09:39:00</t>
  </si>
  <si>
    <t>19/02/2025 09:40:00</t>
  </si>
  <si>
    <t>19/02/2025 09:43:00</t>
  </si>
  <si>
    <t>19/02/2025 09:44:00</t>
  </si>
  <si>
    <t>19/02/2025 09:46:00</t>
  </si>
  <si>
    <t>19/02/2025 09:47:00</t>
  </si>
  <si>
    <t>19/02/2025 09:50:00</t>
  </si>
  <si>
    <t>19/02/2025 09:52:00</t>
  </si>
  <si>
    <t>19/02/2025 09:53:00</t>
  </si>
  <si>
    <t>19/02/2025 09:57:00</t>
  </si>
  <si>
    <t>19/02/2025 09:59:00</t>
  </si>
  <si>
    <t>19/02/2025 10:02:00</t>
  </si>
  <si>
    <t>19/02/2025 10:04:00</t>
  </si>
  <si>
    <t>19/02/2025 10:06:00</t>
  </si>
  <si>
    <t>19/02/2025 10:08:00</t>
  </si>
  <si>
    <t>19/02/2025 10:09:00</t>
  </si>
  <si>
    <t>19/02/2025 10:10:00</t>
  </si>
  <si>
    <t>19/02/2025 10:14:00</t>
  </si>
  <si>
    <t>19/02/2025 10:16:00</t>
  </si>
  <si>
    <t>19/02/2025 10:18:00</t>
  </si>
  <si>
    <t>19/02/2025 10:19:00</t>
  </si>
  <si>
    <t>19/02/2025 10:21:00</t>
  </si>
  <si>
    <t>19/02/2025 10:23:00</t>
  </si>
  <si>
    <t>19/02/2025 10:24:00</t>
  </si>
  <si>
    <t>19/02/2025 10:59:00</t>
  </si>
  <si>
    <t>20/02/2025 08:45:00</t>
  </si>
  <si>
    <t>20/02/2025 08:56:00</t>
  </si>
  <si>
    <t>20/02/2025 08:57:00</t>
  </si>
  <si>
    <t>20/02/2025 08:59:00</t>
  </si>
  <si>
    <t>20/02/2025 09:01:00</t>
  </si>
  <si>
    <t>20/02/2025 09:04:00</t>
  </si>
  <si>
    <t>20/02/2025 09:07:00</t>
  </si>
  <si>
    <t>20/02/2025 09:09:00</t>
  </si>
  <si>
    <t>20/02/2025 09:11:00</t>
  </si>
  <si>
    <t>20/02/2025 09:12:00</t>
  </si>
  <si>
    <t>20/02/2025 09:15:00</t>
  </si>
  <si>
    <t>20/02/2025 09:16:00</t>
  </si>
  <si>
    <t>20/02/2025 09:18:00</t>
  </si>
  <si>
    <t>20/02/2025 09:19:00</t>
  </si>
  <si>
    <t>20/02/2025 09:21:00</t>
  </si>
  <si>
    <t>20/02/2025 09:22:00</t>
  </si>
  <si>
    <t>20/02/2025 09:24:00</t>
  </si>
  <si>
    <t>20/02/2025 09:25:00</t>
  </si>
  <si>
    <t>20/02/2025 09:27:00</t>
  </si>
  <si>
    <t>20/02/2025 09:28:00</t>
  </si>
  <si>
    <t>20/02/2025 09:30:00</t>
  </si>
  <si>
    <t>20/02/2025 09:31:00</t>
  </si>
  <si>
    <t>20/02/2025 09:35:00</t>
  </si>
  <si>
    <t>20/02/2025 09:38:00</t>
  </si>
  <si>
    <t>20/02/2025 09:39:00</t>
  </si>
  <si>
    <t>20/02/2025 09:40:00</t>
  </si>
  <si>
    <t>20/02/2025 09:41:00</t>
  </si>
  <si>
    <t>20/02/2025 09:44:00</t>
  </si>
  <si>
    <t>20/02/2025 09:45:00</t>
  </si>
  <si>
    <t>20/02/2025 09:47:00</t>
  </si>
  <si>
    <t>20/02/2025 09:48:00</t>
  </si>
  <si>
    <t>20/02/2025 09:50:00</t>
  </si>
  <si>
    <t>20/02/2025 09:51:00</t>
  </si>
  <si>
    <t>20/02/2025 09:53:00</t>
  </si>
  <si>
    <t>20/02/2025 09:54:00</t>
  </si>
  <si>
    <t>20/02/2025 09:55:00</t>
  </si>
  <si>
    <t>20/02/2025 10:43:00</t>
  </si>
  <si>
    <t>20/02/2025 10:45:00</t>
  </si>
  <si>
    <t>Sudfluor sample 3 room temperature 1 minute</t>
  </si>
  <si>
    <t>20/02/2025 10:46:00</t>
  </si>
  <si>
    <t>20/02/2025 10:47:00</t>
  </si>
  <si>
    <t>20/02/2025 10:48:00</t>
  </si>
  <si>
    <t>20/02/2025 10:50:00</t>
  </si>
  <si>
    <t>20/02/2025 10:53:00</t>
  </si>
  <si>
    <t>20/02/2025 10:54:00</t>
  </si>
  <si>
    <t>Total accumulated Charge zero&amp;apos;d before start of run 627</t>
  </si>
  <si>
    <t>20/02/2025 10:55:00</t>
  </si>
  <si>
    <t>20/02/2025 10:57:00</t>
  </si>
  <si>
    <t>20/02/2025 10:59:00</t>
  </si>
  <si>
    <t>20/02/2025 11:01:00</t>
  </si>
  <si>
    <t>20/02/2025 11:03:00</t>
  </si>
  <si>
    <t>20/02/2025 11:04:00</t>
  </si>
  <si>
    <t>20/02/2025 11:06:00</t>
  </si>
  <si>
    <t>20/02/2025 11:07:00</t>
  </si>
  <si>
    <t>20/02/2025 11:09:00</t>
  </si>
  <si>
    <t>20/02/2025 11:10:00</t>
  </si>
  <si>
    <t>20/02/2025 11:11:00</t>
  </si>
  <si>
    <t>20/02/2025 11:13:00</t>
  </si>
  <si>
    <t>20/02/2025 11:14:00</t>
  </si>
  <si>
    <t>20/02/2025 11:15:00</t>
  </si>
  <si>
    <t>20/02/2025 11:16:00</t>
  </si>
  <si>
    <t>20/02/2025 11:17:00</t>
  </si>
  <si>
    <t>20/02/2025 11:18:00</t>
  </si>
  <si>
    <t>20/02/2025 11:20:00</t>
  </si>
  <si>
    <t>20/02/2025 11:21:00</t>
  </si>
  <si>
    <t>20/02/2025 11:23:00</t>
  </si>
  <si>
    <t>20/02/2025 11:24:00</t>
  </si>
  <si>
    <t>20/02/2025 11:25:00</t>
  </si>
  <si>
    <t>20/02/2025 11:27:00</t>
  </si>
  <si>
    <t>20/02/2025 11:30:00</t>
  </si>
  <si>
    <t>20/02/2025 11:49:00</t>
  </si>
  <si>
    <t>20/02/2025 14:02:00</t>
  </si>
  <si>
    <t>20/02/2025 14:12:00</t>
  </si>
  <si>
    <t>20/02/2025 14:15:00</t>
  </si>
  <si>
    <t>20/02/2025 14:17:00</t>
  </si>
  <si>
    <t>20/02/2025 14:22:00</t>
  </si>
  <si>
    <t>20/02/2025 14:23:00</t>
  </si>
  <si>
    <t>20/02/2025 14:26:00</t>
  </si>
  <si>
    <t>20/02/2025 14:28:00</t>
  </si>
  <si>
    <t>20/02/2025 14:47:00</t>
  </si>
  <si>
    <t>20/02/2025 14:50:00</t>
  </si>
  <si>
    <t>20/02/2025 14:52:00</t>
  </si>
  <si>
    <t>20/02/2025 14:54:00</t>
  </si>
  <si>
    <t>20/02/2025 14:55:00</t>
  </si>
  <si>
    <t>20/02/2025 14:57:00</t>
  </si>
  <si>
    <t>20/02/2025 14:58:00</t>
  </si>
  <si>
    <t>20/02/2025 15:01:00</t>
  </si>
  <si>
    <t>20/02/2025 15:08:00</t>
  </si>
  <si>
    <t>Run aborted - BGO+Pb shiled in &amp;apos;far&amp;apos; position</t>
  </si>
  <si>
    <t>20/02/2025 15:14:00</t>
  </si>
  <si>
    <t>21/02/2025 08:46:00</t>
  </si>
  <si>
    <t>21/02/2025 08:55:00</t>
  </si>
  <si>
    <t>21/02/2025 08:59:00</t>
  </si>
  <si>
    <t>21/02/2025 09:03:00</t>
  </si>
  <si>
    <t>21/02/2025 09:05:00</t>
  </si>
  <si>
    <t>21/02/2025 09:08:00</t>
  </si>
  <si>
    <t>21/02/2025 09:10:00</t>
  </si>
  <si>
    <t>21/02/2025 09:12:00</t>
  </si>
  <si>
    <t>21/02/2025 09:13:00</t>
  </si>
  <si>
    <t>21/02/2025 09:14:00</t>
  </si>
  <si>
    <t>21/02/2025 09:16:00</t>
  </si>
  <si>
    <t>21/02/2025 09:18:00</t>
  </si>
  <si>
    <t>21/02/2025 09:20:00</t>
  </si>
  <si>
    <t>21/02/2025 09:22:00</t>
  </si>
  <si>
    <t>21/02/2025 09:23:00</t>
  </si>
  <si>
    <t>21/02/2025 09:25:00</t>
  </si>
  <si>
    <t>21/02/2025 09:26:00</t>
  </si>
  <si>
    <t>21/02/2025 09:28:00</t>
  </si>
  <si>
    <t>21/02/2025 09:29:00</t>
  </si>
  <si>
    <t>21/02/2025 09:30:00</t>
  </si>
  <si>
    <t>21/02/2025 09:32:00</t>
  </si>
  <si>
    <t>21/02/2025 09:33:00</t>
  </si>
  <si>
    <t>21/02/2025 09:34:00</t>
  </si>
  <si>
    <t>21/02/2025 09:36:00</t>
  </si>
  <si>
    <t>21/02/2025 09:37:00</t>
  </si>
  <si>
    <t>21/02/2025 09:39:00</t>
  </si>
  <si>
    <t>21/02/2025 09:40:00</t>
  </si>
  <si>
    <t>21/02/2025 09:42:00</t>
  </si>
  <si>
    <t>21/02/2025 09:58:00</t>
  </si>
  <si>
    <t>22/02/2025 09:25:00</t>
  </si>
  <si>
    <t>Total Accumulated Charge at start of run 19.37C</t>
  </si>
  <si>
    <t>22/02/2025 09:32:00</t>
  </si>
  <si>
    <t>22/02/2025 09:33:00</t>
  </si>
  <si>
    <t>22/02/2025 09:35:00</t>
  </si>
  <si>
    <t>22/02/2025 09:41:00</t>
  </si>
  <si>
    <t>22/02/2025 09:42:00</t>
  </si>
  <si>
    <t>22/02/2025 09:44:00</t>
  </si>
  <si>
    <t>22/02/2025 09:45:00</t>
  </si>
  <si>
    <t>22/02/2025 09:46:00</t>
  </si>
  <si>
    <t>22/02/2025 09:47:00</t>
  </si>
  <si>
    <t>22/02/2025 09:49:00</t>
  </si>
  <si>
    <t>22/02/2025 09:50:00</t>
  </si>
  <si>
    <t>22/02/2025 09:52:00</t>
  </si>
  <si>
    <t>22/02/2025 09:54:00</t>
  </si>
  <si>
    <t>22/02/2025 09:55:00</t>
  </si>
  <si>
    <t>22/02/2025 09:57:00</t>
  </si>
  <si>
    <t>22/02/2025 09:58:00</t>
  </si>
  <si>
    <t>22/02/2025 09:59:00</t>
  </si>
  <si>
    <t>22/02/2025 10:02:00</t>
  </si>
  <si>
    <t>22/02/2025 10:05:00</t>
  </si>
  <si>
    <t>22/02/2025 10:06:00</t>
  </si>
  <si>
    <t>22/02/2025 10:12:00</t>
  </si>
  <si>
    <t>22/02/2025 10:15:00</t>
  </si>
  <si>
    <t>22/02/2025 10:17:00</t>
  </si>
  <si>
    <t>22/02/2025 10:18:00</t>
  </si>
  <si>
    <t>22/02/2025 10:31:00</t>
  </si>
  <si>
    <t>22/02/2025 10:34:00</t>
  </si>
  <si>
    <t>Total accumulated charge at start of run 38.78C</t>
  </si>
  <si>
    <t>22/02/2025 10:36:00</t>
  </si>
  <si>
    <t>22/02/2025 10:38:00</t>
  </si>
  <si>
    <t>22/02/2025 10:39:00</t>
  </si>
  <si>
    <t>22/02/2025 10:40:00</t>
  </si>
  <si>
    <t>22/02/2025 10:42:00</t>
  </si>
  <si>
    <t>22/02/2025 10:43:00</t>
  </si>
  <si>
    <t>22/02/2025 10:44:00</t>
  </si>
  <si>
    <t>22/02/2025 10:45:00</t>
  </si>
  <si>
    <t>22/02/2025 10:47:00</t>
  </si>
  <si>
    <t>22/02/2025 10:49:00</t>
  </si>
  <si>
    <t>22/02/2025 10:52:00</t>
  </si>
  <si>
    <t>22/02/2025 10:53:00</t>
  </si>
  <si>
    <t>22/02/2025 10:55:00</t>
  </si>
  <si>
    <t>22/02/2025 10:57:00</t>
  </si>
  <si>
    <t>22/02/2025 11:00:00</t>
  </si>
  <si>
    <t>22/02/2025 11:02:00</t>
  </si>
  <si>
    <t>22/02/2025 11:03:00</t>
  </si>
  <si>
    <t>22/02/2025 11:05:00</t>
  </si>
  <si>
    <t>22/02/2025 11:09:00</t>
  </si>
  <si>
    <t>22/02/2025 11:11:00</t>
  </si>
  <si>
    <t>22/02/2025 11:13:00</t>
  </si>
  <si>
    <t>22/02/2025 11:14:00</t>
  </si>
  <si>
    <t>22/02/2025 11:17:00</t>
  </si>
  <si>
    <t>22/02/2025 11:19:00</t>
  </si>
  <si>
    <t>22/02/2025 11:21:00</t>
  </si>
  <si>
    <t>22/02/2025 11:23:00</t>
  </si>
  <si>
    <t>22/02/2025 11:24:00</t>
  </si>
  <si>
    <t>22/02/2025 11:25:00</t>
  </si>
  <si>
    <t>22/02/2025 11:27:00</t>
  </si>
  <si>
    <t>22/02/2025 11:28:00</t>
  </si>
  <si>
    <t>22/02/2025 11:31:00</t>
  </si>
  <si>
    <t>22/02/2025 11:32:00</t>
  </si>
  <si>
    <t>22/02/2025 11:33:00</t>
  </si>
  <si>
    <t>22/02/2025 11:35:00</t>
  </si>
  <si>
    <t>22/02/2025 11:36:00</t>
  </si>
  <si>
    <t>22/02/2025 11:38:00</t>
  </si>
  <si>
    <t>22/02/2025 11:39:00</t>
  </si>
  <si>
    <t>22/02/2025 11:40:00</t>
  </si>
  <si>
    <t>22/02/2025 11:42:00</t>
  </si>
  <si>
    <t>22/02/2025 11:43:00</t>
  </si>
  <si>
    <t>22/02/2025 11:45:00</t>
  </si>
  <si>
    <t>22/02/2025 11:46:00</t>
  </si>
  <si>
    <t>22/02/2025 11:48:00</t>
  </si>
  <si>
    <t>Run aborted - please ignore</t>
  </si>
  <si>
    <t>22/02/2025 11:52:00</t>
  </si>
  <si>
    <t>22/02/2025 11:53:00</t>
  </si>
  <si>
    <t>22/02/2025 11:54:00</t>
  </si>
  <si>
    <t>22/02/2025 11:56:00</t>
  </si>
  <si>
    <t>22/02/2025 12:00:00</t>
  </si>
  <si>
    <t>22/02/2025 12:02:00</t>
  </si>
  <si>
    <t>22/02/2025 12:07:00</t>
  </si>
  <si>
    <t>23/02/2025 09:23:00</t>
  </si>
  <si>
    <t>23/02/2025 09:28:00</t>
  </si>
  <si>
    <t>Forgot to stop before movuing to next beam energy, beam charge for run will need to be checked.</t>
  </si>
  <si>
    <t>23/02/2025 09:33:00</t>
  </si>
  <si>
    <t>23/02/2025 09:34:00</t>
  </si>
  <si>
    <t>23/02/2025 09:35:00</t>
  </si>
  <si>
    <t>23/02/2025 09:37:00</t>
  </si>
  <si>
    <t>23/02/2025 09:38:00</t>
  </si>
  <si>
    <t>23/02/2025 09:40:00</t>
  </si>
  <si>
    <t>23/02/2025 09:41:00</t>
  </si>
  <si>
    <t>23/02/2025 09:44:00</t>
  </si>
  <si>
    <t>23/02/2025 09:45:00</t>
  </si>
  <si>
    <t>23/02/2025 09:48:00</t>
  </si>
  <si>
    <t>23/02/2025 09:49:00</t>
  </si>
  <si>
    <t>23/02/2025 09:53:00</t>
  </si>
  <si>
    <t>23/02/2025 09:54:00</t>
  </si>
  <si>
    <t>23/02/2025 09:58:00</t>
  </si>
  <si>
    <t>23/02/2025 10:00:00</t>
  </si>
  <si>
    <t>23/02/2025 10:02:00</t>
  </si>
  <si>
    <t>23/02/2025 10:04:00</t>
  </si>
  <si>
    <t>23/02/2025 10:05:00</t>
  </si>
  <si>
    <t>23/02/2025 10:07:00</t>
  </si>
  <si>
    <t>23/02/2025 10:08:00</t>
  </si>
  <si>
    <t>23/02/2025 10:11:00</t>
  </si>
  <si>
    <t>23/02/2025 10:14:00</t>
  </si>
  <si>
    <t>23/02/2025 10:15:00</t>
  </si>
  <si>
    <t>23/02/2025 10:17:00</t>
  </si>
  <si>
    <t>23/02/2025 10:18:00</t>
  </si>
  <si>
    <t>23/02/2025 10:20:00</t>
  </si>
  <si>
    <t>23/02/2025 10:23:00</t>
  </si>
  <si>
    <t>23/02/2025 10:24:00</t>
  </si>
  <si>
    <t>23/02/2025 10:26:00</t>
  </si>
  <si>
    <t>23/02/2025 10:27:00</t>
  </si>
  <si>
    <t>23/02/2025 10:29:00</t>
  </si>
  <si>
    <t>23/02/2025 10:30:00</t>
  </si>
  <si>
    <t>Total accumulated charge at end of run 727 63.39C</t>
  </si>
  <si>
    <t>23/02/2025 10:59:00</t>
  </si>
  <si>
    <t>23/02/2025 11:02:00</t>
  </si>
  <si>
    <t>23/02/2025 11:09:00</t>
  </si>
  <si>
    <t>23/02/2025 11:12:00</t>
  </si>
  <si>
    <t xml:space="preserve">Ignore - we appear to have skipped a run # </t>
  </si>
  <si>
    <t>23/02/2025 11:13:00</t>
  </si>
  <si>
    <t>23/02/2025 11:16:00</t>
  </si>
  <si>
    <t>23/02/2025 11:19:00</t>
  </si>
  <si>
    <t>23/02/2025 11:20:00</t>
  </si>
  <si>
    <t>23/02/2025 11:22:00</t>
  </si>
  <si>
    <t>23/02/2025 11:23:00</t>
  </si>
  <si>
    <t>23/02/2025 11:24:00</t>
  </si>
  <si>
    <t>23/02/2025 11:26:00</t>
  </si>
  <si>
    <t>23/02/2025 11:29:00</t>
  </si>
  <si>
    <t>23/02/2025 11:30:00</t>
  </si>
  <si>
    <t>23/02/2025 11:31:00</t>
  </si>
  <si>
    <t>23/02/2025 11:33:00</t>
  </si>
  <si>
    <t>23/02/2025 11:34:00</t>
  </si>
  <si>
    <t>23/02/2025 11:35:00</t>
  </si>
  <si>
    <t>23/02/2025 11:37:00</t>
  </si>
  <si>
    <t>23/02/2025 11:46:00</t>
  </si>
  <si>
    <t>23/02/2025 11:47:00</t>
  </si>
  <si>
    <t>23/02/2025 11:48:00</t>
  </si>
  <si>
    <t>23/02/2025 11:49:00</t>
  </si>
  <si>
    <t>23/02/2025 11:50:00</t>
  </si>
  <si>
    <t>23/02/2025 11:52:00</t>
  </si>
  <si>
    <t>23/02/2025 11:54:00</t>
  </si>
  <si>
    <t>23/02/2025 11:58:00</t>
  </si>
  <si>
    <t>23/02/2025 11:59:00</t>
  </si>
  <si>
    <t>23/02/2025 12:43:00</t>
  </si>
  <si>
    <t>24/02/2025 09:05:00</t>
  </si>
  <si>
    <t>24/02/2025 09:20:00</t>
  </si>
  <si>
    <t>24/02/2025 09:21:00</t>
  </si>
  <si>
    <t>24/02/2025 09:22:00</t>
  </si>
  <si>
    <t>24/02/2025 09:23:00</t>
  </si>
  <si>
    <t>24/02/2025 09:25:00</t>
  </si>
  <si>
    <t>24/02/2025 09:26:00</t>
  </si>
  <si>
    <t>24/02/2025 09:27:00</t>
  </si>
  <si>
    <t>24/02/2025 09:29:00</t>
  </si>
  <si>
    <t>24/02/2025 09:31:00</t>
  </si>
  <si>
    <t>24/02/2025 09:32:00</t>
  </si>
  <si>
    <t>24/02/2025 09:33:00</t>
  </si>
  <si>
    <t>24/02/2025 09:34:00</t>
  </si>
  <si>
    <t>24/02/2025 09:35:00</t>
  </si>
  <si>
    <t>24/02/2025 09:36:00</t>
  </si>
  <si>
    <t>24/02/2025 09:37:00</t>
  </si>
  <si>
    <t>24/02/2025 09:39:00</t>
  </si>
  <si>
    <t>24/02/2025 09:40:00</t>
  </si>
  <si>
    <t>24/02/2025 09:41:00</t>
  </si>
  <si>
    <t>24/02/2025 09:42:00</t>
  </si>
  <si>
    <t>24/02/2025 09:44:00</t>
  </si>
  <si>
    <t>24/02/2025 09:46:00</t>
  </si>
  <si>
    <t>24/02/2025 09:47:00</t>
  </si>
  <si>
    <t>24/02/2025 09:48:00</t>
  </si>
  <si>
    <t>24/02/2025 09:51:00</t>
  </si>
  <si>
    <t>24/02/2025 09:52:00</t>
  </si>
  <si>
    <t>24/02/2025 09:53:00</t>
  </si>
  <si>
    <t>24/02/2025 09:55:00</t>
  </si>
  <si>
    <t>24/02/2025 09:57:00</t>
  </si>
  <si>
    <t>24/02/2025 09:59:00</t>
  </si>
  <si>
    <t>24/02/2025 10:01:00</t>
  </si>
  <si>
    <t>24/02/2025 10:02:00</t>
  </si>
  <si>
    <t>24/02/2025 10:04:00</t>
  </si>
  <si>
    <t>24/02/2025 10:05:00</t>
  </si>
  <si>
    <t>24/02/2025 10:07:00</t>
  </si>
  <si>
    <t>24/02/2025 10:08:00</t>
  </si>
  <si>
    <t>24/02/2025 10:09:00</t>
  </si>
  <si>
    <t>Test to optimise DT/PUR</t>
  </si>
  <si>
    <t>24/02/2025 10:24:00</t>
  </si>
  <si>
    <t>24/02/2025 16:07:43</t>
  </si>
  <si>
    <t>BGO + Pb shield far</t>
  </si>
  <si>
    <t>24/02/2025 17:34:00</t>
  </si>
  <si>
    <t>24/02/2025 17:36:00</t>
  </si>
  <si>
    <t>24/02/2025 17:38:00</t>
  </si>
  <si>
    <t>24/02/2025 17:39:00</t>
  </si>
  <si>
    <t>24/02/2025 17:41:00</t>
  </si>
  <si>
    <t>24/02/2025 17:42:00</t>
  </si>
  <si>
    <t>24/02/2025 17:43:00</t>
  </si>
  <si>
    <t>24/02/2025 17:44:00</t>
  </si>
  <si>
    <t>24/02/2025 17:46:00</t>
  </si>
  <si>
    <t>24/02/2025 17:47:00</t>
  </si>
  <si>
    <t>24/02/2025 17:48:00</t>
  </si>
  <si>
    <t>24/02/2025 17:49:00</t>
  </si>
  <si>
    <t>24/02/2025 17:50:00</t>
  </si>
  <si>
    <t>24/02/2025 17:51:00</t>
  </si>
  <si>
    <t>24/02/2025 17:52:00</t>
  </si>
  <si>
    <t>24/02/2025 17:53:00</t>
  </si>
  <si>
    <t>24/02/2025 17:55:00</t>
  </si>
  <si>
    <t>24/02/2025 17:56:00</t>
  </si>
  <si>
    <t>24/02/2025 18:02:00</t>
  </si>
  <si>
    <t>24/02/2025 18:04:00</t>
  </si>
  <si>
    <t>24/02/2025 18:06:00</t>
  </si>
  <si>
    <t>24/02/2025 18:07:00</t>
  </si>
  <si>
    <t>24/02/2025 18:08:00</t>
  </si>
  <si>
    <t>24/02/2025 18:10:00</t>
  </si>
  <si>
    <t>24/02/2025 18:12:00</t>
  </si>
  <si>
    <t>24/02/2025 18:13:00</t>
  </si>
  <si>
    <t>24/02/2025 18:14:00</t>
  </si>
  <si>
    <t>24/02/2025 18:15:00</t>
  </si>
  <si>
    <t>24/02/2025 18:17:00</t>
  </si>
  <si>
    <t>24/02/2025 18:20:00</t>
  </si>
  <si>
    <t>24/02/2025 18:25:00</t>
  </si>
  <si>
    <t>24/02/2025 18:26:00</t>
  </si>
  <si>
    <t>24/02/2025 18:27:00</t>
  </si>
  <si>
    <t>24/02/2025 18:28:00</t>
  </si>
  <si>
    <t>24/02/2025 18:29:00</t>
  </si>
  <si>
    <t>24/02/2025 18:31:00</t>
  </si>
  <si>
    <t>24/02/2025 18:33:00</t>
  </si>
  <si>
    <t>24/02/2025 18:35:00</t>
  </si>
  <si>
    <t>24/02/2025 18:37:00</t>
  </si>
  <si>
    <t>24/02/2025 18:39:00</t>
  </si>
  <si>
    <t>24/02/2025 18:40:00</t>
  </si>
  <si>
    <t>24/02/2025 18:41:00</t>
  </si>
  <si>
    <t>24/02/2025 19:09:00</t>
  </si>
  <si>
    <t>25/02/2025 09:25:00</t>
  </si>
  <si>
    <t>Total Accumulated charge: 24,36 C</t>
  </si>
  <si>
    <t>25/02/2025 09:46:00</t>
  </si>
  <si>
    <t>25/02/2025 09:49:00</t>
  </si>
  <si>
    <t>25/02/2025 09:51:00</t>
  </si>
  <si>
    <t>25/02/2025 09:55:00</t>
  </si>
  <si>
    <t>25/02/2025 09:57:00</t>
  </si>
  <si>
    <t>25/02/2025 09:59:00</t>
  </si>
  <si>
    <t>25/02/2025 10:01:00</t>
  </si>
  <si>
    <t>25/02/2025 10:03:00</t>
  </si>
  <si>
    <t>25/02/2025 10:04:00</t>
  </si>
  <si>
    <t>25/02/2025 10:05:00</t>
  </si>
  <si>
    <t>25/02/2025 10:07:00</t>
  </si>
  <si>
    <t>25/02/2025 10:08:00</t>
  </si>
  <si>
    <t>25/02/2025 10:09:00</t>
  </si>
  <si>
    <t>25/02/2025 10:10:00</t>
  </si>
  <si>
    <t>25/02/2025 10:11:00</t>
  </si>
  <si>
    <t>25/02/2025 10:12:00</t>
  </si>
  <si>
    <t>25/02/2025 10:13:00</t>
  </si>
  <si>
    <t>4000-6801</t>
  </si>
  <si>
    <t>25/02/2025 10:25:00</t>
  </si>
  <si>
    <t>25/02/2025 10:26:00</t>
  </si>
  <si>
    <t>4000-6802</t>
  </si>
  <si>
    <t>25/02/2025 10:27:00</t>
  </si>
  <si>
    <t>25/02/2025 10:28:00</t>
  </si>
  <si>
    <t>4000-6803</t>
  </si>
  <si>
    <t>25/02/2025 10:30:00</t>
  </si>
  <si>
    <t>4000-6804</t>
  </si>
  <si>
    <t>4000-6805</t>
  </si>
  <si>
    <t>25/02/2025 10:31:00</t>
  </si>
  <si>
    <t>4000-6806</t>
  </si>
  <si>
    <t>25/02/2025 10:33:00</t>
  </si>
  <si>
    <t>4000-6807</t>
  </si>
  <si>
    <t>25/02/2025 10:34:00</t>
  </si>
  <si>
    <t>4000-6808</t>
  </si>
  <si>
    <t>25/02/2025 10:35:00</t>
  </si>
  <si>
    <t>4000-6809</t>
  </si>
  <si>
    <t>25/02/2025 10:36:00</t>
  </si>
  <si>
    <t>4000-6810</t>
  </si>
  <si>
    <t>25/02/2025 10:37:00</t>
  </si>
  <si>
    <t>4000-6811</t>
  </si>
  <si>
    <t>25/02/2025 10:39:00</t>
  </si>
  <si>
    <t>4000-6812</t>
  </si>
  <si>
    <t>4000-6813</t>
  </si>
  <si>
    <t>25/02/2025 10:40:00</t>
  </si>
  <si>
    <t>4000-6814</t>
  </si>
  <si>
    <t>25/02/2025 10:41:00</t>
  </si>
  <si>
    <t>4000-6815</t>
  </si>
  <si>
    <t>25/02/2025 10:43:00</t>
  </si>
  <si>
    <t>4000-6816</t>
  </si>
  <si>
    <t>25/02/2025 10:44:00</t>
  </si>
  <si>
    <t>4000-6817</t>
  </si>
  <si>
    <t>25/02/2025 10:46:00</t>
  </si>
  <si>
    <t>4000-6818</t>
  </si>
  <si>
    <t>25/02/2025 10:47:00</t>
  </si>
  <si>
    <t>4000-6819</t>
  </si>
  <si>
    <t>25/02/2025 11:01:00</t>
  </si>
  <si>
    <t>25/02/2025 11:03:00</t>
  </si>
  <si>
    <t>4000-6820</t>
  </si>
  <si>
    <t>25/02/2025 11:05:00</t>
  </si>
  <si>
    <t>4000-6821</t>
  </si>
  <si>
    <t>4000-6822</t>
  </si>
  <si>
    <t>25/02/2025 11:20:00</t>
  </si>
  <si>
    <t>4000-6823</t>
  </si>
  <si>
    <t>25/02/2025 11:22:00</t>
  </si>
  <si>
    <t>4000-6824</t>
  </si>
  <si>
    <t>25/02/2025 11:25:00</t>
  </si>
  <si>
    <t>4000-6825</t>
  </si>
  <si>
    <t>25/02/2025 11:26:00</t>
  </si>
  <si>
    <t>25/02/2025 11:28:00</t>
  </si>
  <si>
    <t>4000-6826</t>
  </si>
  <si>
    <t>25/02/2025 11:29:00</t>
  </si>
  <si>
    <t>4000-6827</t>
  </si>
  <si>
    <t>25/02/2025 11:31:00</t>
  </si>
  <si>
    <t>25/02/2025 11:32:00</t>
  </si>
  <si>
    <t>4000-6828</t>
  </si>
  <si>
    <t>25/02/2025 11:33:00</t>
  </si>
  <si>
    <t>4000-6829</t>
  </si>
  <si>
    <t>25/02/2025 11:34:00</t>
  </si>
  <si>
    <t>25/02/2025 11:36:00</t>
  </si>
  <si>
    <t>4000-6830</t>
  </si>
  <si>
    <t>25/02/2025 11:37:00</t>
  </si>
  <si>
    <t>25/02/2025 11:38:00</t>
  </si>
  <si>
    <t>4000-6831</t>
  </si>
  <si>
    <t>25/02/2025 11:39:00</t>
  </si>
  <si>
    <t>4000-6832</t>
  </si>
  <si>
    <t>4000-6833</t>
  </si>
  <si>
    <t>4000-6834</t>
  </si>
  <si>
    <t>4000-6835</t>
  </si>
  <si>
    <t>4000-6836</t>
  </si>
  <si>
    <t>4000-6837</t>
  </si>
  <si>
    <t>4000-6838</t>
  </si>
  <si>
    <t>4000-6839</t>
  </si>
  <si>
    <t>4000-6840</t>
  </si>
  <si>
    <t>25/02/2025 12:17:00</t>
  </si>
  <si>
    <t>26/02/2025 09:05:00</t>
  </si>
  <si>
    <t>current: 196 -&gt; 230 (increasing current over run): Total Accumulated charge 41,99 C</t>
  </si>
  <si>
    <t>26/02/2025 09:22:00</t>
  </si>
  <si>
    <t>26/02/2025 09:27:00</t>
  </si>
  <si>
    <t>26/02/2025 09:28:00</t>
  </si>
  <si>
    <t>26/02/2025 09:32:00</t>
  </si>
  <si>
    <t>26/02/2025 09:34:00</t>
  </si>
  <si>
    <t>26/02/2025 09:39:00</t>
  </si>
  <si>
    <t>26/02/2025 09:41:00</t>
  </si>
  <si>
    <t>26/02/2025 09:46:00</t>
  </si>
  <si>
    <t>26/02/2025 09:48:00</t>
  </si>
  <si>
    <t>26/02/2025 09:49:00</t>
  </si>
  <si>
    <t>run didnt seem to stop</t>
  </si>
  <si>
    <t xml:space="preserve">second run due to run not stopping previously </t>
  </si>
  <si>
    <t>26/02/2025 09:53:00</t>
  </si>
  <si>
    <t>26/02/2025 09:54:00</t>
  </si>
  <si>
    <t>26/02/2025 09:57:00</t>
  </si>
  <si>
    <t>26/02/2025 09:58:00</t>
  </si>
  <si>
    <t>26/02/2025 10:00:00</t>
  </si>
  <si>
    <t>26/02/2025 10:02:00</t>
  </si>
  <si>
    <t>26/02/2025 10:03:00</t>
  </si>
  <si>
    <t>26/02/2025 10:04:00</t>
  </si>
  <si>
    <t>26/02/2025 10:05:00</t>
  </si>
  <si>
    <t>26/02/2025 10:06:00</t>
  </si>
  <si>
    <t>26/02/2025 10:08:00</t>
  </si>
  <si>
    <t>26/02/2025 10:09:00</t>
  </si>
  <si>
    <t>26/02/2025 10:12:00</t>
  </si>
  <si>
    <t>26/02/2025 10:13:00</t>
  </si>
  <si>
    <t>26/02/2025 10:14:00</t>
  </si>
  <si>
    <t>26/02/2025 10:16:00</t>
  </si>
  <si>
    <t>26/02/2025 10:19:00</t>
  </si>
  <si>
    <t>26/02/2025 11:11:00</t>
  </si>
  <si>
    <t>26/02/2025 11:14:00</t>
  </si>
  <si>
    <t>26/02/2025 11:18:00</t>
  </si>
  <si>
    <t>26/02/2025 11:22:00</t>
  </si>
  <si>
    <t>26/02/2025 11:23:00</t>
  </si>
  <si>
    <t>26/02/2025 11:25:00</t>
  </si>
  <si>
    <t>26/02/2025 11:26:00</t>
  </si>
  <si>
    <t>26/02/2025 11:27:00</t>
  </si>
  <si>
    <t>26/02/2025 11:28:00</t>
  </si>
  <si>
    <t>26/02/2025 11:30:00</t>
  </si>
  <si>
    <t>26/02/2025 11:32:00</t>
  </si>
  <si>
    <t>26/02/2025 11:34:00</t>
  </si>
  <si>
    <t>26/02/2025 11:36:00</t>
  </si>
  <si>
    <t>26/02/2025 11:38:00</t>
  </si>
  <si>
    <t>26/02/2025 11:40:00</t>
  </si>
  <si>
    <t>26/02/2025 11:42:00</t>
  </si>
  <si>
    <t>26/02/2025 11:43:00</t>
  </si>
  <si>
    <t>Maybe error ?????????????????????</t>
  </si>
  <si>
    <t>26/02/2025 11:46:00</t>
  </si>
  <si>
    <t>26/02/2025 11:47:00</t>
  </si>
  <si>
    <t>26/02/2025 11:48:00</t>
  </si>
  <si>
    <t>Maybe error ?????????????????????  BUFFER??????????</t>
  </si>
  <si>
    <t>26/02/2025 11:50:00</t>
  </si>
  <si>
    <t>26/02/2025 11:52:00</t>
  </si>
  <si>
    <t>26/02/2025 11:54:00</t>
  </si>
  <si>
    <t>Leave more time between focusing and run for LunaDaq to catch up?</t>
  </si>
  <si>
    <t>26/02/2025 11:56:00</t>
  </si>
  <si>
    <t>26/02/2025 11:59:00</t>
  </si>
  <si>
    <t>26/02/2025 12,01:00</t>
  </si>
  <si>
    <t>26/02/2025 12,04:00</t>
  </si>
  <si>
    <t>26/02/2025 12,07:00</t>
  </si>
  <si>
    <t>26/02/2025 12,11:00</t>
  </si>
  <si>
    <t>26/02/2025 12,14:00</t>
  </si>
  <si>
    <t>26/02/2025 12,16:00</t>
  </si>
  <si>
    <t>26/02/2025 12,27:00</t>
  </si>
  <si>
    <t>26/02/2025 14:32:00</t>
  </si>
  <si>
    <t>26/02/2025 14:33:00</t>
  </si>
  <si>
    <t>26/02/2025 14:36:00</t>
  </si>
  <si>
    <t>26/02/2025 14:37:00</t>
  </si>
  <si>
    <t>Luna dac error: We stopped the run dac stopped for a bit then restarted on tha same run</t>
  </si>
  <si>
    <t>26/02/2025 14:42:00</t>
  </si>
  <si>
    <t>Total accumulated charge: 2.03 C</t>
  </si>
  <si>
    <t>26/02/2025 16:48:00</t>
  </si>
  <si>
    <t>26/02/2025 18:00:00</t>
  </si>
  <si>
    <t>27/02/2025 09:13:00</t>
  </si>
  <si>
    <t>27/02/2025 09:41:00</t>
  </si>
  <si>
    <t>27/02/2025 09:44:00</t>
  </si>
  <si>
    <t>27/02/2025 09:45:00</t>
  </si>
  <si>
    <t>27/02/2025 09:46:00</t>
  </si>
  <si>
    <t>27/02/2025 09:47:00</t>
  </si>
  <si>
    <t>27/02/2025 09:49:00</t>
  </si>
  <si>
    <t>27/02/2025 09:50:00</t>
  </si>
  <si>
    <t>27/02/2025 09:51:00</t>
  </si>
  <si>
    <t>27/02/2025 09:53:00</t>
  </si>
  <si>
    <t>27/02/2025 09:54:00</t>
  </si>
  <si>
    <t>27/02/2025 09:57:00</t>
  </si>
  <si>
    <t>27/02/2025 09:59:00</t>
  </si>
  <si>
    <t>27/02/2025 10:00:00</t>
  </si>
  <si>
    <t>27/02/2025 10:02:00</t>
  </si>
  <si>
    <t>27/02/2025 10:03:00</t>
  </si>
  <si>
    <t>27/02/2025 10:05:00</t>
  </si>
  <si>
    <t>27/02/2025 10:06:00</t>
  </si>
  <si>
    <t>27/02/2025 10:09:00</t>
  </si>
  <si>
    <t>27/02/2025 10:11:00</t>
  </si>
  <si>
    <t>27/02/2025 10:13:00</t>
  </si>
  <si>
    <t>27/02/2025 10:14:00</t>
  </si>
  <si>
    <t>27/02/2025 10:16:00</t>
  </si>
  <si>
    <t>27/02/2025 10:18:00</t>
  </si>
  <si>
    <t>27/02/2025 10:19:00</t>
  </si>
  <si>
    <t>27/02/2025 10:21:00</t>
  </si>
  <si>
    <t>27/02/2025 10:23:00</t>
  </si>
  <si>
    <t>27/02/2025 10:24:00</t>
  </si>
  <si>
    <t>27/02/2025 10:26:00</t>
  </si>
  <si>
    <t>27/02/2025 10:28:00</t>
  </si>
  <si>
    <t>27/02/2025 10:32:00</t>
  </si>
  <si>
    <t>27/02/2025 10:33:00</t>
  </si>
  <si>
    <t>27/02/2025 10:34:00</t>
  </si>
  <si>
    <t>27/02/2025 10:35:00</t>
  </si>
  <si>
    <t>27/02/2025 10:37:00</t>
  </si>
  <si>
    <t>27/02/2025 10:38:00</t>
  </si>
  <si>
    <t>27/02/2025 10:39:00</t>
  </si>
  <si>
    <t>27/02/2025 10:42:00</t>
  </si>
  <si>
    <t>27/02/2025 10:45:00</t>
  </si>
  <si>
    <t>27/02/2025 10:48:00</t>
  </si>
  <si>
    <t>27/02/2025 10:50:00</t>
  </si>
  <si>
    <t>27/02/2025 10:52:00</t>
  </si>
  <si>
    <t>27/02/2025 10:54:00</t>
  </si>
  <si>
    <t>27/02/2025 10:57:00</t>
  </si>
  <si>
    <t>Total accumulated charge 12,58 C</t>
  </si>
  <si>
    <t>27/02/2025 11:47:00</t>
  </si>
  <si>
    <t>27/02/2025 12:10:00</t>
  </si>
  <si>
    <t>Feasibility study for the (p,ag) measurement</t>
  </si>
  <si>
    <t>27/02/2025 12:25:00</t>
  </si>
  <si>
    <t>27/02/2025 14:08:00</t>
  </si>
  <si>
    <t>lost beam at 13:11-13:12</t>
  </si>
  <si>
    <t>27/02/2025 14:59:00</t>
  </si>
  <si>
    <t>27/02/2025 15:52:00</t>
  </si>
  <si>
    <t>27/02/2025 16:06:00</t>
  </si>
  <si>
    <t>27/02/2025 18:01:00</t>
  </si>
  <si>
    <t>27/02/2025 18:22:00</t>
  </si>
  <si>
    <t>28/02/2025 09:39:00</t>
  </si>
  <si>
    <t>Current increased up to 185 uA. Total accumulated charge so far ~27C</t>
  </si>
  <si>
    <t>28/02/2025 10:21:00</t>
  </si>
  <si>
    <t>28/02/2025 10:23:00</t>
  </si>
  <si>
    <t>28/02/2025 10:25:00</t>
  </si>
  <si>
    <t>28/02/2025 10:26:00</t>
  </si>
  <si>
    <t>28/02/2025 10:27:00</t>
  </si>
  <si>
    <t>28/02/2025 10:29:00</t>
  </si>
  <si>
    <t>28/02/2025 10:30:00</t>
  </si>
  <si>
    <t>28/02/2025 10:33:00</t>
  </si>
  <si>
    <t>28/02/2025 10:34:00</t>
  </si>
  <si>
    <t>28/02/2025 10:35:00</t>
  </si>
  <si>
    <t>28/02/2025 10:37:00</t>
  </si>
  <si>
    <t>28/02/2025 10:38:00</t>
  </si>
  <si>
    <t>28/02/2025 10:39:00</t>
  </si>
  <si>
    <t>28/02/2025 10:40:00</t>
  </si>
  <si>
    <t>28/02/2025 10:41:00</t>
  </si>
  <si>
    <t>28/02/2025 10:42:00</t>
  </si>
  <si>
    <t>28/02/2025 10:44:00</t>
  </si>
  <si>
    <t>28/02/2025 10:45:00</t>
  </si>
  <si>
    <t>28/02/2025 10:46:00</t>
  </si>
  <si>
    <t>28/02/2025 10:47:00</t>
  </si>
  <si>
    <t>28/02/2025 10:49:00</t>
  </si>
  <si>
    <t>28/02/2025 10:51:00</t>
  </si>
  <si>
    <t>28/02/2025 10:53:00</t>
  </si>
  <si>
    <t>28/02/2025 10:55:00</t>
  </si>
  <si>
    <t>28/02/2025 10:57:00</t>
  </si>
  <si>
    <t>28/02/2025 10:58:00</t>
  </si>
  <si>
    <t>28/02/2025 11:00:00</t>
  </si>
  <si>
    <t>28/02/2025 11:02:00</t>
  </si>
  <si>
    <t>28/02/2025 11:03:00</t>
  </si>
  <si>
    <t>28/02/2025 11:05:00</t>
  </si>
  <si>
    <t>28/02/2025 11:07:00</t>
  </si>
  <si>
    <t>28/02/2025 11:09:00</t>
  </si>
  <si>
    <t>28/02/2025 11:11:00</t>
  </si>
  <si>
    <t>28/02/2025 11:30:00</t>
  </si>
  <si>
    <t>28/02/2025 11:35:00</t>
  </si>
  <si>
    <t>28/02/2025 11:36:00</t>
  </si>
  <si>
    <t>28/02/2025 11:37:00</t>
  </si>
  <si>
    <t>28/02/2025 11:39:00</t>
  </si>
  <si>
    <t>28/02/2025 11:40:00</t>
  </si>
  <si>
    <t>28/02/2025 11:42:00</t>
  </si>
  <si>
    <t>28/02/2025 11:43:00</t>
  </si>
  <si>
    <t>28/02/2025 11:45:00</t>
  </si>
  <si>
    <t>28/02/2025 11:48:00</t>
  </si>
  <si>
    <t>28/02/2025 11:50:00</t>
  </si>
  <si>
    <t>28/02/2025 11:54:00</t>
  </si>
  <si>
    <t>28/02/2025 11:56:00</t>
  </si>
  <si>
    <t>28/02/2025 11:58:00</t>
  </si>
  <si>
    <t>28/02/2025 12:00:00</t>
  </si>
  <si>
    <t>28/02/2025 12:02:00</t>
  </si>
  <si>
    <t>28/02/2025 12:05:00</t>
  </si>
  <si>
    <t>28/02/2025 12:06:00</t>
  </si>
  <si>
    <t>28/02/2025 12:09:00</t>
  </si>
  <si>
    <t>28/02/2025 12:11:00</t>
  </si>
  <si>
    <t>28/02/2025 12:12:00</t>
  </si>
  <si>
    <t>28/02/2025 12:14:00</t>
  </si>
  <si>
    <t>28/02/2025 12:16:00</t>
  </si>
  <si>
    <t>28/02/2025 12:19:00</t>
  </si>
  <si>
    <t>28/02/2025 12:27:00</t>
  </si>
  <si>
    <t>01/03/2025 08:47:00</t>
  </si>
  <si>
    <t>01/03/2025 09:22:00</t>
  </si>
  <si>
    <t>01/03/2025 09:26:00</t>
  </si>
  <si>
    <t>01/03/2025 09:27:00</t>
  </si>
  <si>
    <t>01/03/2025 09:29:00</t>
  </si>
  <si>
    <t>01/03/2025 09:31:00</t>
  </si>
  <si>
    <t>01/03/2025 09:32:00</t>
  </si>
  <si>
    <t>01/03/2025 09:33:00</t>
  </si>
  <si>
    <t>01/03/2025 09:36:00</t>
  </si>
  <si>
    <t>01/03/2025 09:39:00</t>
  </si>
  <si>
    <t>01/03/2025 09:41:00</t>
  </si>
  <si>
    <t>01/03/2025 09:43:00</t>
  </si>
  <si>
    <t>01/03/2025 09:45:00</t>
  </si>
  <si>
    <t>01/03/2025 09:47:00</t>
  </si>
  <si>
    <t>01/03/2025 09:49:00</t>
  </si>
  <si>
    <t>01/03/2025 09:50:00</t>
  </si>
  <si>
    <t>01/03/2025 09:51:00</t>
  </si>
  <si>
    <t>01/03/2025 09:52:00</t>
  </si>
  <si>
    <t>01/03/2025 09:54:00</t>
  </si>
  <si>
    <t>01/03/2025 09:56:00</t>
  </si>
  <si>
    <t>01/03/2025 09:58:00</t>
  </si>
  <si>
    <t>01/03/2025 10:00:00</t>
  </si>
  <si>
    <t>01/03/2025 10:02:00</t>
  </si>
  <si>
    <t>01/03/2025 10:04:00</t>
  </si>
  <si>
    <t>01/03/2025 10:06:00</t>
  </si>
  <si>
    <t>01/03/2025 10:09:00</t>
  </si>
  <si>
    <t>01/03/2025 10:14:00</t>
  </si>
  <si>
    <t>01/03/2025 10:18:00</t>
  </si>
  <si>
    <t>01/03/2025 10:25:00</t>
  </si>
  <si>
    <t>01/03/2025 10:28:00</t>
  </si>
  <si>
    <t>01/03/2025 11:09:00</t>
  </si>
  <si>
    <t>01/03/2025 18:35:00</t>
  </si>
  <si>
    <t>total accumulated charge after run: 58,27 C</t>
  </si>
  <si>
    <t>01/03/2025 18:44:00</t>
  </si>
  <si>
    <t>02/03/2025 09:06:00</t>
  </si>
  <si>
    <t>02/03/2025 09:30:00</t>
  </si>
  <si>
    <t>02/03/2025 09:36:00</t>
  </si>
  <si>
    <t>02/03/2025 09:40:00</t>
  </si>
  <si>
    <t>02/03/2025 09:42:00</t>
  </si>
  <si>
    <t>02/03/2025 09:46:00</t>
  </si>
  <si>
    <t>02/03/2025 09:49:00</t>
  </si>
  <si>
    <t>02/03/2025 09:51:00</t>
  </si>
  <si>
    <t>02/03/2025 09:53:00</t>
  </si>
  <si>
    <t>02/03/2025 09:55:00</t>
  </si>
  <si>
    <t>02/03/2025 09:57:00</t>
  </si>
  <si>
    <t>02/03/2025 09:59:00</t>
  </si>
  <si>
    <t>02/03/2025 10:00:00</t>
  </si>
  <si>
    <t>02/03/2025 10:01:00</t>
  </si>
  <si>
    <t>02/03/2025 10:03:00</t>
  </si>
  <si>
    <t>02/03/2025 10:05:00</t>
  </si>
  <si>
    <t>02/03/2025 10:09:00</t>
  </si>
  <si>
    <t>02/03/2025 10:11:00</t>
  </si>
  <si>
    <t>02/03/2025 10:14:00</t>
  </si>
  <si>
    <t>02/03/2025 10:15:00</t>
  </si>
  <si>
    <t>02/03/2025 10:17:00</t>
  </si>
  <si>
    <t>02/03/2025 10:18:00</t>
  </si>
  <si>
    <t>02/03/2025 10:20:00</t>
  </si>
  <si>
    <t>02/03/2025 10:22:00</t>
  </si>
  <si>
    <t>02/03/2025 10:23:00</t>
  </si>
  <si>
    <t>02/03/2025 10:25:00</t>
  </si>
  <si>
    <t>02/03/2025 10:28:00</t>
  </si>
  <si>
    <t>02/03/2025 10:30:00</t>
  </si>
  <si>
    <t>Waveform enabled. Total accumulated cherge 74,02 C</t>
  </si>
  <si>
    <t>02/03/2025 11:19:00</t>
  </si>
  <si>
    <t>02/03/2025 11:23:00</t>
  </si>
  <si>
    <t>02/03/2025 11:27:00</t>
  </si>
  <si>
    <t>02/03/2025 11:30:00</t>
  </si>
  <si>
    <t>FC0 opened too quickly...analysis online might be a little biased.</t>
  </si>
  <si>
    <t>02/03/2025 11:34:00</t>
  </si>
  <si>
    <t>02/03/2025 11:36:00</t>
  </si>
  <si>
    <t>02/03/2025 11:38:00</t>
  </si>
  <si>
    <t>02/03/2025 11:39:00</t>
  </si>
  <si>
    <t>02/03/2025 11:41:00</t>
  </si>
  <si>
    <t>02/03/2025 11:43:00</t>
  </si>
  <si>
    <t>02/03/2025 11:45:00</t>
  </si>
  <si>
    <t>02/03/2025 11:47:00</t>
  </si>
  <si>
    <t>02/03/2025 11:49:00</t>
  </si>
  <si>
    <t>02/03/2025 11:51:00</t>
  </si>
  <si>
    <t>02/03/2025 11:52:00</t>
  </si>
  <si>
    <t>02/03/2025 11:54:00</t>
  </si>
  <si>
    <t>02/03/2025 11:56:00</t>
  </si>
  <si>
    <t>02/03/2025 11:59:00</t>
  </si>
  <si>
    <t>02/03/2025 12:00:00</t>
  </si>
  <si>
    <t>02/03/2025 12:03:00</t>
  </si>
  <si>
    <t>02/03/2025 12:06:00</t>
  </si>
  <si>
    <t>02/03/2025 12:17:00</t>
  </si>
  <si>
    <t>The mouse of the accelerator pc stopped working so we spent some time trying to fix it</t>
  </si>
  <si>
    <t>02/03/2025 12:19:00</t>
  </si>
  <si>
    <t>02/03/2025 12:22:00</t>
  </si>
  <si>
    <t>02/03/2025 12:39:00</t>
  </si>
  <si>
    <t>02/03/2025 14:26:00</t>
  </si>
  <si>
    <t>We started the run with 79 uA on target but we were a little bit worried by the count rate and the DT so we decreased down to 50uA</t>
  </si>
  <si>
    <t>02/03/2025 14:36:00</t>
  </si>
  <si>
    <t>02/03/2025 14:40:00</t>
  </si>
  <si>
    <t>02/03/2025 14:44:00</t>
  </si>
  <si>
    <t>02/03/2025 14:47:00</t>
  </si>
  <si>
    <t>02/03/2025 14:48:00</t>
  </si>
  <si>
    <t>02/03/2025 14:51:00</t>
  </si>
  <si>
    <t>02/03/2025 14:54:00</t>
  </si>
  <si>
    <t>02/03/2025 14:56:00</t>
  </si>
  <si>
    <t>02/03/2025 14:58:00</t>
  </si>
  <si>
    <t>02/03/2025 15:01:00</t>
  </si>
  <si>
    <t>02/03/2025 15:03:00</t>
  </si>
  <si>
    <t>02/03/2025 15:06:00</t>
  </si>
  <si>
    <t>02/03/2025 15:09:00</t>
  </si>
  <si>
    <t>02/03/2025 15:11:00</t>
  </si>
  <si>
    <t>02/03/2025 15:16:00</t>
  </si>
  <si>
    <t>02/03/2025 15:19:00</t>
  </si>
  <si>
    <t>02/03/2025 15:21:00</t>
  </si>
  <si>
    <t>02/03/2025 15:25:00</t>
  </si>
  <si>
    <t>02/03/2025 15:27:00</t>
  </si>
  <si>
    <t>02/03/2025 15:29:00</t>
  </si>
  <si>
    <t>02/03/2025 15:31:00</t>
  </si>
  <si>
    <t>02/03/2025 15:34:00</t>
  </si>
  <si>
    <t>02/03/2025 15:36:00</t>
  </si>
  <si>
    <t>02/03/2025 15:39:00</t>
  </si>
  <si>
    <t>02/03/2025 15:42:00</t>
  </si>
  <si>
    <t>02/03/2025 15:46:00</t>
  </si>
  <si>
    <t>02/03/2025 16:02:00</t>
  </si>
  <si>
    <t>03/03/2025 09:18:00</t>
  </si>
  <si>
    <t>03/03/2025 09:43:00</t>
  </si>
  <si>
    <t>03/03/2025 09:47:00</t>
  </si>
  <si>
    <t>03/03/2025 09:48:00</t>
  </si>
  <si>
    <t>03/03/2025 09:51:00</t>
  </si>
  <si>
    <t>03/03/2025 09:53:00</t>
  </si>
  <si>
    <t>03/03/2025 09:55:00</t>
  </si>
  <si>
    <t>03/03/2025 09:56:00</t>
  </si>
  <si>
    <t>03/03/2025 09:57:00</t>
  </si>
  <si>
    <t>03/03/2025 09:59:00</t>
  </si>
  <si>
    <t>03/03/2025 10:03:00</t>
  </si>
  <si>
    <t>03/03/2025 10:04:00</t>
  </si>
  <si>
    <t>03/03/2025 10:05:00</t>
  </si>
  <si>
    <t>03/03/2025 10:06:00</t>
  </si>
  <si>
    <t>03/03/2025 10:08:00</t>
  </si>
  <si>
    <t>03/03/2025 10:09:00</t>
  </si>
  <si>
    <t>03/03/2025 10:10:00</t>
  </si>
  <si>
    <t>03/03/2025 10:11:00</t>
  </si>
  <si>
    <t>03/03/2025 10:15:00</t>
  </si>
  <si>
    <t>03/03/2025 10:16:00</t>
  </si>
  <si>
    <t>03/03/2025 10:17:00</t>
  </si>
  <si>
    <t>03/03/2025 10:18:00</t>
  </si>
  <si>
    <t>03/03/2025 10:19:00</t>
  </si>
  <si>
    <t>03/03/2025 10:20:00</t>
  </si>
  <si>
    <t>03/03/2025 10:21:00</t>
  </si>
  <si>
    <t>03/03/2025 10:22:00</t>
  </si>
  <si>
    <t>03/03/2025 10:23:00</t>
  </si>
  <si>
    <t>03/03/2025 10:24:00</t>
  </si>
  <si>
    <t>03/03/2025 10:25:00</t>
  </si>
  <si>
    <t>03/03/2025 10:26:00</t>
  </si>
  <si>
    <t>03/03/2025 10:30:00</t>
  </si>
  <si>
    <t>03/03/2025 10:57:00</t>
  </si>
  <si>
    <t>03/03/2025 15:33:00</t>
  </si>
  <si>
    <t>03/03/2025 16:30:00</t>
  </si>
  <si>
    <t>04/03/2025 08:44:00</t>
  </si>
  <si>
    <t>04/03/2025 08:49:00</t>
  </si>
  <si>
    <t>04/03/2025 08:50:00</t>
  </si>
  <si>
    <t>We were in close geometry by mistake. Disregard this run.</t>
  </si>
  <si>
    <t>04/03/2025 08:53:00</t>
  </si>
  <si>
    <t>04/03/2025 08:55:00</t>
  </si>
  <si>
    <t>04/03/2025 08:56:00</t>
  </si>
  <si>
    <t>05/11/2024 23:37:45</t>
  </si>
  <si>
    <t>06/11/2024 09:36:00</t>
  </si>
  <si>
    <t>06/11/2024 12:04:00</t>
  </si>
  <si>
    <t>6700 - 15000</t>
  </si>
  <si>
    <t>06/11/2024 13:54:00</t>
  </si>
  <si>
    <t>06/11/2024 13:59:00</t>
  </si>
  <si>
    <t>06/11/2024 14:00:00</t>
  </si>
  <si>
    <t>06/11/2024 14:06:00</t>
  </si>
  <si>
    <t>06/11/2024 14:07:00</t>
  </si>
  <si>
    <t>06/11/2024 14:13:00</t>
  </si>
  <si>
    <t>06/11/2024 14:14:00</t>
  </si>
  <si>
    <t>06/11/2024 14:28:00</t>
  </si>
  <si>
    <t>06/11/2024 14:29:00</t>
  </si>
  <si>
    <t>06/11/2024 14:43:00</t>
  </si>
  <si>
    <t>06/11/2024 14:45:00</t>
  </si>
  <si>
    <t>06/11/2024 14:52:00</t>
  </si>
  <si>
    <t>06/11/2024 15:03:00</t>
  </si>
  <si>
    <t>06/11/2024 15:18:00</t>
  </si>
  <si>
    <t>06/11/2024 16:42:00</t>
  </si>
  <si>
    <t>07/11/2024 19:04:00</t>
  </si>
  <si>
    <t>08/11/2024 09:44:00</t>
  </si>
  <si>
    <t>08/11/2024 23:20:00</t>
  </si>
  <si>
    <t>08/11/2024 23:22:00</t>
  </si>
  <si>
    <t>10/11/2024 02:04:00</t>
  </si>
  <si>
    <t>11/11/2024 18:55:00</t>
  </si>
  <si>
    <t>11/11/2024 21:14:00</t>
  </si>
  <si>
    <t>11/11/2024 23:45:00</t>
  </si>
  <si>
    <t>12/11/2024 03:33:00</t>
  </si>
  <si>
    <t>12/11/2024 8:49:00</t>
  </si>
  <si>
    <t>12/11/2024 11:03:00</t>
  </si>
  <si>
    <t>LAST HOUR OF RUN THE SOURCE WAS ON AND BGO SHIELD WAS OPEN</t>
  </si>
  <si>
    <t>12/11/2024 11:24:00</t>
  </si>
  <si>
    <t>TEST BGO NOISE</t>
  </si>
  <si>
    <t>12/11/2024 12:08:00</t>
  </si>
  <si>
    <t>12/11/2024 12:09:00</t>
  </si>
  <si>
    <t>5000-6300</t>
  </si>
  <si>
    <t xml:space="preserve">WE WERE CHECKING DAQ, RUN18 SHOULD BE DISCARDED, ITS A TEST RUN  </t>
  </si>
  <si>
    <t>The Run might be ignored, DAQ automatcially asked to override the run.</t>
  </si>
  <si>
    <t>Wave form on, run stopped bcz of banwidth was 16MB/s less than (10Mb/s)</t>
  </si>
  <si>
    <t xml:space="preserve">Started with lower beam current </t>
  </si>
  <si>
    <t>9000-20000</t>
  </si>
  <si>
    <t>Checking for Boron Resonance</t>
  </si>
  <si>
    <t>Long run for calibration. Statistics is not amazing but you might sum all the runs on top of the resonance.</t>
  </si>
  <si>
    <t>Calibration runs with Cs and Co sources</t>
  </si>
  <si>
    <t>278,11-&gt;228</t>
  </si>
  <si>
    <t xml:space="preserve">Long run on top of 19F(p,g) 230keV resonance, the current decreased from 278 to 228 uA </t>
  </si>
  <si>
    <t>Tobe checked offline, the ROI may have changed . not coherent with yesterday run at same energy</t>
  </si>
  <si>
    <t>Run repeated with defocussing the beam; HE magnet to the left</t>
  </si>
  <si>
    <t>Run repeated with defocussing the beam; HE magnet to the right</t>
  </si>
  <si>
    <t>Run repeated with defocussing the beam; HE magnet further to the right</t>
  </si>
  <si>
    <t>09:45</t>
  </si>
  <si>
    <t>run repeated with defocusing the beam, with magetic steerer up. This run to be maybe ignored, issue with auto incrementation of DAQ</t>
  </si>
  <si>
    <t>run repeated with defocusing the beam, with magetic steerer up (steerer value = +80)</t>
  </si>
  <si>
    <t>run repeated with defocusing the beam, with magetic steerer down (steerer value= -80)</t>
  </si>
  <si>
    <t>run repeated with defocusing the beam, with Q-pole focus set to 16.51</t>
  </si>
  <si>
    <t>run repeated with defocusing the beam, with Q-pole focus set to 78,55</t>
  </si>
  <si>
    <t>run repeated with defocusing the beam, with Q-pole B value set to 4.7</t>
  </si>
  <si>
    <t>run repeated with defocusing the beam, with Q-pole B value set to -10,32, Total charge on this target is 10.05 C</t>
  </si>
  <si>
    <t>First irradiation</t>
  </si>
  <si>
    <t>New Target 5" HF 50%, we started the DAQ during tuning of beam  for the first time on new target.</t>
  </si>
  <si>
    <t>BACKGROUND RUN</t>
  </si>
  <si>
    <t xml:space="preserve">First irradiation tunning of beam, secondary electron suppression to -200V </t>
  </si>
  <si>
    <t>Count rate too low, we move to other resonance</t>
  </si>
  <si>
    <t xml:space="preserve">problem with DAQ, we had to restart and over ride the run 69,  </t>
  </si>
  <si>
    <t>Problem with DAQ, with auto incrementation of DAQ, more specifically the run did not stopped and gave error of please try again later) we override it again, but this time visualization of histograms was gone but no of entries in histograms were increasing. also the accumulated charge was gone.</t>
  </si>
  <si>
    <t>area and charge from offline analysis</t>
  </si>
  <si>
    <t>repeated again</t>
  </si>
  <si>
    <t>Total charge 461500,48 C</t>
  </si>
  <si>
    <t>Test run, DAQ showed 0 accumulated charge</t>
  </si>
  <si>
    <t>LONGRUN (crashed), total charge on target 2.57</t>
  </si>
  <si>
    <t>23:04:30</t>
  </si>
  <si>
    <t>Started new run sicne previous crashed. Looked at the buffers in LF.</t>
  </si>
  <si>
    <t>00:42:10</t>
  </si>
  <si>
    <t>run was stopped midnight</t>
  </si>
  <si>
    <t xml:space="preserve">Upgraded XDAQ: LF checks if buffer is consistent first. Now if crashes again, we should look at the CAEN board itself. Reset Total Charge: 3.45 C                                                                                        we found GV closed. with 79 counts. </t>
  </si>
  <si>
    <t>Total accumulated charge on this target is 2.58C (3,5+2,58=6,03C)</t>
  </si>
  <si>
    <t>Target from Dresden (Implanted one, Dep_3)</t>
  </si>
  <si>
    <t>DONT CONSIDER</t>
  </si>
  <si>
    <t xml:space="preserve">We are now seeing the resonance at ~310 keV </t>
  </si>
  <si>
    <t>Waveform ON</t>
  </si>
  <si>
    <t>16:16:00</t>
  </si>
  <si>
    <t>DAQ with waveform on</t>
  </si>
  <si>
    <t>After run 134 DAQ crashed, we restarted. LONG run on top of the 230 keV resonance. Total charge 2,77C</t>
  </si>
  <si>
    <t>Stopped to upgrade the XDAQ (again...), still same buffers appears but now at the begining. Probably now it will be fixed even if the strange buffer is the first one.</t>
  </si>
  <si>
    <t>(15/11/2024) 9.10.52</t>
  </si>
  <si>
    <t>(15/11/2024) 9.19.27</t>
  </si>
  <si>
    <t>Pulser off from DAQ (from all the channels)</t>
  </si>
  <si>
    <t>We reconnected the pulsar only to channel 0, but through splitter</t>
  </si>
  <si>
    <t>Now pulsar is directly is connected to pre-amp to 0. (in other channels there is no pulsar)</t>
  </si>
  <si>
    <t>2nd Scan</t>
  </si>
  <si>
    <t>3500-4500</t>
  </si>
  <si>
    <t>scan of the 11B(p,g)12C resonance at 163 keV</t>
  </si>
  <si>
    <t>Pulser reconnected to all channels using a different FAN IN FAN OUT</t>
  </si>
  <si>
    <t>(16/11/2024) 9:40:00</t>
  </si>
  <si>
    <t>DAQ crashed badly. "Error failed to fetch run status. Please try again". Riccardo connected with his laptop and the DAQ was ok. We stopped the run at ~9:40. We restarted the DAQ and it seems fine. Pulser seems ok. Total charge = 11,01 C</t>
  </si>
  <si>
    <t>We have just noticed the pulser changed position, new ROI is 440-480</t>
  </si>
  <si>
    <t>test at optimal focus, 316 uA on target, rate at 100-200 kHZ, bandwidth rate 7,4 Mb/s, pile up rate 100 kHz</t>
  </si>
  <si>
    <t>test defocus using the Qpoles, 23 uA on target, rate at 33 kHZ, bandwidth 1,65 Mb/s, pile up rate 12kHz</t>
  </si>
  <si>
    <t>test defocus using the Qpoles, 6 uA on target, rate at 9 kHZ, bandwidth 0,41 Mb/s, pile up rate 1kHz</t>
  </si>
  <si>
    <t>test defocus using the Qpoles, PV and EV, 70 nA on target, rate at 1 kHZ, bandwidth 0,05 Mb/s, pile up rate 15Hz. We noticed some spikes in the target current up to 100 uA.</t>
  </si>
  <si>
    <t>141--&gt;144</t>
  </si>
  <si>
    <t>Total accumulated charge on this target is 23,09 C so far</t>
  </si>
  <si>
    <t>To be ignored, DAQ gave error</t>
  </si>
  <si>
    <t xml:space="preserve">Tests for linearity of BGO detectore, run performed with Vmon voltages set already, after this run, we lower down these values. (Vsetfor ch1-ch6 10000,1000.1000,1000,1050,950 and  Vmon, ch1-ch6 999.7, 1000.2, 999.7, 1000.0,1050.3, 950.7) </t>
  </si>
  <si>
    <t>We decreased the Vset by 50V for each channel</t>
  </si>
  <si>
    <t>11/18/2024 17:02:00</t>
  </si>
  <si>
    <t>11/19/2024 14:52:00</t>
  </si>
  <si>
    <t>11/19/2024 15:23:00</t>
  </si>
  <si>
    <t>11/19/2024 15:49:00</t>
  </si>
  <si>
    <t>Beam tuning. Run was started before going on target and stopped after entering FC0</t>
  </si>
  <si>
    <t>11/19/2024 16:08:00</t>
  </si>
  <si>
    <t>11/19/2024 16:10:00</t>
  </si>
  <si>
    <t>Wanted to rerun on pleateau with a "non-test" environment, so no tuning anymore etc. HOWEVER, counting rate turned out to be way too much... After stopping this run we defocussed a lot</t>
  </si>
  <si>
    <t>11/19/2024 16:14:00</t>
  </si>
  <si>
    <t>11/19/2024 16:17:00</t>
  </si>
  <si>
    <t>Okay... This is still a test because count rate is still too much... We have to go even lower... Also yield increased which could be an indicated that we run into dead time issues before</t>
  </si>
  <si>
    <t>11/19/2024 16:21:00</t>
  </si>
  <si>
    <t>11/19/2024 16:22:00</t>
  </si>
  <si>
    <t>After stopping this run we still saw an increase in the yield, so probably dead time... So we went even further down with the beam current</t>
  </si>
  <si>
    <t>STARTING FROM THIS RUN WE STARTED TO USE THE OFFLINE SCRIPT!!! SEE COMMENT ON THE RIGHT!!!!</t>
  </si>
  <si>
    <t>11/19/2024 16:25:00</t>
  </si>
  <si>
    <t>11/19/2024 16:26:00</t>
  </si>
  <si>
    <t>We compared online analysis (LUNADAQ output) and offline analyis (Jupyter notebooks) and figured out that there is a mismatch. This mismatch is not due to not-emptied buffer, buuuut: Its actually due to a shift in energy calibration between both methods which effectively leads to deviations in the counts wihtin 4000-6800. We decided to swtich to the offline script.</t>
  </si>
  <si>
    <t>11/19/2024 16:38:00</t>
  </si>
  <si>
    <t>11/19/2024 16:40:00</t>
  </si>
  <si>
    <t>11/19/2024 16:44:00</t>
  </si>
  <si>
    <t>11/19/2024 16:46:00</t>
  </si>
  <si>
    <t>11/19/2024 16:47:00</t>
  </si>
  <si>
    <t>11/19/2024 16:49:00</t>
  </si>
  <si>
    <t>11/19/2024 16:51:00</t>
  </si>
  <si>
    <t>11/19/2024 16:53:00</t>
  </si>
  <si>
    <t>11/19/2024 16:54:00</t>
  </si>
  <si>
    <t>11/19/2024 16:56:00</t>
  </si>
  <si>
    <t>11/19/2024 16:57:00</t>
  </si>
  <si>
    <t>During the night, the current unintentionally went from 10 to 30µA</t>
  </si>
  <si>
    <t>The autoincrement was faulty... Whenever we wanted to stop a run, we had to press "stop" twice and the autoincrement went also up twice</t>
  </si>
  <si>
    <t>test changes</t>
  </si>
  <si>
    <t>10-150</t>
  </si>
  <si>
    <t>141 -&gt; 200</t>
  </si>
  <si>
    <t>2850-3700</t>
  </si>
  <si>
    <t>Again a jump in run number. See earlier comments.</t>
  </si>
  <si>
    <t>Overlapping data point since we changed probe voltage and reduced current</t>
  </si>
  <si>
    <t>WAVEFORM ON with comparatively low counting rate (lower current and lower yield) for 10min</t>
  </si>
  <si>
    <t>WAVEFORM ON with higher counting rate (higher current and higher yield) for 15min</t>
  </si>
  <si>
    <t>Long run during meeting</t>
  </si>
  <si>
    <t>TEST RUNS FOR BGO OPTIMIZATION</t>
  </si>
  <si>
    <t>60Co and 137Cs are close to the BGO. No defined geometry and during the run they were moved closer to the BGO</t>
  </si>
  <si>
    <t>We forgot to put in the pulser before starting this run... So we stopped it and turned it on for the next one</t>
  </si>
  <si>
    <t>Haha, we forgot to turn on the Secondary electron suppression... Aehm... Lets call it weekend :D</t>
  </si>
  <si>
    <t>Problem with charge integration... Current and time was similar to previous and next run, but the charge here (based on the Jupyter script) indicates twice as much charge??? New  conversion of the file also resulted in same "wrong" charge</t>
  </si>
  <si>
    <t>Problem with charge integration... Current and time were again stable, but the charge here (based on the Jupyter script) indicates four times as much charge???</t>
  </si>
  <si>
    <t>Problem with charge integration... Current and time were again stable, but the charge here (based on the Jupyter script) indicates twice as much charge???</t>
  </si>
  <si>
    <t>New data point at the same energy due to the inintuitive change in yield</t>
  </si>
  <si>
    <t>BGO 1 Counts</t>
  </si>
  <si>
    <t>Usual geometry</t>
  </si>
  <si>
    <t>Far Geomtry (73.5 cm distance between two Pb pieces)</t>
  </si>
  <si>
    <t>10B4C</t>
  </si>
  <si>
    <t>12000-18000</t>
  </si>
  <si>
    <t>Dep180_2056</t>
  </si>
  <si>
    <t>LiF</t>
  </si>
  <si>
    <t>`</t>
  </si>
  <si>
    <t>12.48.04</t>
  </si>
  <si>
    <t>14.26.45</t>
  </si>
  <si>
    <t>14.33.40</t>
  </si>
  <si>
    <t>14.36.29</t>
  </si>
  <si>
    <t>14.36.57</t>
  </si>
  <si>
    <t>14.38.45</t>
  </si>
  <si>
    <t>14.39.09</t>
  </si>
  <si>
    <t>14.40.32</t>
  </si>
  <si>
    <t>14.41.05</t>
  </si>
  <si>
    <t>14.42.51</t>
  </si>
  <si>
    <t>14.43.18</t>
  </si>
  <si>
    <t>14.44.29</t>
  </si>
  <si>
    <t>14.45.02</t>
  </si>
  <si>
    <t>14.46.02</t>
  </si>
  <si>
    <t>14.46.33</t>
  </si>
  <si>
    <t>14.47.16</t>
  </si>
  <si>
    <t>14.47.38</t>
  </si>
  <si>
    <t>14.48.24</t>
  </si>
  <si>
    <t>14.48.45</t>
  </si>
  <si>
    <t>14.49.32</t>
  </si>
  <si>
    <t>14.50.19</t>
  </si>
  <si>
    <t>14.51.33</t>
  </si>
  <si>
    <t>14.51.55</t>
  </si>
  <si>
    <t>14.53.08</t>
  </si>
  <si>
    <t>14.54.18</t>
  </si>
  <si>
    <t>14.55.31</t>
  </si>
  <si>
    <t>14.55.55</t>
  </si>
  <si>
    <t>14.57.20</t>
  </si>
  <si>
    <t>14.57.49</t>
  </si>
  <si>
    <t>14.58.40</t>
  </si>
  <si>
    <t>14.59.22</t>
  </si>
  <si>
    <t>15.00.29</t>
  </si>
  <si>
    <t>15.01.02</t>
  </si>
  <si>
    <t>15.01.43</t>
  </si>
  <si>
    <t>15.02.10</t>
  </si>
  <si>
    <t>15.03.16</t>
  </si>
  <si>
    <t>15.03.40</t>
  </si>
  <si>
    <t>15.05.45</t>
  </si>
  <si>
    <t>15.06.34</t>
  </si>
  <si>
    <t>15.07.51</t>
  </si>
  <si>
    <t>15.08.14</t>
  </si>
  <si>
    <t>15.09.41</t>
  </si>
  <si>
    <t>15.10.16</t>
  </si>
  <si>
    <t>15.13.53</t>
  </si>
  <si>
    <t>11.22.54</t>
  </si>
  <si>
    <t>11.26.07</t>
  </si>
  <si>
    <t>11.30.47</t>
  </si>
  <si>
    <t>11.33.14</t>
  </si>
  <si>
    <t>11.36.56</t>
  </si>
  <si>
    <t>11.38.51</t>
  </si>
  <si>
    <t>11.41.19</t>
  </si>
  <si>
    <t>11.43.41</t>
  </si>
  <si>
    <t>11.45.19</t>
  </si>
  <si>
    <t>11.46.13</t>
  </si>
  <si>
    <t>11.47.09</t>
  </si>
  <si>
    <t>11.48.01</t>
  </si>
  <si>
    <t>11.49.01</t>
  </si>
  <si>
    <t>11.49.50</t>
  </si>
  <si>
    <t>11.50.23</t>
  </si>
  <si>
    <t>11.51.15</t>
  </si>
  <si>
    <t>11.51.34</t>
  </si>
  <si>
    <t>11.52.27</t>
  </si>
  <si>
    <t>11.52.52</t>
  </si>
  <si>
    <t>11.53.43</t>
  </si>
  <si>
    <t>11.54.12</t>
  </si>
  <si>
    <t>11.55.28</t>
  </si>
  <si>
    <t>11.56.15</t>
  </si>
  <si>
    <t>11.57.52</t>
  </si>
  <si>
    <t>11.58.31</t>
  </si>
  <si>
    <t>11.59.46</t>
  </si>
  <si>
    <t>12.01.00</t>
  </si>
  <si>
    <t>12.01.45</t>
  </si>
  <si>
    <t>12.02.39</t>
  </si>
  <si>
    <t>12.03.31</t>
  </si>
  <si>
    <t>12.05.07</t>
  </si>
  <si>
    <t>12.05.38</t>
  </si>
  <si>
    <t>12.07.04</t>
  </si>
  <si>
    <t>12.07.34</t>
  </si>
  <si>
    <t>12.09.07</t>
  </si>
  <si>
    <t>12.09.51</t>
  </si>
  <si>
    <t>12.13.21</t>
  </si>
  <si>
    <t>12.14.00</t>
  </si>
  <si>
    <t>12.17.22</t>
  </si>
  <si>
    <t>12.18.17</t>
  </si>
  <si>
    <t>12.20.48</t>
  </si>
  <si>
    <t>12.29.18</t>
  </si>
  <si>
    <t>14.37.50</t>
  </si>
  <si>
    <t>15.52.02</t>
  </si>
  <si>
    <t>15.56.17</t>
  </si>
  <si>
    <t>15.57.31</t>
  </si>
  <si>
    <t>15.59.59</t>
  </si>
  <si>
    <t>16.01.36</t>
  </si>
  <si>
    <t>16.03.26</t>
  </si>
  <si>
    <t>16.05.56</t>
  </si>
  <si>
    <t>16.07.58</t>
  </si>
  <si>
    <t>16.09.50</t>
  </si>
  <si>
    <t>16.11.26</t>
  </si>
  <si>
    <t>16.12.02</t>
  </si>
  <si>
    <t>16.13.17</t>
  </si>
  <si>
    <t>16.14.03</t>
  </si>
  <si>
    <t>16.15.47</t>
  </si>
  <si>
    <t>16.16.54</t>
  </si>
  <si>
    <t>16.17.55</t>
  </si>
  <si>
    <t>16.19.13</t>
  </si>
  <si>
    <t>16.19.52</t>
  </si>
  <si>
    <t>16.20.56</t>
  </si>
  <si>
    <t>16.21.47</t>
  </si>
  <si>
    <t>16.22.20</t>
  </si>
  <si>
    <t>16.23.38</t>
  </si>
  <si>
    <t>16.26.22</t>
  </si>
  <si>
    <t>16.27.09</t>
  </si>
  <si>
    <t>16.27.44</t>
  </si>
  <si>
    <t>16.28.31</t>
  </si>
  <si>
    <t>16.29.21</t>
  </si>
  <si>
    <t>16.30.02</t>
  </si>
  <si>
    <t>16.30.36</t>
  </si>
  <si>
    <t>16.31.23</t>
  </si>
  <si>
    <t>16.32.05</t>
  </si>
  <si>
    <t>16.32.47</t>
  </si>
  <si>
    <t>16.33.30</t>
  </si>
  <si>
    <t>16.34.28</t>
  </si>
  <si>
    <t>16.35.42</t>
  </si>
  <si>
    <t>16.37.17</t>
  </si>
  <si>
    <t>16.38.17</t>
  </si>
  <si>
    <t>16.39.01</t>
  </si>
  <si>
    <t>16.40.23</t>
  </si>
  <si>
    <t>16.41.22</t>
  </si>
  <si>
    <t>16.42.57</t>
  </si>
  <si>
    <t>16.44.47</t>
  </si>
  <si>
    <t>16.45.23</t>
  </si>
  <si>
    <t>16.47.15</t>
  </si>
  <si>
    <t>16.49.15</t>
  </si>
  <si>
    <t>17.32.50</t>
  </si>
  <si>
    <t>9.24.58</t>
  </si>
  <si>
    <t>far geometry at the end</t>
  </si>
  <si>
    <t>10.22.46</t>
  </si>
  <si>
    <t>10.24.52</t>
  </si>
  <si>
    <t>10.25.40</t>
  </si>
  <si>
    <t>10.26.54</t>
  </si>
  <si>
    <t>10.27.31</t>
  </si>
  <si>
    <t>10.28.50</t>
  </si>
  <si>
    <t>10.29.38</t>
  </si>
  <si>
    <t>10.30.34</t>
  </si>
  <si>
    <t>10.30.59</t>
  </si>
  <si>
    <t>10.31.53</t>
  </si>
  <si>
    <t>10.32.15</t>
  </si>
  <si>
    <t>10.33.02</t>
  </si>
  <si>
    <t>10.33.37</t>
  </si>
  <si>
    <t>10.34.12</t>
  </si>
  <si>
    <t>10.34.48</t>
  </si>
  <si>
    <t>10.35.48</t>
  </si>
  <si>
    <t>10.36.22</t>
  </si>
  <si>
    <t>10.37.08</t>
  </si>
  <si>
    <t>10.37.39</t>
  </si>
  <si>
    <t>10.38.22</t>
  </si>
  <si>
    <t>10.38.49</t>
  </si>
  <si>
    <t>10.39.29</t>
  </si>
  <si>
    <t>10.40.02</t>
  </si>
  <si>
    <t>10.40.55</t>
  </si>
  <si>
    <t>10.41.28</t>
  </si>
  <si>
    <t>10.42.14</t>
  </si>
  <si>
    <t>10.42.44</t>
  </si>
  <si>
    <t>10.43.41</t>
  </si>
  <si>
    <t>10.44.35</t>
  </si>
  <si>
    <t>10.45.23</t>
  </si>
  <si>
    <t>10.45.55</t>
  </si>
  <si>
    <t>10.47.13</t>
  </si>
  <si>
    <t>10.48.15</t>
  </si>
  <si>
    <t>10.49.38</t>
  </si>
  <si>
    <t>10.50.10</t>
  </si>
  <si>
    <t>10.50.58</t>
  </si>
  <si>
    <t>10.51.37</t>
  </si>
  <si>
    <t>10.52.42</t>
  </si>
  <si>
    <t>10.53.06</t>
  </si>
  <si>
    <t>10.55.14</t>
  </si>
  <si>
    <t>10.55.40</t>
  </si>
  <si>
    <t>10.58.10</t>
  </si>
  <si>
    <t>11.13.00</t>
  </si>
  <si>
    <t>11.16.13</t>
  </si>
  <si>
    <t>11.17.03</t>
  </si>
  <si>
    <t>11.22.01</t>
  </si>
  <si>
    <t>11.22.39</t>
  </si>
  <si>
    <t>11.25.56</t>
  </si>
  <si>
    <t>11.26.45</t>
  </si>
  <si>
    <t>11.28.20</t>
  </si>
  <si>
    <t>11.28.46</t>
  </si>
  <si>
    <t>11.30.41</t>
  </si>
  <si>
    <t>11.31.42</t>
  </si>
  <si>
    <t>11.34.39</t>
  </si>
  <si>
    <t>11.35.34</t>
  </si>
  <si>
    <t>11.37.01</t>
  </si>
  <si>
    <t>11.37.46</t>
  </si>
  <si>
    <t>11.38.46</t>
  </si>
  <si>
    <t>11.40.14</t>
  </si>
  <si>
    <t>11.41.15</t>
  </si>
  <si>
    <t>11.42.22</t>
  </si>
  <si>
    <t>11.43.14</t>
  </si>
  <si>
    <t>11.44.06</t>
  </si>
  <si>
    <t>11.45.13</t>
  </si>
  <si>
    <t>11.45.44</t>
  </si>
  <si>
    <t>11.48.10</t>
  </si>
  <si>
    <t>11.48.56</t>
  </si>
  <si>
    <t>11.50.33</t>
  </si>
  <si>
    <t>11.50.58</t>
  </si>
  <si>
    <t>11.52.56</t>
  </si>
  <si>
    <t>11.53.40</t>
  </si>
  <si>
    <t>11.55.44</t>
  </si>
  <si>
    <t>11.56.24</t>
  </si>
  <si>
    <t>11.59.10</t>
  </si>
  <si>
    <t>11.59.55</t>
  </si>
  <si>
    <t>12.01.46</t>
  </si>
  <si>
    <t>12.02.48</t>
  </si>
  <si>
    <t>12.04.13</t>
  </si>
  <si>
    <t>12.05.11</t>
  </si>
  <si>
    <t>12.06.34</t>
  </si>
  <si>
    <t>12.07.19</t>
  </si>
  <si>
    <t>12.08.15</t>
  </si>
  <si>
    <t>12.09.11</t>
  </si>
  <si>
    <t>12.14.11</t>
  </si>
  <si>
    <t>12.16.11</t>
  </si>
  <si>
    <t>12.17.11</t>
  </si>
  <si>
    <t>12.18.11</t>
  </si>
  <si>
    <t>12.21.42</t>
  </si>
  <si>
    <t>12.22.37</t>
  </si>
  <si>
    <t>12.24.34</t>
  </si>
  <si>
    <t>12.25.00</t>
  </si>
  <si>
    <t>12.27.11</t>
  </si>
  <si>
    <t>12.27.45</t>
  </si>
  <si>
    <t>12.30.20</t>
  </si>
  <si>
    <t>12.30.55</t>
  </si>
  <si>
    <t>12.33.14</t>
  </si>
  <si>
    <t>12.34.19</t>
  </si>
  <si>
    <t>12.37.13</t>
  </si>
  <si>
    <t>12.38.04</t>
  </si>
  <si>
    <t>12.39.30</t>
  </si>
  <si>
    <t>12.41.04</t>
  </si>
  <si>
    <t>12.42.20</t>
  </si>
  <si>
    <t>SUDF#5</t>
  </si>
  <si>
    <t>16.34.11</t>
  </si>
  <si>
    <t>16.37.42</t>
  </si>
  <si>
    <t>16.38.48</t>
  </si>
  <si>
    <t>16.40.45</t>
  </si>
  <si>
    <t>16.41.12</t>
  </si>
  <si>
    <t>16.42.58</t>
  </si>
  <si>
    <t>16.43.31</t>
  </si>
  <si>
    <t>16.44.31</t>
  </si>
  <si>
    <t>16.45.00</t>
  </si>
  <si>
    <t>16.46.15</t>
  </si>
  <si>
    <t>16.46.45</t>
  </si>
  <si>
    <t>16.47.54</t>
  </si>
  <si>
    <t>16.48.19</t>
  </si>
  <si>
    <t>16.49.19</t>
  </si>
  <si>
    <t>16.49.46</t>
  </si>
  <si>
    <t>16.50.31</t>
  </si>
  <si>
    <t>16.51.12</t>
  </si>
  <si>
    <t>16.52.12</t>
  </si>
  <si>
    <t>16.52.43</t>
  </si>
  <si>
    <t>16.54.36</t>
  </si>
  <si>
    <t>16.55.02</t>
  </si>
  <si>
    <t>16.56.08</t>
  </si>
  <si>
    <t>16.56.40</t>
  </si>
  <si>
    <t>16.58.05</t>
  </si>
  <si>
    <t>16.58.49</t>
  </si>
  <si>
    <t>16.59.57</t>
  </si>
  <si>
    <t>17.00.32</t>
  </si>
  <si>
    <t>17.02.01</t>
  </si>
  <si>
    <t>17.03.01</t>
  </si>
  <si>
    <t>17.04.08</t>
  </si>
  <si>
    <t>17.05.07</t>
  </si>
  <si>
    <t>17.06.19</t>
  </si>
  <si>
    <t>17.07.12</t>
  </si>
  <si>
    <t>17.08.17</t>
  </si>
  <si>
    <t>17.09.12</t>
  </si>
  <si>
    <t>17.10.15</t>
  </si>
  <si>
    <t>17.11.01</t>
  </si>
  <si>
    <t>17.12.04</t>
  </si>
  <si>
    <t>17.12.51</t>
  </si>
  <si>
    <t>17.13.49</t>
  </si>
  <si>
    <t>17.14.25</t>
  </si>
  <si>
    <t>17.15.31</t>
  </si>
  <si>
    <t>17.16.32</t>
  </si>
  <si>
    <t>17.17.44</t>
  </si>
  <si>
    <t>17.19.15</t>
  </si>
  <si>
    <t>17.20.20</t>
  </si>
  <si>
    <t>17.21.12</t>
  </si>
  <si>
    <t>17.22.17</t>
  </si>
  <si>
    <t>17.22.58</t>
  </si>
  <si>
    <t>17.23.58</t>
  </si>
  <si>
    <t>17.24.43</t>
  </si>
  <si>
    <t>17.26.12</t>
  </si>
  <si>
    <t>17.26.57</t>
  </si>
  <si>
    <t>17.28.33</t>
  </si>
  <si>
    <t>18.38.48</t>
  </si>
  <si>
    <t>8.31.20</t>
  </si>
  <si>
    <t>current on target dropper around 2AM</t>
  </si>
  <si>
    <t>20.10.04</t>
  </si>
  <si>
    <t>22.54.38</t>
  </si>
  <si>
    <t>22.58.57</t>
  </si>
  <si>
    <t>11.21.04</t>
  </si>
  <si>
    <t>20.13.05</t>
  </si>
  <si>
    <t>23.50.40</t>
  </si>
  <si>
    <t>12.03.20</t>
  </si>
  <si>
    <t>11.31.12</t>
  </si>
  <si>
    <t>19.16.23</t>
  </si>
  <si>
    <t>10.09.41</t>
  </si>
  <si>
    <t>11.05.09</t>
  </si>
  <si>
    <t>14.53.31</t>
  </si>
  <si>
    <t>Background run just before the scan, we are igniting the source</t>
  </si>
  <si>
    <t>16.01.56</t>
  </si>
  <si>
    <t>16.12.55</t>
  </si>
  <si>
    <t>17.31.39</t>
  </si>
  <si>
    <t>17.32.44</t>
  </si>
  <si>
    <t>16.59.16</t>
  </si>
  <si>
    <t>17.02.24</t>
  </si>
  <si>
    <t>17.04.05</t>
  </si>
  <si>
    <t>17.06.42</t>
  </si>
  <si>
    <t>17.08.34</t>
  </si>
  <si>
    <t>17.11.00</t>
  </si>
  <si>
    <t>17.11.59</t>
  </si>
  <si>
    <t>17.13.58</t>
  </si>
  <si>
    <t>17.16.18</t>
  </si>
  <si>
    <t>17.18.29</t>
  </si>
  <si>
    <t>17.19.43</t>
  </si>
  <si>
    <t>17.21.46</t>
  </si>
  <si>
    <t>17.23.08</t>
  </si>
  <si>
    <t>17.25.11</t>
  </si>
  <si>
    <t>17.25.49</t>
  </si>
  <si>
    <t>17.27.59</t>
  </si>
  <si>
    <t>17.29.39</t>
  </si>
  <si>
    <t>17.31.58</t>
  </si>
  <si>
    <t>17.33.04</t>
  </si>
  <si>
    <t>17.35.14</t>
  </si>
  <si>
    <t>17.36.09</t>
  </si>
  <si>
    <t>17.38.15</t>
  </si>
  <si>
    <t>17.39.37</t>
  </si>
  <si>
    <t>17.41.57</t>
  </si>
  <si>
    <t>17.42.56</t>
  </si>
  <si>
    <t>17.45.04</t>
  </si>
  <si>
    <t>17.45.31</t>
  </si>
  <si>
    <t>17.47.42</t>
  </si>
  <si>
    <t>17.48.27</t>
  </si>
  <si>
    <t>17.50.48</t>
  </si>
  <si>
    <t>17.51.42</t>
  </si>
  <si>
    <t>17.54.00</t>
  </si>
  <si>
    <t>17.55.00</t>
  </si>
  <si>
    <t>17.57.08</t>
  </si>
  <si>
    <t>17.57.58</t>
  </si>
  <si>
    <t>18.00.05</t>
  </si>
  <si>
    <t>18.00.47</t>
  </si>
  <si>
    <t>18.03.35</t>
  </si>
  <si>
    <t>18.04.16</t>
  </si>
  <si>
    <t>18.06.16</t>
  </si>
  <si>
    <t>18.06.50</t>
  </si>
  <si>
    <t>18.09.02</t>
  </si>
  <si>
    <t>18.11.30</t>
  </si>
  <si>
    <t>18.14.45</t>
  </si>
  <si>
    <t>18.16.15</t>
  </si>
  <si>
    <t>18.18.25</t>
  </si>
  <si>
    <t>18.19.38</t>
  </si>
  <si>
    <t>18.21.40</t>
  </si>
  <si>
    <t>18.22.23</t>
  </si>
  <si>
    <t>18.24.34</t>
  </si>
  <si>
    <t>18.25.14</t>
  </si>
  <si>
    <t>18.27.30</t>
  </si>
  <si>
    <t>18.28.40</t>
  </si>
  <si>
    <t>18.30.53</t>
  </si>
  <si>
    <t>18.31.43</t>
  </si>
  <si>
    <t>18.34.16</t>
  </si>
  <si>
    <t>20.05.09</t>
  </si>
  <si>
    <t>19.07.51</t>
  </si>
  <si>
    <t>20.12.19</t>
  </si>
  <si>
    <t>20.13.46</t>
  </si>
  <si>
    <t>20.15.35</t>
  </si>
  <si>
    <t>10.58.30</t>
  </si>
  <si>
    <t>55--&gt;38</t>
  </si>
  <si>
    <t>DAQ acquisition stopped after we dismounted the target</t>
  </si>
  <si>
    <t>IMP_LTA#3</t>
  </si>
  <si>
    <t>11.17.35</t>
  </si>
  <si>
    <t>11.19.42</t>
  </si>
  <si>
    <t>Run overwritten due to secondary electron suppression off</t>
  </si>
  <si>
    <t>11.20.12</t>
  </si>
  <si>
    <t>11.22.10</t>
  </si>
  <si>
    <t>11.24.35</t>
  </si>
  <si>
    <t>11.26.36</t>
  </si>
  <si>
    <t>11.27.13</t>
  </si>
  <si>
    <t>11.29.10</t>
  </si>
  <si>
    <t>11.29.35</t>
  </si>
  <si>
    <t>11.31.27</t>
  </si>
  <si>
    <t>11.31.59</t>
  </si>
  <si>
    <t>11.33.45</t>
  </si>
  <si>
    <t>11.34.30</t>
  </si>
  <si>
    <t>11.36.30</t>
  </si>
  <si>
    <t>11.37.29</t>
  </si>
  <si>
    <t>11.39.11</t>
  </si>
  <si>
    <t>11.39.36</t>
  </si>
  <si>
    <t>11.41.27</t>
  </si>
  <si>
    <t>11.41.50</t>
  </si>
  <si>
    <t>11.43.32</t>
  </si>
  <si>
    <t>11.43.51</t>
  </si>
  <si>
    <t>11.45.34</t>
  </si>
  <si>
    <t>11.46.29</t>
  </si>
  <si>
    <t>11.48.28</t>
  </si>
  <si>
    <t>11.48.55</t>
  </si>
  <si>
    <t>11.50.55</t>
  </si>
  <si>
    <t>11.51.50</t>
  </si>
  <si>
    <t>11.53.19</t>
  </si>
  <si>
    <t>11.53.44</t>
  </si>
  <si>
    <t>11.55.20</t>
  </si>
  <si>
    <t>11.56.10</t>
  </si>
  <si>
    <t>11.58.00</t>
  </si>
  <si>
    <t>11.59.04</t>
  </si>
  <si>
    <t>12.00.42</t>
  </si>
  <si>
    <t>12.01.34</t>
  </si>
  <si>
    <t>12.03.10</t>
  </si>
  <si>
    <t>12.03.53</t>
  </si>
  <si>
    <t>12.05.41</t>
  </si>
  <si>
    <t>12.06.28</t>
  </si>
  <si>
    <t>12.08.08</t>
  </si>
  <si>
    <t>12.09.10</t>
  </si>
  <si>
    <t>12.10.59</t>
  </si>
  <si>
    <t>12.12.29</t>
  </si>
  <si>
    <t>12.14.17</t>
  </si>
  <si>
    <t>13.07.39</t>
  </si>
  <si>
    <t>14.54.40</t>
  </si>
  <si>
    <t>15.14.20</t>
  </si>
  <si>
    <t>15.31.55</t>
  </si>
  <si>
    <t>15.42.30</t>
  </si>
  <si>
    <t>16.06.19</t>
  </si>
  <si>
    <t>16.09.22</t>
  </si>
  <si>
    <t>16.30.29</t>
  </si>
  <si>
    <t>16.31.53</t>
  </si>
  <si>
    <t>16.45.06</t>
  </si>
  <si>
    <t>16.45.58</t>
  </si>
  <si>
    <t>17.02.46</t>
  </si>
  <si>
    <t>17.04.09</t>
  </si>
  <si>
    <t>17.21.55</t>
  </si>
  <si>
    <t>17.23.53</t>
  </si>
  <si>
    <t>17.42.28</t>
  </si>
  <si>
    <t>17.44.50</t>
  </si>
  <si>
    <t>17.58.55</t>
  </si>
  <si>
    <t>18.01.03</t>
  </si>
  <si>
    <t>18.09.36</t>
  </si>
  <si>
    <t>18.12.00</t>
  </si>
  <si>
    <t>18.21.47</t>
  </si>
  <si>
    <t>18.26.06</t>
  </si>
  <si>
    <t>18.37.31</t>
  </si>
  <si>
    <t>18.41.32</t>
  </si>
  <si>
    <t>18.52.35</t>
  </si>
  <si>
    <t>18.55.16</t>
  </si>
  <si>
    <t>19.05.18</t>
  </si>
  <si>
    <t>19.16.03</t>
  </si>
  <si>
    <t>9.28.38</t>
  </si>
  <si>
    <t>119--&gt;116</t>
  </si>
  <si>
    <t>Total deposited charge on IMP_LTA#3 up to now: 7.60C</t>
  </si>
  <si>
    <t>9.52.49</t>
  </si>
  <si>
    <t>9.55.06</t>
  </si>
  <si>
    <t>9.56.03</t>
  </si>
  <si>
    <t>9.57.38</t>
  </si>
  <si>
    <t>10.32.27</t>
  </si>
  <si>
    <t>10.34.39</t>
  </si>
  <si>
    <t>Run overwritten due to voltage blackout</t>
  </si>
  <si>
    <t>10.41.54</t>
  </si>
  <si>
    <t>10.44.38</t>
  </si>
  <si>
    <t>10.45.33</t>
  </si>
  <si>
    <t>10.47.30</t>
  </si>
  <si>
    <t>10.48.10</t>
  </si>
  <si>
    <t>10.49.48</t>
  </si>
  <si>
    <t>10.50.33</t>
  </si>
  <si>
    <t>10.52.01</t>
  </si>
  <si>
    <t>10.52.50</t>
  </si>
  <si>
    <t>10.54.24</t>
  </si>
  <si>
    <t>10.55.03</t>
  </si>
  <si>
    <t>10.56.32</t>
  </si>
  <si>
    <t>10.56.59</t>
  </si>
  <si>
    <t>10.58.47</t>
  </si>
  <si>
    <t>11.00.12</t>
  </si>
  <si>
    <t>11.00.38</t>
  </si>
  <si>
    <t>11.02.20</t>
  </si>
  <si>
    <t>11.03.08</t>
  </si>
  <si>
    <t>11.04.44</t>
  </si>
  <si>
    <t>11.06.43</t>
  </si>
  <si>
    <t>11.08.13</t>
  </si>
  <si>
    <t>11.08.39</t>
  </si>
  <si>
    <t>11.10.26</t>
  </si>
  <si>
    <t>11.10.51</t>
  </si>
  <si>
    <t>11.12.25</t>
  </si>
  <si>
    <t>11.13.33</t>
  </si>
  <si>
    <t>11.15.15</t>
  </si>
  <si>
    <t>11.15.50</t>
  </si>
  <si>
    <t>11.17.27</t>
  </si>
  <si>
    <t>11.18.12</t>
  </si>
  <si>
    <t>11.19.44</t>
  </si>
  <si>
    <t>11.21.26</t>
  </si>
  <si>
    <t>11.23.35</t>
  </si>
  <si>
    <t>11.24.42</t>
  </si>
  <si>
    <t>11.26.11</t>
  </si>
  <si>
    <t>11.27.07</t>
  </si>
  <si>
    <t>11.30.51</t>
  </si>
  <si>
    <t>11.31.52</t>
  </si>
  <si>
    <t>11.33.35</t>
  </si>
  <si>
    <t>11.51.26</t>
  </si>
  <si>
    <t>12.03.48</t>
  </si>
  <si>
    <t>12.06.13</t>
  </si>
  <si>
    <t>12.18.37</t>
  </si>
  <si>
    <t>12.26.43</t>
  </si>
  <si>
    <t>12.37.21</t>
  </si>
  <si>
    <t>12.55.21</t>
  </si>
  <si>
    <t>15.01.31</t>
  </si>
  <si>
    <t>15.06.05</t>
  </si>
  <si>
    <t>15.18.03</t>
  </si>
  <si>
    <t>17.55.39</t>
  </si>
  <si>
    <t>9.28.52</t>
  </si>
  <si>
    <t>10.00.30</t>
  </si>
  <si>
    <t>10.01.54</t>
  </si>
  <si>
    <t>10.03.10</t>
  </si>
  <si>
    <t>10.04.35</t>
  </si>
  <si>
    <t>10.05.05</t>
  </si>
  <si>
    <t>10.06.39</t>
  </si>
  <si>
    <t>10.07.10</t>
  </si>
  <si>
    <t>10.09.02</t>
  </si>
  <si>
    <t>10.10.27</t>
  </si>
  <si>
    <t>10.11.51</t>
  </si>
  <si>
    <t>10.12.50</t>
  </si>
  <si>
    <t>10.14.13</t>
  </si>
  <si>
    <t>10.14.38</t>
  </si>
  <si>
    <t>10.16.03</t>
  </si>
  <si>
    <t>10.16.27</t>
  </si>
  <si>
    <t>10.19.49</t>
  </si>
  <si>
    <t>10.20.54</t>
  </si>
  <si>
    <t>10.23.31</t>
  </si>
  <si>
    <t>10.23.59</t>
  </si>
  <si>
    <t>10.25.25</t>
  </si>
  <si>
    <t>10.25.57</t>
  </si>
  <si>
    <t>10.27.27</t>
  </si>
  <si>
    <t>10.27.55</t>
  </si>
  <si>
    <t>10.29.29</t>
  </si>
  <si>
    <t>10.29.55</t>
  </si>
  <si>
    <t>10.31.19</t>
  </si>
  <si>
    <t>10.31.46</t>
  </si>
  <si>
    <t>10.33.13</t>
  </si>
  <si>
    <t>10.33.57</t>
  </si>
  <si>
    <t>10.35.31</t>
  </si>
  <si>
    <t>10.36.07</t>
  </si>
  <si>
    <t>10.37.32</t>
  </si>
  <si>
    <t>10.38.14</t>
  </si>
  <si>
    <t>10.39.42</t>
  </si>
  <si>
    <t>10.40.13</t>
  </si>
  <si>
    <t>10.41.41</t>
  </si>
  <si>
    <t>10.42.48</t>
  </si>
  <si>
    <t>10.44.14</t>
  </si>
  <si>
    <t>10.44.59</t>
  </si>
  <si>
    <t>10.46.43</t>
  </si>
  <si>
    <t>10.47.50</t>
  </si>
  <si>
    <t>10.49.44</t>
  </si>
  <si>
    <t>10.50.39</t>
  </si>
  <si>
    <t>10.52.25</t>
  </si>
  <si>
    <t>11.16.45</t>
  </si>
  <si>
    <t>11.31.56</t>
  </si>
  <si>
    <t>11.36.13</t>
  </si>
  <si>
    <t>11.40.13</t>
  </si>
  <si>
    <t>Repeating this run since beam oscillate a lot both on target and FC0</t>
  </si>
  <si>
    <t>11.55.46</t>
  </si>
  <si>
    <t>14.01.08</t>
  </si>
  <si>
    <t>9.09.00</t>
  </si>
  <si>
    <t>TV found at 0. No evident reason for this. From the accelerator log this happen after 5:56 AM</t>
  </si>
  <si>
    <t>10.02.05</t>
  </si>
  <si>
    <t>10.07.31</t>
  </si>
  <si>
    <t>10.08.31</t>
  </si>
  <si>
    <t>10.11.11</t>
  </si>
  <si>
    <t>10.12.01</t>
  </si>
  <si>
    <t>10.14.24</t>
  </si>
  <si>
    <t>10.15.25</t>
  </si>
  <si>
    <t>10.16.46</t>
  </si>
  <si>
    <t>10.17.30</t>
  </si>
  <si>
    <t>10.18.50</t>
  </si>
  <si>
    <t>10.19.23</t>
  </si>
  <si>
    <t>10.21.00</t>
  </si>
  <si>
    <t>10.21.46</t>
  </si>
  <si>
    <t>10.23.01</t>
  </si>
  <si>
    <t>10.23.40</t>
  </si>
  <si>
    <t>10.26.40</t>
  </si>
  <si>
    <t>10.27.53</t>
  </si>
  <si>
    <t>10.28.25</t>
  </si>
  <si>
    <t>10.29.40</t>
  </si>
  <si>
    <t>10.30.23</t>
  </si>
  <si>
    <t>10.31.23</t>
  </si>
  <si>
    <t>10.31.56</t>
  </si>
  <si>
    <t>10.33.19</t>
  </si>
  <si>
    <t>19F(p,g)_OFFLINE Riccardo</t>
  </si>
  <si>
    <t>1.4-2.1 MeV gated spectra</t>
  </si>
  <si>
    <t>energy</t>
  </si>
  <si>
    <t>counts</t>
  </si>
  <si>
    <t>counts_error</t>
  </si>
  <si>
    <t>yield (p,g)</t>
  </si>
  <si>
    <t>yield_error</t>
  </si>
  <si>
    <t>size</t>
  </si>
  <si>
    <t>yield (p,a)</t>
  </si>
  <si>
    <t>type</t>
  </si>
  <si>
    <t>IMP_LTA#4</t>
  </si>
  <si>
    <t>13.5-16.5</t>
  </si>
  <si>
    <t>13.0-16.0</t>
  </si>
  <si>
    <t>12.5-15.5</t>
  </si>
  <si>
    <t>12.0-15.0</t>
  </si>
  <si>
    <t>11.5-14.5</t>
  </si>
  <si>
    <t>11.0-14.0</t>
  </si>
  <si>
    <t>10.5-13.5</t>
  </si>
  <si>
    <t>10.0-13.0</t>
  </si>
  <si>
    <t>9.5-12.5</t>
  </si>
  <si>
    <t>9.0-12.0</t>
  </si>
  <si>
    <t>8.5-11.5</t>
  </si>
  <si>
    <t>10.34.00</t>
  </si>
  <si>
    <t>10.35.02</t>
  </si>
  <si>
    <t>10.35.40</t>
  </si>
  <si>
    <t>10.36.44</t>
  </si>
  <si>
    <t>10.37.23</t>
  </si>
  <si>
    <t>10.38.23</t>
  </si>
  <si>
    <t>10.38.55</t>
  </si>
  <si>
    <t>10.39.57</t>
  </si>
  <si>
    <t>10.40.29</t>
  </si>
  <si>
    <t>10.41.38</t>
  </si>
  <si>
    <t>10.42.12</t>
  </si>
  <si>
    <t>10.43.15</t>
  </si>
  <si>
    <t>10.44.00</t>
  </si>
  <si>
    <t>10.45.11</t>
  </si>
  <si>
    <t>10.45.40</t>
  </si>
  <si>
    <t>10.47.21</t>
  </si>
  <si>
    <t>10.48.24</t>
  </si>
  <si>
    <t>10.49.13</t>
  </si>
  <si>
    <t>10.51.47</t>
  </si>
  <si>
    <t>11.56.11</t>
  </si>
  <si>
    <t>13.48.00</t>
  </si>
  <si>
    <t>14.04.37</t>
  </si>
  <si>
    <t>16.55.23</t>
  </si>
  <si>
    <t>17.09.37</t>
  </si>
  <si>
    <t>9.16.58</t>
  </si>
  <si>
    <t>Ion source switched off at 4 AM.</t>
  </si>
  <si>
    <t>9.25.21</t>
  </si>
  <si>
    <t>9.27.04</t>
  </si>
  <si>
    <t>9.28.17</t>
  </si>
  <si>
    <t>9.30.16</t>
  </si>
  <si>
    <t>9.31.04</t>
  </si>
  <si>
    <t>9.32.30</t>
  </si>
  <si>
    <t>9.33.08</t>
  </si>
  <si>
    <t>9.34.25</t>
  </si>
  <si>
    <t>9.35.30</t>
  </si>
  <si>
    <t>9.36.34</t>
  </si>
  <si>
    <t>9.37.06</t>
  </si>
  <si>
    <t>9.38.30</t>
  </si>
  <si>
    <t>9.38.55</t>
  </si>
  <si>
    <t>9.39.52</t>
  </si>
  <si>
    <t>9.42.23</t>
  </si>
  <si>
    <t>9.43.24</t>
  </si>
  <si>
    <t>9.43.49</t>
  </si>
  <si>
    <t>9.44.54</t>
  </si>
  <si>
    <t>9.45.33</t>
  </si>
  <si>
    <t>9.46.37</t>
  </si>
  <si>
    <t>9.46.57</t>
  </si>
  <si>
    <t>9.48.06</t>
  </si>
  <si>
    <t>9.48.28</t>
  </si>
  <si>
    <t>9.49.23</t>
  </si>
  <si>
    <t>9.49.40</t>
  </si>
  <si>
    <t>9.50.42</t>
  </si>
  <si>
    <t>9.51.00</t>
  </si>
  <si>
    <t>9.52.08</t>
  </si>
  <si>
    <t>9.52.35</t>
  </si>
  <si>
    <t>9.53.57</t>
  </si>
  <si>
    <t>9.54.29</t>
  </si>
  <si>
    <t>9.55.27</t>
  </si>
  <si>
    <t>9.57.01</t>
  </si>
  <si>
    <t>9.57.28</t>
  </si>
  <si>
    <t>9.58.29</t>
  </si>
  <si>
    <t>9.58.53</t>
  </si>
  <si>
    <t>9.59.49</t>
  </si>
  <si>
    <t>10.00.10</t>
  </si>
  <si>
    <t>10.01.20</t>
  </si>
  <si>
    <t>10.01.39</t>
  </si>
  <si>
    <t>10.02.47</t>
  </si>
  <si>
    <t>10.03.22</t>
  </si>
  <si>
    <t>10.04.22</t>
  </si>
  <si>
    <t>Accumulated Charge Tot 29,49 C</t>
  </si>
  <si>
    <t>11.20.13</t>
  </si>
  <si>
    <t>11.21.49</t>
  </si>
  <si>
    <t>11.22.27</t>
  </si>
  <si>
    <t>11.23.47</t>
  </si>
  <si>
    <t>11.24.20</t>
  </si>
  <si>
    <t>11.26.28</t>
  </si>
  <si>
    <t>11.26.52</t>
  </si>
  <si>
    <t>11.28.50</t>
  </si>
  <si>
    <t>11.29.08</t>
  </si>
  <si>
    <t>11.30.34</t>
  </si>
  <si>
    <t>11.31.00</t>
  </si>
  <si>
    <t>11.32.31</t>
  </si>
  <si>
    <t>11.33.25</t>
  </si>
  <si>
    <t>11.34.08</t>
  </si>
  <si>
    <t>11.35.05</t>
  </si>
  <si>
    <t>11.35.35</t>
  </si>
  <si>
    <t>11.36.35</t>
  </si>
  <si>
    <t>11.37.12</t>
  </si>
  <si>
    <t>11.38.21</t>
  </si>
  <si>
    <t>11.39.13</t>
  </si>
  <si>
    <t>11.40.39</t>
  </si>
  <si>
    <t>11.41.40</t>
  </si>
  <si>
    <t>11.42.13</t>
  </si>
  <si>
    <t>11.43.09</t>
  </si>
  <si>
    <t>11.43.38</t>
  </si>
  <si>
    <t>11.44.31</t>
  </si>
  <si>
    <t>11.45.02</t>
  </si>
  <si>
    <t>11.46.00</t>
  </si>
  <si>
    <t>11.46.48</t>
  </si>
  <si>
    <t>11.47.56</t>
  </si>
  <si>
    <t>11.48.57</t>
  </si>
  <si>
    <t>11.49.53</t>
  </si>
  <si>
    <t>11.50.30</t>
  </si>
  <si>
    <t>11.51.31</t>
  </si>
  <si>
    <t>11.52.06</t>
  </si>
  <si>
    <t>11.53.33</t>
  </si>
  <si>
    <t>11.54.22</t>
  </si>
  <si>
    <t>11.55.22</t>
  </si>
  <si>
    <t>11.56.02</t>
  </si>
  <si>
    <t>11.56.59</t>
  </si>
  <si>
    <t>11.57.39</t>
  </si>
  <si>
    <t>11.58.41</t>
  </si>
  <si>
    <t>12.16.42</t>
  </si>
  <si>
    <t>14.19.13</t>
  </si>
  <si>
    <t>128-&gt;134</t>
  </si>
  <si>
    <t>14.27.22</t>
  </si>
  <si>
    <t>14.42.39</t>
  </si>
  <si>
    <t>14.45.40</t>
  </si>
  <si>
    <t>15.01.46</t>
  </si>
  <si>
    <t>15.02.40</t>
  </si>
  <si>
    <t>15.17.15</t>
  </si>
  <si>
    <t>15.18.11</t>
  </si>
  <si>
    <t>15.33.28</t>
  </si>
  <si>
    <t>15.34.23</t>
  </si>
  <si>
    <t>15.48.17</t>
  </si>
  <si>
    <t>15.49.46</t>
  </si>
  <si>
    <t>16.05.16</t>
  </si>
  <si>
    <t>16.05.59</t>
  </si>
  <si>
    <t>16.21.26</t>
  </si>
  <si>
    <t>16.22.08</t>
  </si>
  <si>
    <t>16.37.13</t>
  </si>
  <si>
    <t>16.39.02</t>
  </si>
  <si>
    <t>16.54.14</t>
  </si>
  <si>
    <t>16.56.36</t>
  </si>
  <si>
    <t>17.11.58</t>
  </si>
  <si>
    <t>17.12.46</t>
  </si>
  <si>
    <t>17.29.12</t>
  </si>
  <si>
    <t>17.31.05</t>
  </si>
  <si>
    <t>17.46.31</t>
  </si>
  <si>
    <t>17.47.30</t>
  </si>
  <si>
    <t>18.02.02</t>
  </si>
  <si>
    <t>18.02.33</t>
  </si>
  <si>
    <t>18.17.49</t>
  </si>
  <si>
    <t>18.18.42</t>
  </si>
  <si>
    <t>18.28.46</t>
  </si>
  <si>
    <t>18.29.54</t>
  </si>
  <si>
    <t>18.38.39</t>
  </si>
  <si>
    <t>18.40.29</t>
  </si>
  <si>
    <t>18.53.35</t>
  </si>
  <si>
    <t>18.54.06</t>
  </si>
  <si>
    <t>19.05.08</t>
  </si>
  <si>
    <t>19.15.20</t>
  </si>
  <si>
    <t>9.21.10</t>
  </si>
  <si>
    <t>9.35.03</t>
  </si>
  <si>
    <t>9.36.22</t>
  </si>
  <si>
    <t>9.36.58</t>
  </si>
  <si>
    <t>9.37.58</t>
  </si>
  <si>
    <t>9.38.35</t>
  </si>
  <si>
    <t>9.39.49</t>
  </si>
  <si>
    <t>9.40.16</t>
  </si>
  <si>
    <t>9.41.25</t>
  </si>
  <si>
    <t>9.41.48</t>
  </si>
  <si>
    <t>9.42.54</t>
  </si>
  <si>
    <t>9.43.21</t>
  </si>
  <si>
    <t>9.44.30</t>
  </si>
  <si>
    <t>9.44.52</t>
  </si>
  <si>
    <t>9.46.05</t>
  </si>
  <si>
    <t>9.46.33</t>
  </si>
  <si>
    <t>9.47.58</t>
  </si>
  <si>
    <t>9.49.20</t>
  </si>
  <si>
    <t>9.49.42</t>
  </si>
  <si>
    <t>9.50.38</t>
  </si>
  <si>
    <t>9.51.11</t>
  </si>
  <si>
    <t>9.52.28</t>
  </si>
  <si>
    <t>9.52.38</t>
  </si>
  <si>
    <t>9.54.49</t>
  </si>
  <si>
    <t>9.55.55</t>
  </si>
  <si>
    <t>9.56.14</t>
  </si>
  <si>
    <t>9.57.20</t>
  </si>
  <si>
    <t>9.57.43</t>
  </si>
  <si>
    <t>9.59.27</t>
  </si>
  <si>
    <t>10.00.09</t>
  </si>
  <si>
    <t>10.01.11</t>
  </si>
  <si>
    <t>10.01.41</t>
  </si>
  <si>
    <t>10.03.24</t>
  </si>
  <si>
    <t>10.04.30</t>
  </si>
  <si>
    <t>10.05.02</t>
  </si>
  <si>
    <t>10.06.11</t>
  </si>
  <si>
    <t>10.06.34</t>
  </si>
  <si>
    <t>10.07.49</t>
  </si>
  <si>
    <t>10.08.30</t>
  </si>
  <si>
    <t>10.09.18</t>
  </si>
  <si>
    <t>10.10.03</t>
  </si>
  <si>
    <t>10.11.09</t>
  </si>
  <si>
    <t>10.24.14</t>
  </si>
  <si>
    <t>10.56.42</t>
  </si>
  <si>
    <t>10.57.22</t>
  </si>
  <si>
    <t>11.12.33</t>
  </si>
  <si>
    <t>11.13.06</t>
  </si>
  <si>
    <t>11.29.07</t>
  </si>
  <si>
    <t>11.29.44</t>
  </si>
  <si>
    <t>11.44.13</t>
  </si>
  <si>
    <t>11.44.59</t>
  </si>
  <si>
    <t>12.03.54</t>
  </si>
  <si>
    <t>12.05.37</t>
  </si>
  <si>
    <t>12.22.28</t>
  </si>
  <si>
    <t>12.30.59</t>
  </si>
  <si>
    <t>14.18.34</t>
  </si>
  <si>
    <t>14.23.56</t>
  </si>
  <si>
    <t>14.41.29</t>
  </si>
  <si>
    <t>14.42.26</t>
  </si>
  <si>
    <t>14.59.19</t>
  </si>
  <si>
    <t>15.00.13</t>
  </si>
  <si>
    <t>15.23.38</t>
  </si>
  <si>
    <t>15.24.51</t>
  </si>
  <si>
    <t>15.54.46</t>
  </si>
  <si>
    <t>15.55.30</t>
  </si>
  <si>
    <t>16.37.07</t>
  </si>
  <si>
    <t>16.40.29</t>
  </si>
  <si>
    <t>17.13.48</t>
  </si>
  <si>
    <t>17.16.12</t>
  </si>
  <si>
    <t>17.32.49</t>
  </si>
  <si>
    <t>17.33.17</t>
  </si>
  <si>
    <t>17.54.07</t>
  </si>
  <si>
    <t>17.57.17</t>
  </si>
  <si>
    <t>18.34.34</t>
  </si>
  <si>
    <t>18.36.59</t>
  </si>
  <si>
    <t>18.46.28</t>
  </si>
  <si>
    <t>18.55.03</t>
  </si>
  <si>
    <t>9.36.21</t>
  </si>
  <si>
    <t>9.58.03</t>
  </si>
  <si>
    <t>9.59.10</t>
  </si>
  <si>
    <t>9.59.45</t>
  </si>
  <si>
    <t>10.00.45</t>
  </si>
  <si>
    <t>10.01.12</t>
  </si>
  <si>
    <t>10.02.21</t>
  </si>
  <si>
    <t>10.02.48</t>
  </si>
  <si>
    <t>10.03.46</t>
  </si>
  <si>
    <t>10.04.10</t>
  </si>
  <si>
    <t>10.05.15</t>
  </si>
  <si>
    <t>10.07.12</t>
  </si>
  <si>
    <t>10.08.04</t>
  </si>
  <si>
    <t>10.08.58</t>
  </si>
  <si>
    <t>10.14.53</t>
  </si>
  <si>
    <t>10.15.54</t>
  </si>
  <si>
    <t>10.16.13</t>
  </si>
  <si>
    <t>10.17.12</t>
  </si>
  <si>
    <t>10.17.38</t>
  </si>
  <si>
    <t>10.18.38</t>
  </si>
  <si>
    <t>10.18.57</t>
  </si>
  <si>
    <t>10.19.57</t>
  </si>
  <si>
    <t>10.20.13</t>
  </si>
  <si>
    <t>10.21.11</t>
  </si>
  <si>
    <t>10.21.31</t>
  </si>
  <si>
    <t>10.22.30</t>
  </si>
  <si>
    <t>10.22.50</t>
  </si>
  <si>
    <t>10.23.52</t>
  </si>
  <si>
    <t>10.24.13</t>
  </si>
  <si>
    <t>10.25.11</t>
  </si>
  <si>
    <t>10.25.31</t>
  </si>
  <si>
    <t>10.26.34</t>
  </si>
  <si>
    <t>10.26.55</t>
  </si>
  <si>
    <t>10.27.54</t>
  </si>
  <si>
    <t>10.28.15</t>
  </si>
  <si>
    <t>10.29.14</t>
  </si>
  <si>
    <t>10.29.37</t>
  </si>
  <si>
    <t>10.30.36</t>
  </si>
  <si>
    <t>10.30.58</t>
  </si>
  <si>
    <t>10.31.51</t>
  </si>
  <si>
    <t>10.32.19</t>
  </si>
  <si>
    <t>10.33.16</t>
  </si>
  <si>
    <t>10.33.41</t>
  </si>
  <si>
    <t>12.06.14</t>
  </si>
  <si>
    <t>14.16.32</t>
  </si>
  <si>
    <t>134,7-&gt;151</t>
  </si>
  <si>
    <t>14.29.34</t>
  </si>
  <si>
    <t>14.54.21</t>
  </si>
  <si>
    <t>14.58.35</t>
  </si>
  <si>
    <t>8.58.51</t>
  </si>
  <si>
    <t>151-&gt;186</t>
  </si>
  <si>
    <t>9.19.04</t>
  </si>
  <si>
    <t>9.20.11</t>
  </si>
  <si>
    <t>9.20.30</t>
  </si>
  <si>
    <t>9.21.36</t>
  </si>
  <si>
    <t>9.22.05</t>
  </si>
  <si>
    <t>9.23.04</t>
  </si>
  <si>
    <t>9.23.30</t>
  </si>
  <si>
    <t>9.24.39</t>
  </si>
  <si>
    <t>9.25.06</t>
  </si>
  <si>
    <t>9.26.14</t>
  </si>
  <si>
    <t>9.26.36</t>
  </si>
  <si>
    <t>9.27.37</t>
  </si>
  <si>
    <t>9.27.53</t>
  </si>
  <si>
    <t>9.29.02</t>
  </si>
  <si>
    <t>9.29.21</t>
  </si>
  <si>
    <t>9.30.29</t>
  </si>
  <si>
    <t>9.30.56</t>
  </si>
  <si>
    <t>9.32.00</t>
  </si>
  <si>
    <t>9.32.27</t>
  </si>
  <si>
    <t>9.33.41</t>
  </si>
  <si>
    <t>9.33.58</t>
  </si>
  <si>
    <t>9.36.20</t>
  </si>
  <si>
    <t>9.36.41</t>
  </si>
  <si>
    <t>9.37.43</t>
  </si>
  <si>
    <t>9.38.06</t>
  </si>
  <si>
    <t>9.39.09</t>
  </si>
  <si>
    <t>9.39.26</t>
  </si>
  <si>
    <t>9.40.32</t>
  </si>
  <si>
    <t>9.41.19</t>
  </si>
  <si>
    <t>9.42.19</t>
  </si>
  <si>
    <t>9.42.42</t>
  </si>
  <si>
    <t>9.43.55</t>
  </si>
  <si>
    <t>9.44.14</t>
  </si>
  <si>
    <t>9.45.32</t>
  </si>
  <si>
    <t>9.45.55</t>
  </si>
  <si>
    <t>9.47.21</t>
  </si>
  <si>
    <t>9.48.22</t>
  </si>
  <si>
    <t>9.48.54</t>
  </si>
  <si>
    <t>9.50.15</t>
  </si>
  <si>
    <t>9.51.13</t>
  </si>
  <si>
    <t>Tot accumulated charge = 32,11 C</t>
  </si>
  <si>
    <t>11.03.29</t>
  </si>
  <si>
    <t>11.05.57</t>
  </si>
  <si>
    <t>4280-4320</t>
  </si>
  <si>
    <t>counts from GeBo, ROI corresponding to 6,1 MeV gamma: SES OFF</t>
  </si>
  <si>
    <t>11.06.56</t>
  </si>
  <si>
    <t>11.10.20</t>
  </si>
  <si>
    <t>counts from GeBo ROI corresponding to 6,1 MeV gamma: SES OFF</t>
  </si>
  <si>
    <t>11.11.28</t>
  </si>
  <si>
    <t>11.51.18</t>
  </si>
  <si>
    <t>4710-4750</t>
  </si>
  <si>
    <t>counts from GeBo ROI corresponding to 6,7 MeV gamma. GeBo in close geometry</t>
  </si>
  <si>
    <t>11.58.56</t>
  </si>
  <si>
    <t>13.11.12</t>
  </si>
  <si>
    <t>counts from GeBo ROI corresponding to 6,7 MeV gamma. GeBo in nominal position "8 cm" w.r.t. close geometry</t>
  </si>
  <si>
    <t>13.16.28</t>
  </si>
  <si>
    <t>14.48.10</t>
  </si>
  <si>
    <t>counts from GeBo ROI corresponding to 6,7 MeV gamma. GeBo in nominal position " 15,2 cm" w.r.t. close geometry</t>
  </si>
  <si>
    <t>15.35.45</t>
  </si>
  <si>
    <t>15.41.26</t>
  </si>
  <si>
    <t>1220-1250</t>
  </si>
  <si>
    <t>counts from GeBo, ROI corresponding to 1,778MeV gamma</t>
  </si>
  <si>
    <t>15.42.25</t>
  </si>
  <si>
    <t>15.48.05</t>
  </si>
  <si>
    <t>counts from GeBo, ROI corresponding to 1,778MeV gamma in the middle of this run we noticed some strange flctuation of the current in the fug...maybe the vacuum is not good neough we wait some minutes....</t>
  </si>
  <si>
    <t>15.59.52</t>
  </si>
  <si>
    <t>16.03.02</t>
  </si>
  <si>
    <t>16.03.55</t>
  </si>
  <si>
    <t>16.07.05</t>
  </si>
  <si>
    <t>16.07.51</t>
  </si>
  <si>
    <t>16.11.02</t>
  </si>
  <si>
    <t>16.11.57</t>
  </si>
  <si>
    <t>19.05.49</t>
  </si>
  <si>
    <t>141,06-&gt;158</t>
  </si>
  <si>
    <t>7030-7070</t>
  </si>
  <si>
    <t>counts from GeBo, ROI corresponding to 10MeV gamma. GeBo in close geometry</t>
  </si>
  <si>
    <t>19.12.53</t>
  </si>
  <si>
    <t>9.00.43</t>
  </si>
  <si>
    <t>158,25-&gt;178</t>
  </si>
  <si>
    <t>counts from GeBo, ROI corresponding to 10MeV gamma. GeBo in "15.2 cm" from close geometry</t>
  </si>
  <si>
    <t>9.13.50</t>
  </si>
  <si>
    <t>Scan_pg</t>
  </si>
  <si>
    <t>15.00.26</t>
  </si>
  <si>
    <t>177,22-&gt;184</t>
  </si>
  <si>
    <t>counts from GeBo, ROI corresponding to 10MeV gamma. GeBo in "8 cm" from close geometry</t>
  </si>
  <si>
    <t>15.52.52</t>
  </si>
  <si>
    <t>15.55.43</t>
  </si>
  <si>
    <t>BGO in close geometry. DT 3-4 % so we decided to stop it and reduce the current using the PV.</t>
  </si>
  <si>
    <t>15.56.51</t>
  </si>
  <si>
    <t>16.27.14</t>
  </si>
  <si>
    <t>16.28.54</t>
  </si>
  <si>
    <t>17.07.15</t>
  </si>
  <si>
    <t>17.08.05</t>
  </si>
  <si>
    <t>17.38.21</t>
  </si>
  <si>
    <t>beam on target at the start - FC in - beam back on target....</t>
  </si>
  <si>
    <t>18.04.39</t>
  </si>
  <si>
    <t>9.11.32</t>
  </si>
  <si>
    <t>156,57 - 210</t>
  </si>
  <si>
    <t>9.29.55</t>
  </si>
  <si>
    <t>9.31.29</t>
  </si>
  <si>
    <t>BGO in close</t>
  </si>
  <si>
    <t>9.32.12</t>
  </si>
  <si>
    <t>9.33.04</t>
  </si>
  <si>
    <t>9.33.26</t>
  </si>
  <si>
    <t>9.34.33</t>
  </si>
  <si>
    <t>9.35.01</t>
  </si>
  <si>
    <t>9.36.31</t>
  </si>
  <si>
    <t>9.37.02</t>
  </si>
  <si>
    <t>9.40.46</t>
  </si>
  <si>
    <t>9.41.11</t>
  </si>
  <si>
    <t>9.43.08</t>
  </si>
  <si>
    <t>9.46.25</t>
  </si>
  <si>
    <t>9.46.49</t>
  </si>
  <si>
    <t>9.48.59</t>
  </si>
  <si>
    <t>9.49.38</t>
  </si>
  <si>
    <t>9.50.45</t>
  </si>
  <si>
    <t>9.51.07</t>
  </si>
  <si>
    <t>9.52.33</t>
  </si>
  <si>
    <t>9.53.05</t>
  </si>
  <si>
    <t>9.53.59</t>
  </si>
  <si>
    <t>9.54.51</t>
  </si>
  <si>
    <t>9.55.51</t>
  </si>
  <si>
    <t>9.56.25</t>
  </si>
  <si>
    <t>9.57.21</t>
  </si>
  <si>
    <t>9.57.42</t>
  </si>
  <si>
    <t>9.58.55</t>
  </si>
  <si>
    <t>9.59.16</t>
  </si>
  <si>
    <t>10.00.25</t>
  </si>
  <si>
    <t>10.00.51</t>
  </si>
  <si>
    <t>10.01.44</t>
  </si>
  <si>
    <t>10.02.09</t>
  </si>
  <si>
    <t>10.04.11</t>
  </si>
  <si>
    <t>10.05.20</t>
  </si>
  <si>
    <t>10.05.52</t>
  </si>
  <si>
    <t>10.07.55</t>
  </si>
  <si>
    <t>10.08.53</t>
  </si>
  <si>
    <t>10.09.12</t>
  </si>
  <si>
    <t>10.10.48</t>
  </si>
  <si>
    <t>10.11.12</t>
  </si>
  <si>
    <t>10.12.12</t>
  </si>
  <si>
    <t>10.13.06</t>
  </si>
  <si>
    <t>10.14.09</t>
  </si>
  <si>
    <t>10.14.28</t>
  </si>
  <si>
    <t>10.15.32</t>
  </si>
  <si>
    <t>10.16.04</t>
  </si>
  <si>
    <t>10.17.03</t>
  </si>
  <si>
    <t>GeBo in close. Test run for tuning</t>
  </si>
  <si>
    <t>10.43.28</t>
  </si>
  <si>
    <t>9.33.36</t>
  </si>
  <si>
    <t>21,71--&gt; current to 56.11 in ther morning</t>
  </si>
  <si>
    <t>10.01.09</t>
  </si>
  <si>
    <t>10.02.10</t>
  </si>
  <si>
    <t>BGO in close geometry</t>
  </si>
  <si>
    <t>10.03.20</t>
  </si>
  <si>
    <t>10.04.28</t>
  </si>
  <si>
    <t>10.05.04</t>
  </si>
  <si>
    <t>10.08.33</t>
  </si>
  <si>
    <t>10.09.42</t>
  </si>
  <si>
    <t>10.10.34</t>
  </si>
  <si>
    <t>10.11.29</t>
  </si>
  <si>
    <t>10.11.55</t>
  </si>
  <si>
    <t>10.13.00</t>
  </si>
  <si>
    <t>10.13.46</t>
  </si>
  <si>
    <t>10.15.24</t>
  </si>
  <si>
    <t>10.40.08</t>
  </si>
  <si>
    <t>10.43.12</t>
  </si>
  <si>
    <t>10.44.07</t>
  </si>
  <si>
    <t>10.45.01</t>
  </si>
  <si>
    <t>10.45.31</t>
  </si>
  <si>
    <t>10.46.31</t>
  </si>
  <si>
    <t>10.47.31</t>
  </si>
  <si>
    <t>10.48.31</t>
  </si>
  <si>
    <t>10.49.31</t>
  </si>
  <si>
    <t>10.50.36</t>
  </si>
  <si>
    <t>10.51.14</t>
  </si>
  <si>
    <t>10.52.15</t>
  </si>
  <si>
    <t>10.53.49</t>
  </si>
  <si>
    <t>10.54.13</t>
  </si>
  <si>
    <t>10.57.49</t>
  </si>
  <si>
    <t>10.58.50</t>
  </si>
  <si>
    <t>10.59.15</t>
  </si>
  <si>
    <t>11.00.14</t>
  </si>
  <si>
    <t>11.02.13</t>
  </si>
  <si>
    <t>11.03.28</t>
  </si>
  <si>
    <t>11.04.36</t>
  </si>
  <si>
    <t>11.05.21</t>
  </si>
  <si>
    <t>11.06.21</t>
  </si>
  <si>
    <t>11.06.47</t>
  </si>
  <si>
    <t>11.07.56</t>
  </si>
  <si>
    <t>11.08.49</t>
  </si>
  <si>
    <t>11.09.59</t>
  </si>
  <si>
    <t>11.10.24</t>
  </si>
  <si>
    <t>11.11.24</t>
  </si>
  <si>
    <t>11.12.14</t>
  </si>
  <si>
    <t>11.13.36</t>
  </si>
  <si>
    <t>12.35.52</t>
  </si>
  <si>
    <t>15.11.00</t>
  </si>
  <si>
    <t>453-468</t>
  </si>
  <si>
    <t>GeBo 'nominal' = '8cm from close geometry', water cooling on</t>
  </si>
  <si>
    <t>15.15.57</t>
  </si>
  <si>
    <t>15.23.50</t>
  </si>
  <si>
    <t>GeBo 'nominal' = 'close geometry by Denise', water cooling on</t>
  </si>
  <si>
    <t>15.24.58</t>
  </si>
  <si>
    <t>15.32.06</t>
  </si>
  <si>
    <t>GeBo 'nominal' = 'close geometry by Lucia', water cooling on</t>
  </si>
  <si>
    <t>15.34.42</t>
  </si>
  <si>
    <t>16.44.01</t>
  </si>
  <si>
    <t>GeBo 'nominal' = 'far geometry- 15.2cm from close g.', water cooling on</t>
  </si>
  <si>
    <t>16.58.42</t>
  </si>
  <si>
    <t>8.50.00</t>
  </si>
  <si>
    <t>915-935</t>
  </si>
  <si>
    <t>8.53.04</t>
  </si>
  <si>
    <t>9.22.42</t>
  </si>
  <si>
    <t>9.23.52</t>
  </si>
  <si>
    <t>9.30.48</t>
  </si>
  <si>
    <t>9.32.08</t>
  </si>
  <si>
    <t>9.49.31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</si>
</sst>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0"/>
    <numFmt numFmtId="165" formatCode="#,##0.0"/>
    <numFmt numFmtId="166" formatCode="h:mm:ss\ \t\t"/>
    <numFmt numFmtId="167" formatCode="[h]\.mm\.ss"/>
    <numFmt numFmtId="168" formatCode="h\.mm\.ss"/>
    <numFmt numFmtId="169" formatCode="m/d/yyyy\ h:mm:ss"/>
    <numFmt numFmtId="170" formatCode="#,##0.00%"/>
    <numFmt numFmtId="171" formatCode="dd/mm/yyyy\ h\.mm\.ss"/>
    <numFmt numFmtId="172" formatCode="dd/mm/yy\ h\.mm\.ss"/>
    <numFmt numFmtId="173" formatCode="d/m/yyyy\ h\.mm\.ss"/>
    <numFmt numFmtId="174" formatCode="h\.mm"/>
  </numFmts>
  <fonts count="17" x14ac:knownFonts="1">
    <font>
      <sz val="11"/>
      <color theme="1"/>
      <name val="Calibri"/>
      <family val="2"/>
      <scheme val="minor"/>
    </font>
    <font>
      <b/>
      <sz val="11"/>
      <color rgb="FF000000"/>
      <name val="Arial"/>
      <family val="2"/>
    </font>
    <font>
      <sz val="11"/>
      <color rgb="FF000000"/>
      <name val="Arial"/>
      <family val="2"/>
    </font>
    <font>
      <sz val="11"/>
      <color theme="1"/>
      <name val="Calibri"/>
      <family val="2"/>
    </font>
    <font>
      <sz val="8"/>
      <color rgb="FF000000"/>
      <name val="Arial"/>
      <family val="2"/>
    </font>
    <font>
      <b/>
      <sz val="13"/>
      <color rgb="FF000000"/>
      <name val="Arial"/>
      <family val="2"/>
    </font>
    <font>
      <sz val="10"/>
      <color rgb="FF000000"/>
      <name val="Arial"/>
      <family val="2"/>
    </font>
    <font>
      <sz val="20"/>
      <color rgb="FF000000"/>
      <name val="Arial"/>
      <family val="2"/>
    </font>
    <font>
      <sz val="11"/>
      <color rgb="FF741B47"/>
      <name val="Arial"/>
      <family val="2"/>
    </font>
    <font>
      <sz val="11"/>
      <color rgb="FF000000"/>
      <name val="Times New Roman"/>
      <family val="2"/>
    </font>
    <font>
      <b/>
      <sz val="11"/>
      <color rgb="FFFF0000"/>
      <name val="Arial"/>
      <family val="2"/>
    </font>
    <font>
      <sz val="11"/>
      <color rgb="FFFF0000"/>
      <name val="Arial"/>
      <family val="2"/>
    </font>
    <font>
      <sz val="10"/>
      <color theme="1"/>
      <name val="Arial"/>
      <family val="2"/>
    </font>
    <font>
      <b/>
      <sz val="12"/>
      <color theme="1"/>
      <name val="Arial"/>
      <family val="2"/>
    </font>
    <font>
      <sz val="12"/>
      <color theme="1"/>
      <name val="Times New Roman"/>
      <family val="1"/>
    </font>
    <font>
      <sz val="12"/>
      <color theme="1"/>
      <name val="Arial"/>
      <family val="2"/>
    </font>
    <font>
      <sz val="13"/>
      <color theme="1"/>
      <name val="Arial"/>
      <family val="2"/>
    </font>
  </fonts>
  <fills count="12">
    <fill>
      <patternFill patternType="none"/>
    </fill>
    <fill>
      <patternFill patternType="gray125"/>
    </fill>
    <fill>
      <patternFill patternType="solid">
        <fgColor rgb="FFFEA392"/>
      </patternFill>
    </fill>
    <fill>
      <patternFill patternType="solid">
        <fgColor rgb="FFD1E9EB"/>
      </patternFill>
    </fill>
    <fill>
      <patternFill patternType="solid">
        <fgColor rgb="FFD8EAD6"/>
      </patternFill>
    </fill>
    <fill>
      <patternFill patternType="solid">
        <fgColor rgb="FFFBC028"/>
      </patternFill>
    </fill>
    <fill>
      <patternFill patternType="solid">
        <fgColor rgb="FFFF9900"/>
      </patternFill>
    </fill>
    <fill>
      <patternFill patternType="solid">
        <fgColor rgb="FFFFFFFF"/>
      </patternFill>
    </fill>
    <fill>
      <patternFill patternType="solid">
        <fgColor rgb="FFD9D9D9"/>
      </patternFill>
    </fill>
    <fill>
      <patternFill patternType="solid">
        <fgColor rgb="FFFF0000"/>
      </patternFill>
    </fill>
    <fill>
      <patternFill patternType="solid">
        <fgColor rgb="FFD9D9EC"/>
      </patternFill>
    </fill>
    <fill>
      <patternFill patternType="solid">
        <fgColor rgb="FFD9DAD9"/>
      </patternFill>
    </fill>
  </fills>
  <borders count="21">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D1E9EB"/>
      </top>
      <bottom style="thin">
        <color rgb="FFC6C6C6"/>
      </bottom>
      <diagonal/>
    </border>
    <border>
      <left/>
      <right/>
      <top style="thin">
        <color rgb="FF000000"/>
      </top>
      <bottom/>
      <diagonal/>
    </border>
    <border>
      <left style="thin">
        <color rgb="FFC6C6C6"/>
      </left>
      <right style="thin">
        <color rgb="FFC6C6C6"/>
      </right>
      <top style="thin">
        <color rgb="FFC6C6C6"/>
      </top>
      <bottom style="thin">
        <color rgb="FFD1E9EB"/>
      </bottom>
      <diagonal/>
    </border>
    <border>
      <left/>
      <right/>
      <top/>
      <bottom style="thin">
        <color rgb="FF000000"/>
      </bottom>
      <diagonal/>
    </border>
    <border>
      <left style="thin">
        <color rgb="FFC6C6C6"/>
      </left>
      <right style="thin">
        <color rgb="FFC6C6C6"/>
      </right>
      <top style="thin">
        <color rgb="FFD8EAD6"/>
      </top>
      <bottom style="thin">
        <color rgb="FFC6C6C6"/>
      </bottom>
      <diagonal/>
    </border>
    <border>
      <left style="thin">
        <color rgb="FFC6C6C6"/>
      </left>
      <right style="thin">
        <color rgb="FFC6C6C6"/>
      </right>
      <top style="thin">
        <color rgb="FFC6C6C6"/>
      </top>
      <bottom style="thin">
        <color rgb="FFD8EAD6"/>
      </bottom>
      <diagonal/>
    </border>
    <border>
      <left style="thin">
        <color rgb="FFC6C6C6"/>
      </left>
      <right style="thin">
        <color rgb="FFC6C6C6"/>
      </right>
      <top style="thin">
        <color rgb="FFFBC028"/>
      </top>
      <bottom style="thin">
        <color rgb="FFC6C6C6"/>
      </bottom>
      <diagonal/>
    </border>
    <border>
      <left style="thin">
        <color rgb="FFC6C6C6"/>
      </left>
      <right style="thin">
        <color rgb="FFC6C6C6"/>
      </right>
      <top style="thin">
        <color rgb="FFC6C6C6"/>
      </top>
      <bottom style="thin">
        <color rgb="FFFBC028"/>
      </bottom>
      <diagonal/>
    </border>
    <border>
      <left style="thin">
        <color rgb="FFFF9900"/>
      </left>
      <right style="thin">
        <color rgb="FFFF9900"/>
      </right>
      <top style="thin">
        <color rgb="FFFF9900"/>
      </top>
      <bottom style="thin">
        <color rgb="FFFF9900"/>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FF0000"/>
      </left>
      <right style="thin">
        <color rgb="FFFF0000"/>
      </right>
      <top style="thin">
        <color rgb="FFFF0000"/>
      </top>
      <bottom style="thin">
        <color rgb="FFFF0000"/>
      </bottom>
      <diagonal/>
    </border>
    <border>
      <left style="thin">
        <color rgb="FFD9D9EC"/>
      </left>
      <right style="thin">
        <color rgb="FFD9D9EC"/>
      </right>
      <top style="thin">
        <color rgb="FFD9D9EC"/>
      </top>
      <bottom style="thin">
        <color rgb="FFD9D9EC"/>
      </bottom>
      <diagonal/>
    </border>
    <border>
      <left style="thin">
        <color rgb="FFD9DAD9"/>
      </left>
      <right style="thin">
        <color rgb="FFD9DAD9"/>
      </right>
      <top style="thin">
        <color rgb="FFD9DAD9"/>
      </top>
      <bottom style="thin">
        <color rgb="FFD9DAD9"/>
      </bottom>
      <diagonal/>
    </border>
    <border>
      <left style="thin">
        <color rgb="FFC6C6C6"/>
      </left>
      <right style="thin">
        <color rgb="FFC6C6C6"/>
      </right>
      <top style="thin">
        <color rgb="FFD9D9EC"/>
      </top>
      <bottom style="thin">
        <color rgb="FFC6C6C6"/>
      </bottom>
      <diagonal/>
    </border>
    <border>
      <left style="thin">
        <color rgb="FFC6C6C6"/>
      </left>
      <right style="thin">
        <color rgb="FFC6C6C6"/>
      </right>
      <top style="thin">
        <color rgb="FFC6C6C6"/>
      </top>
      <bottom style="thin">
        <color rgb="FFD9D9EC"/>
      </bottom>
      <diagonal/>
    </border>
    <border>
      <left style="thin">
        <color rgb="FFC6C6C6"/>
      </left>
      <right style="thin">
        <color rgb="FFC6C6C6"/>
      </right>
      <top style="thin">
        <color rgb="FFD9D9EC"/>
      </top>
      <bottom style="thin">
        <color rgb="FFD9D9EC"/>
      </bottom>
      <diagonal/>
    </border>
    <border>
      <left/>
      <right/>
      <top style="thin">
        <color rgb="FF000000"/>
      </top>
      <bottom style="thin">
        <color rgb="FF000000"/>
      </bottom>
      <diagonal/>
    </border>
  </borders>
  <cellStyleXfs count="1">
    <xf numFmtId="0" fontId="0" fillId="0" borderId="0"/>
  </cellStyleXfs>
  <cellXfs count="232">
    <xf numFmtId="0" fontId="0" fillId="0" borderId="0" xfId="0"/>
    <xf numFmtId="3" fontId="1" fillId="0" borderId="1" xfId="0" applyNumberFormat="1" applyFont="1" applyBorder="1" applyAlignment="1">
      <alignment horizontal="left"/>
    </xf>
    <xf numFmtId="3" fontId="2" fillId="0" borderId="1" xfId="0" applyNumberFormat="1" applyFont="1" applyBorder="1" applyAlignment="1">
      <alignment horizontal="right"/>
    </xf>
    <xf numFmtId="3" fontId="0" fillId="0" borderId="0" xfId="0" applyNumberFormat="1" applyAlignment="1">
      <alignment horizontal="right"/>
    </xf>
    <xf numFmtId="0" fontId="1" fillId="0" borderId="1" xfId="0" applyFont="1" applyBorder="1" applyAlignment="1">
      <alignment horizontal="left"/>
    </xf>
    <xf numFmtId="164" fontId="1" fillId="0" borderId="1" xfId="0" applyNumberFormat="1" applyFont="1" applyBorder="1" applyAlignment="1">
      <alignment horizontal="left"/>
    </xf>
    <xf numFmtId="164" fontId="2" fillId="0" borderId="1" xfId="0" applyNumberFormat="1" applyFont="1" applyBorder="1" applyAlignment="1">
      <alignment horizontal="right"/>
    </xf>
    <xf numFmtId="0" fontId="2" fillId="0" borderId="1" xfId="0" applyFont="1" applyBorder="1" applyAlignment="1">
      <alignment horizontal="left"/>
    </xf>
    <xf numFmtId="3" fontId="0" fillId="0" borderId="0" xfId="0" applyNumberFormat="1"/>
    <xf numFmtId="3" fontId="2" fillId="0" borderId="1" xfId="0" applyNumberFormat="1" applyFont="1" applyBorder="1" applyAlignment="1">
      <alignment horizontal="left"/>
    </xf>
    <xf numFmtId="0" fontId="2" fillId="0" borderId="1" xfId="0" applyFont="1" applyBorder="1" applyAlignment="1">
      <alignment horizontal="right"/>
    </xf>
    <xf numFmtId="164" fontId="2" fillId="0" borderId="1" xfId="0" applyNumberFormat="1" applyFont="1" applyBorder="1" applyAlignment="1">
      <alignment horizontal="left"/>
    </xf>
    <xf numFmtId="164" fontId="0" fillId="0" borderId="0" xfId="0" applyNumberFormat="1" applyAlignment="1">
      <alignment horizontal="right"/>
    </xf>
    <xf numFmtId="0" fontId="0" fillId="0" borderId="0" xfId="0" applyAlignment="1">
      <alignment horizontal="right"/>
    </xf>
    <xf numFmtId="0" fontId="0" fillId="0" borderId="0" xfId="0" applyAlignment="1">
      <alignment horizontal="left"/>
    </xf>
    <xf numFmtId="4" fontId="2" fillId="0" borderId="1" xfId="0" applyNumberFormat="1" applyFont="1" applyBorder="1" applyAlignment="1">
      <alignment horizontal="right"/>
    </xf>
    <xf numFmtId="4" fontId="2" fillId="0" borderId="1" xfId="0" applyNumberFormat="1" applyFont="1" applyBorder="1" applyAlignment="1">
      <alignment horizontal="left"/>
    </xf>
    <xf numFmtId="165" fontId="2" fillId="0" borderId="1" xfId="0" applyNumberFormat="1" applyFont="1" applyBorder="1" applyAlignment="1">
      <alignment horizontal="left"/>
    </xf>
    <xf numFmtId="4" fontId="0" fillId="0" borderId="0" xfId="0" applyNumberFormat="1"/>
    <xf numFmtId="165" fontId="0" fillId="0" borderId="0" xfId="0" applyNumberFormat="1"/>
    <xf numFmtId="1" fontId="2" fillId="0" borderId="1" xfId="0" applyNumberFormat="1" applyFont="1" applyBorder="1" applyAlignment="1">
      <alignment horizontal="left"/>
    </xf>
    <xf numFmtId="165" fontId="2" fillId="0" borderId="1" xfId="0" applyNumberFormat="1" applyFont="1" applyBorder="1" applyAlignment="1">
      <alignment horizontal="right"/>
    </xf>
    <xf numFmtId="0" fontId="2" fillId="2" borderId="2" xfId="0" applyFont="1" applyFill="1" applyBorder="1" applyAlignment="1">
      <alignment horizontal="left"/>
    </xf>
    <xf numFmtId="0" fontId="2" fillId="3" borderId="3" xfId="0" applyFont="1" applyFill="1" applyBorder="1" applyAlignment="1">
      <alignment horizontal="left"/>
    </xf>
    <xf numFmtId="0" fontId="2" fillId="0" borderId="4" xfId="0" applyFont="1" applyBorder="1" applyAlignment="1">
      <alignment horizontal="right"/>
    </xf>
    <xf numFmtId="1" fontId="3" fillId="0" borderId="4" xfId="0" applyNumberFormat="1" applyFont="1" applyBorder="1" applyAlignment="1">
      <alignment horizontal="right"/>
    </xf>
    <xf numFmtId="3" fontId="4" fillId="0" borderId="4" xfId="0" applyNumberFormat="1" applyFont="1" applyBorder="1" applyAlignment="1">
      <alignment horizontal="right"/>
    </xf>
    <xf numFmtId="0" fontId="2" fillId="0" borderId="4" xfId="0" applyFont="1" applyBorder="1" applyAlignment="1">
      <alignment horizontal="left"/>
    </xf>
    <xf numFmtId="0" fontId="2" fillId="3" borderId="2" xfId="0" applyFont="1" applyFill="1" applyBorder="1" applyAlignment="1">
      <alignment horizontal="left"/>
    </xf>
    <xf numFmtId="1" fontId="3" fillId="0" borderId="1" xfId="0" applyNumberFormat="1" applyFont="1" applyBorder="1" applyAlignment="1">
      <alignment horizontal="right"/>
    </xf>
    <xf numFmtId="3" fontId="3" fillId="0" borderId="1" xfId="0" applyNumberFormat="1" applyFont="1" applyBorder="1" applyAlignment="1">
      <alignment horizontal="right"/>
    </xf>
    <xf numFmtId="0" fontId="2" fillId="3" borderId="5" xfId="0" applyFont="1" applyFill="1" applyBorder="1" applyAlignment="1">
      <alignment horizontal="left"/>
    </xf>
    <xf numFmtId="0" fontId="2" fillId="0" borderId="6" xfId="0" applyFont="1" applyBorder="1" applyAlignment="1">
      <alignment horizontal="right"/>
    </xf>
    <xf numFmtId="3" fontId="2" fillId="0" borderId="6" xfId="0" applyNumberFormat="1" applyFont="1" applyBorder="1" applyAlignment="1">
      <alignment horizontal="right"/>
    </xf>
    <xf numFmtId="0" fontId="2" fillId="0" borderId="6" xfId="0" applyFont="1" applyBorder="1" applyAlignment="1">
      <alignment horizontal="left"/>
    </xf>
    <xf numFmtId="0" fontId="2" fillId="4" borderId="7" xfId="0" applyFont="1" applyFill="1" applyBorder="1" applyAlignment="1">
      <alignment horizontal="left"/>
    </xf>
    <xf numFmtId="3" fontId="3" fillId="0" borderId="4" xfId="0" applyNumberFormat="1" applyFont="1" applyBorder="1" applyAlignment="1">
      <alignment horizontal="right"/>
    </xf>
    <xf numFmtId="0" fontId="2" fillId="4" borderId="2" xfId="0" applyFont="1" applyFill="1" applyBorder="1" applyAlignment="1">
      <alignment horizontal="left"/>
    </xf>
    <xf numFmtId="0" fontId="2" fillId="4" borderId="8" xfId="0" applyFont="1" applyFill="1" applyBorder="1" applyAlignment="1">
      <alignment horizontal="left"/>
    </xf>
    <xf numFmtId="0" fontId="2" fillId="5" borderId="9" xfId="0" applyFont="1" applyFill="1" applyBorder="1" applyAlignment="1">
      <alignment horizontal="left"/>
    </xf>
    <xf numFmtId="3" fontId="2" fillId="0" borderId="4" xfId="0" applyNumberFormat="1" applyFont="1" applyBorder="1" applyAlignment="1">
      <alignment horizontal="right"/>
    </xf>
    <xf numFmtId="0" fontId="2" fillId="5" borderId="10" xfId="0" applyFont="1" applyFill="1" applyBorder="1" applyAlignment="1">
      <alignment horizontal="left"/>
    </xf>
    <xf numFmtId="3" fontId="0" fillId="0" borderId="0" xfId="0" applyNumberFormat="1" applyAlignment="1">
      <alignment horizontal="left"/>
    </xf>
    <xf numFmtId="0" fontId="5" fillId="6" borderId="2" xfId="0" applyFont="1" applyFill="1" applyBorder="1" applyAlignment="1">
      <alignment horizontal="center"/>
    </xf>
    <xf numFmtId="0" fontId="5" fillId="7" borderId="2" xfId="0" applyFont="1" applyFill="1" applyBorder="1" applyAlignment="1">
      <alignment horizontal="center"/>
    </xf>
    <xf numFmtId="0" fontId="2" fillId="0" borderId="1" xfId="0" applyFont="1" applyBorder="1" applyAlignment="1">
      <alignment horizontal="center"/>
    </xf>
    <xf numFmtId="0" fontId="0" fillId="0" borderId="0" xfId="0" applyAlignment="1">
      <alignment horizontal="center"/>
    </xf>
    <xf numFmtId="3" fontId="5" fillId="6" borderId="11" xfId="0" applyNumberFormat="1" applyFont="1" applyFill="1" applyBorder="1" applyAlignment="1">
      <alignment horizontal="center"/>
    </xf>
    <xf numFmtId="0" fontId="5" fillId="6" borderId="11" xfId="0" applyFont="1" applyFill="1" applyBorder="1" applyAlignment="1">
      <alignment horizontal="center"/>
    </xf>
    <xf numFmtId="4" fontId="5" fillId="6" borderId="11" xfId="0" applyNumberFormat="1" applyFont="1" applyFill="1" applyBorder="1" applyAlignment="1">
      <alignment horizontal="center"/>
    </xf>
    <xf numFmtId="166" fontId="5" fillId="6" borderId="11" xfId="0" applyNumberFormat="1" applyFont="1" applyFill="1" applyBorder="1" applyAlignment="1">
      <alignment horizontal="center"/>
    </xf>
    <xf numFmtId="164" fontId="5" fillId="6" borderId="11" xfId="0" applyNumberFormat="1" applyFont="1" applyFill="1" applyBorder="1" applyAlignment="1">
      <alignment horizontal="center"/>
    </xf>
    <xf numFmtId="3" fontId="2" fillId="8" borderId="12" xfId="0" applyNumberFormat="1" applyFont="1" applyFill="1" applyBorder="1" applyAlignment="1">
      <alignment horizontal="center"/>
    </xf>
    <xf numFmtId="0" fontId="2" fillId="8" borderId="12" xfId="0" applyFont="1" applyFill="1" applyBorder="1" applyAlignment="1">
      <alignment horizontal="left"/>
    </xf>
    <xf numFmtId="4" fontId="2" fillId="8" borderId="12" xfId="0" applyNumberFormat="1" applyFont="1" applyFill="1" applyBorder="1" applyAlignment="1">
      <alignment horizontal="center"/>
    </xf>
    <xf numFmtId="3" fontId="2" fillId="8" borderId="12" xfId="0" applyNumberFormat="1" applyFont="1" applyFill="1" applyBorder="1" applyAlignment="1">
      <alignment horizontal="left"/>
    </xf>
    <xf numFmtId="166" fontId="6" fillId="8" borderId="12" xfId="0" applyNumberFormat="1" applyFont="1" applyFill="1" applyBorder="1" applyAlignment="1">
      <alignment horizontal="center"/>
    </xf>
    <xf numFmtId="0" fontId="2" fillId="8" borderId="12" xfId="0" applyFont="1" applyFill="1" applyBorder="1" applyAlignment="1">
      <alignment horizontal="center"/>
    </xf>
    <xf numFmtId="4" fontId="2" fillId="8" borderId="12" xfId="0" applyNumberFormat="1" applyFont="1" applyFill="1" applyBorder="1" applyAlignment="1">
      <alignment horizontal="right"/>
    </xf>
    <xf numFmtId="4" fontId="2" fillId="8" borderId="12" xfId="0" applyNumberFormat="1" applyFont="1" applyFill="1" applyBorder="1" applyAlignment="1">
      <alignment horizontal="left"/>
    </xf>
    <xf numFmtId="164" fontId="2" fillId="8" borderId="12" xfId="0" applyNumberFormat="1" applyFont="1" applyFill="1" applyBorder="1" applyAlignment="1">
      <alignment horizontal="right"/>
    </xf>
    <xf numFmtId="0" fontId="6" fillId="0" borderId="13" xfId="0" applyFont="1" applyBorder="1" applyAlignment="1">
      <alignment horizontal="left"/>
    </xf>
    <xf numFmtId="3" fontId="2" fillId="8" borderId="12" xfId="0" applyNumberFormat="1" applyFont="1" applyFill="1" applyBorder="1" applyAlignment="1">
      <alignment horizontal="right"/>
    </xf>
    <xf numFmtId="0" fontId="2" fillId="0" borderId="13" xfId="0" applyFont="1" applyBorder="1" applyAlignment="1">
      <alignment horizontal="left"/>
    </xf>
    <xf numFmtId="0" fontId="2" fillId="9" borderId="14" xfId="0" applyFont="1" applyFill="1" applyBorder="1" applyAlignment="1">
      <alignment horizontal="left"/>
    </xf>
    <xf numFmtId="167" fontId="2" fillId="8" borderId="12" xfId="0" applyNumberFormat="1" applyFont="1" applyFill="1" applyBorder="1" applyAlignment="1">
      <alignment horizontal="right"/>
    </xf>
    <xf numFmtId="19" fontId="6" fillId="8" borderId="12" xfId="0" applyNumberFormat="1" applyFont="1" applyFill="1" applyBorder="1" applyAlignment="1">
      <alignment horizontal="center"/>
    </xf>
    <xf numFmtId="0" fontId="7" fillId="0" borderId="13" xfId="0" applyFont="1" applyBorder="1" applyAlignment="1">
      <alignment horizontal="left"/>
    </xf>
    <xf numFmtId="168" fontId="6" fillId="8" borderId="12" xfId="0" applyNumberFormat="1" applyFont="1" applyFill="1" applyBorder="1" applyAlignment="1">
      <alignment horizontal="center"/>
    </xf>
    <xf numFmtId="169" fontId="6" fillId="8" borderId="12" xfId="0" applyNumberFormat="1" applyFont="1" applyFill="1" applyBorder="1" applyAlignment="1">
      <alignment horizontal="center"/>
    </xf>
    <xf numFmtId="19" fontId="4" fillId="8" borderId="12" xfId="0" applyNumberFormat="1" applyFont="1" applyFill="1" applyBorder="1" applyAlignment="1">
      <alignment horizontal="center"/>
    </xf>
    <xf numFmtId="164" fontId="2" fillId="8" borderId="12" xfId="0" applyNumberFormat="1" applyFont="1" applyFill="1" applyBorder="1" applyAlignment="1">
      <alignment horizontal="left"/>
    </xf>
    <xf numFmtId="170" fontId="2" fillId="0" borderId="13" xfId="0" applyNumberFormat="1" applyFont="1" applyBorder="1" applyAlignment="1">
      <alignment horizontal="left"/>
    </xf>
    <xf numFmtId="0" fontId="2" fillId="8" borderId="2" xfId="0" applyFont="1" applyFill="1" applyBorder="1" applyAlignment="1">
      <alignment horizontal="center"/>
    </xf>
    <xf numFmtId="4" fontId="8" fillId="8" borderId="12" xfId="0" applyNumberFormat="1" applyFont="1" applyFill="1" applyBorder="1" applyAlignment="1">
      <alignment horizontal="center"/>
    </xf>
    <xf numFmtId="3" fontId="2" fillId="0" borderId="13" xfId="0" applyNumberFormat="1" applyFont="1" applyBorder="1" applyAlignment="1">
      <alignment horizontal="left"/>
    </xf>
    <xf numFmtId="4" fontId="2" fillId="0" borderId="13" xfId="0" applyNumberFormat="1" applyFont="1" applyBorder="1" applyAlignment="1">
      <alignment horizontal="left"/>
    </xf>
    <xf numFmtId="19" fontId="2" fillId="0" borderId="13" xfId="0" applyNumberFormat="1" applyFont="1" applyBorder="1" applyAlignment="1">
      <alignment horizontal="left"/>
    </xf>
    <xf numFmtId="164" fontId="2" fillId="0" borderId="13" xfId="0" applyNumberFormat="1" applyFont="1" applyBorder="1" applyAlignment="1">
      <alignment horizontal="left"/>
    </xf>
    <xf numFmtId="19" fontId="6" fillId="0" borderId="13" xfId="0" applyNumberFormat="1" applyFont="1" applyBorder="1" applyAlignment="1">
      <alignment horizontal="left"/>
    </xf>
    <xf numFmtId="3" fontId="2" fillId="0" borderId="13" xfId="0" applyNumberFormat="1" applyFont="1" applyBorder="1" applyAlignment="1">
      <alignment horizontal="center"/>
    </xf>
    <xf numFmtId="4" fontId="0" fillId="0" borderId="0" xfId="0" applyNumberFormat="1" applyAlignment="1">
      <alignment horizontal="left"/>
    </xf>
    <xf numFmtId="166" fontId="0" fillId="0" borderId="0" xfId="0" applyNumberFormat="1" applyAlignment="1">
      <alignment horizontal="left"/>
    </xf>
    <xf numFmtId="3" fontId="0" fillId="0" borderId="0" xfId="0" applyNumberFormat="1" applyAlignment="1">
      <alignment horizontal="center"/>
    </xf>
    <xf numFmtId="164" fontId="0" fillId="0" borderId="0" xfId="0" applyNumberFormat="1" applyAlignment="1">
      <alignment horizontal="left"/>
    </xf>
    <xf numFmtId="169" fontId="3" fillId="8" borderId="12" xfId="0" applyNumberFormat="1" applyFont="1" applyFill="1" applyBorder="1" applyAlignment="1">
      <alignment horizontal="center"/>
    </xf>
    <xf numFmtId="171" fontId="3" fillId="8" borderId="12" xfId="0" applyNumberFormat="1" applyFont="1" applyFill="1" applyBorder="1" applyAlignment="1">
      <alignment horizontal="center"/>
    </xf>
    <xf numFmtId="19" fontId="3" fillId="8" borderId="12" xfId="0" applyNumberFormat="1" applyFont="1" applyFill="1" applyBorder="1" applyAlignment="1">
      <alignment horizontal="center"/>
    </xf>
    <xf numFmtId="166" fontId="3" fillId="8" borderId="12" xfId="0" applyNumberFormat="1" applyFont="1" applyFill="1" applyBorder="1" applyAlignment="1">
      <alignment horizontal="center"/>
    </xf>
    <xf numFmtId="0" fontId="2" fillId="0" borderId="13" xfId="0" applyFont="1" applyBorder="1" applyAlignment="1">
      <alignment horizontal="center"/>
    </xf>
    <xf numFmtId="0" fontId="7" fillId="0" borderId="13" xfId="0" applyFont="1" applyBorder="1" applyAlignment="1">
      <alignment horizontal="center"/>
    </xf>
    <xf numFmtId="171" fontId="6" fillId="8" borderId="12" xfId="0" applyNumberFormat="1" applyFont="1" applyFill="1" applyBorder="1" applyAlignment="1">
      <alignment horizontal="center"/>
    </xf>
    <xf numFmtId="172" fontId="6" fillId="8" borderId="12" xfId="0" applyNumberFormat="1" applyFont="1" applyFill="1" applyBorder="1" applyAlignment="1">
      <alignment horizontal="center"/>
    </xf>
    <xf numFmtId="19" fontId="3" fillId="0" borderId="13" xfId="0" applyNumberFormat="1" applyFont="1" applyBorder="1" applyAlignment="1">
      <alignment horizontal="left"/>
    </xf>
    <xf numFmtId="3" fontId="2" fillId="10" borderId="15" xfId="0" applyNumberFormat="1" applyFont="1" applyFill="1" applyBorder="1" applyAlignment="1">
      <alignment horizontal="center"/>
    </xf>
    <xf numFmtId="0" fontId="2" fillId="10" borderId="15" xfId="0" applyFont="1" applyFill="1" applyBorder="1" applyAlignment="1">
      <alignment horizontal="left"/>
    </xf>
    <xf numFmtId="4" fontId="2" fillId="10" borderId="15" xfId="0" applyNumberFormat="1" applyFont="1" applyFill="1" applyBorder="1" applyAlignment="1">
      <alignment horizontal="center"/>
    </xf>
    <xf numFmtId="3" fontId="2" fillId="10" borderId="15" xfId="0" applyNumberFormat="1" applyFont="1" applyFill="1" applyBorder="1" applyAlignment="1">
      <alignment horizontal="left"/>
    </xf>
    <xf numFmtId="0" fontId="2" fillId="10" borderId="15" xfId="0" applyFont="1" applyFill="1" applyBorder="1" applyAlignment="1">
      <alignment horizontal="center"/>
    </xf>
    <xf numFmtId="4" fontId="2" fillId="10" borderId="15" xfId="0" applyNumberFormat="1" applyFont="1" applyFill="1" applyBorder="1" applyAlignment="1">
      <alignment horizontal="left"/>
    </xf>
    <xf numFmtId="4" fontId="2" fillId="10" borderId="15" xfId="0" applyNumberFormat="1" applyFont="1" applyFill="1" applyBorder="1" applyAlignment="1">
      <alignment horizontal="right"/>
    </xf>
    <xf numFmtId="164" fontId="2" fillId="10" borderId="15" xfId="0" applyNumberFormat="1" applyFont="1" applyFill="1" applyBorder="1" applyAlignment="1">
      <alignment horizontal="right"/>
    </xf>
    <xf numFmtId="3" fontId="2" fillId="10" borderId="15" xfId="0" applyNumberFormat="1" applyFont="1" applyFill="1" applyBorder="1" applyAlignment="1">
      <alignment horizontal="right"/>
    </xf>
    <xf numFmtId="164" fontId="2" fillId="10" borderId="15" xfId="0" applyNumberFormat="1" applyFont="1" applyFill="1" applyBorder="1" applyAlignment="1">
      <alignment horizontal="left"/>
    </xf>
    <xf numFmtId="3" fontId="2" fillId="11" borderId="16" xfId="0" applyNumberFormat="1" applyFont="1" applyFill="1" applyBorder="1" applyAlignment="1">
      <alignment horizontal="center"/>
    </xf>
    <xf numFmtId="0" fontId="2" fillId="11" borderId="16" xfId="0" applyFont="1" applyFill="1" applyBorder="1" applyAlignment="1">
      <alignment horizontal="left"/>
    </xf>
    <xf numFmtId="4" fontId="2" fillId="11" borderId="16" xfId="0" applyNumberFormat="1" applyFont="1" applyFill="1" applyBorder="1" applyAlignment="1">
      <alignment horizontal="center"/>
    </xf>
    <xf numFmtId="3" fontId="2" fillId="11" borderId="16" xfId="0" applyNumberFormat="1" applyFont="1" applyFill="1" applyBorder="1" applyAlignment="1">
      <alignment horizontal="right"/>
    </xf>
    <xf numFmtId="0" fontId="2" fillId="11" borderId="16" xfId="0" applyFont="1" applyFill="1" applyBorder="1" applyAlignment="1">
      <alignment horizontal="center"/>
    </xf>
    <xf numFmtId="4" fontId="2" fillId="11" borderId="16" xfId="0" applyNumberFormat="1" applyFont="1" applyFill="1" applyBorder="1" applyAlignment="1">
      <alignment horizontal="left"/>
    </xf>
    <xf numFmtId="3" fontId="2" fillId="11" borderId="16" xfId="0" applyNumberFormat="1" applyFont="1" applyFill="1" applyBorder="1" applyAlignment="1">
      <alignment horizontal="left"/>
    </xf>
    <xf numFmtId="4" fontId="2" fillId="11" borderId="16" xfId="0" applyNumberFormat="1" applyFont="1" applyFill="1" applyBorder="1" applyAlignment="1">
      <alignment horizontal="right"/>
    </xf>
    <xf numFmtId="164" fontId="2" fillId="11" borderId="16" xfId="0" applyNumberFormat="1" applyFont="1" applyFill="1" applyBorder="1" applyAlignment="1">
      <alignment horizontal="left"/>
    </xf>
    <xf numFmtId="164" fontId="2" fillId="11" borderId="16" xfId="0" applyNumberFormat="1" applyFont="1" applyFill="1" applyBorder="1" applyAlignment="1">
      <alignment horizontal="right"/>
    </xf>
    <xf numFmtId="167" fontId="2" fillId="11" borderId="16" xfId="0" applyNumberFormat="1" applyFont="1" applyFill="1" applyBorder="1" applyAlignment="1">
      <alignment horizontal="right"/>
    </xf>
    <xf numFmtId="3" fontId="5" fillId="6" borderId="2" xfId="0" applyNumberFormat="1" applyFont="1" applyFill="1" applyBorder="1" applyAlignment="1">
      <alignment horizontal="center"/>
    </xf>
    <xf numFmtId="166" fontId="5" fillId="6" borderId="2" xfId="0" applyNumberFormat="1" applyFont="1" applyFill="1" applyBorder="1" applyAlignment="1">
      <alignment horizontal="center"/>
    </xf>
    <xf numFmtId="4" fontId="5" fillId="6" borderId="2" xfId="0" applyNumberFormat="1" applyFont="1" applyFill="1" applyBorder="1" applyAlignment="1">
      <alignment horizontal="center"/>
    </xf>
    <xf numFmtId="4" fontId="5" fillId="10" borderId="2" xfId="0" applyNumberFormat="1" applyFont="1" applyFill="1" applyBorder="1" applyAlignment="1">
      <alignment horizontal="center"/>
    </xf>
    <xf numFmtId="169" fontId="5" fillId="6" borderId="2" xfId="0" applyNumberFormat="1" applyFont="1" applyFill="1" applyBorder="1" applyAlignment="1">
      <alignment horizontal="center"/>
    </xf>
    <xf numFmtId="4" fontId="5" fillId="6" borderId="2" xfId="0" applyNumberFormat="1" applyFont="1" applyFill="1" applyBorder="1" applyAlignment="1">
      <alignment horizontal="right"/>
    </xf>
    <xf numFmtId="0" fontId="2" fillId="7" borderId="2" xfId="0" applyFont="1" applyFill="1" applyBorder="1" applyAlignment="1">
      <alignment horizontal="left"/>
    </xf>
    <xf numFmtId="3" fontId="2" fillId="10" borderId="2" xfId="0" applyNumberFormat="1" applyFont="1" applyFill="1" applyBorder="1" applyAlignment="1">
      <alignment horizontal="center"/>
    </xf>
    <xf numFmtId="0" fontId="2" fillId="10" borderId="2" xfId="0" applyFont="1" applyFill="1" applyBorder="1" applyAlignment="1">
      <alignment horizontal="left"/>
    </xf>
    <xf numFmtId="19" fontId="2" fillId="10" borderId="2" xfId="0" applyNumberFormat="1" applyFont="1" applyFill="1" applyBorder="1" applyAlignment="1">
      <alignment horizontal="left"/>
    </xf>
    <xf numFmtId="4" fontId="2" fillId="10" borderId="2" xfId="0" applyNumberFormat="1" applyFont="1" applyFill="1" applyBorder="1" applyAlignment="1">
      <alignment horizontal="center"/>
    </xf>
    <xf numFmtId="3" fontId="2" fillId="10" borderId="2" xfId="0" applyNumberFormat="1" applyFont="1" applyFill="1" applyBorder="1" applyAlignment="1">
      <alignment horizontal="left"/>
    </xf>
    <xf numFmtId="169" fontId="2" fillId="10" borderId="2" xfId="0" applyNumberFormat="1" applyFont="1" applyFill="1" applyBorder="1" applyAlignment="1">
      <alignment horizontal="center"/>
    </xf>
    <xf numFmtId="0" fontId="2" fillId="10" borderId="2" xfId="0" applyFont="1" applyFill="1" applyBorder="1" applyAlignment="1">
      <alignment horizontal="center"/>
    </xf>
    <xf numFmtId="4" fontId="2" fillId="10" borderId="2" xfId="0" applyNumberFormat="1" applyFont="1" applyFill="1" applyBorder="1" applyAlignment="1">
      <alignment horizontal="right"/>
    </xf>
    <xf numFmtId="164" fontId="2" fillId="10" borderId="2" xfId="0" applyNumberFormat="1" applyFont="1" applyFill="1" applyBorder="1" applyAlignment="1">
      <alignment horizontal="right"/>
    </xf>
    <xf numFmtId="166" fontId="2" fillId="10" borderId="2" xfId="0" applyNumberFormat="1" applyFont="1" applyFill="1" applyBorder="1" applyAlignment="1">
      <alignment horizontal="left"/>
    </xf>
    <xf numFmtId="3" fontId="2" fillId="10" borderId="2" xfId="0" applyNumberFormat="1" applyFont="1" applyFill="1" applyBorder="1" applyAlignment="1">
      <alignment horizontal="right"/>
    </xf>
    <xf numFmtId="169" fontId="2" fillId="10" borderId="2" xfId="0" applyNumberFormat="1" applyFont="1" applyFill="1" applyBorder="1" applyAlignment="1">
      <alignment horizontal="left"/>
    </xf>
    <xf numFmtId="173" fontId="2" fillId="10" borderId="2" xfId="0" applyNumberFormat="1" applyFont="1" applyFill="1" applyBorder="1" applyAlignment="1">
      <alignment horizontal="center"/>
    </xf>
    <xf numFmtId="21" fontId="2" fillId="10" borderId="2" xfId="0" applyNumberFormat="1" applyFont="1" applyFill="1" applyBorder="1" applyAlignment="1">
      <alignment horizontal="center"/>
    </xf>
    <xf numFmtId="19" fontId="2" fillId="10" borderId="2" xfId="0" applyNumberFormat="1" applyFont="1" applyFill="1" applyBorder="1" applyAlignment="1">
      <alignment horizontal="center"/>
    </xf>
    <xf numFmtId="0" fontId="1" fillId="10" borderId="2" xfId="0" applyFont="1" applyFill="1" applyBorder="1" applyAlignment="1">
      <alignment horizontal="left"/>
    </xf>
    <xf numFmtId="166" fontId="1" fillId="10" borderId="2" xfId="0" applyNumberFormat="1" applyFont="1" applyFill="1" applyBorder="1" applyAlignment="1">
      <alignment horizontal="left"/>
    </xf>
    <xf numFmtId="4" fontId="1" fillId="10" borderId="2" xfId="0" applyNumberFormat="1" applyFont="1" applyFill="1" applyBorder="1" applyAlignment="1">
      <alignment horizontal="center"/>
    </xf>
    <xf numFmtId="3" fontId="1" fillId="10" borderId="2" xfId="0" applyNumberFormat="1" applyFont="1" applyFill="1" applyBorder="1" applyAlignment="1">
      <alignment horizontal="right"/>
    </xf>
    <xf numFmtId="169" fontId="1" fillId="10" borderId="2" xfId="0" applyNumberFormat="1" applyFont="1" applyFill="1" applyBorder="1" applyAlignment="1">
      <alignment horizontal="center"/>
    </xf>
    <xf numFmtId="19" fontId="1" fillId="10" borderId="2" xfId="0" applyNumberFormat="1" applyFont="1" applyFill="1" applyBorder="1" applyAlignment="1">
      <alignment horizontal="center"/>
    </xf>
    <xf numFmtId="4" fontId="1" fillId="10" borderId="2" xfId="0" applyNumberFormat="1" applyFont="1" applyFill="1" applyBorder="1" applyAlignment="1">
      <alignment horizontal="right"/>
    </xf>
    <xf numFmtId="0" fontId="1" fillId="10" borderId="2" xfId="0" applyFont="1" applyFill="1" applyBorder="1" applyAlignment="1">
      <alignment horizontal="center"/>
    </xf>
    <xf numFmtId="164" fontId="1" fillId="10" borderId="2" xfId="0" applyNumberFormat="1" applyFont="1" applyFill="1" applyBorder="1" applyAlignment="1">
      <alignment horizontal="right"/>
    </xf>
    <xf numFmtId="173" fontId="1" fillId="10" borderId="2" xfId="0" applyNumberFormat="1" applyFont="1" applyFill="1" applyBorder="1" applyAlignment="1">
      <alignment horizontal="center"/>
    </xf>
    <xf numFmtId="3" fontId="1" fillId="10" borderId="2" xfId="0" applyNumberFormat="1" applyFont="1" applyFill="1" applyBorder="1" applyAlignment="1">
      <alignment horizontal="left"/>
    </xf>
    <xf numFmtId="4" fontId="2" fillId="10" borderId="2" xfId="0" applyNumberFormat="1" applyFont="1" applyFill="1" applyBorder="1" applyAlignment="1">
      <alignment horizontal="left"/>
    </xf>
    <xf numFmtId="0" fontId="1" fillId="0" borderId="1" xfId="0" applyFont="1" applyBorder="1" applyAlignment="1">
      <alignment horizontal="center"/>
    </xf>
    <xf numFmtId="3" fontId="1" fillId="10" borderId="2" xfId="0" applyNumberFormat="1" applyFont="1" applyFill="1" applyBorder="1" applyAlignment="1">
      <alignment horizontal="center"/>
    </xf>
    <xf numFmtId="170" fontId="1" fillId="0" borderId="1" xfId="0" applyNumberFormat="1" applyFont="1" applyBorder="1" applyAlignment="1">
      <alignment horizontal="right"/>
    </xf>
    <xf numFmtId="4" fontId="1" fillId="0" borderId="1" xfId="0" applyNumberFormat="1" applyFont="1" applyBorder="1" applyAlignment="1">
      <alignment horizontal="right"/>
    </xf>
    <xf numFmtId="3" fontId="2" fillId="9" borderId="2" xfId="0" applyNumberFormat="1" applyFont="1" applyFill="1" applyBorder="1" applyAlignment="1">
      <alignment horizontal="center"/>
    </xf>
    <xf numFmtId="0" fontId="2" fillId="9" borderId="2" xfId="0" applyFont="1" applyFill="1" applyBorder="1" applyAlignment="1">
      <alignment horizontal="left"/>
    </xf>
    <xf numFmtId="166" fontId="2" fillId="9" borderId="2" xfId="0" applyNumberFormat="1" applyFont="1" applyFill="1" applyBorder="1" applyAlignment="1">
      <alignment horizontal="left"/>
    </xf>
    <xf numFmtId="4" fontId="2" fillId="9" borderId="2" xfId="0" applyNumberFormat="1" applyFont="1" applyFill="1" applyBorder="1" applyAlignment="1">
      <alignment horizontal="center"/>
    </xf>
    <xf numFmtId="3" fontId="2" fillId="9" borderId="2" xfId="0" applyNumberFormat="1" applyFont="1" applyFill="1" applyBorder="1" applyAlignment="1">
      <alignment horizontal="right"/>
    </xf>
    <xf numFmtId="169" fontId="2" fillId="9" borderId="2" xfId="0" applyNumberFormat="1" applyFont="1" applyFill="1" applyBorder="1" applyAlignment="1">
      <alignment horizontal="center"/>
    </xf>
    <xf numFmtId="3" fontId="2" fillId="9" borderId="2" xfId="0" applyNumberFormat="1" applyFont="1" applyFill="1" applyBorder="1" applyAlignment="1">
      <alignment horizontal="left"/>
    </xf>
    <xf numFmtId="0" fontId="2" fillId="9" borderId="2" xfId="0" applyFont="1" applyFill="1" applyBorder="1" applyAlignment="1">
      <alignment horizontal="center"/>
    </xf>
    <xf numFmtId="4" fontId="1" fillId="9" borderId="2" xfId="0" applyNumberFormat="1" applyFont="1" applyFill="1" applyBorder="1" applyAlignment="1">
      <alignment horizontal="right"/>
    </xf>
    <xf numFmtId="4" fontId="2" fillId="9" borderId="2" xfId="0" applyNumberFormat="1" applyFont="1" applyFill="1" applyBorder="1" applyAlignment="1">
      <alignment horizontal="left"/>
    </xf>
    <xf numFmtId="4" fontId="2" fillId="9" borderId="2" xfId="0" applyNumberFormat="1" applyFont="1" applyFill="1" applyBorder="1" applyAlignment="1">
      <alignment horizontal="right"/>
    </xf>
    <xf numFmtId="0" fontId="1" fillId="9" borderId="2" xfId="0" applyFont="1" applyFill="1" applyBorder="1" applyAlignment="1">
      <alignment horizontal="left"/>
    </xf>
    <xf numFmtId="19" fontId="1" fillId="10" borderId="2" xfId="0" applyNumberFormat="1" applyFont="1" applyFill="1" applyBorder="1" applyAlignment="1">
      <alignment horizontal="left"/>
    </xf>
    <xf numFmtId="4" fontId="1" fillId="10" borderId="2" xfId="0" applyNumberFormat="1" applyFont="1" applyFill="1" applyBorder="1" applyAlignment="1">
      <alignment horizontal="left"/>
    </xf>
    <xf numFmtId="168" fontId="1" fillId="10" borderId="2" xfId="0" applyNumberFormat="1" applyFont="1" applyFill="1" applyBorder="1" applyAlignment="1">
      <alignment horizontal="center"/>
    </xf>
    <xf numFmtId="19" fontId="2" fillId="9" borderId="2" xfId="0" applyNumberFormat="1" applyFont="1" applyFill="1" applyBorder="1" applyAlignment="1">
      <alignment horizontal="center"/>
    </xf>
    <xf numFmtId="0" fontId="1" fillId="9" borderId="2" xfId="0" applyFont="1" applyFill="1" applyBorder="1" applyAlignment="1">
      <alignment horizontal="center"/>
    </xf>
    <xf numFmtId="0" fontId="9" fillId="0" borderId="1" xfId="0" applyFont="1" applyBorder="1" applyAlignment="1">
      <alignment horizontal="left"/>
    </xf>
    <xf numFmtId="174" fontId="2" fillId="10" borderId="2" xfId="0" applyNumberFormat="1" applyFont="1" applyFill="1" applyBorder="1" applyAlignment="1">
      <alignment horizontal="right"/>
    </xf>
    <xf numFmtId="169" fontId="10" fillId="10" borderId="2" xfId="0" applyNumberFormat="1" applyFont="1" applyFill="1" applyBorder="1" applyAlignment="1">
      <alignment horizontal="center"/>
    </xf>
    <xf numFmtId="3" fontId="2" fillId="10" borderId="17" xfId="0" applyNumberFormat="1" applyFont="1" applyFill="1" applyBorder="1" applyAlignment="1">
      <alignment horizontal="center"/>
    </xf>
    <xf numFmtId="0" fontId="2" fillId="10" borderId="17" xfId="0" applyFont="1" applyFill="1" applyBorder="1" applyAlignment="1">
      <alignment horizontal="left"/>
    </xf>
    <xf numFmtId="166" fontId="2" fillId="10" borderId="17" xfId="0" applyNumberFormat="1" applyFont="1" applyFill="1" applyBorder="1" applyAlignment="1">
      <alignment horizontal="left"/>
    </xf>
    <xf numFmtId="4" fontId="2" fillId="10" borderId="17" xfId="0" applyNumberFormat="1" applyFont="1" applyFill="1" applyBorder="1" applyAlignment="1">
      <alignment horizontal="center"/>
    </xf>
    <xf numFmtId="3" fontId="2" fillId="10" borderId="17" xfId="0" applyNumberFormat="1" applyFont="1" applyFill="1" applyBorder="1" applyAlignment="1">
      <alignment horizontal="right"/>
    </xf>
    <xf numFmtId="4" fontId="1" fillId="10" borderId="17" xfId="0" applyNumberFormat="1" applyFont="1" applyFill="1" applyBorder="1" applyAlignment="1">
      <alignment horizontal="center"/>
    </xf>
    <xf numFmtId="169" fontId="2" fillId="10" borderId="17" xfId="0" applyNumberFormat="1" applyFont="1" applyFill="1" applyBorder="1" applyAlignment="1">
      <alignment horizontal="center"/>
    </xf>
    <xf numFmtId="4" fontId="2" fillId="10" borderId="17" xfId="0" applyNumberFormat="1" applyFont="1" applyFill="1" applyBorder="1" applyAlignment="1">
      <alignment horizontal="right"/>
    </xf>
    <xf numFmtId="0" fontId="1" fillId="10" borderId="17" xfId="0" applyFont="1" applyFill="1" applyBorder="1" applyAlignment="1">
      <alignment horizontal="center"/>
    </xf>
    <xf numFmtId="4" fontId="1" fillId="10" borderId="17" xfId="0" applyNumberFormat="1" applyFont="1" applyFill="1" applyBorder="1" applyAlignment="1">
      <alignment horizontal="right"/>
    </xf>
    <xf numFmtId="3" fontId="2" fillId="10" borderId="18" xfId="0" applyNumberFormat="1" applyFont="1" applyFill="1" applyBorder="1" applyAlignment="1">
      <alignment horizontal="center"/>
    </xf>
    <xf numFmtId="0" fontId="2" fillId="10" borderId="18" xfId="0" applyFont="1" applyFill="1" applyBorder="1" applyAlignment="1">
      <alignment horizontal="left"/>
    </xf>
    <xf numFmtId="166" fontId="2" fillId="10" borderId="18" xfId="0" applyNumberFormat="1" applyFont="1" applyFill="1" applyBorder="1" applyAlignment="1">
      <alignment horizontal="left"/>
    </xf>
    <xf numFmtId="4" fontId="2" fillId="10" borderId="18" xfId="0" applyNumberFormat="1" applyFont="1" applyFill="1" applyBorder="1" applyAlignment="1">
      <alignment horizontal="center"/>
    </xf>
    <xf numFmtId="3" fontId="2" fillId="10" borderId="18" xfId="0" applyNumberFormat="1" applyFont="1" applyFill="1" applyBorder="1" applyAlignment="1">
      <alignment horizontal="right"/>
    </xf>
    <xf numFmtId="4" fontId="1" fillId="10" borderId="18" xfId="0" applyNumberFormat="1" applyFont="1" applyFill="1" applyBorder="1" applyAlignment="1">
      <alignment horizontal="center"/>
    </xf>
    <xf numFmtId="169" fontId="2" fillId="10" borderId="18" xfId="0" applyNumberFormat="1" applyFont="1" applyFill="1" applyBorder="1" applyAlignment="1">
      <alignment horizontal="center"/>
    </xf>
    <xf numFmtId="0" fontId="1" fillId="10" borderId="18" xfId="0" applyFont="1" applyFill="1" applyBorder="1" applyAlignment="1">
      <alignment horizontal="center"/>
    </xf>
    <xf numFmtId="4" fontId="1" fillId="10" borderId="18" xfId="0" applyNumberFormat="1" applyFont="1" applyFill="1" applyBorder="1" applyAlignment="1">
      <alignment horizontal="right"/>
    </xf>
    <xf numFmtId="4" fontId="2" fillId="10" borderId="18" xfId="0" applyNumberFormat="1" applyFont="1" applyFill="1" applyBorder="1" applyAlignment="1">
      <alignment horizontal="right"/>
    </xf>
    <xf numFmtId="3" fontId="2" fillId="10" borderId="19" xfId="0" applyNumberFormat="1" applyFont="1" applyFill="1" applyBorder="1" applyAlignment="1">
      <alignment horizontal="center"/>
    </xf>
    <xf numFmtId="0" fontId="2" fillId="10" borderId="19" xfId="0" applyFont="1" applyFill="1" applyBorder="1" applyAlignment="1">
      <alignment horizontal="left"/>
    </xf>
    <xf numFmtId="166" fontId="2" fillId="10" borderId="19" xfId="0" applyNumberFormat="1" applyFont="1" applyFill="1" applyBorder="1" applyAlignment="1">
      <alignment horizontal="left"/>
    </xf>
    <xf numFmtId="4" fontId="2" fillId="10" borderId="19" xfId="0" applyNumberFormat="1" applyFont="1" applyFill="1" applyBorder="1" applyAlignment="1">
      <alignment horizontal="center"/>
    </xf>
    <xf numFmtId="3" fontId="2" fillId="10" borderId="19" xfId="0" applyNumberFormat="1" applyFont="1" applyFill="1" applyBorder="1" applyAlignment="1">
      <alignment horizontal="right"/>
    </xf>
    <xf numFmtId="4" fontId="1" fillId="10" borderId="19" xfId="0" applyNumberFormat="1" applyFont="1" applyFill="1" applyBorder="1" applyAlignment="1">
      <alignment horizontal="center"/>
    </xf>
    <xf numFmtId="169" fontId="2" fillId="10" borderId="19" xfId="0" applyNumberFormat="1" applyFont="1" applyFill="1" applyBorder="1" applyAlignment="1">
      <alignment horizontal="center"/>
    </xf>
    <xf numFmtId="3" fontId="2" fillId="10" borderId="19" xfId="0" applyNumberFormat="1" applyFont="1" applyFill="1" applyBorder="1" applyAlignment="1">
      <alignment horizontal="left"/>
    </xf>
    <xf numFmtId="0" fontId="10" fillId="10" borderId="19" xfId="0" applyFont="1" applyFill="1" applyBorder="1" applyAlignment="1">
      <alignment horizontal="center"/>
    </xf>
    <xf numFmtId="4" fontId="1" fillId="10" borderId="19" xfId="0" applyNumberFormat="1" applyFont="1" applyFill="1" applyBorder="1" applyAlignment="1">
      <alignment horizontal="right"/>
    </xf>
    <xf numFmtId="164" fontId="2" fillId="10" borderId="19" xfId="0" applyNumberFormat="1" applyFont="1" applyFill="1" applyBorder="1" applyAlignment="1">
      <alignment horizontal="right"/>
    </xf>
    <xf numFmtId="0" fontId="1" fillId="0" borderId="6" xfId="0" applyFont="1" applyBorder="1" applyAlignment="1">
      <alignment horizontal="left"/>
    </xf>
    <xf numFmtId="19" fontId="2" fillId="10" borderId="18" xfId="0" applyNumberFormat="1" applyFont="1" applyFill="1" applyBorder="1" applyAlignment="1">
      <alignment horizontal="left"/>
    </xf>
    <xf numFmtId="3" fontId="2" fillId="10" borderId="18" xfId="0" applyNumberFormat="1" applyFont="1" applyFill="1" applyBorder="1" applyAlignment="1">
      <alignment horizontal="left"/>
    </xf>
    <xf numFmtId="164" fontId="2" fillId="10" borderId="18" xfId="0" applyNumberFormat="1" applyFont="1" applyFill="1" applyBorder="1" applyAlignment="1">
      <alignment horizontal="right"/>
    </xf>
    <xf numFmtId="169" fontId="11" fillId="10" borderId="2" xfId="0" applyNumberFormat="1" applyFont="1" applyFill="1" applyBorder="1" applyAlignment="1">
      <alignment horizontal="center"/>
    </xf>
    <xf numFmtId="0" fontId="1" fillId="10" borderId="19" xfId="0" applyFont="1" applyFill="1" applyBorder="1" applyAlignment="1">
      <alignment horizontal="center"/>
    </xf>
    <xf numFmtId="4" fontId="2" fillId="10" borderId="19" xfId="0" applyNumberFormat="1" applyFont="1" applyFill="1" applyBorder="1" applyAlignment="1">
      <alignment horizontal="left"/>
    </xf>
    <xf numFmtId="4" fontId="2" fillId="10" borderId="19" xfId="0" applyNumberFormat="1" applyFont="1" applyFill="1" applyBorder="1" applyAlignment="1">
      <alignment horizontal="right"/>
    </xf>
    <xf numFmtId="0" fontId="1" fillId="0" borderId="20" xfId="0" applyFont="1" applyBorder="1" applyAlignment="1">
      <alignment horizontal="left"/>
    </xf>
    <xf numFmtId="0" fontId="2" fillId="0" borderId="20" xfId="0" applyFont="1" applyBorder="1" applyAlignment="1">
      <alignment horizontal="left"/>
    </xf>
    <xf numFmtId="4" fontId="2" fillId="10" borderId="18" xfId="0" applyNumberFormat="1" applyFont="1" applyFill="1" applyBorder="1" applyAlignment="1">
      <alignment horizontal="left"/>
    </xf>
    <xf numFmtId="166" fontId="0" fillId="0" borderId="0" xfId="0" applyNumberFormat="1"/>
    <xf numFmtId="169" fontId="0" fillId="0" borderId="0" xfId="0" applyNumberFormat="1"/>
    <xf numFmtId="0" fontId="12" fillId="0" borderId="0" xfId="0" applyFont="1"/>
    <xf numFmtId="0" fontId="13" fillId="0" borderId="0" xfId="0" applyFont="1"/>
    <xf numFmtId="0" fontId="15" fillId="0" borderId="0" xfId="0" applyFont="1"/>
    <xf numFmtId="22" fontId="15" fillId="0" borderId="0" xfId="0" applyNumberFormat="1" applyFont="1"/>
    <xf numFmtId="14" fontId="15" fillId="0" borderId="0" xfId="0" applyNumberFormat="1" applyFont="1"/>
    <xf numFmtId="0" fontId="14" fillId="0" borderId="0" xfId="0" applyFont="1"/>
    <xf numFmtId="0" fontId="16" fillId="0" borderId="0" xfId="0" applyFont="1"/>
    <xf numFmtId="0" fontId="2" fillId="0" borderId="13" xfId="0" applyFont="1" applyBorder="1" applyAlignment="1">
      <alignment horizontal="left" vertical="top"/>
    </xf>
    <xf numFmtId="0" fontId="2" fillId="0" borderId="13" xfId="0" applyFont="1" applyBorder="1" applyAlignment="1">
      <alignment horizontal="left"/>
    </xf>
    <xf numFmtId="0" fontId="3" fillId="0" borderId="1" xfId="0" applyFont="1" applyBorder="1" applyAlignment="1">
      <alignment horizontal="left"/>
    </xf>
    <xf numFmtId="0" fontId="2" fillId="0" borderId="1" xfId="0" applyFont="1" applyBorder="1" applyAlignment="1">
      <alignment horizontal="center" vertical="top"/>
    </xf>
    <xf numFmtId="0" fontId="2" fillId="0" borderId="1" xfId="0" applyFont="1" applyBorder="1" applyAlignment="1">
      <alignment horizontal="center"/>
    </xf>
    <xf numFmtId="0" fontId="2" fillId="2" borderId="2" xfId="0" applyFont="1" applyFill="1" applyBorder="1" applyAlignment="1">
      <alignment horizontal="left"/>
    </xf>
    <xf numFmtId="0" fontId="2" fillId="0" borderId="1" xfId="0" applyFont="1" applyBorder="1" applyAlignment="1">
      <alignment horizontal="left"/>
    </xf>
    <xf numFmtId="0" fontId="5" fillId="6" borderId="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B1003"/>
  <sheetViews>
    <sheetView workbookViewId="0">
      <pane ySplit="1" topLeftCell="A2" activePane="bottomLeft" state="frozen"/>
      <selection pane="bottomLeft"/>
    </sheetView>
  </sheetViews>
  <sheetFormatPr baseColWidth="10" defaultColWidth="8.83203125" defaultRowHeight="15" x14ac:dyDescent="0.2"/>
  <cols>
    <col min="1" max="1" width="14" style="8" bestFit="1" customWidth="1"/>
    <col min="2" max="2" width="14.1640625" bestFit="1" customWidth="1"/>
    <col min="3" max="3" width="11.83203125" style="215" bestFit="1" customWidth="1"/>
    <col min="4" max="4" width="11.6640625" style="18" bestFit="1" customWidth="1"/>
    <col min="5" max="5" width="10.5" style="8" bestFit="1" customWidth="1"/>
    <col min="6" max="6" width="11.83203125" style="18" bestFit="1" customWidth="1"/>
    <col min="7" max="7" width="17" style="216" bestFit="1" customWidth="1"/>
    <col min="8" max="8" width="16.6640625" style="216" bestFit="1" customWidth="1"/>
    <col min="9" max="9" width="12.5" style="8" bestFit="1" customWidth="1"/>
    <col min="10" max="10" width="12.1640625" style="8" bestFit="1" customWidth="1"/>
    <col min="11" max="11" width="13" bestFit="1" customWidth="1"/>
    <col min="12" max="12" width="17.5" style="8" bestFit="1" customWidth="1"/>
    <col min="13" max="13" width="16.5" style="18" bestFit="1" customWidth="1"/>
    <col min="14" max="14" width="11.83203125" style="8" bestFit="1" customWidth="1"/>
    <col min="15" max="15" width="11.83203125" style="18" bestFit="1" customWidth="1"/>
    <col min="16" max="16" width="14.5" style="18" bestFit="1" customWidth="1"/>
    <col min="17" max="17" width="97.83203125" style="14" bestFit="1" customWidth="1"/>
    <col min="18" max="28" width="11.83203125" bestFit="1" customWidth="1"/>
  </cols>
  <sheetData>
    <row r="1" spans="1:28" ht="17.25" customHeight="1" x14ac:dyDescent="0.2">
      <c r="A1" s="115" t="s">
        <v>0</v>
      </c>
      <c r="B1" s="43" t="s">
        <v>108</v>
      </c>
      <c r="C1" s="116" t="s">
        <v>1</v>
      </c>
      <c r="D1" s="117" t="s">
        <v>109</v>
      </c>
      <c r="E1" s="115" t="s">
        <v>110</v>
      </c>
      <c r="F1" s="118" t="s">
        <v>3</v>
      </c>
      <c r="G1" s="119" t="s">
        <v>111</v>
      </c>
      <c r="H1" s="119" t="s">
        <v>112</v>
      </c>
      <c r="I1" s="115" t="s">
        <v>113</v>
      </c>
      <c r="J1" s="115" t="s">
        <v>114</v>
      </c>
      <c r="K1" s="43" t="s">
        <v>115</v>
      </c>
      <c r="L1" s="115" t="s">
        <v>116</v>
      </c>
      <c r="M1" s="117" t="s">
        <v>117</v>
      </c>
      <c r="N1" s="115" t="s">
        <v>4</v>
      </c>
      <c r="O1" s="117" t="s">
        <v>7</v>
      </c>
      <c r="P1" s="120" t="s">
        <v>118</v>
      </c>
      <c r="Q1" s="43" t="s">
        <v>119</v>
      </c>
      <c r="R1" s="121"/>
      <c r="S1" s="121"/>
      <c r="T1" s="121"/>
      <c r="U1" s="121"/>
      <c r="V1" s="121"/>
      <c r="W1" s="121"/>
      <c r="X1" s="121"/>
      <c r="Y1" s="121"/>
      <c r="Z1" s="121"/>
      <c r="AA1" s="121"/>
      <c r="AB1" s="121"/>
    </row>
    <row r="2" spans="1:28" ht="17.25" customHeight="1" x14ac:dyDescent="0.2">
      <c r="A2" s="122">
        <v>0</v>
      </c>
      <c r="B2" s="123" t="s">
        <v>120</v>
      </c>
      <c r="C2" s="124"/>
      <c r="D2" s="125"/>
      <c r="E2" s="126"/>
      <c r="F2" s="125"/>
      <c r="G2" s="127" t="s">
        <v>1321</v>
      </c>
      <c r="H2" s="127" t="s">
        <v>1322</v>
      </c>
      <c r="I2" s="126"/>
      <c r="J2" s="126"/>
      <c r="K2" s="128"/>
      <c r="L2" s="126"/>
      <c r="M2" s="129"/>
      <c r="N2" s="126"/>
      <c r="O2" s="130"/>
      <c r="P2" s="130"/>
      <c r="Q2" s="4"/>
    </row>
    <row r="3" spans="1:28" ht="17.25" customHeight="1" x14ac:dyDescent="0.2">
      <c r="A3" s="122">
        <v>1</v>
      </c>
      <c r="B3" s="123" t="s">
        <v>9</v>
      </c>
      <c r="C3" s="131" t="s">
        <v>65</v>
      </c>
      <c r="D3" s="125">
        <v>331.50599999999997</v>
      </c>
      <c r="E3" s="132">
        <v>2323</v>
      </c>
      <c r="F3" s="125">
        <f t="shared" ref="F3:F48" si="0">0.9933*(D3 + E3/1000)-0.41</f>
        <v>331.18234569999993</v>
      </c>
      <c r="G3" s="127" t="s">
        <v>1323</v>
      </c>
      <c r="H3" s="127" t="s">
        <v>1323</v>
      </c>
      <c r="I3" s="132">
        <v>120</v>
      </c>
      <c r="J3" s="132">
        <v>158603</v>
      </c>
      <c r="K3" s="128" t="s">
        <v>1324</v>
      </c>
      <c r="L3" s="132">
        <v>106373</v>
      </c>
      <c r="M3" s="129">
        <f t="shared" ref="M3:M9" si="1">SQRT(L3)</f>
        <v>326.14873907467432</v>
      </c>
      <c r="N3" s="129">
        <v>410804.1</v>
      </c>
      <c r="O3" s="130">
        <f t="shared" ref="O3:O9" si="2">L3/N3</f>
        <v>0.25893850621257192</v>
      </c>
      <c r="P3" s="130">
        <f t="shared" ref="P3:P9" si="3">M3/N3</f>
        <v>7.9392766302642634E-4</v>
      </c>
      <c r="Q3" s="4"/>
    </row>
    <row r="4" spans="1:28" ht="17.25" customHeight="1" x14ac:dyDescent="0.2">
      <c r="A4" s="122">
        <v>2</v>
      </c>
      <c r="B4" s="123" t="s">
        <v>9</v>
      </c>
      <c r="C4" s="131" t="s">
        <v>65</v>
      </c>
      <c r="D4" s="125">
        <v>332.00599999999997</v>
      </c>
      <c r="E4" s="132">
        <v>2323</v>
      </c>
      <c r="F4" s="125">
        <f t="shared" si="0"/>
        <v>331.67899569999992</v>
      </c>
      <c r="G4" s="127" t="s">
        <v>1325</v>
      </c>
      <c r="H4" s="127" t="s">
        <v>1326</v>
      </c>
      <c r="I4" s="132">
        <v>60</v>
      </c>
      <c r="J4" s="132">
        <v>7460</v>
      </c>
      <c r="K4" s="128" t="s">
        <v>1324</v>
      </c>
      <c r="L4" s="132">
        <v>4781</v>
      </c>
      <c r="M4" s="129">
        <f t="shared" si="1"/>
        <v>69.144775652250118</v>
      </c>
      <c r="N4" s="129">
        <v>18921.82</v>
      </c>
      <c r="O4" s="130">
        <f t="shared" si="2"/>
        <v>0.25267125466789137</v>
      </c>
      <c r="P4" s="130">
        <f t="shared" si="3"/>
        <v>3.6542349336506803E-3</v>
      </c>
      <c r="Q4" s="4"/>
    </row>
    <row r="5" spans="1:28" ht="17.25" customHeight="1" x14ac:dyDescent="0.2">
      <c r="A5" s="122">
        <v>3</v>
      </c>
      <c r="B5" s="123" t="s">
        <v>9</v>
      </c>
      <c r="C5" s="131" t="s">
        <v>65</v>
      </c>
      <c r="D5" s="125">
        <v>332.52</v>
      </c>
      <c r="E5" s="132">
        <v>2323</v>
      </c>
      <c r="F5" s="125">
        <f t="shared" si="0"/>
        <v>332.18955189999991</v>
      </c>
      <c r="G5" s="127" t="s">
        <v>1327</v>
      </c>
      <c r="H5" s="127" t="s">
        <v>1328</v>
      </c>
      <c r="I5" s="132">
        <v>61</v>
      </c>
      <c r="J5" s="132">
        <v>7599</v>
      </c>
      <c r="K5" s="128" t="s">
        <v>1324</v>
      </c>
      <c r="L5" s="132">
        <v>4745</v>
      </c>
      <c r="M5" s="129">
        <f t="shared" si="1"/>
        <v>68.8839603971781</v>
      </c>
      <c r="N5" s="129">
        <v>17890.53</v>
      </c>
      <c r="O5" s="130">
        <f t="shared" si="2"/>
        <v>0.26522411577521743</v>
      </c>
      <c r="P5" s="130">
        <f t="shared" si="3"/>
        <v>3.8503029478264817E-3</v>
      </c>
      <c r="Q5" s="4"/>
    </row>
    <row r="6" spans="1:28" ht="17.25" customHeight="1" x14ac:dyDescent="0.2">
      <c r="A6" s="122">
        <v>4</v>
      </c>
      <c r="B6" s="123" t="s">
        <v>9</v>
      </c>
      <c r="C6" s="131" t="s">
        <v>65</v>
      </c>
      <c r="D6" s="125">
        <v>333.01</v>
      </c>
      <c r="E6" s="132">
        <v>2323</v>
      </c>
      <c r="F6" s="125">
        <f t="shared" si="0"/>
        <v>332.67626889999991</v>
      </c>
      <c r="G6" s="127" t="s">
        <v>1329</v>
      </c>
      <c r="H6" s="127" t="s">
        <v>1330</v>
      </c>
      <c r="I6" s="132">
        <v>52</v>
      </c>
      <c r="J6" s="132">
        <v>6664</v>
      </c>
      <c r="K6" s="128" t="s">
        <v>1324</v>
      </c>
      <c r="L6" s="132">
        <v>4708</v>
      </c>
      <c r="M6" s="129">
        <f t="shared" si="1"/>
        <v>68.614867193633771</v>
      </c>
      <c r="N6" s="129">
        <v>17971.97</v>
      </c>
      <c r="O6" s="130">
        <f t="shared" si="2"/>
        <v>0.2619634909250349</v>
      </c>
      <c r="P6" s="130">
        <f t="shared" si="3"/>
        <v>3.8178823575620129E-3</v>
      </c>
      <c r="Q6" s="4"/>
    </row>
    <row r="7" spans="1:28" ht="17.25" customHeight="1" x14ac:dyDescent="0.2">
      <c r="A7" s="122">
        <v>5</v>
      </c>
      <c r="B7" s="123" t="s">
        <v>9</v>
      </c>
      <c r="C7" s="131" t="s">
        <v>65</v>
      </c>
      <c r="D7" s="125">
        <v>329.5</v>
      </c>
      <c r="E7" s="132">
        <v>2323</v>
      </c>
      <c r="F7" s="125">
        <f t="shared" si="0"/>
        <v>329.18978589999995</v>
      </c>
      <c r="G7" s="127" t="s">
        <v>1331</v>
      </c>
      <c r="H7" s="127" t="s">
        <v>1332</v>
      </c>
      <c r="I7" s="132">
        <v>58</v>
      </c>
      <c r="J7" s="132">
        <v>16760</v>
      </c>
      <c r="K7" s="128" t="s">
        <v>1324</v>
      </c>
      <c r="L7" s="132">
        <v>7966</v>
      </c>
      <c r="M7" s="129">
        <f t="shared" si="1"/>
        <v>89.252450946738719</v>
      </c>
      <c r="N7" s="129">
        <v>43491.67</v>
      </c>
      <c r="O7" s="130">
        <f t="shared" si="2"/>
        <v>0.18316151115834367</v>
      </c>
      <c r="P7" s="130">
        <f t="shared" si="3"/>
        <v>2.0521734609578964E-3</v>
      </c>
      <c r="Q7" s="4"/>
    </row>
    <row r="8" spans="1:28" ht="17.25" customHeight="1" x14ac:dyDescent="0.2">
      <c r="A8" s="122">
        <v>6</v>
      </c>
      <c r="B8" s="123" t="s">
        <v>9</v>
      </c>
      <c r="C8" s="131" t="s">
        <v>65</v>
      </c>
      <c r="D8" s="125">
        <v>328.5</v>
      </c>
      <c r="E8" s="132">
        <v>2323</v>
      </c>
      <c r="F8" s="125">
        <f t="shared" si="0"/>
        <v>328.19648589999991</v>
      </c>
      <c r="G8" s="127" t="s">
        <v>1333</v>
      </c>
      <c r="H8" s="127" t="s">
        <v>1334</v>
      </c>
      <c r="I8" s="132">
        <v>56</v>
      </c>
      <c r="J8" s="132">
        <v>16543</v>
      </c>
      <c r="K8" s="128" t="s">
        <v>1324</v>
      </c>
      <c r="L8" s="132">
        <v>2535</v>
      </c>
      <c r="M8" s="129">
        <f t="shared" si="1"/>
        <v>50.34878350069642</v>
      </c>
      <c r="N8" s="129">
        <v>47369.27</v>
      </c>
      <c r="O8" s="130">
        <f t="shared" si="2"/>
        <v>5.3515707546263648E-2</v>
      </c>
      <c r="P8" s="130">
        <f t="shared" si="3"/>
        <v>1.062899713267619E-3</v>
      </c>
      <c r="Q8" s="4"/>
    </row>
    <row r="9" spans="1:28" ht="17.25" customHeight="1" x14ac:dyDescent="0.2">
      <c r="A9" s="122">
        <v>7</v>
      </c>
      <c r="B9" s="123" t="s">
        <v>9</v>
      </c>
      <c r="C9" s="131" t="s">
        <v>65</v>
      </c>
      <c r="D9" s="125">
        <v>330.5</v>
      </c>
      <c r="E9" s="132">
        <v>2323</v>
      </c>
      <c r="F9" s="125">
        <f t="shared" si="0"/>
        <v>330.18308589999992</v>
      </c>
      <c r="G9" s="127" t="s">
        <v>1335</v>
      </c>
      <c r="H9" s="127" t="s">
        <v>1336</v>
      </c>
      <c r="I9" s="132">
        <v>55</v>
      </c>
      <c r="J9" s="132">
        <v>7212</v>
      </c>
      <c r="K9" s="128" t="s">
        <v>1324</v>
      </c>
      <c r="L9" s="132">
        <v>4887</v>
      </c>
      <c r="M9" s="129">
        <f t="shared" si="1"/>
        <v>69.907081186386264</v>
      </c>
      <c r="N9" s="129">
        <v>20117.080000000002</v>
      </c>
      <c r="O9" s="130">
        <f t="shared" si="2"/>
        <v>0.2429279000729728</v>
      </c>
      <c r="P9" s="130">
        <f t="shared" si="3"/>
        <v>3.4750113429178717E-3</v>
      </c>
      <c r="Q9" s="4"/>
    </row>
    <row r="10" spans="1:28" ht="17.25" customHeight="1" x14ac:dyDescent="0.2">
      <c r="A10" s="122">
        <v>8</v>
      </c>
      <c r="B10" s="123" t="s">
        <v>157</v>
      </c>
      <c r="C10" s="131" t="s">
        <v>65</v>
      </c>
      <c r="D10" s="125">
        <v>333.01</v>
      </c>
      <c r="E10" s="132">
        <v>2323</v>
      </c>
      <c r="F10" s="125">
        <f t="shared" si="0"/>
        <v>332.67626889999991</v>
      </c>
      <c r="G10" s="127" t="s">
        <v>1337</v>
      </c>
      <c r="H10" s="127" t="s">
        <v>1338</v>
      </c>
      <c r="I10" s="126"/>
      <c r="J10" s="126"/>
      <c r="K10" s="128"/>
      <c r="L10" s="126"/>
      <c r="M10" s="129"/>
      <c r="N10" s="126"/>
      <c r="O10" s="130"/>
      <c r="P10" s="130"/>
      <c r="Q10" s="4"/>
    </row>
    <row r="11" spans="1:28" ht="17.25" customHeight="1" x14ac:dyDescent="0.2">
      <c r="A11" s="122">
        <v>9</v>
      </c>
      <c r="B11" s="123" t="s">
        <v>120</v>
      </c>
      <c r="C11" s="131" t="s">
        <v>62</v>
      </c>
      <c r="D11" s="125"/>
      <c r="E11" s="126"/>
      <c r="F11" s="125">
        <f t="shared" si="0"/>
        <v>-0.41</v>
      </c>
      <c r="G11" s="127" t="s">
        <v>1339</v>
      </c>
      <c r="H11" s="127" t="s">
        <v>1340</v>
      </c>
      <c r="I11" s="126"/>
      <c r="J11" s="126"/>
      <c r="K11" s="128"/>
      <c r="L11" s="126"/>
      <c r="M11" s="129"/>
      <c r="N11" s="126"/>
      <c r="O11" s="130"/>
      <c r="P11" s="130"/>
      <c r="Q11" s="4"/>
    </row>
    <row r="12" spans="1:28" ht="17.25" customHeight="1" x14ac:dyDescent="0.2">
      <c r="A12" s="122">
        <v>10</v>
      </c>
      <c r="B12" s="123" t="s">
        <v>120</v>
      </c>
      <c r="C12" s="131" t="s">
        <v>62</v>
      </c>
      <c r="D12" s="125"/>
      <c r="E12" s="126"/>
      <c r="F12" s="125">
        <f t="shared" si="0"/>
        <v>-0.41</v>
      </c>
      <c r="G12" s="127" t="s">
        <v>1341</v>
      </c>
      <c r="H12" s="127" t="s">
        <v>1342</v>
      </c>
      <c r="I12" s="126"/>
      <c r="J12" s="126"/>
      <c r="K12" s="128"/>
      <c r="L12" s="126"/>
      <c r="M12" s="129"/>
      <c r="N12" s="126"/>
      <c r="O12" s="130"/>
      <c r="P12" s="130"/>
      <c r="Q12" s="4"/>
    </row>
    <row r="13" spans="1:28" ht="17.25" customHeight="1" x14ac:dyDescent="0.2">
      <c r="A13" s="122">
        <v>11</v>
      </c>
      <c r="B13" s="123" t="s">
        <v>120</v>
      </c>
      <c r="C13" s="131" t="s">
        <v>62</v>
      </c>
      <c r="D13" s="125"/>
      <c r="E13" s="126"/>
      <c r="F13" s="125">
        <f t="shared" si="0"/>
        <v>-0.41</v>
      </c>
      <c r="G13" s="127" t="s">
        <v>1343</v>
      </c>
      <c r="H13" s="127" t="s">
        <v>1344</v>
      </c>
      <c r="I13" s="126"/>
      <c r="J13" s="126"/>
      <c r="K13" s="128"/>
      <c r="L13" s="126"/>
      <c r="M13" s="129"/>
      <c r="N13" s="126"/>
      <c r="O13" s="130"/>
      <c r="P13" s="130"/>
      <c r="Q13" s="4"/>
    </row>
    <row r="14" spans="1:28" ht="17.25" customHeight="1" x14ac:dyDescent="0.2">
      <c r="A14" s="122">
        <v>12</v>
      </c>
      <c r="B14" s="123" t="s">
        <v>120</v>
      </c>
      <c r="C14" s="131" t="s">
        <v>62</v>
      </c>
      <c r="D14" s="125"/>
      <c r="E14" s="126"/>
      <c r="F14" s="125">
        <f t="shared" si="0"/>
        <v>-0.41</v>
      </c>
      <c r="G14" s="127" t="s">
        <v>1345</v>
      </c>
      <c r="H14" s="127" t="s">
        <v>1346</v>
      </c>
      <c r="I14" s="126"/>
      <c r="J14" s="126"/>
      <c r="K14" s="128"/>
      <c r="L14" s="126"/>
      <c r="M14" s="129"/>
      <c r="N14" s="126"/>
      <c r="O14" s="130"/>
      <c r="P14" s="130"/>
      <c r="Q14" s="4"/>
    </row>
    <row r="15" spans="1:28" ht="17.25" customHeight="1" x14ac:dyDescent="0.2">
      <c r="A15" s="122">
        <v>13</v>
      </c>
      <c r="B15" s="123" t="s">
        <v>120</v>
      </c>
      <c r="C15" s="131" t="s">
        <v>62</v>
      </c>
      <c r="D15" s="125"/>
      <c r="E15" s="126"/>
      <c r="F15" s="125">
        <f t="shared" si="0"/>
        <v>-0.41</v>
      </c>
      <c r="G15" s="127" t="s">
        <v>1347</v>
      </c>
      <c r="H15" s="127" t="s">
        <v>1348</v>
      </c>
      <c r="I15" s="126"/>
      <c r="J15" s="126"/>
      <c r="K15" s="128"/>
      <c r="L15" s="126"/>
      <c r="M15" s="129"/>
      <c r="N15" s="126"/>
      <c r="O15" s="130"/>
      <c r="P15" s="130"/>
      <c r="Q15" s="4"/>
    </row>
    <row r="16" spans="1:28" ht="17.25" customHeight="1" x14ac:dyDescent="0.2">
      <c r="A16" s="122">
        <v>14</v>
      </c>
      <c r="B16" s="123" t="s">
        <v>120</v>
      </c>
      <c r="C16" s="131" t="s">
        <v>62</v>
      </c>
      <c r="D16" s="125"/>
      <c r="E16" s="126"/>
      <c r="F16" s="125">
        <f t="shared" si="0"/>
        <v>-0.41</v>
      </c>
      <c r="G16" s="127" t="s">
        <v>1349</v>
      </c>
      <c r="H16" s="127" t="s">
        <v>1350</v>
      </c>
      <c r="I16" s="126"/>
      <c r="J16" s="126"/>
      <c r="K16" s="128"/>
      <c r="L16" s="126"/>
      <c r="M16" s="129"/>
      <c r="N16" s="126"/>
      <c r="O16" s="130"/>
      <c r="P16" s="130"/>
      <c r="Q16" s="4" t="s">
        <v>1351</v>
      </c>
    </row>
    <row r="17" spans="1:17" ht="17.25" customHeight="1" x14ac:dyDescent="0.2">
      <c r="A17" s="122">
        <v>15</v>
      </c>
      <c r="B17" s="123" t="s">
        <v>120</v>
      </c>
      <c r="C17" s="131" t="s">
        <v>62</v>
      </c>
      <c r="D17" s="125"/>
      <c r="E17" s="126"/>
      <c r="F17" s="125">
        <f t="shared" si="0"/>
        <v>-0.41</v>
      </c>
      <c r="G17" s="127" t="s">
        <v>1352</v>
      </c>
      <c r="H17" s="127" t="s">
        <v>1352</v>
      </c>
      <c r="I17" s="126"/>
      <c r="J17" s="126"/>
      <c r="K17" s="128"/>
      <c r="L17" s="126"/>
      <c r="M17" s="129"/>
      <c r="N17" s="126"/>
      <c r="O17" s="130"/>
      <c r="P17" s="130"/>
      <c r="Q17" s="4" t="s">
        <v>1353</v>
      </c>
    </row>
    <row r="18" spans="1:17" ht="17.25" customHeight="1" x14ac:dyDescent="0.2">
      <c r="A18" s="122">
        <v>16</v>
      </c>
      <c r="B18" s="123" t="s">
        <v>120</v>
      </c>
      <c r="C18" s="131" t="s">
        <v>62</v>
      </c>
      <c r="D18" s="125">
        <v>329.36700000000002</v>
      </c>
      <c r="E18" s="132">
        <v>2084</v>
      </c>
      <c r="F18" s="125">
        <f t="shared" si="0"/>
        <v>328.82027829999998</v>
      </c>
      <c r="G18" s="133" t="s">
        <v>1354</v>
      </c>
      <c r="H18" s="133" t="s">
        <v>1354</v>
      </c>
      <c r="I18" s="126"/>
      <c r="J18" s="126"/>
      <c r="K18" s="128"/>
      <c r="L18" s="126"/>
      <c r="M18" s="129"/>
      <c r="N18" s="126"/>
      <c r="O18" s="130"/>
      <c r="P18" s="130"/>
      <c r="Q18" s="4"/>
    </row>
    <row r="19" spans="1:17" ht="17.25" customHeight="1" x14ac:dyDescent="0.2">
      <c r="A19" s="122">
        <v>17</v>
      </c>
      <c r="B19" s="123" t="s">
        <v>9</v>
      </c>
      <c r="C19" s="131" t="s">
        <v>62</v>
      </c>
      <c r="D19" s="125">
        <v>329.36700000000002</v>
      </c>
      <c r="E19" s="132">
        <v>2084</v>
      </c>
      <c r="F19" s="125">
        <f t="shared" si="0"/>
        <v>328.82027829999998</v>
      </c>
      <c r="G19" s="127" t="s">
        <v>1355</v>
      </c>
      <c r="H19" s="134">
        <v>25569.041962604166</v>
      </c>
      <c r="I19" s="132">
        <v>253</v>
      </c>
      <c r="J19" s="126"/>
      <c r="K19" s="128" t="s">
        <v>1356</v>
      </c>
      <c r="L19" s="132">
        <v>11799</v>
      </c>
      <c r="M19" s="129">
        <f t="shared" ref="M19:M36" si="4">SQRT(L19)</f>
        <v>108.62320194139004</v>
      </c>
      <c r="N19" s="129">
        <v>122068.1</v>
      </c>
      <c r="O19" s="130">
        <f t="shared" ref="O19:O36" si="5">L19/N19</f>
        <v>9.6659159927941857E-2</v>
      </c>
      <c r="P19" s="130">
        <f t="shared" ref="P19:P36" si="6">M19/N19</f>
        <v>8.898573987912487E-4</v>
      </c>
      <c r="Q19" s="4"/>
    </row>
    <row r="20" spans="1:17" ht="17.25" customHeight="1" x14ac:dyDescent="0.2">
      <c r="A20" s="122">
        <v>19</v>
      </c>
      <c r="B20" s="123" t="s">
        <v>9</v>
      </c>
      <c r="C20" s="131" t="s">
        <v>62</v>
      </c>
      <c r="D20" s="125">
        <v>334.39600000000002</v>
      </c>
      <c r="E20" s="132">
        <v>2084</v>
      </c>
      <c r="F20" s="125">
        <f t="shared" si="0"/>
        <v>333.815584</v>
      </c>
      <c r="G20" s="135">
        <v>25569.041962604166</v>
      </c>
      <c r="H20" s="135">
        <v>25569.041962604166</v>
      </c>
      <c r="I20" s="129">
        <v>252.48</v>
      </c>
      <c r="J20" s="132">
        <v>1739</v>
      </c>
      <c r="K20" s="128" t="s">
        <v>1356</v>
      </c>
      <c r="L20" s="132">
        <v>10491</v>
      </c>
      <c r="M20" s="129">
        <f t="shared" si="4"/>
        <v>102.42558274181309</v>
      </c>
      <c r="N20" s="129">
        <v>41149.21</v>
      </c>
      <c r="O20" s="130">
        <f t="shared" si="5"/>
        <v>0.25495021654121669</v>
      </c>
      <c r="P20" s="130">
        <f t="shared" si="6"/>
        <v>2.4891263463335772E-3</v>
      </c>
      <c r="Q20" s="4" t="s">
        <v>1357</v>
      </c>
    </row>
    <row r="21" spans="1:17" ht="17.25" customHeight="1" x14ac:dyDescent="0.2">
      <c r="A21" s="122">
        <v>20</v>
      </c>
      <c r="B21" s="123" t="s">
        <v>9</v>
      </c>
      <c r="C21" s="131" t="s">
        <v>62</v>
      </c>
      <c r="D21" s="125">
        <v>339.40499999999997</v>
      </c>
      <c r="E21" s="132">
        <v>2084</v>
      </c>
      <c r="F21" s="125">
        <f t="shared" si="0"/>
        <v>338.79102369999993</v>
      </c>
      <c r="G21" s="135">
        <v>25569.041962604166</v>
      </c>
      <c r="H21" s="135">
        <v>25569.041962604166</v>
      </c>
      <c r="I21" s="129">
        <v>251.5</v>
      </c>
      <c r="J21" s="132">
        <v>6491</v>
      </c>
      <c r="K21" s="128" t="s">
        <v>1356</v>
      </c>
      <c r="L21" s="132">
        <v>278608</v>
      </c>
      <c r="M21" s="129">
        <f t="shared" si="4"/>
        <v>527.83330702031299</v>
      </c>
      <c r="N21" s="129">
        <v>158840.76</v>
      </c>
      <c r="O21" s="130">
        <f t="shared" si="5"/>
        <v>1.7540082281147482</v>
      </c>
      <c r="P21" s="130">
        <f t="shared" si="6"/>
        <v>3.3230343837457902E-3</v>
      </c>
      <c r="Q21" s="4"/>
    </row>
    <row r="22" spans="1:17" ht="17.25" customHeight="1" x14ac:dyDescent="0.2">
      <c r="A22" s="122">
        <v>21</v>
      </c>
      <c r="B22" s="123" t="s">
        <v>9</v>
      </c>
      <c r="C22" s="131" t="s">
        <v>62</v>
      </c>
      <c r="D22" s="125">
        <v>344.42</v>
      </c>
      <c r="E22" s="132">
        <v>2084</v>
      </c>
      <c r="F22" s="125">
        <f t="shared" si="0"/>
        <v>343.77242319999999</v>
      </c>
      <c r="G22" s="135">
        <v>25569.041962604166</v>
      </c>
      <c r="H22" s="135">
        <v>25569.041962604166</v>
      </c>
      <c r="I22" s="129">
        <v>250.28</v>
      </c>
      <c r="J22" s="132">
        <v>613</v>
      </c>
      <c r="K22" s="128" t="s">
        <v>1356</v>
      </c>
      <c r="L22" s="132">
        <v>53007</v>
      </c>
      <c r="M22" s="129">
        <f t="shared" si="4"/>
        <v>230.23249119096982</v>
      </c>
      <c r="N22" s="129">
        <v>14640.41</v>
      </c>
      <c r="O22" s="130">
        <f t="shared" si="5"/>
        <v>3.6205953248577054</v>
      </c>
      <c r="P22" s="130">
        <f t="shared" si="6"/>
        <v>1.5725822650524801E-2</v>
      </c>
      <c r="Q22" s="4"/>
    </row>
    <row r="23" spans="1:17" ht="17.25" customHeight="1" x14ac:dyDescent="0.2">
      <c r="A23" s="122">
        <v>22</v>
      </c>
      <c r="B23" s="123" t="s">
        <v>9</v>
      </c>
      <c r="C23" s="131" t="s">
        <v>62</v>
      </c>
      <c r="D23" s="125">
        <v>349.56</v>
      </c>
      <c r="E23" s="132">
        <v>2084</v>
      </c>
      <c r="F23" s="125">
        <f t="shared" si="0"/>
        <v>348.87798519999996</v>
      </c>
      <c r="G23" s="135">
        <v>25569.041962604166</v>
      </c>
      <c r="H23" s="135">
        <v>25569.041962604166</v>
      </c>
      <c r="I23" s="129">
        <v>251.02</v>
      </c>
      <c r="J23" s="132">
        <v>2294</v>
      </c>
      <c r="K23" s="128" t="s">
        <v>1356</v>
      </c>
      <c r="L23" s="132">
        <v>119524</v>
      </c>
      <c r="M23" s="129">
        <f t="shared" si="4"/>
        <v>345.72243201736273</v>
      </c>
      <c r="N23" s="129">
        <v>92990.94</v>
      </c>
      <c r="O23" s="130">
        <f t="shared" si="5"/>
        <v>1.2853295170475747</v>
      </c>
      <c r="P23" s="130">
        <f t="shared" si="6"/>
        <v>3.717807691989808E-3</v>
      </c>
      <c r="Q23" s="4"/>
    </row>
    <row r="24" spans="1:17" ht="17.25" customHeight="1" x14ac:dyDescent="0.2">
      <c r="A24" s="122">
        <v>23</v>
      </c>
      <c r="B24" s="123" t="s">
        <v>9</v>
      </c>
      <c r="C24" s="131" t="s">
        <v>62</v>
      </c>
      <c r="D24" s="125">
        <v>349.56</v>
      </c>
      <c r="E24" s="132">
        <v>2084</v>
      </c>
      <c r="F24" s="125">
        <f t="shared" si="0"/>
        <v>348.87798519999996</v>
      </c>
      <c r="G24" s="135">
        <v>25569.041962604166</v>
      </c>
      <c r="H24" s="135">
        <v>25569.041962604166</v>
      </c>
      <c r="I24" s="129">
        <v>252.54</v>
      </c>
      <c r="J24" s="132">
        <v>9803</v>
      </c>
      <c r="K24" s="128" t="s">
        <v>1356</v>
      </c>
      <c r="L24" s="132">
        <v>504240</v>
      </c>
      <c r="M24" s="129">
        <f t="shared" si="4"/>
        <v>710.09858470496897</v>
      </c>
      <c r="N24" s="132">
        <v>471321</v>
      </c>
      <c r="O24" s="130">
        <f t="shared" si="5"/>
        <v>1.0698441189762391</v>
      </c>
      <c r="P24" s="130">
        <f t="shared" si="6"/>
        <v>1.5066135069410635E-3</v>
      </c>
      <c r="Q24" s="4"/>
    </row>
    <row r="25" spans="1:17" ht="17.25" customHeight="1" x14ac:dyDescent="0.2">
      <c r="A25" s="122">
        <v>24</v>
      </c>
      <c r="B25" s="123" t="s">
        <v>157</v>
      </c>
      <c r="C25" s="131" t="s">
        <v>62</v>
      </c>
      <c r="D25" s="125">
        <v>349.56</v>
      </c>
      <c r="E25" s="132">
        <v>2084</v>
      </c>
      <c r="F25" s="125">
        <f t="shared" si="0"/>
        <v>348.87798519999996</v>
      </c>
      <c r="G25" s="135">
        <v>25569.041962604166</v>
      </c>
      <c r="H25" s="135">
        <v>25569.041962604166</v>
      </c>
      <c r="I25" s="129">
        <v>258.26</v>
      </c>
      <c r="J25" s="132">
        <v>35613</v>
      </c>
      <c r="K25" s="128" t="s">
        <v>1356</v>
      </c>
      <c r="L25" s="132">
        <v>1943431</v>
      </c>
      <c r="M25" s="129">
        <f t="shared" si="4"/>
        <v>1394.0699408566272</v>
      </c>
      <c r="N25" s="129">
        <v>893207.37</v>
      </c>
      <c r="O25" s="130">
        <f t="shared" si="5"/>
        <v>2.1757892570904334</v>
      </c>
      <c r="P25" s="130">
        <f t="shared" si="6"/>
        <v>1.5607461242249123E-3</v>
      </c>
      <c r="Q25" s="4"/>
    </row>
    <row r="26" spans="1:17" ht="17.25" customHeight="1" x14ac:dyDescent="0.2">
      <c r="A26" s="122">
        <v>25</v>
      </c>
      <c r="B26" s="123" t="s">
        <v>9</v>
      </c>
      <c r="C26" s="131" t="s">
        <v>62</v>
      </c>
      <c r="D26" s="125">
        <v>351.584</v>
      </c>
      <c r="E26" s="132">
        <v>2084</v>
      </c>
      <c r="F26" s="125">
        <f t="shared" si="0"/>
        <v>350.88842439999996</v>
      </c>
      <c r="G26" s="135">
        <v>25569.041962604166</v>
      </c>
      <c r="H26" s="135">
        <v>25569.041962604166</v>
      </c>
      <c r="I26" s="129">
        <v>261.16000000000003</v>
      </c>
      <c r="J26" s="132">
        <v>249</v>
      </c>
      <c r="K26" s="128" t="s">
        <v>1356</v>
      </c>
      <c r="L26" s="132">
        <v>14887</v>
      </c>
      <c r="M26" s="129">
        <f t="shared" si="4"/>
        <v>122.01229446248439</v>
      </c>
      <c r="N26" s="129">
        <v>6803.89</v>
      </c>
      <c r="O26" s="130">
        <f t="shared" si="5"/>
        <v>2.1880130337204156</v>
      </c>
      <c r="P26" s="130">
        <f t="shared" si="6"/>
        <v>1.793272590569283E-2</v>
      </c>
      <c r="Q26" s="4"/>
    </row>
    <row r="27" spans="1:17" ht="17.25" customHeight="1" x14ac:dyDescent="0.2">
      <c r="A27" s="122">
        <v>26</v>
      </c>
      <c r="B27" s="123" t="s">
        <v>9</v>
      </c>
      <c r="C27" s="131" t="s">
        <v>62</v>
      </c>
      <c r="D27" s="125">
        <v>353.57100000000003</v>
      </c>
      <c r="E27" s="132">
        <v>2084</v>
      </c>
      <c r="F27" s="125">
        <f t="shared" si="0"/>
        <v>352.86211149999997</v>
      </c>
      <c r="G27" s="135">
        <v>25569.041962604166</v>
      </c>
      <c r="H27" s="135">
        <v>25569.041962604166</v>
      </c>
      <c r="I27" s="129">
        <v>257.95999999999998</v>
      </c>
      <c r="J27" s="132">
        <v>1862</v>
      </c>
      <c r="K27" s="128" t="s">
        <v>1356</v>
      </c>
      <c r="L27" s="132">
        <v>81228</v>
      </c>
      <c r="M27" s="129">
        <f t="shared" si="4"/>
        <v>285.00526310929769</v>
      </c>
      <c r="N27" s="129">
        <v>46618.55</v>
      </c>
      <c r="O27" s="130">
        <f t="shared" si="5"/>
        <v>1.7423965352847739</v>
      </c>
      <c r="P27" s="130">
        <f t="shared" si="6"/>
        <v>6.1135591542271833E-3</v>
      </c>
      <c r="Q27" s="4"/>
    </row>
    <row r="28" spans="1:17" ht="17.25" customHeight="1" x14ac:dyDescent="0.2">
      <c r="A28" s="122">
        <v>27</v>
      </c>
      <c r="B28" s="123" t="s">
        <v>9</v>
      </c>
      <c r="C28" s="131" t="s">
        <v>62</v>
      </c>
      <c r="D28" s="125">
        <v>355.59199999999998</v>
      </c>
      <c r="E28" s="132">
        <v>2084</v>
      </c>
      <c r="F28" s="125">
        <f t="shared" si="0"/>
        <v>354.86957079999996</v>
      </c>
      <c r="G28" s="135">
        <v>25569.041962604166</v>
      </c>
      <c r="H28" s="136">
        <v>25569.041962604166</v>
      </c>
      <c r="I28" s="129">
        <v>259.38</v>
      </c>
      <c r="J28" s="132">
        <v>377</v>
      </c>
      <c r="K28" s="128" t="s">
        <v>1356</v>
      </c>
      <c r="L28" s="132">
        <v>15782</v>
      </c>
      <c r="M28" s="129">
        <f t="shared" si="4"/>
        <v>125.62643034011593</v>
      </c>
      <c r="N28" s="129">
        <v>8811.43</v>
      </c>
      <c r="O28" s="130">
        <f t="shared" si="5"/>
        <v>1.7910827186960572</v>
      </c>
      <c r="P28" s="130">
        <f t="shared" si="6"/>
        <v>1.4257212545536415E-2</v>
      </c>
      <c r="Q28" s="4"/>
    </row>
    <row r="29" spans="1:17" ht="17.25" customHeight="1" x14ac:dyDescent="0.2">
      <c r="A29" s="122">
        <v>28</v>
      </c>
      <c r="B29" s="123" t="s">
        <v>9</v>
      </c>
      <c r="C29" s="131" t="s">
        <v>62</v>
      </c>
      <c r="D29" s="125">
        <v>357.58</v>
      </c>
      <c r="E29" s="132">
        <v>2084</v>
      </c>
      <c r="F29" s="125">
        <f t="shared" si="0"/>
        <v>356.84425119999997</v>
      </c>
      <c r="G29" s="136">
        <v>25569.041962604166</v>
      </c>
      <c r="H29" s="136">
        <v>25569.041962604166</v>
      </c>
      <c r="I29" s="129">
        <v>258.63</v>
      </c>
      <c r="J29" s="132">
        <v>251</v>
      </c>
      <c r="K29" s="128" t="s">
        <v>1356</v>
      </c>
      <c r="L29" s="132">
        <v>12336</v>
      </c>
      <c r="M29" s="129">
        <f t="shared" si="4"/>
        <v>111.06754701531857</v>
      </c>
      <c r="N29" s="129">
        <v>7098.53</v>
      </c>
      <c r="O29" s="130">
        <f t="shared" si="5"/>
        <v>1.737824591852116</v>
      </c>
      <c r="P29" s="130">
        <f t="shared" si="6"/>
        <v>1.564655597924057E-2</v>
      </c>
      <c r="Q29" s="4"/>
    </row>
    <row r="30" spans="1:17" ht="17.25" customHeight="1" x14ac:dyDescent="0.2">
      <c r="A30" s="122">
        <v>29</v>
      </c>
      <c r="B30" s="123" t="s">
        <v>9</v>
      </c>
      <c r="C30" s="131" t="s">
        <v>62</v>
      </c>
      <c r="D30" s="125">
        <v>349.56</v>
      </c>
      <c r="E30" s="132">
        <v>2084</v>
      </c>
      <c r="F30" s="125">
        <f t="shared" si="0"/>
        <v>348.87798519999996</v>
      </c>
      <c r="G30" s="136">
        <v>25569.041962604166</v>
      </c>
      <c r="H30" s="136">
        <v>25569.041962604166</v>
      </c>
      <c r="I30" s="129">
        <v>259.64</v>
      </c>
      <c r="J30" s="132">
        <v>249</v>
      </c>
      <c r="K30" s="128" t="s">
        <v>1356</v>
      </c>
      <c r="L30" s="132">
        <v>16180</v>
      </c>
      <c r="M30" s="129">
        <f t="shared" si="4"/>
        <v>127.20062892926276</v>
      </c>
      <c r="N30" s="129">
        <v>6336.16</v>
      </c>
      <c r="O30" s="130">
        <f t="shared" si="5"/>
        <v>2.5535971313855712</v>
      </c>
      <c r="P30" s="130">
        <f t="shared" si="6"/>
        <v>2.0075349885303205E-2</v>
      </c>
      <c r="Q30" s="4"/>
    </row>
    <row r="31" spans="1:17" ht="17.25" customHeight="1" x14ac:dyDescent="0.2">
      <c r="A31" s="122">
        <v>30</v>
      </c>
      <c r="B31" s="123" t="s">
        <v>9</v>
      </c>
      <c r="C31" s="131" t="s">
        <v>62</v>
      </c>
      <c r="D31" s="125">
        <v>347.53500000000003</v>
      </c>
      <c r="E31" s="132">
        <v>2084</v>
      </c>
      <c r="F31" s="125">
        <f t="shared" si="0"/>
        <v>346.8665527</v>
      </c>
      <c r="G31" s="136">
        <v>25569.041962604166</v>
      </c>
      <c r="H31" s="136">
        <v>25569.041962604166</v>
      </c>
      <c r="I31" s="129">
        <v>260.45</v>
      </c>
      <c r="J31" s="132">
        <v>879</v>
      </c>
      <c r="K31" s="128" t="s">
        <v>1356</v>
      </c>
      <c r="L31" s="132">
        <v>55710</v>
      </c>
      <c r="M31" s="129">
        <f t="shared" si="4"/>
        <v>236.02965915325134</v>
      </c>
      <c r="N31" s="129">
        <v>21473.86</v>
      </c>
      <c r="O31" s="130">
        <f t="shared" si="5"/>
        <v>2.5943169975030105</v>
      </c>
      <c r="P31" s="130">
        <f t="shared" si="6"/>
        <v>1.0991487285157458E-2</v>
      </c>
      <c r="Q31" s="4"/>
    </row>
    <row r="32" spans="1:17" ht="17.25" customHeight="1" x14ac:dyDescent="0.2">
      <c r="A32" s="122">
        <v>31</v>
      </c>
      <c r="B32" s="123" t="s">
        <v>9</v>
      </c>
      <c r="C32" s="131" t="s">
        <v>62</v>
      </c>
      <c r="D32" s="125">
        <v>345.54</v>
      </c>
      <c r="E32" s="132">
        <v>2084</v>
      </c>
      <c r="F32" s="125">
        <f t="shared" si="0"/>
        <v>344.88491920000001</v>
      </c>
      <c r="G32" s="136">
        <v>25569.041962604166</v>
      </c>
      <c r="H32" s="136">
        <v>25569.041962604166</v>
      </c>
      <c r="I32" s="129">
        <v>258.44</v>
      </c>
      <c r="J32" s="132">
        <v>363</v>
      </c>
      <c r="K32" s="128" t="s">
        <v>1356</v>
      </c>
      <c r="L32" s="132">
        <v>35467</v>
      </c>
      <c r="M32" s="129">
        <f t="shared" si="4"/>
        <v>188.32684354600116</v>
      </c>
      <c r="N32" s="129">
        <v>10309.39</v>
      </c>
      <c r="O32" s="130">
        <f t="shared" si="5"/>
        <v>3.4402617419653345</v>
      </c>
      <c r="P32" s="130">
        <f t="shared" si="6"/>
        <v>1.8267505986872275E-2</v>
      </c>
      <c r="Q32" s="4"/>
    </row>
    <row r="33" spans="1:28" ht="17.25" customHeight="1" x14ac:dyDescent="0.2">
      <c r="A33" s="122">
        <v>32</v>
      </c>
      <c r="B33" s="123" t="s">
        <v>9</v>
      </c>
      <c r="C33" s="131" t="s">
        <v>62</v>
      </c>
      <c r="D33" s="125">
        <v>344.42</v>
      </c>
      <c r="E33" s="132">
        <v>2084</v>
      </c>
      <c r="F33" s="125">
        <f t="shared" si="0"/>
        <v>343.77242319999999</v>
      </c>
      <c r="G33" s="136">
        <v>25569.041962604166</v>
      </c>
      <c r="H33" s="136">
        <v>25569.041962604166</v>
      </c>
      <c r="I33" s="129">
        <v>260.91000000000003</v>
      </c>
      <c r="J33" s="132">
        <v>124</v>
      </c>
      <c r="K33" s="128" t="s">
        <v>1356</v>
      </c>
      <c r="L33" s="132">
        <v>14759</v>
      </c>
      <c r="M33" s="129">
        <f t="shared" si="4"/>
        <v>121.48662477820346</v>
      </c>
      <c r="N33" s="129">
        <v>2723.04</v>
      </c>
      <c r="O33" s="130">
        <f t="shared" si="5"/>
        <v>5.4200452435513249</v>
      </c>
      <c r="P33" s="130">
        <f t="shared" si="6"/>
        <v>4.461433720334753E-2</v>
      </c>
      <c r="Q33" s="4"/>
    </row>
    <row r="34" spans="1:28" ht="17.25" customHeight="1" x14ac:dyDescent="0.2">
      <c r="A34" s="122">
        <f t="shared" ref="A34:A55" si="7">A33+1</f>
        <v>33</v>
      </c>
      <c r="B34" s="123" t="s">
        <v>9</v>
      </c>
      <c r="C34" s="131" t="s">
        <v>62</v>
      </c>
      <c r="D34" s="125">
        <v>342.43900000000002</v>
      </c>
      <c r="E34" s="132">
        <v>2084</v>
      </c>
      <c r="F34" s="125">
        <f t="shared" si="0"/>
        <v>341.80469590000001</v>
      </c>
      <c r="G34" s="136">
        <v>25569.041962604166</v>
      </c>
      <c r="H34" s="136">
        <v>25569.041962604166</v>
      </c>
      <c r="I34" s="129">
        <v>260.14999999999998</v>
      </c>
      <c r="J34" s="132">
        <v>755</v>
      </c>
      <c r="K34" s="128" t="s">
        <v>1356</v>
      </c>
      <c r="L34" s="132">
        <v>120520</v>
      </c>
      <c r="M34" s="129">
        <f t="shared" si="4"/>
        <v>347.15990551905617</v>
      </c>
      <c r="N34" s="129">
        <v>18410.8</v>
      </c>
      <c r="O34" s="130">
        <f t="shared" si="5"/>
        <v>6.5461576900514915</v>
      </c>
      <c r="P34" s="130">
        <f t="shared" si="6"/>
        <v>1.8856318330493851E-2</v>
      </c>
      <c r="Q34" s="4"/>
    </row>
    <row r="35" spans="1:28" ht="17.25" customHeight="1" x14ac:dyDescent="0.2">
      <c r="A35" s="122">
        <f t="shared" si="7"/>
        <v>34</v>
      </c>
      <c r="B35" s="123" t="s">
        <v>9</v>
      </c>
      <c r="C35" s="131" t="s">
        <v>62</v>
      </c>
      <c r="D35" s="125">
        <v>343.44600000000003</v>
      </c>
      <c r="E35" s="132">
        <v>2084</v>
      </c>
      <c r="F35" s="125">
        <f t="shared" si="0"/>
        <v>342.80494899999997</v>
      </c>
      <c r="G35" s="136">
        <v>25569.041962604166</v>
      </c>
      <c r="H35" s="136">
        <v>25569.041962604166</v>
      </c>
      <c r="I35" s="129">
        <v>264.70999999999998</v>
      </c>
      <c r="J35" s="132">
        <v>125</v>
      </c>
      <c r="K35" s="128" t="s">
        <v>1356</v>
      </c>
      <c r="L35" s="132">
        <v>21298</v>
      </c>
      <c r="M35" s="129">
        <f t="shared" si="4"/>
        <v>145.938343145316</v>
      </c>
      <c r="N35" s="129">
        <v>3447.83</v>
      </c>
      <c r="O35" s="130">
        <f t="shared" si="5"/>
        <v>6.1772187143797694</v>
      </c>
      <c r="P35" s="130">
        <f t="shared" si="6"/>
        <v>4.2327592469847991E-2</v>
      </c>
      <c r="Q35" s="4"/>
    </row>
    <row r="36" spans="1:28" ht="17.25" customHeight="1" x14ac:dyDescent="0.2">
      <c r="A36" s="122">
        <f t="shared" si="7"/>
        <v>35</v>
      </c>
      <c r="B36" s="123" t="s">
        <v>9</v>
      </c>
      <c r="C36" s="131" t="s">
        <v>62</v>
      </c>
      <c r="D36" s="125">
        <v>340.43900000000002</v>
      </c>
      <c r="E36" s="132">
        <v>2084</v>
      </c>
      <c r="F36" s="125">
        <f t="shared" si="0"/>
        <v>339.8180959</v>
      </c>
      <c r="G36" s="136">
        <v>25569.041962604166</v>
      </c>
      <c r="H36" s="136">
        <v>25569.041962604166</v>
      </c>
      <c r="I36" s="129">
        <v>263.92</v>
      </c>
      <c r="J36" s="132">
        <v>247</v>
      </c>
      <c r="K36" s="128" t="s">
        <v>1356</v>
      </c>
      <c r="L36" s="132">
        <v>20288</v>
      </c>
      <c r="M36" s="129">
        <f t="shared" si="4"/>
        <v>142.43595051811886</v>
      </c>
      <c r="N36" s="129">
        <v>5683.01</v>
      </c>
      <c r="O36" s="130">
        <f t="shared" si="5"/>
        <v>3.5699391695597931</v>
      </c>
      <c r="P36" s="130">
        <f t="shared" si="6"/>
        <v>2.5063469977726391E-2</v>
      </c>
      <c r="Q36" s="4"/>
    </row>
    <row r="37" spans="1:28" ht="17.25" customHeight="1" x14ac:dyDescent="0.2">
      <c r="A37" s="122">
        <f t="shared" si="7"/>
        <v>36</v>
      </c>
      <c r="B37" s="123" t="s">
        <v>9</v>
      </c>
      <c r="C37" s="131" t="s">
        <v>62</v>
      </c>
      <c r="D37" s="125">
        <v>341.43900000000002</v>
      </c>
      <c r="E37" s="132">
        <v>2084</v>
      </c>
      <c r="F37" s="125">
        <f t="shared" si="0"/>
        <v>340.81139589999998</v>
      </c>
      <c r="G37" s="136">
        <v>25569.041962604166</v>
      </c>
      <c r="H37" s="127"/>
      <c r="I37" s="126"/>
      <c r="J37" s="126"/>
      <c r="K37" s="128"/>
      <c r="L37" s="126"/>
      <c r="M37" s="129"/>
      <c r="N37" s="126"/>
      <c r="O37" s="130"/>
      <c r="P37" s="130"/>
      <c r="Q37" s="4" t="s">
        <v>1358</v>
      </c>
    </row>
    <row r="38" spans="1:28" ht="17.25" customHeight="1" x14ac:dyDescent="0.2">
      <c r="A38" s="122">
        <f t="shared" si="7"/>
        <v>37</v>
      </c>
      <c r="B38" s="123" t="s">
        <v>9</v>
      </c>
      <c r="C38" s="131" t="s">
        <v>62</v>
      </c>
      <c r="D38" s="125">
        <v>341.43900000000002</v>
      </c>
      <c r="E38" s="132">
        <v>2084</v>
      </c>
      <c r="F38" s="125">
        <f t="shared" si="0"/>
        <v>340.81139589999998</v>
      </c>
      <c r="G38" s="136">
        <v>25569.041962604166</v>
      </c>
      <c r="H38" s="136">
        <v>25569.041962604166</v>
      </c>
      <c r="I38" s="129">
        <v>265.51</v>
      </c>
      <c r="J38" s="132">
        <v>993</v>
      </c>
      <c r="K38" s="128" t="s">
        <v>1356</v>
      </c>
      <c r="L38" s="132">
        <v>162117</v>
      </c>
      <c r="M38" s="129">
        <f t="shared" ref="M38:M48" si="8">SQRT(L38)</f>
        <v>402.63755413522966</v>
      </c>
      <c r="N38" s="129">
        <v>26543.64</v>
      </c>
      <c r="O38" s="130">
        <f t="shared" ref="O38:O48" si="9">L38/N38</f>
        <v>6.1075647499740056</v>
      </c>
      <c r="P38" s="130">
        <f t="shared" ref="P38:P48" si="10">M38/N38</f>
        <v>1.5168889953873306E-2</v>
      </c>
      <c r="Q38" s="4"/>
    </row>
    <row r="39" spans="1:28" ht="17.25" customHeight="1" x14ac:dyDescent="0.2">
      <c r="A39" s="122">
        <f t="shared" si="7"/>
        <v>38</v>
      </c>
      <c r="B39" s="123" t="s">
        <v>9</v>
      </c>
      <c r="C39" s="131" t="s">
        <v>62</v>
      </c>
      <c r="D39" s="125">
        <v>339.43799999999999</v>
      </c>
      <c r="E39" s="132">
        <v>2084</v>
      </c>
      <c r="F39" s="125">
        <f t="shared" si="0"/>
        <v>338.82380259999996</v>
      </c>
      <c r="G39" s="136">
        <v>25569.041962604166</v>
      </c>
      <c r="H39" s="136">
        <v>25569.041962604166</v>
      </c>
      <c r="I39" s="129">
        <v>264.85000000000002</v>
      </c>
      <c r="J39" s="132">
        <v>609</v>
      </c>
      <c r="K39" s="128" t="s">
        <v>1356</v>
      </c>
      <c r="L39" s="132">
        <v>23803</v>
      </c>
      <c r="M39" s="129">
        <f t="shared" si="8"/>
        <v>154.28220895488889</v>
      </c>
      <c r="N39" s="129">
        <v>15607.5</v>
      </c>
      <c r="O39" s="130">
        <f t="shared" si="9"/>
        <v>1.5251001121255807</v>
      </c>
      <c r="P39" s="130">
        <f t="shared" si="10"/>
        <v>9.8851327217612615E-3</v>
      </c>
      <c r="Q39" s="4"/>
    </row>
    <row r="40" spans="1:28" ht="17.25" customHeight="1" x14ac:dyDescent="0.2">
      <c r="A40" s="122">
        <f t="shared" si="7"/>
        <v>39</v>
      </c>
      <c r="B40" s="123" t="s">
        <v>9</v>
      </c>
      <c r="C40" s="131" t="s">
        <v>62</v>
      </c>
      <c r="D40" s="125">
        <v>337.43700000000001</v>
      </c>
      <c r="E40" s="132">
        <v>2084</v>
      </c>
      <c r="F40" s="125">
        <f t="shared" si="0"/>
        <v>336.83620929999995</v>
      </c>
      <c r="G40" s="136">
        <v>25569.041962604166</v>
      </c>
      <c r="H40" s="136">
        <v>25569.041962604166</v>
      </c>
      <c r="I40" s="129">
        <v>265.45999999999998</v>
      </c>
      <c r="J40" s="132">
        <v>1244</v>
      </c>
      <c r="K40" s="128" t="s">
        <v>1356</v>
      </c>
      <c r="L40" s="132">
        <v>16615</v>
      </c>
      <c r="M40" s="129">
        <f t="shared" si="8"/>
        <v>128.89918541247653</v>
      </c>
      <c r="N40" s="129">
        <v>32460.95</v>
      </c>
      <c r="O40" s="130">
        <f t="shared" si="9"/>
        <v>0.5118457716117365</v>
      </c>
      <c r="P40" s="130">
        <f t="shared" si="10"/>
        <v>3.9708999709643904E-3</v>
      </c>
      <c r="Q40" s="4"/>
    </row>
    <row r="41" spans="1:28" ht="17.25" customHeight="1" x14ac:dyDescent="0.2">
      <c r="A41" s="122">
        <f t="shared" si="7"/>
        <v>40</v>
      </c>
      <c r="B41" s="137" t="s">
        <v>157</v>
      </c>
      <c r="C41" s="138" t="s">
        <v>62</v>
      </c>
      <c r="D41" s="139">
        <v>342.43900000000002</v>
      </c>
      <c r="E41" s="140">
        <v>2084</v>
      </c>
      <c r="F41" s="139">
        <f t="shared" si="0"/>
        <v>341.80469590000001</v>
      </c>
      <c r="G41" s="141"/>
      <c r="H41" s="142">
        <v>25569.041962604166</v>
      </c>
      <c r="I41" s="143">
        <v>264.51</v>
      </c>
      <c r="J41" s="140">
        <v>906</v>
      </c>
      <c r="K41" s="144" t="s">
        <v>1356</v>
      </c>
      <c r="L41" s="140">
        <v>110715</v>
      </c>
      <c r="M41" s="143">
        <f t="shared" si="8"/>
        <v>332.73863616959181</v>
      </c>
      <c r="N41" s="143">
        <v>24692.080000000002</v>
      </c>
      <c r="O41" s="145">
        <f t="shared" si="9"/>
        <v>4.4838263929162707</v>
      </c>
      <c r="P41" s="145">
        <f t="shared" si="10"/>
        <v>1.3475520740642011E-2</v>
      </c>
      <c r="Q41" s="4" t="s">
        <v>1359</v>
      </c>
      <c r="R41" s="4"/>
      <c r="S41" s="4"/>
      <c r="T41" s="4"/>
      <c r="U41" s="4"/>
      <c r="V41" s="4"/>
      <c r="W41" s="4"/>
      <c r="X41" s="4"/>
      <c r="Y41" s="4"/>
      <c r="Z41" s="4"/>
      <c r="AA41" s="4"/>
      <c r="AB41" s="4"/>
    </row>
    <row r="42" spans="1:28" ht="17.25" customHeight="1" x14ac:dyDescent="0.2">
      <c r="A42" s="122">
        <f t="shared" si="7"/>
        <v>41</v>
      </c>
      <c r="B42" s="137" t="s">
        <v>157</v>
      </c>
      <c r="C42" s="138" t="s">
        <v>62</v>
      </c>
      <c r="D42" s="139">
        <v>342.43900000000002</v>
      </c>
      <c r="E42" s="140">
        <v>2084</v>
      </c>
      <c r="F42" s="139">
        <f t="shared" si="0"/>
        <v>341.80469590000001</v>
      </c>
      <c r="G42" s="142">
        <v>25569.041962604166</v>
      </c>
      <c r="H42" s="142">
        <v>25569.041962604166</v>
      </c>
      <c r="I42" s="143">
        <v>118.12</v>
      </c>
      <c r="J42" s="140">
        <v>10897</v>
      </c>
      <c r="K42" s="144" t="s">
        <v>1356</v>
      </c>
      <c r="L42" s="140">
        <v>768791</v>
      </c>
      <c r="M42" s="143">
        <f t="shared" si="8"/>
        <v>876.80727642966099</v>
      </c>
      <c r="N42" s="143">
        <v>139494.88</v>
      </c>
      <c r="O42" s="145">
        <f t="shared" si="9"/>
        <v>5.5112488716431738</v>
      </c>
      <c r="P42" s="145">
        <f t="shared" si="10"/>
        <v>6.2855875171164777E-3</v>
      </c>
      <c r="Q42" s="4" t="s">
        <v>1360</v>
      </c>
      <c r="R42" s="4"/>
      <c r="S42" s="4"/>
      <c r="T42" s="4"/>
      <c r="U42" s="4"/>
      <c r="V42" s="4"/>
      <c r="W42" s="4"/>
      <c r="X42" s="4"/>
      <c r="Y42" s="4"/>
      <c r="Z42" s="4"/>
      <c r="AA42" s="4"/>
      <c r="AB42" s="4"/>
    </row>
    <row r="43" spans="1:28" ht="17.25" customHeight="1" x14ac:dyDescent="0.2">
      <c r="A43" s="122">
        <f t="shared" si="7"/>
        <v>42</v>
      </c>
      <c r="B43" s="123" t="s">
        <v>9</v>
      </c>
      <c r="C43" s="131" t="s">
        <v>62</v>
      </c>
      <c r="D43" s="125">
        <v>159.86000000000001</v>
      </c>
      <c r="E43" s="132">
        <v>1876</v>
      </c>
      <c r="F43" s="125">
        <f t="shared" si="0"/>
        <v>160.24236880000001</v>
      </c>
      <c r="G43" s="136">
        <v>25569.041962604166</v>
      </c>
      <c r="H43" s="136">
        <v>25569.041962604166</v>
      </c>
      <c r="I43" s="129">
        <v>200.15</v>
      </c>
      <c r="J43" s="132">
        <v>3127</v>
      </c>
      <c r="K43" s="144" t="s">
        <v>1361</v>
      </c>
      <c r="L43" s="132">
        <v>31</v>
      </c>
      <c r="M43" s="143">
        <f t="shared" si="8"/>
        <v>5.5677643628300215</v>
      </c>
      <c r="N43" s="129">
        <v>61415.96</v>
      </c>
      <c r="O43" s="130">
        <f t="shared" si="9"/>
        <v>5.0475479012295833E-4</v>
      </c>
      <c r="P43" s="130">
        <f t="shared" si="10"/>
        <v>9.0656636529495285E-5</v>
      </c>
      <c r="Q43" s="4" t="s">
        <v>1362</v>
      </c>
    </row>
    <row r="44" spans="1:28" ht="17.25" customHeight="1" x14ac:dyDescent="0.2">
      <c r="A44" s="122">
        <f t="shared" si="7"/>
        <v>43</v>
      </c>
      <c r="B44" s="123" t="s">
        <v>9</v>
      </c>
      <c r="C44" s="131" t="s">
        <v>62</v>
      </c>
      <c r="D44" s="125">
        <v>161.86699999999999</v>
      </c>
      <c r="E44" s="132">
        <v>1876</v>
      </c>
      <c r="F44" s="125">
        <f t="shared" si="0"/>
        <v>162.23592189999999</v>
      </c>
      <c r="G44" s="136">
        <v>25569.041962604166</v>
      </c>
      <c r="H44" s="136">
        <v>25569.041962604166</v>
      </c>
      <c r="I44" s="129">
        <v>200.45</v>
      </c>
      <c r="J44" s="132">
        <v>502</v>
      </c>
      <c r="K44" s="144" t="s">
        <v>1361</v>
      </c>
      <c r="L44" s="132">
        <v>9</v>
      </c>
      <c r="M44" s="143">
        <f t="shared" si="8"/>
        <v>3</v>
      </c>
      <c r="N44" s="129">
        <v>10834.38</v>
      </c>
      <c r="O44" s="130">
        <f t="shared" si="9"/>
        <v>8.3068897343456668E-4</v>
      </c>
      <c r="P44" s="130">
        <f t="shared" si="10"/>
        <v>2.7689632447818889E-4</v>
      </c>
      <c r="Q44" s="4"/>
    </row>
    <row r="45" spans="1:28" ht="17.25" customHeight="1" x14ac:dyDescent="0.2">
      <c r="A45" s="122">
        <f t="shared" si="7"/>
        <v>44</v>
      </c>
      <c r="B45" s="123" t="s">
        <v>9</v>
      </c>
      <c r="C45" s="131" t="s">
        <v>62</v>
      </c>
      <c r="D45" s="125">
        <v>163.87</v>
      </c>
      <c r="E45" s="132">
        <v>1876</v>
      </c>
      <c r="F45" s="125">
        <f t="shared" si="0"/>
        <v>164.22550180000002</v>
      </c>
      <c r="G45" s="136">
        <v>25569.041962604166</v>
      </c>
      <c r="H45" s="136">
        <v>25569.041962604166</v>
      </c>
      <c r="I45" s="129">
        <v>202.66</v>
      </c>
      <c r="J45" s="132">
        <v>20447</v>
      </c>
      <c r="K45" s="144" t="s">
        <v>1361</v>
      </c>
      <c r="L45" s="132">
        <v>344</v>
      </c>
      <c r="M45" s="143">
        <f t="shared" si="8"/>
        <v>18.547236990991408</v>
      </c>
      <c r="N45" s="129">
        <v>404710.29</v>
      </c>
      <c r="O45" s="130">
        <f t="shared" si="9"/>
        <v>8.499907427607043E-4</v>
      </c>
      <c r="P45" s="130">
        <f t="shared" si="10"/>
        <v>4.5828429494568595E-5</v>
      </c>
      <c r="Q45" s="4"/>
    </row>
    <row r="46" spans="1:28" ht="17.25" customHeight="1" x14ac:dyDescent="0.2">
      <c r="A46" s="122">
        <f t="shared" si="7"/>
        <v>45</v>
      </c>
      <c r="B46" s="123" t="s">
        <v>9</v>
      </c>
      <c r="C46" s="131" t="s">
        <v>62</v>
      </c>
      <c r="D46" s="125">
        <v>165.88200000000001</v>
      </c>
      <c r="E46" s="132">
        <v>1876</v>
      </c>
      <c r="F46" s="125">
        <f t="shared" si="0"/>
        <v>166.2240214</v>
      </c>
      <c r="G46" s="136">
        <v>25569.041962604166</v>
      </c>
      <c r="H46" s="136">
        <v>25569.041962604166</v>
      </c>
      <c r="I46" s="129">
        <v>201.91</v>
      </c>
      <c r="J46" s="132">
        <v>5355</v>
      </c>
      <c r="K46" s="144" t="s">
        <v>1361</v>
      </c>
      <c r="L46" s="132">
        <v>92</v>
      </c>
      <c r="M46" s="143">
        <f t="shared" si="8"/>
        <v>9.5916630466254382</v>
      </c>
      <c r="N46" s="129">
        <v>104675.2</v>
      </c>
      <c r="O46" s="130">
        <f t="shared" si="9"/>
        <v>8.7890923542539206E-4</v>
      </c>
      <c r="P46" s="130">
        <f t="shared" si="10"/>
        <v>9.1632622117038596E-5</v>
      </c>
      <c r="Q46" s="4"/>
    </row>
    <row r="47" spans="1:28" ht="17.25" customHeight="1" x14ac:dyDescent="0.2">
      <c r="A47" s="122">
        <f t="shared" si="7"/>
        <v>46</v>
      </c>
      <c r="B47" s="123" t="s">
        <v>9</v>
      </c>
      <c r="C47" s="131" t="s">
        <v>62</v>
      </c>
      <c r="D47" s="125">
        <v>167.89</v>
      </c>
      <c r="E47" s="132">
        <v>1876</v>
      </c>
      <c r="F47" s="125">
        <f t="shared" si="0"/>
        <v>168.21856779999999</v>
      </c>
      <c r="G47" s="136">
        <v>25569.041962604166</v>
      </c>
      <c r="H47" s="136">
        <v>25569.041962604166</v>
      </c>
      <c r="I47" s="129">
        <v>200.64</v>
      </c>
      <c r="J47" s="132">
        <v>5113</v>
      </c>
      <c r="K47" s="144" t="s">
        <v>1361</v>
      </c>
      <c r="L47" s="132">
        <v>103</v>
      </c>
      <c r="M47" s="143">
        <f t="shared" si="8"/>
        <v>10.148891565092219</v>
      </c>
      <c r="N47" s="129">
        <v>99414.29</v>
      </c>
      <c r="O47" s="130">
        <f t="shared" si="9"/>
        <v>1.0360683559677388E-3</v>
      </c>
      <c r="P47" s="130">
        <f t="shared" si="10"/>
        <v>1.0208684853145579E-4</v>
      </c>
      <c r="Q47" s="4"/>
    </row>
    <row r="48" spans="1:28" ht="17.25" customHeight="1" x14ac:dyDescent="0.2">
      <c r="A48" s="122">
        <f t="shared" si="7"/>
        <v>47</v>
      </c>
      <c r="B48" s="123" t="s">
        <v>123</v>
      </c>
      <c r="C48" s="131" t="s">
        <v>62</v>
      </c>
      <c r="D48" s="125">
        <v>167.89</v>
      </c>
      <c r="E48" s="132">
        <v>1876</v>
      </c>
      <c r="F48" s="125">
        <f t="shared" si="0"/>
        <v>168.21856779999999</v>
      </c>
      <c r="G48" s="136">
        <v>25569.041962604166</v>
      </c>
      <c r="H48" s="136">
        <v>25569.041962604166</v>
      </c>
      <c r="I48" s="129">
        <v>200.64</v>
      </c>
      <c r="J48" s="132">
        <v>42083</v>
      </c>
      <c r="K48" s="144" t="s">
        <v>1361</v>
      </c>
      <c r="L48" s="132">
        <v>673</v>
      </c>
      <c r="M48" s="143">
        <f t="shared" si="8"/>
        <v>25.942243542145693</v>
      </c>
      <c r="N48" s="129">
        <v>818223.54</v>
      </c>
      <c r="O48" s="130">
        <f t="shared" si="9"/>
        <v>8.2251361284472449E-4</v>
      </c>
      <c r="P48" s="130">
        <f t="shared" si="10"/>
        <v>3.1705569778823145E-5</v>
      </c>
      <c r="Q48" s="4" t="s">
        <v>1363</v>
      </c>
    </row>
    <row r="49" spans="1:28" ht="17.25" customHeight="1" x14ac:dyDescent="0.2">
      <c r="A49" s="122">
        <f t="shared" si="7"/>
        <v>48</v>
      </c>
      <c r="B49" s="123" t="s">
        <v>123</v>
      </c>
      <c r="C49" s="131" t="s">
        <v>62</v>
      </c>
      <c r="D49" s="125"/>
      <c r="E49" s="126"/>
      <c r="F49" s="125"/>
      <c r="G49" s="136">
        <v>25569.041962604166</v>
      </c>
      <c r="H49" s="136">
        <v>25569.041962604166</v>
      </c>
      <c r="I49" s="126"/>
      <c r="J49" s="126"/>
      <c r="K49" s="144"/>
      <c r="L49" s="126"/>
      <c r="M49" s="143"/>
      <c r="N49" s="126"/>
      <c r="O49" s="130"/>
      <c r="P49" s="130"/>
      <c r="Q49" s="4" t="s">
        <v>1364</v>
      </c>
    </row>
    <row r="50" spans="1:28" ht="17.25" customHeight="1" x14ac:dyDescent="0.2">
      <c r="A50" s="122">
        <f t="shared" si="7"/>
        <v>49</v>
      </c>
      <c r="B50" s="137" t="s">
        <v>157</v>
      </c>
      <c r="C50" s="138" t="s">
        <v>62</v>
      </c>
      <c r="D50" s="139">
        <v>230.249</v>
      </c>
      <c r="E50" s="140">
        <v>2076</v>
      </c>
      <c r="F50" s="139">
        <f t="shared" ref="F50:F62" si="11">0.9933*(D50 + E50/1000)-0.41</f>
        <v>230.35842249999999</v>
      </c>
      <c r="G50" s="146">
        <v>25569.041962604166</v>
      </c>
      <c r="H50" s="146">
        <v>25569.041962604166</v>
      </c>
      <c r="I50" s="147" t="s">
        <v>1365</v>
      </c>
      <c r="J50" s="140">
        <v>583804</v>
      </c>
      <c r="K50" s="144" t="s">
        <v>1356</v>
      </c>
      <c r="L50" s="140">
        <v>22370</v>
      </c>
      <c r="M50" s="143">
        <f t="shared" ref="M50:M81" si="12">SQRT(L50)</f>
        <v>149.56603892595405</v>
      </c>
      <c r="N50" s="143">
        <v>12.9</v>
      </c>
      <c r="O50" s="145">
        <f t="shared" ref="O50:O81" si="13">L50/N50</f>
        <v>1734.1085271317829</v>
      </c>
      <c r="P50" s="145">
        <f t="shared" ref="P50:P81" si="14">M50/N50</f>
        <v>11.59426658340729</v>
      </c>
      <c r="Q50" s="4" t="s">
        <v>1366</v>
      </c>
      <c r="R50" s="4"/>
      <c r="S50" s="4"/>
      <c r="T50" s="4"/>
      <c r="U50" s="4"/>
      <c r="V50" s="4"/>
      <c r="W50" s="4"/>
      <c r="X50" s="4"/>
      <c r="Y50" s="4"/>
      <c r="Z50" s="4"/>
      <c r="AA50" s="4"/>
      <c r="AB50" s="4"/>
    </row>
    <row r="51" spans="1:28" ht="17.25" customHeight="1" x14ac:dyDescent="0.2">
      <c r="A51" s="122">
        <f t="shared" si="7"/>
        <v>50</v>
      </c>
      <c r="B51" s="123" t="s">
        <v>9</v>
      </c>
      <c r="C51" s="131" t="s">
        <v>62</v>
      </c>
      <c r="D51" s="125">
        <v>341.875</v>
      </c>
      <c r="E51" s="132">
        <v>2562</v>
      </c>
      <c r="F51" s="125">
        <f t="shared" si="11"/>
        <v>341.71927209999996</v>
      </c>
      <c r="G51" s="146">
        <v>25569.041962604166</v>
      </c>
      <c r="H51" s="136">
        <v>25569.041962604166</v>
      </c>
      <c r="I51" s="129">
        <v>302.07</v>
      </c>
      <c r="J51" s="132">
        <v>1775</v>
      </c>
      <c r="K51" s="144" t="s">
        <v>1356</v>
      </c>
      <c r="L51" s="132">
        <v>108905</v>
      </c>
      <c r="M51" s="143">
        <f t="shared" si="12"/>
        <v>330.00757567062004</v>
      </c>
      <c r="N51" s="129">
        <v>44757.23</v>
      </c>
      <c r="O51" s="130">
        <f t="shared" si="13"/>
        <v>2.4332381606279028</v>
      </c>
      <c r="P51" s="130">
        <f t="shared" si="14"/>
        <v>7.3732797063316927E-3</v>
      </c>
      <c r="Q51" s="4" t="s">
        <v>1367</v>
      </c>
    </row>
    <row r="52" spans="1:28" ht="17.25" customHeight="1" x14ac:dyDescent="0.2">
      <c r="A52" s="122">
        <f t="shared" si="7"/>
        <v>51</v>
      </c>
      <c r="B52" s="123" t="s">
        <v>9</v>
      </c>
      <c r="C52" s="131" t="s">
        <v>62</v>
      </c>
      <c r="D52" s="125">
        <v>341.875</v>
      </c>
      <c r="E52" s="132">
        <v>2562</v>
      </c>
      <c r="F52" s="125">
        <f t="shared" si="11"/>
        <v>341.71927209999996</v>
      </c>
      <c r="G52" s="136">
        <v>25569.041962604166</v>
      </c>
      <c r="H52" s="136">
        <v>25569.041962604166</v>
      </c>
      <c r="I52" s="132">
        <v>258</v>
      </c>
      <c r="J52" s="132">
        <v>612</v>
      </c>
      <c r="K52" s="144" t="s">
        <v>1356</v>
      </c>
      <c r="L52" s="132">
        <v>21204</v>
      </c>
      <c r="M52" s="143">
        <f t="shared" si="12"/>
        <v>145.61593319413916</v>
      </c>
      <c r="N52" s="129">
        <v>8858.0400000000009</v>
      </c>
      <c r="O52" s="130">
        <f t="shared" si="13"/>
        <v>2.3937575355270462</v>
      </c>
      <c r="P52" s="130">
        <f t="shared" si="14"/>
        <v>1.643884349067504E-2</v>
      </c>
      <c r="Q52" s="4" t="s">
        <v>1368</v>
      </c>
    </row>
    <row r="53" spans="1:28" ht="17.25" customHeight="1" x14ac:dyDescent="0.2">
      <c r="A53" s="122">
        <f t="shared" si="7"/>
        <v>52</v>
      </c>
      <c r="B53" s="123" t="s">
        <v>9</v>
      </c>
      <c r="C53" s="131" t="s">
        <v>62</v>
      </c>
      <c r="D53" s="125">
        <v>341.875</v>
      </c>
      <c r="E53" s="132">
        <v>2562</v>
      </c>
      <c r="F53" s="125">
        <f t="shared" si="11"/>
        <v>341.71927209999996</v>
      </c>
      <c r="G53" s="136">
        <v>25569.041962604166</v>
      </c>
      <c r="H53" s="136">
        <v>25569.041962604166</v>
      </c>
      <c r="I53" s="132">
        <v>259</v>
      </c>
      <c r="J53" s="132">
        <v>366</v>
      </c>
      <c r="K53" s="144" t="s">
        <v>1356</v>
      </c>
      <c r="L53" s="132">
        <v>13615</v>
      </c>
      <c r="M53" s="143">
        <f t="shared" si="12"/>
        <v>116.68333214302719</v>
      </c>
      <c r="N53" s="129">
        <v>4776.34</v>
      </c>
      <c r="O53" s="130">
        <f t="shared" si="13"/>
        <v>2.8505089671170811</v>
      </c>
      <c r="P53" s="130">
        <f t="shared" si="14"/>
        <v>2.442944433248621E-2</v>
      </c>
      <c r="Q53" s="4" t="s">
        <v>1369</v>
      </c>
    </row>
    <row r="54" spans="1:28" ht="17.25" customHeight="1" x14ac:dyDescent="0.2">
      <c r="A54" s="122">
        <f t="shared" si="7"/>
        <v>53</v>
      </c>
      <c r="B54" s="123" t="s">
        <v>9</v>
      </c>
      <c r="C54" s="131" t="s">
        <v>62</v>
      </c>
      <c r="D54" s="125">
        <v>341.875</v>
      </c>
      <c r="E54" s="132">
        <v>2562</v>
      </c>
      <c r="F54" s="125">
        <f t="shared" si="11"/>
        <v>341.71927209999996</v>
      </c>
      <c r="G54" s="136">
        <v>25569.041962604166</v>
      </c>
      <c r="H54" s="136">
        <v>25569.041962604166</v>
      </c>
      <c r="I54" s="132">
        <v>106</v>
      </c>
      <c r="J54" s="132">
        <v>595</v>
      </c>
      <c r="K54" s="144" t="s">
        <v>1356</v>
      </c>
      <c r="L54" s="132">
        <v>11530</v>
      </c>
      <c r="M54" s="143">
        <f t="shared" si="12"/>
        <v>107.37783756436893</v>
      </c>
      <c r="N54" s="129">
        <v>4693.8</v>
      </c>
      <c r="O54" s="130">
        <f t="shared" si="13"/>
        <v>2.4564318888746857</v>
      </c>
      <c r="P54" s="130">
        <f t="shared" si="14"/>
        <v>2.2876525962837985E-2</v>
      </c>
      <c r="Q54" s="4" t="s">
        <v>1370</v>
      </c>
    </row>
    <row r="55" spans="1:28" ht="17.25" customHeight="1" x14ac:dyDescent="0.2">
      <c r="A55" s="122">
        <f t="shared" si="7"/>
        <v>54</v>
      </c>
      <c r="B55" s="123" t="s">
        <v>9</v>
      </c>
      <c r="C55" s="131" t="s">
        <v>62</v>
      </c>
      <c r="D55" s="125">
        <v>341.875</v>
      </c>
      <c r="E55" s="132">
        <v>2562</v>
      </c>
      <c r="F55" s="125">
        <f t="shared" si="11"/>
        <v>341.71927209999996</v>
      </c>
      <c r="G55" s="127" t="s">
        <v>1371</v>
      </c>
      <c r="H55" s="127"/>
      <c r="I55" s="132">
        <v>126</v>
      </c>
      <c r="J55" s="126"/>
      <c r="K55" s="144" t="s">
        <v>1356</v>
      </c>
      <c r="L55" s="126"/>
      <c r="M55" s="143">
        <f t="shared" si="12"/>
        <v>0</v>
      </c>
      <c r="N55" s="126"/>
      <c r="O55" s="148" t="e">
        <f t="shared" si="13"/>
        <v>#DIV/0!</v>
      </c>
      <c r="P55" s="129" t="e">
        <f t="shared" si="14"/>
        <v>#DIV/0!</v>
      </c>
      <c r="Q55" s="4" t="s">
        <v>1372</v>
      </c>
    </row>
    <row r="56" spans="1:28" ht="17.25" customHeight="1" x14ac:dyDescent="0.2">
      <c r="A56" s="122">
        <v>55</v>
      </c>
      <c r="B56" s="123" t="s">
        <v>9</v>
      </c>
      <c r="C56" s="131" t="s">
        <v>62</v>
      </c>
      <c r="D56" s="125">
        <v>341.875</v>
      </c>
      <c r="E56" s="132">
        <v>2562</v>
      </c>
      <c r="F56" s="125">
        <f t="shared" si="11"/>
        <v>341.71927209999996</v>
      </c>
      <c r="G56" s="136">
        <v>25569.041962604166</v>
      </c>
      <c r="H56" s="136">
        <v>25569.041962604166</v>
      </c>
      <c r="I56" s="132">
        <v>117</v>
      </c>
      <c r="J56" s="132">
        <v>707</v>
      </c>
      <c r="K56" s="144" t="s">
        <v>1356</v>
      </c>
      <c r="L56" s="132">
        <v>25149</v>
      </c>
      <c r="M56" s="143">
        <f t="shared" si="12"/>
        <v>158.58436240689053</v>
      </c>
      <c r="N56" s="129">
        <v>5720.81</v>
      </c>
      <c r="O56" s="130">
        <f t="shared" si="13"/>
        <v>4.3960558032865968</v>
      </c>
      <c r="P56" s="130">
        <f t="shared" si="14"/>
        <v>2.772061341084401E-2</v>
      </c>
      <c r="Q56" s="4" t="s">
        <v>1373</v>
      </c>
    </row>
    <row r="57" spans="1:28" ht="17.25" customHeight="1" x14ac:dyDescent="0.2">
      <c r="A57" s="122">
        <v>56</v>
      </c>
      <c r="B57" s="123" t="s">
        <v>9</v>
      </c>
      <c r="C57" s="131" t="s">
        <v>62</v>
      </c>
      <c r="D57" s="125">
        <v>341.875</v>
      </c>
      <c r="E57" s="132">
        <v>2562</v>
      </c>
      <c r="F57" s="125">
        <f t="shared" si="11"/>
        <v>341.71927209999996</v>
      </c>
      <c r="G57" s="136">
        <v>25569.041962604166</v>
      </c>
      <c r="H57" s="136">
        <v>25569.041962604166</v>
      </c>
      <c r="I57" s="132">
        <v>84</v>
      </c>
      <c r="J57" s="132">
        <v>442</v>
      </c>
      <c r="K57" s="144" t="s">
        <v>1356</v>
      </c>
      <c r="L57" s="132">
        <v>16126</v>
      </c>
      <c r="M57" s="143">
        <f t="shared" si="12"/>
        <v>126.98818842711317</v>
      </c>
      <c r="N57" s="129">
        <v>2538.7399999999998</v>
      </c>
      <c r="O57" s="130">
        <f t="shared" si="13"/>
        <v>6.351969874819793</v>
      </c>
      <c r="P57" s="130">
        <f t="shared" si="14"/>
        <v>5.0020162926141781E-2</v>
      </c>
      <c r="Q57" s="4" t="s">
        <v>1374</v>
      </c>
    </row>
    <row r="58" spans="1:28" ht="17.25" customHeight="1" x14ac:dyDescent="0.2">
      <c r="A58" s="122">
        <v>57</v>
      </c>
      <c r="B58" s="123" t="s">
        <v>9</v>
      </c>
      <c r="C58" s="131" t="s">
        <v>62</v>
      </c>
      <c r="D58" s="125">
        <v>341.875</v>
      </c>
      <c r="E58" s="132">
        <v>2562</v>
      </c>
      <c r="F58" s="125">
        <f t="shared" si="11"/>
        <v>341.71927209999996</v>
      </c>
      <c r="G58" s="136">
        <v>25569.041962604166</v>
      </c>
      <c r="H58" s="136">
        <v>25569.041962604166</v>
      </c>
      <c r="I58" s="132">
        <v>248</v>
      </c>
      <c r="J58" s="132">
        <v>552</v>
      </c>
      <c r="K58" s="144" t="s">
        <v>1356</v>
      </c>
      <c r="L58" s="132">
        <v>23250</v>
      </c>
      <c r="M58" s="143">
        <f t="shared" si="12"/>
        <v>152.47950681976906</v>
      </c>
      <c r="N58" s="129">
        <v>9948.0499999999993</v>
      </c>
      <c r="O58" s="130">
        <f t="shared" si="13"/>
        <v>2.3371414498318765</v>
      </c>
      <c r="P58" s="130">
        <f t="shared" si="14"/>
        <v>1.5327577446813101E-2</v>
      </c>
      <c r="Q58" s="4" t="s">
        <v>1375</v>
      </c>
    </row>
    <row r="59" spans="1:28" ht="17.25" customHeight="1" x14ac:dyDescent="0.2">
      <c r="A59" s="122">
        <v>58</v>
      </c>
      <c r="B59" s="123" t="s">
        <v>9</v>
      </c>
      <c r="C59" s="131" t="s">
        <v>62</v>
      </c>
      <c r="D59" s="125">
        <v>341.875</v>
      </c>
      <c r="E59" s="132">
        <v>2562</v>
      </c>
      <c r="F59" s="125">
        <f t="shared" si="11"/>
        <v>341.71927209999996</v>
      </c>
      <c r="G59" s="136">
        <v>25569.041962604166</v>
      </c>
      <c r="H59" s="136">
        <v>25569.041962604166</v>
      </c>
      <c r="I59" s="132">
        <v>239</v>
      </c>
      <c r="J59" s="132">
        <v>355</v>
      </c>
      <c r="K59" s="144" t="s">
        <v>1356</v>
      </c>
      <c r="L59" s="132">
        <v>18559</v>
      </c>
      <c r="M59" s="143">
        <f t="shared" si="12"/>
        <v>136.23142075160195</v>
      </c>
      <c r="N59" s="129">
        <v>6927.3</v>
      </c>
      <c r="O59" s="130">
        <f t="shared" si="13"/>
        <v>2.6791101872302341</v>
      </c>
      <c r="P59" s="130">
        <f t="shared" si="14"/>
        <v>1.9665875702164184E-2</v>
      </c>
      <c r="Q59" s="4" t="s">
        <v>1376</v>
      </c>
    </row>
    <row r="60" spans="1:28" ht="17.25" customHeight="1" x14ac:dyDescent="0.2">
      <c r="A60" s="122">
        <v>59</v>
      </c>
      <c r="B60" s="123" t="s">
        <v>9</v>
      </c>
      <c r="C60" s="131" t="s">
        <v>62</v>
      </c>
      <c r="D60" s="125">
        <v>341.875</v>
      </c>
      <c r="E60" s="132">
        <v>2562</v>
      </c>
      <c r="F60" s="125">
        <f t="shared" si="11"/>
        <v>341.71927209999996</v>
      </c>
      <c r="G60" s="136">
        <v>25569.041962604166</v>
      </c>
      <c r="H60" s="136">
        <v>25569.041962604166</v>
      </c>
      <c r="I60" s="132">
        <v>150</v>
      </c>
      <c r="J60" s="132">
        <v>573</v>
      </c>
      <c r="K60" s="144" t="s">
        <v>1356</v>
      </c>
      <c r="L60" s="132">
        <v>14345</v>
      </c>
      <c r="M60" s="143">
        <f t="shared" si="12"/>
        <v>119.77061409210525</v>
      </c>
      <c r="N60" s="129">
        <v>6444.1</v>
      </c>
      <c r="O60" s="130">
        <f t="shared" si="13"/>
        <v>2.2260672553188185</v>
      </c>
      <c r="P60" s="130">
        <f t="shared" si="14"/>
        <v>1.858608868454947E-2</v>
      </c>
      <c r="Q60" s="4" t="s">
        <v>1377</v>
      </c>
    </row>
    <row r="61" spans="1:28" ht="17.25" customHeight="1" x14ac:dyDescent="0.2">
      <c r="A61" s="122">
        <v>60</v>
      </c>
      <c r="B61" s="123" t="s">
        <v>9</v>
      </c>
      <c r="C61" s="131" t="s">
        <v>62</v>
      </c>
      <c r="D61" s="125">
        <v>341.875</v>
      </c>
      <c r="E61" s="132">
        <v>2562</v>
      </c>
      <c r="F61" s="125">
        <f t="shared" si="11"/>
        <v>341.71927209999996</v>
      </c>
      <c r="G61" s="136">
        <v>25569.041962604166</v>
      </c>
      <c r="H61" s="136">
        <v>25569.041962604166</v>
      </c>
      <c r="I61" s="132">
        <v>158</v>
      </c>
      <c r="J61" s="132">
        <v>553</v>
      </c>
      <c r="K61" s="144" t="s">
        <v>1356</v>
      </c>
      <c r="L61" s="132">
        <v>12424</v>
      </c>
      <c r="M61" s="143">
        <f t="shared" si="12"/>
        <v>111.46299834474219</v>
      </c>
      <c r="N61" s="129">
        <v>6155.78</v>
      </c>
      <c r="O61" s="130">
        <f t="shared" si="13"/>
        <v>2.0182657599849247</v>
      </c>
      <c r="P61" s="130">
        <f t="shared" si="14"/>
        <v>1.8107047091472112E-2</v>
      </c>
      <c r="Q61" s="4" t="s">
        <v>1378</v>
      </c>
    </row>
    <row r="62" spans="1:28" ht="17.25" customHeight="1" x14ac:dyDescent="0.2">
      <c r="A62" s="122">
        <v>61</v>
      </c>
      <c r="B62" s="123" t="s">
        <v>1379</v>
      </c>
      <c r="C62" s="131" t="s">
        <v>68</v>
      </c>
      <c r="D62" s="125">
        <v>229.69800000000001</v>
      </c>
      <c r="E62" s="132">
        <v>2564</v>
      </c>
      <c r="F62" s="125">
        <f t="shared" si="11"/>
        <v>230.29584459999998</v>
      </c>
      <c r="G62" s="136">
        <v>25569.041962604166</v>
      </c>
      <c r="H62" s="136">
        <v>25569.041962604166</v>
      </c>
      <c r="I62" s="126"/>
      <c r="J62" s="126"/>
      <c r="K62" s="144" t="s">
        <v>1356</v>
      </c>
      <c r="L62" s="126"/>
      <c r="M62" s="143">
        <f t="shared" si="12"/>
        <v>0</v>
      </c>
      <c r="N62" s="126"/>
      <c r="O62" s="148" t="e">
        <f t="shared" si="13"/>
        <v>#DIV/0!</v>
      </c>
      <c r="P62" s="129" t="e">
        <f t="shared" si="14"/>
        <v>#DIV/0!</v>
      </c>
      <c r="Q62" s="4" t="s">
        <v>1380</v>
      </c>
    </row>
    <row r="63" spans="1:28" ht="17.25" customHeight="1" x14ac:dyDescent="0.2">
      <c r="A63" s="122">
        <v>62</v>
      </c>
      <c r="B63" s="123" t="s">
        <v>120</v>
      </c>
      <c r="C63" s="131" t="s">
        <v>68</v>
      </c>
      <c r="D63" s="125"/>
      <c r="E63" s="126"/>
      <c r="F63" s="125"/>
      <c r="G63" s="136">
        <v>25569.041962604166</v>
      </c>
      <c r="H63" s="136">
        <v>25569.041962604166</v>
      </c>
      <c r="I63" s="126"/>
      <c r="J63" s="126"/>
      <c r="K63" s="144" t="s">
        <v>1356</v>
      </c>
      <c r="L63" s="126"/>
      <c r="M63" s="143">
        <f t="shared" si="12"/>
        <v>0</v>
      </c>
      <c r="N63" s="126"/>
      <c r="O63" s="148" t="e">
        <f t="shared" si="13"/>
        <v>#DIV/0!</v>
      </c>
      <c r="P63" s="129" t="e">
        <f t="shared" si="14"/>
        <v>#DIV/0!</v>
      </c>
      <c r="Q63" s="4" t="s">
        <v>1381</v>
      </c>
    </row>
    <row r="64" spans="1:28" ht="17.25" customHeight="1" x14ac:dyDescent="0.2">
      <c r="A64" s="122">
        <v>63</v>
      </c>
      <c r="B64" s="123" t="s">
        <v>1379</v>
      </c>
      <c r="C64" s="131" t="s">
        <v>68</v>
      </c>
      <c r="D64" s="125">
        <v>229.69800000000001</v>
      </c>
      <c r="E64" s="132">
        <v>2564</v>
      </c>
      <c r="F64" s="125">
        <f t="shared" ref="F64:F73" si="15">0.9933*(D64 + E64/1000)-0.41</f>
        <v>230.29584459999998</v>
      </c>
      <c r="G64" s="136">
        <v>25569.041962604166</v>
      </c>
      <c r="H64" s="136">
        <v>25569.041962604166</v>
      </c>
      <c r="I64" s="126"/>
      <c r="J64" s="126"/>
      <c r="K64" s="144" t="s">
        <v>1356</v>
      </c>
      <c r="L64" s="126"/>
      <c r="M64" s="143">
        <f t="shared" si="12"/>
        <v>0</v>
      </c>
      <c r="N64" s="126"/>
      <c r="O64" s="148" t="e">
        <f t="shared" si="13"/>
        <v>#DIV/0!</v>
      </c>
      <c r="P64" s="129" t="e">
        <f t="shared" si="14"/>
        <v>#DIV/0!</v>
      </c>
      <c r="Q64" s="4" t="s">
        <v>1382</v>
      </c>
    </row>
    <row r="65" spans="1:28" ht="17.25" customHeight="1" x14ac:dyDescent="0.2">
      <c r="A65" s="122">
        <v>64</v>
      </c>
      <c r="B65" s="123" t="s">
        <v>9</v>
      </c>
      <c r="C65" s="131" t="s">
        <v>68</v>
      </c>
      <c r="D65" s="125">
        <v>229.69800000000001</v>
      </c>
      <c r="E65" s="132">
        <v>2564</v>
      </c>
      <c r="F65" s="125">
        <f t="shared" si="15"/>
        <v>230.29584459999998</v>
      </c>
      <c r="G65" s="136">
        <v>25569.041962604166</v>
      </c>
      <c r="H65" s="136">
        <v>25569.041962604166</v>
      </c>
      <c r="I65" s="132">
        <v>304</v>
      </c>
      <c r="J65" s="132">
        <v>4084</v>
      </c>
      <c r="K65" s="144" t="s">
        <v>1356</v>
      </c>
      <c r="L65" s="132">
        <v>166</v>
      </c>
      <c r="M65" s="143">
        <f t="shared" si="12"/>
        <v>12.884098726725126</v>
      </c>
      <c r="N65" s="129">
        <v>104986.55</v>
      </c>
      <c r="O65" s="130">
        <f t="shared" si="13"/>
        <v>1.5811549193682428E-3</v>
      </c>
      <c r="P65" s="130">
        <f t="shared" si="14"/>
        <v>1.2272142218908161E-4</v>
      </c>
      <c r="Q65" s="4" t="s">
        <v>1383</v>
      </c>
    </row>
    <row r="66" spans="1:28" ht="17.25" customHeight="1" x14ac:dyDescent="0.2">
      <c r="A66" s="122">
        <v>65</v>
      </c>
      <c r="B66" s="123" t="s">
        <v>9</v>
      </c>
      <c r="C66" s="131" t="s">
        <v>68</v>
      </c>
      <c r="D66" s="125">
        <v>336.87299999999999</v>
      </c>
      <c r="E66" s="132">
        <v>2564</v>
      </c>
      <c r="F66" s="125">
        <f t="shared" si="15"/>
        <v>336.75277209999996</v>
      </c>
      <c r="G66" s="136">
        <v>25569.041962604166</v>
      </c>
      <c r="H66" s="136">
        <v>25569.041962604166</v>
      </c>
      <c r="I66" s="132">
        <v>312</v>
      </c>
      <c r="J66" s="132">
        <v>1314</v>
      </c>
      <c r="K66" s="144" t="s">
        <v>1356</v>
      </c>
      <c r="L66" s="132">
        <v>30175</v>
      </c>
      <c r="M66" s="143">
        <f t="shared" si="12"/>
        <v>173.7095276604021</v>
      </c>
      <c r="N66" s="129">
        <v>34346.199999999997</v>
      </c>
      <c r="O66" s="130">
        <f t="shared" si="13"/>
        <v>0.87855425054300051</v>
      </c>
      <c r="P66" s="130">
        <f t="shared" si="14"/>
        <v>5.0576054311802215E-3</v>
      </c>
      <c r="Q66" s="4"/>
    </row>
    <row r="67" spans="1:28" ht="17.25" customHeight="1" x14ac:dyDescent="0.2">
      <c r="A67" s="122">
        <v>66</v>
      </c>
      <c r="B67" s="123" t="s">
        <v>9</v>
      </c>
      <c r="C67" s="131" t="s">
        <v>68</v>
      </c>
      <c r="D67" s="125">
        <v>337.88099999999997</v>
      </c>
      <c r="E67" s="132">
        <v>2564</v>
      </c>
      <c r="F67" s="125">
        <f t="shared" si="15"/>
        <v>337.75401849999997</v>
      </c>
      <c r="G67" s="136">
        <v>25569.041962604166</v>
      </c>
      <c r="H67" s="136">
        <v>25569.041962604166</v>
      </c>
      <c r="I67" s="2">
        <v>312</v>
      </c>
      <c r="J67" s="132">
        <v>1673</v>
      </c>
      <c r="K67" s="144" t="s">
        <v>1356</v>
      </c>
      <c r="L67" s="132">
        <v>57609</v>
      </c>
      <c r="M67" s="143">
        <f t="shared" si="12"/>
        <v>240.01874926763534</v>
      </c>
      <c r="N67" s="129">
        <v>40576.67</v>
      </c>
      <c r="O67" s="130">
        <f t="shared" si="13"/>
        <v>1.4197567222741541</v>
      </c>
      <c r="P67" s="130">
        <f t="shared" si="14"/>
        <v>5.9151909032366468E-3</v>
      </c>
      <c r="Q67" s="4"/>
    </row>
    <row r="68" spans="1:28" ht="17.25" customHeight="1" x14ac:dyDescent="0.2">
      <c r="A68" s="122">
        <v>67</v>
      </c>
      <c r="B68" s="123" t="s">
        <v>9</v>
      </c>
      <c r="C68" s="131" t="s">
        <v>68</v>
      </c>
      <c r="D68" s="125">
        <v>338.87400000000002</v>
      </c>
      <c r="E68" s="132">
        <v>2564</v>
      </c>
      <c r="F68" s="125">
        <f t="shared" si="15"/>
        <v>338.74036540000003</v>
      </c>
      <c r="G68" s="136">
        <v>25569.041962604166</v>
      </c>
      <c r="H68" s="136">
        <v>25569.041962604166</v>
      </c>
      <c r="I68" s="132">
        <v>312</v>
      </c>
      <c r="J68" s="132">
        <v>891</v>
      </c>
      <c r="K68" s="144" t="s">
        <v>1356</v>
      </c>
      <c r="L68" s="132">
        <v>58075</v>
      </c>
      <c r="M68" s="143">
        <f t="shared" si="12"/>
        <v>240.98755154571782</v>
      </c>
      <c r="N68" s="129">
        <v>22370.28</v>
      </c>
      <c r="O68" s="130">
        <f t="shared" si="13"/>
        <v>2.5960783682636071</v>
      </c>
      <c r="P68" s="130">
        <f t="shared" si="14"/>
        <v>1.0772665856024951E-2</v>
      </c>
      <c r="Q68" s="4"/>
    </row>
    <row r="69" spans="1:28" ht="17.25" customHeight="1" x14ac:dyDescent="0.2">
      <c r="A69" s="122">
        <v>68</v>
      </c>
      <c r="B69" s="123" t="s">
        <v>9</v>
      </c>
      <c r="C69" s="131" t="s">
        <v>68</v>
      </c>
      <c r="D69" s="125">
        <v>339.88099999999997</v>
      </c>
      <c r="E69" s="132">
        <v>2564</v>
      </c>
      <c r="F69" s="125">
        <f t="shared" si="15"/>
        <v>339.74061849999998</v>
      </c>
      <c r="G69" s="136">
        <v>25569.041962604166</v>
      </c>
      <c r="H69" s="136">
        <v>25569.041962604166</v>
      </c>
      <c r="I69" s="132">
        <v>313</v>
      </c>
      <c r="J69" s="132">
        <v>411</v>
      </c>
      <c r="K69" s="144" t="s">
        <v>1356</v>
      </c>
      <c r="L69" s="132">
        <v>60270</v>
      </c>
      <c r="M69" s="143">
        <f t="shared" si="12"/>
        <v>245.49949083450255</v>
      </c>
      <c r="N69" s="129">
        <v>9805.0300000000007</v>
      </c>
      <c r="O69" s="130">
        <f t="shared" si="13"/>
        <v>6.1468450377000377</v>
      </c>
      <c r="P69" s="130">
        <f t="shared" si="14"/>
        <v>2.5038117255582342E-2</v>
      </c>
      <c r="Q69" s="4"/>
    </row>
    <row r="70" spans="1:28" ht="17.25" customHeight="1" x14ac:dyDescent="0.2">
      <c r="A70" s="122">
        <v>69</v>
      </c>
      <c r="B70" s="123" t="s">
        <v>9</v>
      </c>
      <c r="C70" s="131" t="s">
        <v>68</v>
      </c>
      <c r="D70" s="125">
        <v>340.875</v>
      </c>
      <c r="E70" s="132">
        <v>2564</v>
      </c>
      <c r="F70" s="125">
        <f t="shared" si="15"/>
        <v>340.72795869999999</v>
      </c>
      <c r="G70" s="136">
        <v>25569.041962604166</v>
      </c>
      <c r="H70" s="136"/>
      <c r="I70" s="132">
        <v>312</v>
      </c>
      <c r="J70" s="132">
        <v>246</v>
      </c>
      <c r="K70" s="144" t="s">
        <v>1356</v>
      </c>
      <c r="L70" s="132">
        <v>83756</v>
      </c>
      <c r="M70" s="143">
        <f t="shared" si="12"/>
        <v>289.406288805202</v>
      </c>
      <c r="N70" s="129">
        <v>25602.86</v>
      </c>
      <c r="O70" s="130">
        <f t="shared" si="13"/>
        <v>3.2713532785009174</v>
      </c>
      <c r="P70" s="130">
        <f t="shared" si="14"/>
        <v>1.1303670324534134E-2</v>
      </c>
      <c r="Q70" s="4" t="s">
        <v>1384</v>
      </c>
    </row>
    <row r="71" spans="1:28" ht="17.25" customHeight="1" x14ac:dyDescent="0.2">
      <c r="A71" s="122">
        <v>70</v>
      </c>
      <c r="B71" s="128" t="s">
        <v>9</v>
      </c>
      <c r="C71" s="136"/>
      <c r="D71" s="125">
        <v>340.875</v>
      </c>
      <c r="E71" s="122">
        <v>2564</v>
      </c>
      <c r="F71" s="125">
        <f t="shared" si="15"/>
        <v>340.72795869999999</v>
      </c>
      <c r="G71" s="127"/>
      <c r="H71" s="127"/>
      <c r="I71" s="122"/>
      <c r="J71" s="122"/>
      <c r="K71" s="144" t="s">
        <v>1356</v>
      </c>
      <c r="L71" s="122"/>
      <c r="M71" s="139">
        <f t="shared" si="12"/>
        <v>0</v>
      </c>
      <c r="N71" s="122"/>
      <c r="O71" s="125" t="e">
        <f t="shared" si="13"/>
        <v>#DIV/0!</v>
      </c>
      <c r="P71" s="125" t="e">
        <f t="shared" si="14"/>
        <v>#DIV/0!</v>
      </c>
      <c r="Q71" s="149" t="s">
        <v>1385</v>
      </c>
      <c r="R71" s="45"/>
      <c r="S71" s="45"/>
      <c r="T71" s="45"/>
      <c r="U71" s="45"/>
      <c r="V71" s="45"/>
      <c r="W71" s="45"/>
      <c r="X71" s="45"/>
      <c r="Y71" s="45"/>
      <c r="Z71" s="45"/>
      <c r="AA71" s="45"/>
      <c r="AB71" s="45"/>
    </row>
    <row r="72" spans="1:28" ht="17.25" customHeight="1" x14ac:dyDescent="0.2">
      <c r="A72" s="122">
        <v>71</v>
      </c>
      <c r="B72" s="123" t="s">
        <v>9</v>
      </c>
      <c r="C72" s="131" t="s">
        <v>68</v>
      </c>
      <c r="D72" s="125">
        <v>340.88200000000001</v>
      </c>
      <c r="E72" s="132">
        <v>2564</v>
      </c>
      <c r="F72" s="125">
        <f t="shared" si="15"/>
        <v>340.73491179999996</v>
      </c>
      <c r="G72" s="136">
        <v>25569.041962604166</v>
      </c>
      <c r="H72" s="136">
        <v>25569.041962604166</v>
      </c>
      <c r="I72" s="132">
        <v>312</v>
      </c>
      <c r="J72" s="132">
        <v>280</v>
      </c>
      <c r="K72" s="144" t="s">
        <v>1356</v>
      </c>
      <c r="L72" s="132">
        <v>83434</v>
      </c>
      <c r="M72" s="143">
        <f t="shared" si="12"/>
        <v>288.84944175123485</v>
      </c>
      <c r="N72" s="129">
        <v>6073.26</v>
      </c>
      <c r="O72" s="130">
        <f t="shared" si="13"/>
        <v>13.737926583087171</v>
      </c>
      <c r="P72" s="130">
        <f t="shared" si="14"/>
        <v>4.7560855578591209E-2</v>
      </c>
      <c r="Q72" s="4"/>
    </row>
    <row r="73" spans="1:28" ht="17.25" customHeight="1" x14ac:dyDescent="0.2">
      <c r="A73" s="122">
        <v>72</v>
      </c>
      <c r="B73" s="123" t="s">
        <v>9</v>
      </c>
      <c r="C73" s="131" t="s">
        <v>68</v>
      </c>
      <c r="D73" s="125">
        <v>341.88900000000001</v>
      </c>
      <c r="E73" s="132">
        <v>2564</v>
      </c>
      <c r="F73" s="125">
        <f t="shared" si="15"/>
        <v>341.73516489999997</v>
      </c>
      <c r="G73" s="136">
        <v>25569.041962604166</v>
      </c>
      <c r="H73" s="136">
        <v>25569.041962604166</v>
      </c>
      <c r="I73" s="132">
        <v>310</v>
      </c>
      <c r="J73" s="132">
        <v>136</v>
      </c>
      <c r="K73" s="144" t="s">
        <v>1356</v>
      </c>
      <c r="L73" s="132">
        <v>18938</v>
      </c>
      <c r="M73" s="143">
        <f t="shared" si="12"/>
        <v>137.61540611428649</v>
      </c>
      <c r="N73" s="132">
        <v>4030</v>
      </c>
      <c r="O73" s="130">
        <f t="shared" si="13"/>
        <v>4.6992555831265506</v>
      </c>
      <c r="P73" s="130">
        <f t="shared" si="14"/>
        <v>3.414774345267655E-2</v>
      </c>
      <c r="Q73" s="4" t="s">
        <v>1386</v>
      </c>
    </row>
    <row r="74" spans="1:28" ht="17.25" customHeight="1" x14ac:dyDescent="0.2">
      <c r="A74" s="122">
        <v>73</v>
      </c>
      <c r="B74" s="123" t="s">
        <v>9</v>
      </c>
      <c r="C74" s="131" t="s">
        <v>68</v>
      </c>
      <c r="D74" s="125">
        <v>342.89600000000002</v>
      </c>
      <c r="E74" s="132">
        <v>2564</v>
      </c>
      <c r="F74" s="125">
        <f t="shared" ref="F74:F99" si="16">0.9933*(D74+E74/1000)-0.41</f>
        <v>342.73541799999998</v>
      </c>
      <c r="G74" s="136">
        <v>25569.041962604166</v>
      </c>
      <c r="H74" s="136">
        <v>25569.041962604166</v>
      </c>
      <c r="I74" s="132">
        <v>309</v>
      </c>
      <c r="J74" s="132">
        <v>580</v>
      </c>
      <c r="K74" s="144" t="s">
        <v>1356</v>
      </c>
      <c r="L74" s="132">
        <v>96111</v>
      </c>
      <c r="M74" s="143">
        <f t="shared" si="12"/>
        <v>310.01774142780926</v>
      </c>
      <c r="N74" s="129">
        <v>13897.08</v>
      </c>
      <c r="O74" s="130">
        <f t="shared" si="13"/>
        <v>6.915913270989301</v>
      </c>
      <c r="P74" s="130">
        <f t="shared" si="14"/>
        <v>2.2308120945393511E-2</v>
      </c>
      <c r="Q74" s="4"/>
    </row>
    <row r="75" spans="1:28" ht="17.25" customHeight="1" x14ac:dyDescent="0.2">
      <c r="A75" s="122">
        <v>74</v>
      </c>
      <c r="B75" s="123" t="s">
        <v>9</v>
      </c>
      <c r="C75" s="131" t="s">
        <v>68</v>
      </c>
      <c r="D75" s="125">
        <v>343.89600000000002</v>
      </c>
      <c r="E75" s="132">
        <v>2564</v>
      </c>
      <c r="F75" s="125">
        <f t="shared" si="16"/>
        <v>343.72871800000001</v>
      </c>
      <c r="G75" s="136">
        <v>25569.041962604166</v>
      </c>
      <c r="H75" s="136">
        <v>25569.041962604166</v>
      </c>
      <c r="I75" s="132">
        <v>307</v>
      </c>
      <c r="J75" s="132">
        <v>484</v>
      </c>
      <c r="K75" s="144" t="s">
        <v>1356</v>
      </c>
      <c r="L75" s="132">
        <v>52139</v>
      </c>
      <c r="M75" s="143">
        <f t="shared" si="12"/>
        <v>228.33965927976681</v>
      </c>
      <c r="N75" s="129">
        <v>11808.75</v>
      </c>
      <c r="O75" s="130">
        <f t="shared" si="13"/>
        <v>4.4152852757489152</v>
      </c>
      <c r="P75" s="130">
        <f t="shared" si="14"/>
        <v>1.9336480091437857E-2</v>
      </c>
      <c r="Q75" s="4"/>
    </row>
    <row r="76" spans="1:28" ht="17.25" customHeight="1" x14ac:dyDescent="0.2">
      <c r="A76" s="122">
        <v>75</v>
      </c>
      <c r="B76" s="123" t="s">
        <v>9</v>
      </c>
      <c r="C76" s="131" t="s">
        <v>68</v>
      </c>
      <c r="D76" s="125">
        <v>343.399</v>
      </c>
      <c r="E76" s="132">
        <v>2564</v>
      </c>
      <c r="F76" s="125">
        <f t="shared" si="16"/>
        <v>343.23504789999998</v>
      </c>
      <c r="G76" s="136">
        <v>25569.041962604166</v>
      </c>
      <c r="H76" s="136">
        <v>25569.041962604166</v>
      </c>
      <c r="I76" s="132">
        <v>308</v>
      </c>
      <c r="J76" s="132">
        <v>1293</v>
      </c>
      <c r="K76" s="144" t="s">
        <v>1356</v>
      </c>
      <c r="L76" s="132">
        <v>166499</v>
      </c>
      <c r="M76" s="143">
        <f t="shared" si="12"/>
        <v>408.0428899025199</v>
      </c>
      <c r="N76" s="129">
        <v>32948.199999999997</v>
      </c>
      <c r="O76" s="130">
        <f t="shared" si="13"/>
        <v>5.0533564807789197</v>
      </c>
      <c r="P76" s="130">
        <f t="shared" si="14"/>
        <v>1.2384375774777375E-2</v>
      </c>
      <c r="Q76" s="4"/>
    </row>
    <row r="77" spans="1:28" ht="17.25" customHeight="1" x14ac:dyDescent="0.2">
      <c r="A77" s="122">
        <v>76</v>
      </c>
      <c r="B77" s="123" t="s">
        <v>9</v>
      </c>
      <c r="C77" s="131" t="s">
        <v>68</v>
      </c>
      <c r="D77" s="125">
        <v>342.392</v>
      </c>
      <c r="E77" s="132">
        <v>2564</v>
      </c>
      <c r="F77" s="125">
        <f t="shared" si="16"/>
        <v>342.23479479999997</v>
      </c>
      <c r="G77" s="136">
        <v>25569.041962604166</v>
      </c>
      <c r="H77" s="136">
        <v>25569.041962604166</v>
      </c>
      <c r="I77" s="132">
        <v>308</v>
      </c>
      <c r="J77" s="132">
        <v>752</v>
      </c>
      <c r="K77" s="144" t="s">
        <v>1356</v>
      </c>
      <c r="L77" s="132">
        <v>171539</v>
      </c>
      <c r="M77" s="143">
        <f t="shared" si="12"/>
        <v>414.17266930593092</v>
      </c>
      <c r="N77" s="129">
        <v>19773.43</v>
      </c>
      <c r="O77" s="130">
        <f t="shared" si="13"/>
        <v>8.6752273126109127</v>
      </c>
      <c r="P77" s="130">
        <f t="shared" si="14"/>
        <v>2.0945919312225086E-2</v>
      </c>
      <c r="Q77" s="4"/>
    </row>
    <row r="78" spans="1:28" ht="17.25" customHeight="1" x14ac:dyDescent="0.2">
      <c r="A78" s="122">
        <v>77</v>
      </c>
      <c r="B78" s="123" t="s">
        <v>9</v>
      </c>
      <c r="C78" s="131" t="s">
        <v>68</v>
      </c>
      <c r="D78" s="125">
        <v>341.392</v>
      </c>
      <c r="E78" s="132">
        <v>2564</v>
      </c>
      <c r="F78" s="125">
        <f t="shared" si="16"/>
        <v>341.2414948</v>
      </c>
      <c r="G78" s="136">
        <v>25569.041962604166</v>
      </c>
      <c r="H78" s="136">
        <v>25569.041962604166</v>
      </c>
      <c r="I78" s="132">
        <v>308</v>
      </c>
      <c r="J78" s="132">
        <v>492</v>
      </c>
      <c r="K78" s="144" t="s">
        <v>1356</v>
      </c>
      <c r="L78" s="132">
        <v>151141</v>
      </c>
      <c r="M78" s="143">
        <f t="shared" si="12"/>
        <v>388.76856868836501</v>
      </c>
      <c r="N78" s="129">
        <v>11378.4</v>
      </c>
      <c r="O78" s="130">
        <f t="shared" si="13"/>
        <v>13.283150530830346</v>
      </c>
      <c r="P78" s="130">
        <f t="shared" si="14"/>
        <v>3.4167243961221699E-2</v>
      </c>
      <c r="Q78" s="4"/>
    </row>
    <row r="79" spans="1:28" ht="17.25" customHeight="1" x14ac:dyDescent="0.2">
      <c r="A79" s="122">
        <v>78</v>
      </c>
      <c r="B79" s="123" t="s">
        <v>9</v>
      </c>
      <c r="C79" s="131" t="s">
        <v>68</v>
      </c>
      <c r="D79" s="125">
        <v>341.89499999999998</v>
      </c>
      <c r="E79" s="132">
        <v>2564</v>
      </c>
      <c r="F79" s="125">
        <f t="shared" si="16"/>
        <v>341.74112469999994</v>
      </c>
      <c r="G79" s="136">
        <v>25569.041962604166</v>
      </c>
      <c r="H79" s="136">
        <v>25569.041962604166</v>
      </c>
      <c r="I79" s="132">
        <v>307</v>
      </c>
      <c r="J79" s="132">
        <v>636</v>
      </c>
      <c r="K79" s="144" t="s">
        <v>1356</v>
      </c>
      <c r="L79" s="132">
        <v>175024</v>
      </c>
      <c r="M79" s="143">
        <f t="shared" si="12"/>
        <v>418.35869777022685</v>
      </c>
      <c r="N79" s="129">
        <v>16083.68</v>
      </c>
      <c r="O79" s="130">
        <f t="shared" si="13"/>
        <v>10.882086686628931</v>
      </c>
      <c r="P79" s="130">
        <f t="shared" si="14"/>
        <v>2.6011379097956863E-2</v>
      </c>
      <c r="Q79" s="4" t="s">
        <v>1387</v>
      </c>
    </row>
    <row r="80" spans="1:28" ht="17.25" customHeight="1" x14ac:dyDescent="0.2">
      <c r="A80" s="122">
        <v>79</v>
      </c>
      <c r="B80" s="123" t="s">
        <v>9</v>
      </c>
      <c r="C80" s="131" t="s">
        <v>68</v>
      </c>
      <c r="D80" s="125">
        <v>340.392</v>
      </c>
      <c r="E80" s="132">
        <v>2564</v>
      </c>
      <c r="F80" s="125">
        <f t="shared" si="16"/>
        <v>340.24819479999996</v>
      </c>
      <c r="G80" s="136">
        <v>25569.041962604166</v>
      </c>
      <c r="H80" s="136">
        <v>25569.041962604166</v>
      </c>
      <c r="I80" s="132">
        <v>307</v>
      </c>
      <c r="J80" s="132">
        <v>446</v>
      </c>
      <c r="K80" s="144" t="s">
        <v>1356</v>
      </c>
      <c r="L80" s="132">
        <v>89555</v>
      </c>
      <c r="M80" s="143">
        <f t="shared" si="12"/>
        <v>299.25741427740769</v>
      </c>
      <c r="N80" s="129">
        <v>10275.219999999999</v>
      </c>
      <c r="O80" s="130">
        <f t="shared" si="13"/>
        <v>8.7156284731616456</v>
      </c>
      <c r="P80" s="130">
        <f t="shared" si="14"/>
        <v>2.912418559188102E-2</v>
      </c>
      <c r="Q80" s="4"/>
    </row>
    <row r="81" spans="1:28" ht="17.25" customHeight="1" x14ac:dyDescent="0.2">
      <c r="A81" s="122">
        <v>80</v>
      </c>
      <c r="B81" s="123" t="s">
        <v>9</v>
      </c>
      <c r="C81" s="131" t="s">
        <v>68</v>
      </c>
      <c r="D81" s="125">
        <v>339.37799999999999</v>
      </c>
      <c r="E81" s="132">
        <v>2564</v>
      </c>
      <c r="F81" s="125">
        <f t="shared" si="16"/>
        <v>339.24098859999998</v>
      </c>
      <c r="G81" s="136">
        <v>25569.041962604166</v>
      </c>
      <c r="H81" s="136">
        <v>25569.041962604166</v>
      </c>
      <c r="I81" s="132">
        <v>307</v>
      </c>
      <c r="J81" s="132">
        <v>1213</v>
      </c>
      <c r="K81" s="144" t="s">
        <v>1356</v>
      </c>
      <c r="L81" s="132">
        <v>110489</v>
      </c>
      <c r="M81" s="143">
        <f t="shared" si="12"/>
        <v>332.3988567970714</v>
      </c>
      <c r="N81" s="129">
        <v>31767.68</v>
      </c>
      <c r="O81" s="130">
        <f t="shared" si="13"/>
        <v>3.4780317605818238</v>
      </c>
      <c r="P81" s="130">
        <f t="shared" si="14"/>
        <v>1.0463428767762437E-2</v>
      </c>
      <c r="Q81" s="4"/>
    </row>
    <row r="82" spans="1:28" ht="17.25" customHeight="1" x14ac:dyDescent="0.2">
      <c r="A82" s="122">
        <v>81</v>
      </c>
      <c r="B82" s="123" t="s">
        <v>9</v>
      </c>
      <c r="C82" s="131" t="s">
        <v>68</v>
      </c>
      <c r="D82" s="125">
        <v>338.37700000000001</v>
      </c>
      <c r="E82" s="132">
        <v>2564</v>
      </c>
      <c r="F82" s="125">
        <f t="shared" si="16"/>
        <v>338.2466953</v>
      </c>
      <c r="G82" s="136">
        <v>25569.041962604166</v>
      </c>
      <c r="H82" s="136">
        <v>25569.041962604166</v>
      </c>
      <c r="I82" s="132">
        <v>306</v>
      </c>
      <c r="J82" s="132">
        <v>889</v>
      </c>
      <c r="K82" s="144" t="s">
        <v>1356</v>
      </c>
      <c r="L82" s="132">
        <v>36950</v>
      </c>
      <c r="M82" s="143">
        <f t="shared" ref="M82:M113" si="17">SQRT(L82)</f>
        <v>192.22382786741085</v>
      </c>
      <c r="N82" s="129">
        <v>20468.7</v>
      </c>
      <c r="O82" s="130">
        <f t="shared" ref="O82:O113" si="18">L82/N82</f>
        <v>1.8051952493319068</v>
      </c>
      <c r="P82" s="130">
        <f t="shared" ref="P82:P113" si="19">M82/N82</f>
        <v>9.3911107137928072E-3</v>
      </c>
      <c r="Q82" s="4"/>
    </row>
    <row r="83" spans="1:28" ht="17.25" customHeight="1" x14ac:dyDescent="0.2">
      <c r="A83" s="122">
        <v>82</v>
      </c>
      <c r="B83" s="123" t="s">
        <v>9</v>
      </c>
      <c r="C83" s="131" t="s">
        <v>68</v>
      </c>
      <c r="D83" s="125">
        <v>340.58600000000001</v>
      </c>
      <c r="E83" s="132">
        <v>2564</v>
      </c>
      <c r="F83" s="125">
        <f t="shared" si="16"/>
        <v>340.44089500000001</v>
      </c>
      <c r="G83" s="136">
        <v>25569.041962604166</v>
      </c>
      <c r="H83" s="136">
        <v>25569.041962604166</v>
      </c>
      <c r="I83" s="132">
        <v>306</v>
      </c>
      <c r="J83" s="132">
        <v>1247</v>
      </c>
      <c r="K83" s="144" t="s">
        <v>1356</v>
      </c>
      <c r="L83" s="132">
        <v>125382</v>
      </c>
      <c r="M83" s="143">
        <f t="shared" si="17"/>
        <v>354.09320806815822</v>
      </c>
      <c r="N83" s="132">
        <v>31212</v>
      </c>
      <c r="O83" s="130">
        <f t="shared" si="18"/>
        <v>4.0171088043060363</v>
      </c>
      <c r="P83" s="130">
        <f t="shared" si="19"/>
        <v>1.1344777908117333E-2</v>
      </c>
      <c r="Q83" s="4" t="s">
        <v>1388</v>
      </c>
    </row>
    <row r="84" spans="1:28" ht="17.25" customHeight="1" x14ac:dyDescent="0.2">
      <c r="A84" s="122">
        <v>83</v>
      </c>
      <c r="B84" s="123" t="s">
        <v>157</v>
      </c>
      <c r="C84" s="131" t="s">
        <v>68</v>
      </c>
      <c r="D84" s="125">
        <v>199.27699999999999</v>
      </c>
      <c r="E84" s="132">
        <v>2564</v>
      </c>
      <c r="F84" s="125">
        <f t="shared" si="16"/>
        <v>200.07866529999998</v>
      </c>
      <c r="G84" s="127"/>
      <c r="H84" s="127"/>
      <c r="I84" s="126"/>
      <c r="J84" s="126"/>
      <c r="K84" s="144" t="s">
        <v>1356</v>
      </c>
      <c r="L84" s="126"/>
      <c r="M84" s="143">
        <f t="shared" si="17"/>
        <v>0</v>
      </c>
      <c r="N84" s="126"/>
      <c r="O84" s="148" t="e">
        <f t="shared" si="18"/>
        <v>#DIV/0!</v>
      </c>
      <c r="P84" s="129" t="e">
        <f t="shared" si="19"/>
        <v>#DIV/0!</v>
      </c>
      <c r="Q84" s="4" t="s">
        <v>1389</v>
      </c>
    </row>
    <row r="85" spans="1:28" ht="17.25" customHeight="1" x14ac:dyDescent="0.2">
      <c r="A85" s="122">
        <v>84</v>
      </c>
      <c r="B85" s="123" t="s">
        <v>157</v>
      </c>
      <c r="C85" s="131" t="s">
        <v>68</v>
      </c>
      <c r="D85" s="125">
        <v>199.291</v>
      </c>
      <c r="E85" s="132">
        <v>2564</v>
      </c>
      <c r="F85" s="125">
        <f t="shared" si="16"/>
        <v>200.09257149999999</v>
      </c>
      <c r="G85" s="136">
        <v>25569.041962604166</v>
      </c>
      <c r="H85" s="136">
        <v>25569.041962604166</v>
      </c>
      <c r="I85" s="132">
        <v>242</v>
      </c>
      <c r="J85" s="126"/>
      <c r="K85" s="144" t="s">
        <v>1356</v>
      </c>
      <c r="L85" s="126"/>
      <c r="M85" s="143">
        <f t="shared" si="17"/>
        <v>0</v>
      </c>
      <c r="N85" s="132">
        <v>2400000</v>
      </c>
      <c r="O85" s="130">
        <f t="shared" si="18"/>
        <v>0</v>
      </c>
      <c r="P85" s="130">
        <f t="shared" si="19"/>
        <v>0</v>
      </c>
      <c r="Q85" s="4" t="s">
        <v>1390</v>
      </c>
    </row>
    <row r="86" spans="1:28" ht="17.25" customHeight="1" x14ac:dyDescent="0.2">
      <c r="A86" s="122">
        <v>85</v>
      </c>
      <c r="B86" s="123" t="s">
        <v>157</v>
      </c>
      <c r="C86" s="131" t="s">
        <v>68</v>
      </c>
      <c r="D86" s="125">
        <v>199.291</v>
      </c>
      <c r="E86" s="132">
        <v>2564</v>
      </c>
      <c r="F86" s="125">
        <f t="shared" si="16"/>
        <v>200.09257149999999</v>
      </c>
      <c r="G86" s="136">
        <v>25569.041962604166</v>
      </c>
      <c r="H86" s="127" t="s">
        <v>1391</v>
      </c>
      <c r="I86" s="132">
        <v>240</v>
      </c>
      <c r="J86" s="126"/>
      <c r="K86" s="144" t="s">
        <v>1356</v>
      </c>
      <c r="L86" s="126"/>
      <c r="M86" s="143">
        <f t="shared" si="17"/>
        <v>0</v>
      </c>
      <c r="N86" s="132">
        <v>1820000</v>
      </c>
      <c r="O86" s="130">
        <f t="shared" si="18"/>
        <v>0</v>
      </c>
      <c r="P86" s="130">
        <f t="shared" si="19"/>
        <v>0</v>
      </c>
      <c r="Q86" s="4" t="s">
        <v>1392</v>
      </c>
    </row>
    <row r="87" spans="1:28" ht="17.25" customHeight="1" x14ac:dyDescent="0.2">
      <c r="A87" s="122">
        <v>86</v>
      </c>
      <c r="B87" s="123" t="s">
        <v>157</v>
      </c>
      <c r="C87" s="131" t="s">
        <v>68</v>
      </c>
      <c r="D87" s="125">
        <v>199.291</v>
      </c>
      <c r="E87" s="132">
        <v>2564</v>
      </c>
      <c r="F87" s="125">
        <f t="shared" si="16"/>
        <v>200.09257149999999</v>
      </c>
      <c r="G87" s="127" t="s">
        <v>1393</v>
      </c>
      <c r="H87" s="127" t="s">
        <v>1394</v>
      </c>
      <c r="I87" s="132">
        <v>240</v>
      </c>
      <c r="J87" s="132">
        <v>334941</v>
      </c>
      <c r="K87" s="144" t="s">
        <v>1356</v>
      </c>
      <c r="L87" s="132">
        <v>79</v>
      </c>
      <c r="M87" s="143">
        <f t="shared" si="17"/>
        <v>8.8881944173155887</v>
      </c>
      <c r="N87" s="126"/>
      <c r="O87" s="148" t="e">
        <f t="shared" si="18"/>
        <v>#DIV/0!</v>
      </c>
      <c r="P87" s="129" t="e">
        <f t="shared" si="19"/>
        <v>#DIV/0!</v>
      </c>
      <c r="Q87" s="4" t="s">
        <v>1395</v>
      </c>
      <c r="R87" s="7"/>
      <c r="S87" s="7"/>
      <c r="T87" s="7"/>
      <c r="U87" s="7"/>
      <c r="V87" s="7"/>
      <c r="W87" s="7"/>
      <c r="X87" s="7"/>
      <c r="Y87" s="7"/>
      <c r="Z87" s="7"/>
      <c r="AA87" s="7"/>
      <c r="AB87" s="7"/>
    </row>
    <row r="88" spans="1:28" ht="17.25" customHeight="1" x14ac:dyDescent="0.2">
      <c r="A88" s="150">
        <v>87</v>
      </c>
      <c r="B88" s="137" t="s">
        <v>9</v>
      </c>
      <c r="C88" s="138" t="s">
        <v>68</v>
      </c>
      <c r="D88" s="139">
        <v>336.87299999999999</v>
      </c>
      <c r="E88" s="140">
        <v>2564</v>
      </c>
      <c r="F88" s="139">
        <f t="shared" si="16"/>
        <v>336.75277209999996</v>
      </c>
      <c r="G88" s="146">
        <v>25569.041962604166</v>
      </c>
      <c r="H88" s="142">
        <v>25569.041962604166</v>
      </c>
      <c r="I88" s="140">
        <v>207</v>
      </c>
      <c r="J88" s="140">
        <v>994</v>
      </c>
      <c r="K88" s="144" t="s">
        <v>1356</v>
      </c>
      <c r="L88" s="140">
        <v>11031</v>
      </c>
      <c r="M88" s="143">
        <f t="shared" si="17"/>
        <v>105.02856754235964</v>
      </c>
      <c r="N88" s="143">
        <v>20531.54</v>
      </c>
      <c r="O88" s="145">
        <f t="shared" si="18"/>
        <v>0.53727094996283764</v>
      </c>
      <c r="P88" s="145">
        <f t="shared" si="19"/>
        <v>5.1154744136270164E-3</v>
      </c>
      <c r="Q88" s="4"/>
      <c r="R88" s="4"/>
      <c r="S88" s="4"/>
      <c r="T88" s="4"/>
      <c r="U88" s="4"/>
      <c r="V88" s="4"/>
      <c r="W88" s="4"/>
      <c r="X88" s="4"/>
      <c r="Y88" s="4"/>
      <c r="Z88" s="4"/>
      <c r="AA88" s="4"/>
      <c r="AB88" s="4"/>
    </row>
    <row r="89" spans="1:28" ht="17.25" customHeight="1" x14ac:dyDescent="0.2">
      <c r="A89" s="122">
        <v>88</v>
      </c>
      <c r="B89" s="123" t="s">
        <v>9</v>
      </c>
      <c r="C89" s="131" t="s">
        <v>68</v>
      </c>
      <c r="D89" s="125">
        <v>337.887</v>
      </c>
      <c r="E89" s="132">
        <v>2564</v>
      </c>
      <c r="F89" s="125">
        <f t="shared" si="16"/>
        <v>337.7599783</v>
      </c>
      <c r="G89" s="136">
        <v>25569.041962604166</v>
      </c>
      <c r="H89" s="136">
        <v>25569.041962604166</v>
      </c>
      <c r="I89" s="132">
        <v>209</v>
      </c>
      <c r="J89" s="132">
        <v>662</v>
      </c>
      <c r="K89" s="144" t="s">
        <v>1356</v>
      </c>
      <c r="L89" s="132">
        <v>11718</v>
      </c>
      <c r="M89" s="143">
        <f t="shared" si="17"/>
        <v>108.2497113160123</v>
      </c>
      <c r="N89" s="129">
        <v>17289.12</v>
      </c>
      <c r="O89" s="130">
        <f t="shared" si="18"/>
        <v>0.67776728948610454</v>
      </c>
      <c r="P89" s="130">
        <f t="shared" si="19"/>
        <v>6.261146392413975E-3</v>
      </c>
      <c r="Q89" s="4"/>
    </row>
    <row r="90" spans="1:28" ht="17.25" customHeight="1" x14ac:dyDescent="0.2">
      <c r="A90" s="122">
        <v>89</v>
      </c>
      <c r="B90" s="123" t="s">
        <v>9</v>
      </c>
      <c r="C90" s="131" t="s">
        <v>68</v>
      </c>
      <c r="D90" s="125">
        <v>338.90800000000002</v>
      </c>
      <c r="E90" s="132">
        <v>2564</v>
      </c>
      <c r="F90" s="125">
        <f t="shared" si="16"/>
        <v>338.77413760000002</v>
      </c>
      <c r="G90" s="136">
        <v>25569.041962604166</v>
      </c>
      <c r="H90" s="136">
        <v>25569.041962604166</v>
      </c>
      <c r="I90" s="132">
        <v>209</v>
      </c>
      <c r="J90" s="132">
        <v>449</v>
      </c>
      <c r="K90" s="144" t="s">
        <v>1356</v>
      </c>
      <c r="L90" s="132">
        <v>13257</v>
      </c>
      <c r="M90" s="143">
        <f t="shared" si="17"/>
        <v>115.13904637437292</v>
      </c>
      <c r="N90" s="129">
        <v>12194.16</v>
      </c>
      <c r="O90" s="130">
        <f t="shared" si="18"/>
        <v>1.0871597551614871</v>
      </c>
      <c r="P90" s="130">
        <f t="shared" si="19"/>
        <v>9.4421465992223265E-3</v>
      </c>
      <c r="Q90" s="4"/>
    </row>
    <row r="91" spans="1:28" ht="17.25" customHeight="1" x14ac:dyDescent="0.2">
      <c r="A91" s="122">
        <v>90</v>
      </c>
      <c r="B91" s="123" t="s">
        <v>9</v>
      </c>
      <c r="C91" s="131" t="s">
        <v>68</v>
      </c>
      <c r="D91" s="125">
        <v>339.88799999999998</v>
      </c>
      <c r="E91" s="132">
        <v>2564</v>
      </c>
      <c r="F91" s="125">
        <f t="shared" si="16"/>
        <v>339.74757159999996</v>
      </c>
      <c r="G91" s="136">
        <v>25569.041962604166</v>
      </c>
      <c r="H91" s="136">
        <v>25569.041962604166</v>
      </c>
      <c r="I91" s="132">
        <v>209</v>
      </c>
      <c r="J91" s="132">
        <v>230</v>
      </c>
      <c r="K91" s="144" t="s">
        <v>1356</v>
      </c>
      <c r="L91" s="132">
        <v>14103</v>
      </c>
      <c r="M91" s="143">
        <f t="shared" si="17"/>
        <v>118.75605247733692</v>
      </c>
      <c r="N91" s="129">
        <v>7791.35</v>
      </c>
      <c r="O91" s="130">
        <f t="shared" si="18"/>
        <v>1.8100842601089668</v>
      </c>
      <c r="P91" s="130">
        <f t="shared" si="19"/>
        <v>1.5242037962270584E-2</v>
      </c>
      <c r="Q91" s="4"/>
    </row>
    <row r="92" spans="1:28" ht="17.25" customHeight="1" x14ac:dyDescent="0.2">
      <c r="A92" s="122">
        <v>91</v>
      </c>
      <c r="B92" s="123" t="s">
        <v>9</v>
      </c>
      <c r="C92" s="131" t="s">
        <v>68</v>
      </c>
      <c r="D92" s="125">
        <v>340.95600000000002</v>
      </c>
      <c r="E92" s="132">
        <v>2564</v>
      </c>
      <c r="F92" s="125">
        <f t="shared" si="16"/>
        <v>340.80841600000002</v>
      </c>
      <c r="G92" s="136">
        <v>25569.041962604166</v>
      </c>
      <c r="H92" s="136">
        <v>25569.041962604166</v>
      </c>
      <c r="I92" s="132">
        <v>206</v>
      </c>
      <c r="J92" s="126"/>
      <c r="K92" s="144" t="s">
        <v>1356</v>
      </c>
      <c r="L92" s="132">
        <v>9499</v>
      </c>
      <c r="M92" s="143">
        <f t="shared" si="17"/>
        <v>97.462813421324952</v>
      </c>
      <c r="N92" s="132">
        <v>1648</v>
      </c>
      <c r="O92" s="130">
        <f t="shared" si="18"/>
        <v>5.7639563106796112</v>
      </c>
      <c r="P92" s="130">
        <f t="shared" si="19"/>
        <v>5.914005668769718E-2</v>
      </c>
      <c r="Q92" s="4"/>
    </row>
    <row r="93" spans="1:28" ht="17.25" customHeight="1" x14ac:dyDescent="0.2">
      <c r="A93" s="122">
        <v>92</v>
      </c>
      <c r="B93" s="123" t="s">
        <v>9</v>
      </c>
      <c r="C93" s="131" t="s">
        <v>68</v>
      </c>
      <c r="D93" s="125">
        <v>341.96899999999999</v>
      </c>
      <c r="E93" s="132">
        <v>2564</v>
      </c>
      <c r="F93" s="125">
        <f t="shared" si="16"/>
        <v>341.8146289</v>
      </c>
      <c r="G93" s="136">
        <v>25569.041962604166</v>
      </c>
      <c r="H93" s="136">
        <v>25569.041962604166</v>
      </c>
      <c r="I93" s="132">
        <v>206</v>
      </c>
      <c r="J93" s="132">
        <v>1341</v>
      </c>
      <c r="K93" s="144" t="s">
        <v>1356</v>
      </c>
      <c r="L93" s="132">
        <v>144469</v>
      </c>
      <c r="M93" s="143">
        <f t="shared" si="17"/>
        <v>380.09077863057922</v>
      </c>
      <c r="N93" s="129">
        <v>20956.5</v>
      </c>
      <c r="O93" s="130">
        <f t="shared" si="18"/>
        <v>6.8937561138548897</v>
      </c>
      <c r="P93" s="130">
        <f t="shared" si="19"/>
        <v>1.8137130657818776E-2</v>
      </c>
      <c r="Q93" s="4"/>
    </row>
    <row r="94" spans="1:28" ht="17.25" customHeight="1" x14ac:dyDescent="0.2">
      <c r="A94" s="122">
        <v>93</v>
      </c>
      <c r="B94" s="123" t="s">
        <v>9</v>
      </c>
      <c r="C94" s="131" t="s">
        <v>68</v>
      </c>
      <c r="D94" s="125">
        <v>342.9</v>
      </c>
      <c r="E94" s="132">
        <v>2564</v>
      </c>
      <c r="F94" s="125">
        <f t="shared" si="16"/>
        <v>342.73939119999994</v>
      </c>
      <c r="G94" s="136">
        <v>25569.041962604166</v>
      </c>
      <c r="H94" s="136">
        <v>25569.041962604166</v>
      </c>
      <c r="I94" s="132">
        <v>205</v>
      </c>
      <c r="J94" s="132">
        <v>587</v>
      </c>
      <c r="K94" s="144" t="s">
        <v>1356</v>
      </c>
      <c r="L94" s="132">
        <v>70280</v>
      </c>
      <c r="M94" s="143">
        <f t="shared" si="17"/>
        <v>265.10375327407195</v>
      </c>
      <c r="N94" s="129">
        <v>15788.43</v>
      </c>
      <c r="O94" s="130">
        <f t="shared" si="18"/>
        <v>4.4513609016222642</v>
      </c>
      <c r="P94" s="130">
        <f t="shared" si="19"/>
        <v>1.6791014260067148E-2</v>
      </c>
      <c r="Q94" s="4"/>
    </row>
    <row r="95" spans="1:28" ht="17.25" customHeight="1" x14ac:dyDescent="0.2">
      <c r="A95" s="122">
        <v>94</v>
      </c>
      <c r="B95" s="123" t="s">
        <v>9</v>
      </c>
      <c r="C95" s="131" t="s">
        <v>68</v>
      </c>
      <c r="D95" s="125">
        <v>342.399</v>
      </c>
      <c r="E95" s="132">
        <v>2564</v>
      </c>
      <c r="F95" s="125">
        <f t="shared" si="16"/>
        <v>342.24174790000001</v>
      </c>
      <c r="G95" s="136">
        <v>25569.041962604166</v>
      </c>
      <c r="H95" s="136">
        <v>25569.041962604166</v>
      </c>
      <c r="I95" s="132">
        <v>205</v>
      </c>
      <c r="J95" s="132">
        <v>1052</v>
      </c>
      <c r="K95" s="144" t="s">
        <v>1356</v>
      </c>
      <c r="L95" s="132">
        <v>146210</v>
      </c>
      <c r="M95" s="143">
        <f t="shared" si="17"/>
        <v>382.37416230702615</v>
      </c>
      <c r="N95" s="129">
        <v>24027.13</v>
      </c>
      <c r="O95" s="130">
        <f t="shared" si="18"/>
        <v>6.0852045167275488</v>
      </c>
      <c r="P95" s="130">
        <f t="shared" si="19"/>
        <v>1.5914267010126725E-2</v>
      </c>
      <c r="Q95" s="4"/>
    </row>
    <row r="96" spans="1:28" ht="17.25" customHeight="1" x14ac:dyDescent="0.2">
      <c r="A96" s="122">
        <v>95</v>
      </c>
      <c r="B96" s="123" t="s">
        <v>9</v>
      </c>
      <c r="C96" s="131" t="s">
        <v>68</v>
      </c>
      <c r="D96" s="125">
        <v>341.3399</v>
      </c>
      <c r="E96" s="132">
        <v>2564</v>
      </c>
      <c r="F96" s="125">
        <f t="shared" si="16"/>
        <v>341.18974386999997</v>
      </c>
      <c r="G96" s="136">
        <v>25569.041962604166</v>
      </c>
      <c r="H96" s="136">
        <v>25569.041962604166</v>
      </c>
      <c r="I96" s="132">
        <v>204</v>
      </c>
      <c r="J96" s="132">
        <v>1173</v>
      </c>
      <c r="K96" s="144" t="s">
        <v>1356</v>
      </c>
      <c r="L96" s="132">
        <v>210203</v>
      </c>
      <c r="M96" s="143">
        <f t="shared" si="17"/>
        <v>458.47900715299932</v>
      </c>
      <c r="N96" s="129">
        <v>28583.27</v>
      </c>
      <c r="O96" s="130">
        <f t="shared" si="18"/>
        <v>7.3540571110303334</v>
      </c>
      <c r="P96" s="130">
        <f t="shared" si="19"/>
        <v>1.604011742368873E-2</v>
      </c>
      <c r="Q96" s="4"/>
    </row>
    <row r="97" spans="1:17" ht="17.25" customHeight="1" x14ac:dyDescent="0.2">
      <c r="A97" s="122">
        <v>96</v>
      </c>
      <c r="B97" s="123" t="s">
        <v>9</v>
      </c>
      <c r="C97" s="131" t="s">
        <v>68</v>
      </c>
      <c r="D97" s="125">
        <v>343.9</v>
      </c>
      <c r="E97" s="132">
        <v>2564</v>
      </c>
      <c r="F97" s="125">
        <f t="shared" si="16"/>
        <v>343.73269119999998</v>
      </c>
      <c r="G97" s="136">
        <v>25569.041962604166</v>
      </c>
      <c r="H97" s="136">
        <v>25569.041962604166</v>
      </c>
      <c r="I97" s="132">
        <v>205</v>
      </c>
      <c r="J97" s="132">
        <v>1647</v>
      </c>
      <c r="K97" s="144" t="s">
        <v>1356</v>
      </c>
      <c r="L97" s="132">
        <v>120592</v>
      </c>
      <c r="M97" s="143">
        <f t="shared" si="17"/>
        <v>347.26358864701035</v>
      </c>
      <c r="N97" s="129">
        <v>37648.019999999997</v>
      </c>
      <c r="O97" s="130">
        <f t="shared" si="18"/>
        <v>3.2031432197496712</v>
      </c>
      <c r="P97" s="130">
        <f t="shared" si="19"/>
        <v>9.2239535743715174E-3</v>
      </c>
      <c r="Q97" s="4"/>
    </row>
    <row r="98" spans="1:17" ht="17.25" customHeight="1" x14ac:dyDescent="0.2">
      <c r="A98" s="122">
        <v>97</v>
      </c>
      <c r="B98" s="123" t="s">
        <v>9</v>
      </c>
      <c r="C98" s="131" t="s">
        <v>68</v>
      </c>
      <c r="D98" s="125">
        <v>344.9</v>
      </c>
      <c r="E98" s="132">
        <v>2564</v>
      </c>
      <c r="F98" s="125">
        <f t="shared" si="16"/>
        <v>344.72599119999995</v>
      </c>
      <c r="G98" s="136">
        <v>25569.041962604166</v>
      </c>
      <c r="H98" s="136">
        <v>25569.041962604166</v>
      </c>
      <c r="I98" s="132">
        <v>202</v>
      </c>
      <c r="J98" s="132">
        <v>3641</v>
      </c>
      <c r="K98" s="144" t="s">
        <v>1356</v>
      </c>
      <c r="L98" s="132">
        <v>178759</v>
      </c>
      <c r="M98" s="143">
        <f t="shared" si="17"/>
        <v>422.79900662134958</v>
      </c>
      <c r="N98" s="129">
        <v>75317.97</v>
      </c>
      <c r="O98" s="130">
        <f t="shared" si="18"/>
        <v>2.373391104407089</v>
      </c>
      <c r="P98" s="130">
        <f t="shared" si="19"/>
        <v>5.6135210046334167E-3</v>
      </c>
      <c r="Q98" s="4"/>
    </row>
    <row r="99" spans="1:17" ht="17.25" customHeight="1" x14ac:dyDescent="0.2">
      <c r="A99" s="122">
        <v>98</v>
      </c>
      <c r="B99" s="123" t="s">
        <v>9</v>
      </c>
      <c r="C99" s="131" t="s">
        <v>68</v>
      </c>
      <c r="D99" s="125">
        <v>345.91699999999997</v>
      </c>
      <c r="E99" s="132">
        <v>2564</v>
      </c>
      <c r="F99" s="125">
        <f t="shared" si="16"/>
        <v>345.73617729999995</v>
      </c>
      <c r="G99" s="136">
        <v>25569.041962604166</v>
      </c>
      <c r="H99" s="136">
        <v>25569.041962604166</v>
      </c>
      <c r="I99" s="132">
        <v>200</v>
      </c>
      <c r="J99" s="132">
        <v>1494</v>
      </c>
      <c r="K99" s="144" t="s">
        <v>1356</v>
      </c>
      <c r="L99" s="132">
        <v>56227</v>
      </c>
      <c r="M99" s="143">
        <f t="shared" si="17"/>
        <v>237.1223312975815</v>
      </c>
      <c r="N99" s="129">
        <v>29150.37</v>
      </c>
      <c r="O99" s="130">
        <f t="shared" si="18"/>
        <v>1.9288605942223032</v>
      </c>
      <c r="P99" s="130">
        <f t="shared" si="19"/>
        <v>8.1344535694600623E-3</v>
      </c>
      <c r="Q99" s="4" t="s">
        <v>1396</v>
      </c>
    </row>
    <row r="100" spans="1:17" ht="17.25" customHeight="1" x14ac:dyDescent="0.2">
      <c r="A100" s="122">
        <v>99</v>
      </c>
      <c r="B100" s="123" t="s">
        <v>1379</v>
      </c>
      <c r="C100" s="131" t="s">
        <v>81</v>
      </c>
      <c r="D100" s="125">
        <v>230.22200000000001</v>
      </c>
      <c r="E100" s="132">
        <v>2857</v>
      </c>
      <c r="F100" s="125">
        <f t="shared" ref="F100:F131" si="20">0.9933*(D100 + E100/1000)-0.41</f>
        <v>231.10737069999999</v>
      </c>
      <c r="G100" s="127"/>
      <c r="H100" s="127"/>
      <c r="I100" s="126"/>
      <c r="J100" s="126"/>
      <c r="K100" s="144" t="s">
        <v>1356</v>
      </c>
      <c r="L100" s="132">
        <v>23665</v>
      </c>
      <c r="M100" s="143">
        <f t="shared" si="17"/>
        <v>153.83432646844463</v>
      </c>
      <c r="N100" s="129">
        <v>13844.181</v>
      </c>
      <c r="O100" s="130">
        <f t="shared" si="18"/>
        <v>1.7093824473979355</v>
      </c>
      <c r="P100" s="130">
        <f t="shared" si="19"/>
        <v>1.1111840163635872E-2</v>
      </c>
      <c r="Q100" s="4" t="s">
        <v>1397</v>
      </c>
    </row>
    <row r="101" spans="1:17" ht="17.25" customHeight="1" x14ac:dyDescent="0.2">
      <c r="A101" s="122">
        <v>100</v>
      </c>
      <c r="B101" s="123" t="s">
        <v>29</v>
      </c>
      <c r="C101" s="131" t="s">
        <v>81</v>
      </c>
      <c r="D101" s="125">
        <v>230.22200000000001</v>
      </c>
      <c r="E101" s="132">
        <v>2857</v>
      </c>
      <c r="F101" s="125">
        <f t="shared" si="20"/>
        <v>231.10737069999999</v>
      </c>
      <c r="G101" s="136">
        <v>25569.041962604166</v>
      </c>
      <c r="H101" s="136">
        <v>25569.041962604166</v>
      </c>
      <c r="I101" s="132">
        <v>242</v>
      </c>
      <c r="J101" s="132">
        <v>1652</v>
      </c>
      <c r="K101" s="144" t="s">
        <v>429</v>
      </c>
      <c r="L101" s="132">
        <v>38165</v>
      </c>
      <c r="M101" s="143">
        <f t="shared" si="17"/>
        <v>195.35864454894235</v>
      </c>
      <c r="N101" s="129">
        <v>22256.726999999999</v>
      </c>
      <c r="O101" s="130">
        <f t="shared" si="18"/>
        <v>1.7147624626028797</v>
      </c>
      <c r="P101" s="130">
        <f t="shared" si="19"/>
        <v>8.7775100332111895E-3</v>
      </c>
      <c r="Q101" s="151"/>
    </row>
    <row r="102" spans="1:17" ht="17.25" customHeight="1" x14ac:dyDescent="0.2">
      <c r="A102" s="122">
        <v>101</v>
      </c>
      <c r="B102" s="123" t="s">
        <v>29</v>
      </c>
      <c r="C102" s="131" t="s">
        <v>81</v>
      </c>
      <c r="D102" s="125">
        <v>229.745</v>
      </c>
      <c r="E102" s="132">
        <v>2857</v>
      </c>
      <c r="F102" s="125">
        <f t="shared" si="20"/>
        <v>230.63356659999999</v>
      </c>
      <c r="G102" s="136">
        <v>25569.041962604166</v>
      </c>
      <c r="H102" s="136">
        <v>25569.041962604166</v>
      </c>
      <c r="I102" s="132">
        <v>238</v>
      </c>
      <c r="J102" s="132">
        <v>1196</v>
      </c>
      <c r="K102" s="144" t="s">
        <v>429</v>
      </c>
      <c r="L102" s="132">
        <v>23665</v>
      </c>
      <c r="M102" s="143">
        <f t="shared" si="17"/>
        <v>153.83432646844463</v>
      </c>
      <c r="N102" s="129">
        <v>13844.181</v>
      </c>
      <c r="O102" s="130">
        <f t="shared" si="18"/>
        <v>1.7093824473979355</v>
      </c>
      <c r="P102" s="130">
        <f t="shared" si="19"/>
        <v>1.1111840163635872E-2</v>
      </c>
      <c r="Q102" s="151"/>
    </row>
    <row r="103" spans="1:17" ht="17.25" customHeight="1" x14ac:dyDescent="0.2">
      <c r="A103" s="122">
        <v>102</v>
      </c>
      <c r="B103" s="123" t="s">
        <v>29</v>
      </c>
      <c r="C103" s="131" t="s">
        <v>81</v>
      </c>
      <c r="D103" s="125">
        <v>229.23500000000001</v>
      </c>
      <c r="E103" s="132">
        <v>2857</v>
      </c>
      <c r="F103" s="125">
        <f t="shared" si="20"/>
        <v>230.12698360000002</v>
      </c>
      <c r="G103" s="136">
        <v>25569.041962604166</v>
      </c>
      <c r="H103" s="136">
        <v>25569.041962604166</v>
      </c>
      <c r="I103" s="132">
        <v>236</v>
      </c>
      <c r="J103" s="132">
        <v>5101</v>
      </c>
      <c r="K103" s="144" t="s">
        <v>429</v>
      </c>
      <c r="L103" s="132">
        <v>88039</v>
      </c>
      <c r="M103" s="143">
        <f t="shared" si="17"/>
        <v>296.7136666889478</v>
      </c>
      <c r="N103" s="129">
        <v>53407.184999999998</v>
      </c>
      <c r="O103" s="130">
        <f t="shared" si="18"/>
        <v>1.6484486122981394</v>
      </c>
      <c r="P103" s="130">
        <f t="shared" si="19"/>
        <v>5.5556881848190989E-3</v>
      </c>
      <c r="Q103" s="152"/>
    </row>
    <row r="104" spans="1:17" ht="17.25" customHeight="1" x14ac:dyDescent="0.2">
      <c r="A104" s="122">
        <v>103</v>
      </c>
      <c r="B104" s="123" t="s">
        <v>29</v>
      </c>
      <c r="C104" s="131" t="s">
        <v>81</v>
      </c>
      <c r="D104" s="125">
        <v>228.745</v>
      </c>
      <c r="E104" s="132">
        <v>2857</v>
      </c>
      <c r="F104" s="125">
        <f t="shared" si="20"/>
        <v>229.64026659999999</v>
      </c>
      <c r="G104" s="136">
        <v>25569.041962604166</v>
      </c>
      <c r="H104" s="136">
        <v>25569.041962604166</v>
      </c>
      <c r="I104" s="132">
        <v>235</v>
      </c>
      <c r="J104" s="132">
        <v>2591</v>
      </c>
      <c r="K104" s="144" t="s">
        <v>429</v>
      </c>
      <c r="L104" s="132">
        <v>41366</v>
      </c>
      <c r="M104" s="143">
        <f t="shared" si="17"/>
        <v>203.38633189081315</v>
      </c>
      <c r="N104" s="129">
        <v>25761.200000000001</v>
      </c>
      <c r="O104" s="130">
        <f t="shared" si="18"/>
        <v>1.6057481794326351</v>
      </c>
      <c r="P104" s="130">
        <f t="shared" si="19"/>
        <v>7.8950643561174622E-3</v>
      </c>
      <c r="Q104" s="4"/>
    </row>
    <row r="105" spans="1:17" ht="17.25" customHeight="1" x14ac:dyDescent="0.2">
      <c r="A105" s="122">
        <v>104</v>
      </c>
      <c r="B105" s="123" t="s">
        <v>29</v>
      </c>
      <c r="C105" s="131" t="s">
        <v>81</v>
      </c>
      <c r="D105" s="125">
        <v>228.24100000000001</v>
      </c>
      <c r="E105" s="132">
        <v>2857</v>
      </c>
      <c r="F105" s="125">
        <f t="shared" si="20"/>
        <v>229.13964340000001</v>
      </c>
      <c r="G105" s="136">
        <v>25569.041962604166</v>
      </c>
      <c r="H105" s="136">
        <v>25569.041962604166</v>
      </c>
      <c r="I105" s="132">
        <v>234</v>
      </c>
      <c r="J105" s="132">
        <v>2963</v>
      </c>
      <c r="K105" s="144" t="s">
        <v>429</v>
      </c>
      <c r="L105" s="132">
        <v>49874</v>
      </c>
      <c r="M105" s="143">
        <f t="shared" si="17"/>
        <v>223.32487546173624</v>
      </c>
      <c r="N105" s="129">
        <v>32365.263999999999</v>
      </c>
      <c r="O105" s="130">
        <f t="shared" si="18"/>
        <v>1.5409730629726981</v>
      </c>
      <c r="P105" s="130">
        <f t="shared" si="19"/>
        <v>6.9001407021347409E-3</v>
      </c>
      <c r="Q105" s="4"/>
    </row>
    <row r="106" spans="1:17" ht="17.25" customHeight="1" x14ac:dyDescent="0.2">
      <c r="A106" s="122">
        <v>105</v>
      </c>
      <c r="B106" s="123" t="s">
        <v>29</v>
      </c>
      <c r="C106" s="131" t="s">
        <v>81</v>
      </c>
      <c r="D106" s="125">
        <v>227.745</v>
      </c>
      <c r="E106" s="132">
        <v>2857</v>
      </c>
      <c r="F106" s="125">
        <f t="shared" si="20"/>
        <v>228.64696659999998</v>
      </c>
      <c r="G106" s="136">
        <v>25569.041962604166</v>
      </c>
      <c r="H106" s="136">
        <v>25569.041962604166</v>
      </c>
      <c r="I106" s="132">
        <v>233</v>
      </c>
      <c r="J106" s="132">
        <v>1393</v>
      </c>
      <c r="K106" s="144" t="s">
        <v>429</v>
      </c>
      <c r="L106" s="132">
        <v>22331</v>
      </c>
      <c r="M106" s="143">
        <f t="shared" si="17"/>
        <v>149.43560486042139</v>
      </c>
      <c r="N106" s="129">
        <v>15273.585999999999</v>
      </c>
      <c r="O106" s="130">
        <f t="shared" si="18"/>
        <v>1.4620666030884955</v>
      </c>
      <c r="P106" s="130">
        <f t="shared" si="19"/>
        <v>9.7839240149904146E-3</v>
      </c>
      <c r="Q106" s="4"/>
    </row>
    <row r="107" spans="1:17" ht="17.25" customHeight="1" x14ac:dyDescent="0.2">
      <c r="A107" s="122">
        <v>106</v>
      </c>
      <c r="B107" s="123" t="s">
        <v>29</v>
      </c>
      <c r="C107" s="131" t="s">
        <v>81</v>
      </c>
      <c r="D107" s="125">
        <v>227.24799999999999</v>
      </c>
      <c r="E107" s="132">
        <v>2857</v>
      </c>
      <c r="F107" s="125">
        <f t="shared" si="20"/>
        <v>228.15329649999998</v>
      </c>
      <c r="G107" s="136">
        <v>25569.041962604166</v>
      </c>
      <c r="H107" s="136">
        <v>25569.041962604166</v>
      </c>
      <c r="I107" s="132">
        <v>233</v>
      </c>
      <c r="J107" s="132">
        <v>1182</v>
      </c>
      <c r="K107" s="144" t="s">
        <v>429</v>
      </c>
      <c r="L107" s="132">
        <v>24457</v>
      </c>
      <c r="M107" s="143">
        <f t="shared" si="17"/>
        <v>156.38733964103361</v>
      </c>
      <c r="N107" s="129">
        <v>17447.7</v>
      </c>
      <c r="O107" s="130">
        <f t="shared" si="18"/>
        <v>1.4017320334485348</v>
      </c>
      <c r="P107" s="130">
        <f t="shared" si="19"/>
        <v>8.9632065911858638E-3</v>
      </c>
      <c r="Q107" s="4"/>
    </row>
    <row r="108" spans="1:17" ht="17.25" customHeight="1" x14ac:dyDescent="0.2">
      <c r="A108" s="122">
        <v>107</v>
      </c>
      <c r="B108" s="123" t="s">
        <v>29</v>
      </c>
      <c r="C108" s="131" t="s">
        <v>81</v>
      </c>
      <c r="D108" s="125">
        <v>226.744</v>
      </c>
      <c r="E108" s="132">
        <v>2857</v>
      </c>
      <c r="F108" s="125">
        <f t="shared" si="20"/>
        <v>227.6526733</v>
      </c>
      <c r="G108" s="136">
        <v>25569.041962604166</v>
      </c>
      <c r="H108" s="136">
        <v>25569.041962604166</v>
      </c>
      <c r="I108" s="132">
        <v>232</v>
      </c>
      <c r="J108" s="132">
        <v>1149</v>
      </c>
      <c r="K108" s="144" t="s">
        <v>429</v>
      </c>
      <c r="L108" s="132">
        <v>16114</v>
      </c>
      <c r="M108" s="143">
        <f t="shared" si="17"/>
        <v>126.94093114515901</v>
      </c>
      <c r="N108" s="129">
        <v>12126.853999999999</v>
      </c>
      <c r="O108" s="130">
        <f t="shared" si="18"/>
        <v>1.3287865096751392</v>
      </c>
      <c r="P108" s="130">
        <f t="shared" si="19"/>
        <v>1.0467754550781186E-2</v>
      </c>
      <c r="Q108" s="4"/>
    </row>
    <row r="109" spans="1:17" ht="17.25" customHeight="1" x14ac:dyDescent="0.2">
      <c r="A109" s="122">
        <v>108</v>
      </c>
      <c r="B109" s="123" t="s">
        <v>29</v>
      </c>
      <c r="C109" s="131" t="s">
        <v>81</v>
      </c>
      <c r="D109" s="125">
        <v>226.24100000000001</v>
      </c>
      <c r="E109" s="132">
        <v>2857</v>
      </c>
      <c r="F109" s="125">
        <f t="shared" si="20"/>
        <v>227.1530434</v>
      </c>
      <c r="G109" s="136">
        <v>25569.041962604166</v>
      </c>
      <c r="H109" s="136">
        <v>25569.041962604166</v>
      </c>
      <c r="I109" s="132">
        <v>227</v>
      </c>
      <c r="J109" s="132">
        <v>1635</v>
      </c>
      <c r="K109" s="144" t="s">
        <v>429</v>
      </c>
      <c r="L109" s="132">
        <v>18148</v>
      </c>
      <c r="M109" s="143">
        <f t="shared" si="17"/>
        <v>134.71451295239129</v>
      </c>
      <c r="N109" s="129">
        <v>14834.082</v>
      </c>
      <c r="O109" s="130">
        <f t="shared" si="18"/>
        <v>1.2233989268766345</v>
      </c>
      <c r="P109" s="130">
        <f t="shared" si="19"/>
        <v>9.0814189211298208E-3</v>
      </c>
      <c r="Q109" s="4"/>
    </row>
    <row r="110" spans="1:17" ht="17.25" customHeight="1" x14ac:dyDescent="0.2">
      <c r="A110" s="122">
        <v>109</v>
      </c>
      <c r="B110" s="123" t="s">
        <v>29</v>
      </c>
      <c r="C110" s="131" t="s">
        <v>81</v>
      </c>
      <c r="D110" s="125">
        <v>224.24</v>
      </c>
      <c r="E110" s="132">
        <v>2857</v>
      </c>
      <c r="F110" s="125">
        <f t="shared" si="20"/>
        <v>225.16545010000002</v>
      </c>
      <c r="G110" s="136">
        <v>25569.041962604166</v>
      </c>
      <c r="H110" s="136">
        <v>25569.041962604166</v>
      </c>
      <c r="I110" s="132">
        <v>228</v>
      </c>
      <c r="J110" s="132">
        <v>1982</v>
      </c>
      <c r="K110" s="144" t="s">
        <v>429</v>
      </c>
      <c r="L110" s="132">
        <v>13665</v>
      </c>
      <c r="M110" s="143">
        <f t="shared" si="17"/>
        <v>116.8973909033046</v>
      </c>
      <c r="N110" s="129">
        <v>20346.723999999998</v>
      </c>
      <c r="O110" s="130">
        <f t="shared" si="18"/>
        <v>0.67160688865686691</v>
      </c>
      <c r="P110" s="130">
        <f t="shared" si="19"/>
        <v>5.7452684227350115E-3</v>
      </c>
      <c r="Q110" s="4"/>
    </row>
    <row r="111" spans="1:17" ht="17.25" customHeight="1" x14ac:dyDescent="0.2">
      <c r="A111" s="122">
        <v>110</v>
      </c>
      <c r="B111" s="123" t="s">
        <v>29</v>
      </c>
      <c r="C111" s="131" t="s">
        <v>81</v>
      </c>
      <c r="D111" s="125">
        <v>222.232</v>
      </c>
      <c r="E111" s="132">
        <v>2857</v>
      </c>
      <c r="F111" s="125">
        <f t="shared" si="20"/>
        <v>223.1709037</v>
      </c>
      <c r="G111" s="136">
        <v>25569.041962604166</v>
      </c>
      <c r="H111" s="136">
        <v>25569.041962604166</v>
      </c>
      <c r="I111" s="132">
        <v>226</v>
      </c>
      <c r="J111" s="132">
        <v>4800</v>
      </c>
      <c r="K111" s="144" t="s">
        <v>429</v>
      </c>
      <c r="L111" s="132">
        <v>6057</v>
      </c>
      <c r="M111" s="143">
        <f t="shared" si="17"/>
        <v>77.826730626437083</v>
      </c>
      <c r="N111" s="129">
        <v>56830.337</v>
      </c>
      <c r="O111" s="130">
        <f t="shared" si="18"/>
        <v>0.10658039912731822</v>
      </c>
      <c r="P111" s="130">
        <f t="shared" si="19"/>
        <v>1.3694574893412489E-3</v>
      </c>
      <c r="Q111" s="4"/>
    </row>
    <row r="112" spans="1:17" ht="17.25" customHeight="1" x14ac:dyDescent="0.2">
      <c r="A112" s="122">
        <v>111</v>
      </c>
      <c r="B112" s="123" t="s">
        <v>29</v>
      </c>
      <c r="C112" s="131" t="s">
        <v>81</v>
      </c>
      <c r="D112" s="125">
        <v>221.232</v>
      </c>
      <c r="E112" s="132">
        <v>2857</v>
      </c>
      <c r="F112" s="125">
        <f t="shared" si="20"/>
        <v>222.17760369999999</v>
      </c>
      <c r="G112" s="136">
        <v>25569.041962604166</v>
      </c>
      <c r="H112" s="136">
        <v>25569.041962604166</v>
      </c>
      <c r="I112" s="132">
        <v>224</v>
      </c>
      <c r="J112" s="132">
        <v>3264</v>
      </c>
      <c r="K112" s="144" t="s">
        <v>429</v>
      </c>
      <c r="L112" s="132">
        <v>2359</v>
      </c>
      <c r="M112" s="143">
        <f t="shared" si="17"/>
        <v>48.569537778323564</v>
      </c>
      <c r="N112" s="129">
        <v>32204.653999999999</v>
      </c>
      <c r="O112" s="130">
        <f t="shared" si="18"/>
        <v>7.3250282397072181E-2</v>
      </c>
      <c r="P112" s="130">
        <f t="shared" si="19"/>
        <v>1.5081527588628515E-3</v>
      </c>
      <c r="Q112" s="4"/>
    </row>
    <row r="113" spans="1:28" ht="17.25" customHeight="1" x14ac:dyDescent="0.2">
      <c r="A113" s="122">
        <v>112</v>
      </c>
      <c r="B113" s="123" t="s">
        <v>29</v>
      </c>
      <c r="C113" s="131" t="s">
        <v>81</v>
      </c>
      <c r="D113" s="125">
        <v>223.233</v>
      </c>
      <c r="E113" s="132">
        <v>2857</v>
      </c>
      <c r="F113" s="125">
        <f t="shared" si="20"/>
        <v>224.16519700000001</v>
      </c>
      <c r="G113" s="136">
        <v>25569.041962604166</v>
      </c>
      <c r="H113" s="136">
        <v>25569.041962604166</v>
      </c>
      <c r="I113" s="132">
        <v>226</v>
      </c>
      <c r="J113" s="132">
        <v>3431</v>
      </c>
      <c r="K113" s="144" t="s">
        <v>429</v>
      </c>
      <c r="L113" s="132">
        <v>6286</v>
      </c>
      <c r="M113" s="143">
        <f t="shared" si="17"/>
        <v>79.284298571659193</v>
      </c>
      <c r="N113" s="129">
        <v>30157.499</v>
      </c>
      <c r="O113" s="130">
        <f t="shared" si="18"/>
        <v>0.20843903534573607</v>
      </c>
      <c r="P113" s="130">
        <f t="shared" si="19"/>
        <v>2.6290077493382057E-3</v>
      </c>
      <c r="Q113" s="4"/>
    </row>
    <row r="114" spans="1:28" ht="17.25" customHeight="1" x14ac:dyDescent="0.2">
      <c r="A114" s="122">
        <v>113</v>
      </c>
      <c r="B114" s="123" t="s">
        <v>29</v>
      </c>
      <c r="C114" s="131" t="s">
        <v>81</v>
      </c>
      <c r="D114" s="125">
        <v>225.24</v>
      </c>
      <c r="E114" s="132">
        <v>2857</v>
      </c>
      <c r="F114" s="125">
        <f t="shared" si="20"/>
        <v>226.15875009999999</v>
      </c>
      <c r="G114" s="136">
        <v>25569.041962604166</v>
      </c>
      <c r="H114" s="136">
        <v>25569.041962604166</v>
      </c>
      <c r="I114" s="132">
        <v>225</v>
      </c>
      <c r="J114" s="132">
        <v>1553</v>
      </c>
      <c r="K114" s="144" t="s">
        <v>429</v>
      </c>
      <c r="L114" s="132">
        <v>14003</v>
      </c>
      <c r="M114" s="143">
        <f t="shared" ref="M114:M145" si="21">SQRT(L114)</f>
        <v>118.33427229674419</v>
      </c>
      <c r="N114" s="129">
        <v>13856.6</v>
      </c>
      <c r="O114" s="130">
        <f t="shared" ref="O114:O145" si="22">L114/N114</f>
        <v>1.0105653623544015</v>
      </c>
      <c r="P114" s="130">
        <f t="shared" ref="P114:P145" si="23">M114/N114</f>
        <v>8.5399212142043632E-3</v>
      </c>
      <c r="Q114" s="4"/>
    </row>
    <row r="115" spans="1:28" ht="17.25" customHeight="1" x14ac:dyDescent="0.2">
      <c r="A115" s="122">
        <v>114</v>
      </c>
      <c r="B115" s="123" t="s">
        <v>29</v>
      </c>
      <c r="C115" s="131" t="s">
        <v>81</v>
      </c>
      <c r="D115" s="125">
        <v>234.74700000000001</v>
      </c>
      <c r="E115" s="132">
        <v>2857</v>
      </c>
      <c r="F115" s="125">
        <f t="shared" si="20"/>
        <v>235.6020532</v>
      </c>
      <c r="G115" s="136">
        <v>25569.041962604166</v>
      </c>
      <c r="H115" s="136">
        <v>25569.041962604166</v>
      </c>
      <c r="I115" s="132">
        <v>223</v>
      </c>
      <c r="J115" s="132">
        <v>973</v>
      </c>
      <c r="K115" s="144" t="s">
        <v>429</v>
      </c>
      <c r="L115" s="132">
        <v>16328</v>
      </c>
      <c r="M115" s="143">
        <f t="shared" si="21"/>
        <v>127.7810627597063</v>
      </c>
      <c r="N115" s="129">
        <v>8790.7139999999999</v>
      </c>
      <c r="O115" s="130">
        <f t="shared" si="22"/>
        <v>1.8574145399338438</v>
      </c>
      <c r="P115" s="130">
        <f t="shared" si="23"/>
        <v>1.4535914006496663E-2</v>
      </c>
      <c r="Q115" s="4"/>
    </row>
    <row r="116" spans="1:28" ht="17.25" customHeight="1" x14ac:dyDescent="0.2">
      <c r="A116" s="122">
        <v>115</v>
      </c>
      <c r="B116" s="123" t="s">
        <v>29</v>
      </c>
      <c r="C116" s="131" t="s">
        <v>81</v>
      </c>
      <c r="D116" s="125">
        <v>239.74199999999999</v>
      </c>
      <c r="E116" s="132">
        <v>2857</v>
      </c>
      <c r="F116" s="125">
        <f t="shared" si="20"/>
        <v>240.56358669999997</v>
      </c>
      <c r="G116" s="136">
        <v>25569.041962604166</v>
      </c>
      <c r="H116" s="136">
        <v>25569.041962604166</v>
      </c>
      <c r="I116" s="132">
        <v>230</v>
      </c>
      <c r="J116" s="132">
        <v>679</v>
      </c>
      <c r="K116" s="144" t="s">
        <v>429</v>
      </c>
      <c r="L116" s="132">
        <v>16681</v>
      </c>
      <c r="M116" s="143">
        <f t="shared" si="21"/>
        <v>129.15494570476193</v>
      </c>
      <c r="N116" s="129">
        <v>8298.19</v>
      </c>
      <c r="O116" s="130">
        <f t="shared" si="22"/>
        <v>2.010197404494233</v>
      </c>
      <c r="P116" s="130">
        <f t="shared" si="23"/>
        <v>1.55642309593733E-2</v>
      </c>
      <c r="Q116" s="4"/>
    </row>
    <row r="117" spans="1:28" ht="17.25" customHeight="1" x14ac:dyDescent="0.2">
      <c r="A117" s="122">
        <v>116</v>
      </c>
      <c r="B117" s="123" t="s">
        <v>29</v>
      </c>
      <c r="C117" s="131" t="s">
        <v>81</v>
      </c>
      <c r="D117" s="125">
        <v>244.73099999999999</v>
      </c>
      <c r="E117" s="132">
        <v>2857</v>
      </c>
      <c r="F117" s="125">
        <f t="shared" si="20"/>
        <v>245.51916039999998</v>
      </c>
      <c r="G117" s="136">
        <v>25569.041962604166</v>
      </c>
      <c r="H117" s="136">
        <v>25569.041962604166</v>
      </c>
      <c r="I117" s="132">
        <v>229</v>
      </c>
      <c r="J117" s="132">
        <v>2339</v>
      </c>
      <c r="K117" s="144" t="s">
        <v>429</v>
      </c>
      <c r="L117" s="132">
        <v>49372</v>
      </c>
      <c r="M117" s="143">
        <f t="shared" si="21"/>
        <v>222.19810980294139</v>
      </c>
      <c r="N117" s="129">
        <v>23651.814999999999</v>
      </c>
      <c r="O117" s="130">
        <f t="shared" si="22"/>
        <v>2.0874507939454121</v>
      </c>
      <c r="P117" s="130">
        <f t="shared" si="23"/>
        <v>9.3945479365089481E-3</v>
      </c>
      <c r="Q117" s="4"/>
    </row>
    <row r="118" spans="1:28" ht="17.25" customHeight="1" x14ac:dyDescent="0.2">
      <c r="A118" s="122">
        <v>117</v>
      </c>
      <c r="B118" s="123" t="s">
        <v>29</v>
      </c>
      <c r="C118" s="131" t="s">
        <v>81</v>
      </c>
      <c r="D118" s="125">
        <v>249.71299999999999</v>
      </c>
      <c r="E118" s="132">
        <v>2857</v>
      </c>
      <c r="F118" s="125">
        <f t="shared" si="20"/>
        <v>250.46778099999997</v>
      </c>
      <c r="G118" s="136">
        <v>25569.041962604166</v>
      </c>
      <c r="H118" s="136">
        <v>25569.041962604166</v>
      </c>
      <c r="I118" s="132">
        <v>228</v>
      </c>
      <c r="J118" s="132">
        <v>1303</v>
      </c>
      <c r="K118" s="144" t="s">
        <v>429</v>
      </c>
      <c r="L118" s="132">
        <v>27419</v>
      </c>
      <c r="M118" s="143">
        <f t="shared" si="21"/>
        <v>165.58683522550939</v>
      </c>
      <c r="N118" s="129">
        <v>13315.852000000001</v>
      </c>
      <c r="O118" s="130">
        <f t="shared" si="22"/>
        <v>2.0591247184183183</v>
      </c>
      <c r="P118" s="130">
        <f t="shared" si="23"/>
        <v>1.2435316585488437E-2</v>
      </c>
      <c r="Q118" s="4"/>
    </row>
    <row r="119" spans="1:28" ht="17.25" customHeight="1" x14ac:dyDescent="0.2">
      <c r="A119" s="122">
        <v>118</v>
      </c>
      <c r="B119" s="123" t="s">
        <v>29</v>
      </c>
      <c r="C119" s="131" t="s">
        <v>81</v>
      </c>
      <c r="D119" s="125">
        <v>254.69399999999999</v>
      </c>
      <c r="E119" s="132">
        <v>2857</v>
      </c>
      <c r="F119" s="125">
        <f t="shared" si="20"/>
        <v>255.41540829999997</v>
      </c>
      <c r="G119" s="136">
        <v>25569.041962604166</v>
      </c>
      <c r="H119" s="136">
        <v>25569.041962604166</v>
      </c>
      <c r="I119" s="132">
        <v>228</v>
      </c>
      <c r="J119" s="132">
        <v>631</v>
      </c>
      <c r="K119" s="144" t="s">
        <v>429</v>
      </c>
      <c r="L119" s="132">
        <v>14899</v>
      </c>
      <c r="M119" s="143">
        <f t="shared" si="21"/>
        <v>122.06145992900461</v>
      </c>
      <c r="N119" s="129">
        <v>7040.1970000000001</v>
      </c>
      <c r="O119" s="130">
        <f t="shared" si="22"/>
        <v>2.1162760076174005</v>
      </c>
      <c r="P119" s="130">
        <f t="shared" si="23"/>
        <v>1.733779039549669E-2</v>
      </c>
      <c r="Q119" s="4"/>
    </row>
    <row r="120" spans="1:28" ht="17.25" customHeight="1" x14ac:dyDescent="0.2">
      <c r="A120" s="122">
        <v>119</v>
      </c>
      <c r="B120" s="123" t="s">
        <v>29</v>
      </c>
      <c r="C120" s="131" t="s">
        <v>81</v>
      </c>
      <c r="D120" s="125">
        <v>259.68299999999999</v>
      </c>
      <c r="E120" s="132">
        <v>2857</v>
      </c>
      <c r="F120" s="125">
        <f t="shared" si="20"/>
        <v>260.37098199999997</v>
      </c>
      <c r="G120" s="136">
        <v>25569.041962604166</v>
      </c>
      <c r="H120" s="136">
        <v>25569.041962604166</v>
      </c>
      <c r="I120" s="132">
        <v>231</v>
      </c>
      <c r="J120" s="132">
        <v>669</v>
      </c>
      <c r="K120" s="144" t="s">
        <v>429</v>
      </c>
      <c r="L120" s="132">
        <v>15486</v>
      </c>
      <c r="M120" s="143">
        <f t="shared" si="21"/>
        <v>124.44275792507976</v>
      </c>
      <c r="N120" s="129">
        <v>7176.3609999999999</v>
      </c>
      <c r="O120" s="130">
        <f t="shared" si="22"/>
        <v>2.1579181983737996</v>
      </c>
      <c r="P120" s="130">
        <f t="shared" si="23"/>
        <v>1.7340649101275668E-2</v>
      </c>
      <c r="Q120" s="4"/>
    </row>
    <row r="121" spans="1:28" ht="17.25" customHeight="1" x14ac:dyDescent="0.2">
      <c r="A121" s="122">
        <v>120</v>
      </c>
      <c r="B121" s="123" t="s">
        <v>29</v>
      </c>
      <c r="C121" s="131" t="s">
        <v>81</v>
      </c>
      <c r="D121" s="125">
        <v>264.56099999999998</v>
      </c>
      <c r="E121" s="132">
        <v>2857</v>
      </c>
      <c r="F121" s="125">
        <f t="shared" si="20"/>
        <v>265.21629939999997</v>
      </c>
      <c r="G121" s="136">
        <v>25569.041962604166</v>
      </c>
      <c r="H121" s="136">
        <v>25569.041962604166</v>
      </c>
      <c r="I121" s="132">
        <v>228</v>
      </c>
      <c r="J121" s="132">
        <v>516</v>
      </c>
      <c r="K121" s="144" t="s">
        <v>429</v>
      </c>
      <c r="L121" s="132">
        <v>14909</v>
      </c>
      <c r="M121" s="143">
        <f t="shared" si="21"/>
        <v>122.10241602851272</v>
      </c>
      <c r="N121" s="129">
        <v>6622.451</v>
      </c>
      <c r="O121" s="130">
        <f t="shared" si="22"/>
        <v>2.2512812854334445</v>
      </c>
      <c r="P121" s="130">
        <f t="shared" si="23"/>
        <v>1.8437647334576385E-2</v>
      </c>
      <c r="Q121" s="4"/>
    </row>
    <row r="122" spans="1:28" ht="17.25" customHeight="1" x14ac:dyDescent="0.2">
      <c r="A122" s="122">
        <v>121</v>
      </c>
      <c r="B122" s="123" t="s">
        <v>29</v>
      </c>
      <c r="C122" s="131" t="s">
        <v>81</v>
      </c>
      <c r="D122" s="125">
        <v>269.64</v>
      </c>
      <c r="E122" s="132">
        <v>2857</v>
      </c>
      <c r="F122" s="125">
        <f t="shared" si="20"/>
        <v>270.26127009999999</v>
      </c>
      <c r="G122" s="136">
        <v>25569.041962604166</v>
      </c>
      <c r="H122" s="136">
        <v>25569.041962604166</v>
      </c>
      <c r="I122" s="132">
        <v>222</v>
      </c>
      <c r="J122" s="132">
        <v>1007</v>
      </c>
      <c r="K122" s="144" t="s">
        <v>429</v>
      </c>
      <c r="L122" s="132">
        <v>22270</v>
      </c>
      <c r="M122" s="143">
        <f t="shared" si="21"/>
        <v>149.23136399564268</v>
      </c>
      <c r="N122" s="129">
        <v>9743.0550000000003</v>
      </c>
      <c r="O122" s="130">
        <f t="shared" si="22"/>
        <v>2.2857307076681801</v>
      </c>
      <c r="P122" s="130">
        <f t="shared" si="23"/>
        <v>1.5316691119535163E-2</v>
      </c>
      <c r="Q122" s="4"/>
    </row>
    <row r="123" spans="1:28" ht="17.25" customHeight="1" x14ac:dyDescent="0.2">
      <c r="A123" s="122">
        <v>122</v>
      </c>
      <c r="B123" s="123" t="s">
        <v>29</v>
      </c>
      <c r="C123" s="131" t="s">
        <v>81</v>
      </c>
      <c r="D123" s="125">
        <v>269.64</v>
      </c>
      <c r="E123" s="132">
        <v>2857</v>
      </c>
      <c r="F123" s="125">
        <f t="shared" si="20"/>
        <v>270.26127009999999</v>
      </c>
      <c r="G123" s="136">
        <v>25569.041962604166</v>
      </c>
      <c r="H123" s="136">
        <v>25569.041962604166</v>
      </c>
      <c r="I123" s="132">
        <v>225</v>
      </c>
      <c r="J123" s="132">
        <v>1676</v>
      </c>
      <c r="K123" s="144" t="s">
        <v>429</v>
      </c>
      <c r="L123" s="132">
        <v>36162</v>
      </c>
      <c r="M123" s="143">
        <f t="shared" si="21"/>
        <v>190.16308790088576</v>
      </c>
      <c r="N123" s="129">
        <v>16168.315000000001</v>
      </c>
      <c r="O123" s="130">
        <f t="shared" si="22"/>
        <v>2.2365967016352664</v>
      </c>
      <c r="P123" s="130">
        <f t="shared" si="23"/>
        <v>1.1761466046454795E-2</v>
      </c>
      <c r="Q123" s="4"/>
    </row>
    <row r="124" spans="1:28" ht="17.25" customHeight="1" x14ac:dyDescent="0.2">
      <c r="A124" s="122">
        <v>123</v>
      </c>
      <c r="B124" s="123" t="s">
        <v>29</v>
      </c>
      <c r="C124" s="131" t="s">
        <v>81</v>
      </c>
      <c r="D124" s="125">
        <v>269.64</v>
      </c>
      <c r="E124" s="132">
        <v>2857</v>
      </c>
      <c r="F124" s="125">
        <f t="shared" si="20"/>
        <v>270.26127009999999</v>
      </c>
      <c r="G124" s="136">
        <v>25569.041962604166</v>
      </c>
      <c r="H124" s="136">
        <v>25569.041962604166</v>
      </c>
      <c r="I124" s="132">
        <v>225</v>
      </c>
      <c r="J124" s="132">
        <v>955</v>
      </c>
      <c r="K124" s="144" t="s">
        <v>429</v>
      </c>
      <c r="L124" s="132">
        <v>17885</v>
      </c>
      <c r="M124" s="143">
        <f t="shared" si="21"/>
        <v>133.73481222179961</v>
      </c>
      <c r="N124" s="129">
        <v>7402.7430000000004</v>
      </c>
      <c r="O124" s="130">
        <f t="shared" si="22"/>
        <v>2.41599634081583</v>
      </c>
      <c r="P124" s="130">
        <f t="shared" si="23"/>
        <v>1.8065575452477493E-2</v>
      </c>
      <c r="Q124" s="4"/>
    </row>
    <row r="125" spans="1:28" ht="17.25" customHeight="1" x14ac:dyDescent="0.2">
      <c r="A125" s="122">
        <v>124</v>
      </c>
      <c r="B125" s="123" t="s">
        <v>29</v>
      </c>
      <c r="C125" s="131" t="s">
        <v>81</v>
      </c>
      <c r="D125" s="125">
        <v>274.66199999999998</v>
      </c>
      <c r="E125" s="132">
        <v>2857</v>
      </c>
      <c r="F125" s="125">
        <f t="shared" si="20"/>
        <v>275.24962269999997</v>
      </c>
      <c r="G125" s="136">
        <v>25569.041962604166</v>
      </c>
      <c r="H125" s="136">
        <v>25569.041962604166</v>
      </c>
      <c r="I125" s="132">
        <v>209</v>
      </c>
      <c r="J125" s="132">
        <v>5768</v>
      </c>
      <c r="K125" s="144" t="s">
        <v>429</v>
      </c>
      <c r="L125" s="132">
        <v>113340</v>
      </c>
      <c r="M125" s="143">
        <f t="shared" si="21"/>
        <v>336.66006594189338</v>
      </c>
      <c r="N125" s="129">
        <v>49544.597000000002</v>
      </c>
      <c r="O125" s="130">
        <f t="shared" si="22"/>
        <v>2.2876359252654734</v>
      </c>
      <c r="P125" s="130">
        <f t="shared" si="23"/>
        <v>6.7950914191893287E-3</v>
      </c>
      <c r="Q125" s="4"/>
    </row>
    <row r="126" spans="1:28" ht="17.25" customHeight="1" x14ac:dyDescent="0.2">
      <c r="A126" s="122">
        <v>125</v>
      </c>
      <c r="B126" s="123" t="s">
        <v>29</v>
      </c>
      <c r="C126" s="131" t="s">
        <v>81</v>
      </c>
      <c r="D126" s="125">
        <v>279.61700000000002</v>
      </c>
      <c r="E126" s="132">
        <v>2857</v>
      </c>
      <c r="F126" s="125">
        <f t="shared" si="20"/>
        <v>280.17142419999999</v>
      </c>
      <c r="G126" s="136">
        <v>25569.041962604166</v>
      </c>
      <c r="H126" s="136">
        <v>25569.041962604166</v>
      </c>
      <c r="I126" s="132">
        <v>209</v>
      </c>
      <c r="J126" s="132">
        <v>3527</v>
      </c>
      <c r="K126" s="144" t="s">
        <v>429</v>
      </c>
      <c r="L126" s="132">
        <v>78803</v>
      </c>
      <c r="M126" s="143">
        <f t="shared" si="21"/>
        <v>280.71872043025559</v>
      </c>
      <c r="N126" s="129">
        <v>33953.83</v>
      </c>
      <c r="O126" s="130">
        <f t="shared" si="22"/>
        <v>2.3208869220350103</v>
      </c>
      <c r="P126" s="130">
        <f t="shared" si="23"/>
        <v>8.2676599497098144E-3</v>
      </c>
      <c r="Q126" s="4"/>
    </row>
    <row r="127" spans="1:28" ht="17.25" customHeight="1" x14ac:dyDescent="0.2">
      <c r="A127" s="122">
        <v>126</v>
      </c>
      <c r="B127" s="123" t="s">
        <v>29</v>
      </c>
      <c r="C127" s="131" t="s">
        <v>81</v>
      </c>
      <c r="D127" s="125">
        <v>284.60500000000002</v>
      </c>
      <c r="E127" s="132">
        <v>2857</v>
      </c>
      <c r="F127" s="125">
        <f t="shared" si="20"/>
        <v>285.12600459999999</v>
      </c>
      <c r="G127" s="136">
        <v>25569.041962604166</v>
      </c>
      <c r="H127" s="136">
        <v>25569.041962604166</v>
      </c>
      <c r="I127" s="132">
        <v>208</v>
      </c>
      <c r="J127" s="132">
        <v>1155</v>
      </c>
      <c r="K127" s="144" t="s">
        <v>429</v>
      </c>
      <c r="L127" s="132">
        <v>20379</v>
      </c>
      <c r="M127" s="143">
        <f t="shared" si="21"/>
        <v>142.75503493747601</v>
      </c>
      <c r="N127" s="129">
        <v>8831.32</v>
      </c>
      <c r="O127" s="130">
        <f t="shared" si="22"/>
        <v>2.3075825584397349</v>
      </c>
      <c r="P127" s="130">
        <f t="shared" si="23"/>
        <v>1.616463166746036E-2</v>
      </c>
      <c r="Q127" s="4"/>
    </row>
    <row r="128" spans="1:28" ht="17.25" customHeight="1" x14ac:dyDescent="0.2">
      <c r="A128" s="153">
        <v>127</v>
      </c>
      <c r="B128" s="154" t="s">
        <v>9</v>
      </c>
      <c r="C128" s="155" t="s">
        <v>81</v>
      </c>
      <c r="D128" s="156">
        <v>289.58</v>
      </c>
      <c r="E128" s="157">
        <v>2857</v>
      </c>
      <c r="F128" s="125">
        <f t="shared" si="20"/>
        <v>290.06767209999998</v>
      </c>
      <c r="G128" s="158" t="s">
        <v>1398</v>
      </c>
      <c r="H128" s="158"/>
      <c r="I128" s="159"/>
      <c r="J128" s="159"/>
      <c r="K128" s="160"/>
      <c r="L128" s="159"/>
      <c r="M128" s="161">
        <f t="shared" si="21"/>
        <v>0</v>
      </c>
      <c r="N128" s="159"/>
      <c r="O128" s="162" t="e">
        <f t="shared" si="22"/>
        <v>#DIV/0!</v>
      </c>
      <c r="P128" s="163" t="e">
        <f t="shared" si="23"/>
        <v>#DIV/0!</v>
      </c>
      <c r="Q128" s="164" t="s">
        <v>1398</v>
      </c>
      <c r="R128" s="154"/>
      <c r="S128" s="154"/>
      <c r="T128" s="154"/>
      <c r="U128" s="154"/>
      <c r="V128" s="154"/>
      <c r="W128" s="154"/>
      <c r="X128" s="154"/>
      <c r="Y128" s="154"/>
      <c r="Z128" s="154"/>
      <c r="AA128" s="154"/>
      <c r="AB128" s="154"/>
    </row>
    <row r="129" spans="1:28" ht="17.25" customHeight="1" x14ac:dyDescent="0.2">
      <c r="A129" s="122">
        <v>128</v>
      </c>
      <c r="B129" s="123" t="s">
        <v>29</v>
      </c>
      <c r="C129" s="131" t="s">
        <v>81</v>
      </c>
      <c r="D129" s="125">
        <v>289.58</v>
      </c>
      <c r="E129" s="132">
        <v>2857</v>
      </c>
      <c r="F129" s="125">
        <f t="shared" si="20"/>
        <v>290.06767209999998</v>
      </c>
      <c r="G129" s="136">
        <v>25569.041962604166</v>
      </c>
      <c r="H129" s="136">
        <v>25569.041962604166</v>
      </c>
      <c r="I129" s="132">
        <v>204</v>
      </c>
      <c r="J129" s="132">
        <v>1586</v>
      </c>
      <c r="K129" s="144" t="s">
        <v>429</v>
      </c>
      <c r="L129" s="132">
        <v>31855</v>
      </c>
      <c r="M129" s="143">
        <f t="shared" si="21"/>
        <v>178.47969072138153</v>
      </c>
      <c r="N129" s="129">
        <v>12960.71</v>
      </c>
      <c r="O129" s="130">
        <f t="shared" si="22"/>
        <v>2.4578128821646348</v>
      </c>
      <c r="P129" s="130">
        <f t="shared" si="23"/>
        <v>1.3770826653893309E-2</v>
      </c>
      <c r="Q129" s="4"/>
    </row>
    <row r="130" spans="1:28" ht="17.25" customHeight="1" x14ac:dyDescent="0.2">
      <c r="A130" s="122">
        <v>129</v>
      </c>
      <c r="B130" s="123" t="s">
        <v>29</v>
      </c>
      <c r="C130" s="131" t="s">
        <v>81</v>
      </c>
      <c r="D130" s="125">
        <v>294.56200000000001</v>
      </c>
      <c r="E130" s="132">
        <v>2857</v>
      </c>
      <c r="F130" s="125">
        <f t="shared" si="20"/>
        <v>295.01629270000001</v>
      </c>
      <c r="G130" s="136">
        <v>25569.041962604166</v>
      </c>
      <c r="H130" s="136">
        <v>25569.041962604166</v>
      </c>
      <c r="I130" s="132">
        <v>204</v>
      </c>
      <c r="J130" s="132">
        <v>886</v>
      </c>
      <c r="K130" s="144" t="s">
        <v>429</v>
      </c>
      <c r="L130" s="132">
        <v>20490</v>
      </c>
      <c r="M130" s="143">
        <f t="shared" si="21"/>
        <v>143.14328485821471</v>
      </c>
      <c r="N130" s="129">
        <v>7853.2719999999999</v>
      </c>
      <c r="O130" s="130">
        <f t="shared" si="22"/>
        <v>2.6091035685507902</v>
      </c>
      <c r="P130" s="130">
        <f t="shared" si="23"/>
        <v>1.8227215975483175E-2</v>
      </c>
      <c r="Q130" s="4"/>
    </row>
    <row r="131" spans="1:28" ht="17.25" customHeight="1" x14ac:dyDescent="0.2">
      <c r="A131" s="122">
        <v>130</v>
      </c>
      <c r="B131" s="123" t="s">
        <v>29</v>
      </c>
      <c r="C131" s="131" t="s">
        <v>81</v>
      </c>
      <c r="D131" s="125">
        <v>299.55</v>
      </c>
      <c r="E131" s="132">
        <v>2857</v>
      </c>
      <c r="F131" s="125">
        <f t="shared" si="20"/>
        <v>299.97087310000001</v>
      </c>
      <c r="G131" s="136">
        <v>25569.041962604166</v>
      </c>
      <c r="H131" s="136">
        <v>25569.041962604166</v>
      </c>
      <c r="I131" s="132">
        <v>202</v>
      </c>
      <c r="J131" s="132">
        <v>794</v>
      </c>
      <c r="K131" s="144" t="s">
        <v>429</v>
      </c>
      <c r="L131" s="132">
        <v>24214</v>
      </c>
      <c r="M131" s="143">
        <f t="shared" si="21"/>
        <v>155.60848305924713</v>
      </c>
      <c r="N131" s="129">
        <v>7759.8010000000004</v>
      </c>
      <c r="O131" s="130">
        <f t="shared" si="22"/>
        <v>3.1204408463567557</v>
      </c>
      <c r="P131" s="130">
        <f t="shared" si="23"/>
        <v>2.0053153819182622E-2</v>
      </c>
      <c r="Q131" s="4"/>
    </row>
    <row r="132" spans="1:28" ht="17.25" customHeight="1" x14ac:dyDescent="0.2">
      <c r="A132" s="122">
        <v>131</v>
      </c>
      <c r="B132" s="123" t="s">
        <v>29</v>
      </c>
      <c r="C132" s="131" t="s">
        <v>81</v>
      </c>
      <c r="D132" s="125">
        <v>304.52600000000001</v>
      </c>
      <c r="E132" s="132">
        <v>2857</v>
      </c>
      <c r="F132" s="125">
        <f t="shared" ref="F132:F163" si="24">0.9933*(D132 + E132/1000)-0.41</f>
        <v>304.9135339</v>
      </c>
      <c r="G132" s="136">
        <v>25569.041962604166</v>
      </c>
      <c r="H132" s="136">
        <v>25569.041962604166</v>
      </c>
      <c r="I132" s="132">
        <v>200</v>
      </c>
      <c r="J132" s="132">
        <v>1578</v>
      </c>
      <c r="K132" s="144" t="s">
        <v>429</v>
      </c>
      <c r="L132" s="132">
        <v>44161</v>
      </c>
      <c r="M132" s="143">
        <f t="shared" si="21"/>
        <v>210.14518790588568</v>
      </c>
      <c r="N132" s="129">
        <v>11299.974</v>
      </c>
      <c r="O132" s="130">
        <f t="shared" si="22"/>
        <v>3.9080620893464002</v>
      </c>
      <c r="P132" s="130">
        <f t="shared" si="23"/>
        <v>1.8596962073176952E-2</v>
      </c>
      <c r="Q132" s="4" t="s">
        <v>1399</v>
      </c>
    </row>
    <row r="133" spans="1:28" ht="17.25" customHeight="1" x14ac:dyDescent="0.2">
      <c r="A133" s="122">
        <v>132</v>
      </c>
      <c r="B133" s="123" t="s">
        <v>29</v>
      </c>
      <c r="C133" s="131" t="s">
        <v>81</v>
      </c>
      <c r="D133" s="125">
        <v>299.55</v>
      </c>
      <c r="E133" s="132">
        <v>2857</v>
      </c>
      <c r="F133" s="125">
        <f t="shared" si="24"/>
        <v>299.97087310000001</v>
      </c>
      <c r="G133" s="136">
        <v>25569.041962604166</v>
      </c>
      <c r="H133" s="136">
        <v>25569.041962604166</v>
      </c>
      <c r="I133" s="129">
        <v>199.7</v>
      </c>
      <c r="J133" s="132">
        <v>959</v>
      </c>
      <c r="K133" s="144" t="s">
        <v>429</v>
      </c>
      <c r="L133" s="132">
        <v>26466</v>
      </c>
      <c r="M133" s="143">
        <f t="shared" si="21"/>
        <v>162.68374227316016</v>
      </c>
      <c r="N133" s="129">
        <v>8487.1460000000006</v>
      </c>
      <c r="O133" s="130">
        <f t="shared" si="22"/>
        <v>3.118362757044594</v>
      </c>
      <c r="P133" s="130">
        <f t="shared" si="23"/>
        <v>1.9168250702080551E-2</v>
      </c>
      <c r="Q133" s="4"/>
    </row>
    <row r="134" spans="1:28" ht="17.25" customHeight="1" x14ac:dyDescent="0.2">
      <c r="A134" s="122">
        <v>133</v>
      </c>
      <c r="B134" s="123" t="s">
        <v>29</v>
      </c>
      <c r="C134" s="131" t="s">
        <v>81</v>
      </c>
      <c r="D134" s="125">
        <v>294.56200000000001</v>
      </c>
      <c r="E134" s="132">
        <v>2857</v>
      </c>
      <c r="F134" s="125">
        <f t="shared" si="24"/>
        <v>295.01629270000001</v>
      </c>
      <c r="G134" s="136">
        <v>25569.041962604166</v>
      </c>
      <c r="H134" s="136">
        <v>25569.041962604166</v>
      </c>
      <c r="I134" s="129">
        <v>199.39</v>
      </c>
      <c r="J134" s="132">
        <v>1421</v>
      </c>
      <c r="K134" s="144" t="s">
        <v>429</v>
      </c>
      <c r="L134" s="132">
        <v>26270</v>
      </c>
      <c r="M134" s="143">
        <f t="shared" si="21"/>
        <v>162.08022704821215</v>
      </c>
      <c r="N134" s="129">
        <v>9885.2240000000002</v>
      </c>
      <c r="O134" s="130">
        <f t="shared" si="22"/>
        <v>2.6575017419939093</v>
      </c>
      <c r="P134" s="130">
        <f t="shared" si="23"/>
        <v>1.6396211866135976E-2</v>
      </c>
      <c r="Q134" s="4"/>
    </row>
    <row r="135" spans="1:28" ht="17.25" customHeight="1" x14ac:dyDescent="0.2">
      <c r="A135" s="122">
        <v>134</v>
      </c>
      <c r="B135" s="123" t="s">
        <v>1400</v>
      </c>
      <c r="C135" s="131" t="s">
        <v>81</v>
      </c>
      <c r="D135" s="125">
        <v>249.71899999999999</v>
      </c>
      <c r="E135" s="132">
        <v>2857</v>
      </c>
      <c r="F135" s="125">
        <f t="shared" si="24"/>
        <v>250.47374079999997</v>
      </c>
      <c r="G135" s="127" t="s">
        <v>1401</v>
      </c>
      <c r="H135" s="136">
        <v>25569.041962604166</v>
      </c>
      <c r="I135" s="132">
        <v>93</v>
      </c>
      <c r="J135" s="132">
        <v>13172</v>
      </c>
      <c r="K135" s="144" t="s">
        <v>429</v>
      </c>
      <c r="L135" s="132">
        <v>116690</v>
      </c>
      <c r="M135" s="143">
        <f t="shared" si="21"/>
        <v>341.59918032688546</v>
      </c>
      <c r="N135" s="129">
        <v>75694.38</v>
      </c>
      <c r="O135" s="130">
        <f t="shared" si="22"/>
        <v>1.5415939730267954</v>
      </c>
      <c r="P135" s="130">
        <f t="shared" si="23"/>
        <v>4.5128737473889794E-3</v>
      </c>
      <c r="Q135" s="4" t="s">
        <v>1402</v>
      </c>
    </row>
    <row r="136" spans="1:28" ht="17.25" customHeight="1" x14ac:dyDescent="0.2">
      <c r="A136" s="150">
        <v>135</v>
      </c>
      <c r="B136" s="137" t="s">
        <v>157</v>
      </c>
      <c r="C136" s="138" t="s">
        <v>81</v>
      </c>
      <c r="D136" s="139">
        <v>249.71899999999999</v>
      </c>
      <c r="E136" s="140">
        <v>2857</v>
      </c>
      <c r="F136" s="139">
        <f t="shared" si="24"/>
        <v>250.47374079999997</v>
      </c>
      <c r="G136" s="142">
        <v>25569.041962604166</v>
      </c>
      <c r="H136" s="142">
        <v>25569.041962604166</v>
      </c>
      <c r="I136" s="140">
        <v>200</v>
      </c>
      <c r="J136" s="140">
        <v>165641</v>
      </c>
      <c r="K136" s="144" t="s">
        <v>429</v>
      </c>
      <c r="L136" s="140">
        <v>2421893</v>
      </c>
      <c r="M136" s="143">
        <f t="shared" si="21"/>
        <v>1556.2432329170142</v>
      </c>
      <c r="N136" s="143">
        <v>1.45</v>
      </c>
      <c r="O136" s="145">
        <f t="shared" si="22"/>
        <v>1670271.0344827587</v>
      </c>
      <c r="P136" s="145">
        <f t="shared" si="23"/>
        <v>1073.2711951151823</v>
      </c>
      <c r="Q136" s="4" t="s">
        <v>1403</v>
      </c>
      <c r="R136" s="4"/>
      <c r="S136" s="4"/>
      <c r="T136" s="4"/>
      <c r="U136" s="4"/>
      <c r="V136" s="4"/>
      <c r="W136" s="4"/>
      <c r="X136" s="4"/>
      <c r="Y136" s="4"/>
      <c r="Z136" s="4"/>
      <c r="AA136" s="4"/>
      <c r="AB136" s="4"/>
    </row>
    <row r="137" spans="1:28" ht="17.25" customHeight="1" x14ac:dyDescent="0.2">
      <c r="A137" s="150">
        <v>136</v>
      </c>
      <c r="B137" s="137" t="s">
        <v>157</v>
      </c>
      <c r="C137" s="165">
        <v>25569.041962604166</v>
      </c>
      <c r="D137" s="139">
        <v>178.82</v>
      </c>
      <c r="E137" s="140">
        <v>2857</v>
      </c>
      <c r="F137" s="139">
        <f t="shared" si="24"/>
        <v>180.04976409999998</v>
      </c>
      <c r="G137" s="142">
        <v>25569.041962604166</v>
      </c>
      <c r="H137" s="142">
        <v>25569.041962604166</v>
      </c>
      <c r="I137" s="140">
        <v>139</v>
      </c>
      <c r="J137" s="147"/>
      <c r="K137" s="144" t="s">
        <v>429</v>
      </c>
      <c r="L137" s="147"/>
      <c r="M137" s="143">
        <f t="shared" si="21"/>
        <v>0</v>
      </c>
      <c r="N137" s="147"/>
      <c r="O137" s="166" t="e">
        <f t="shared" si="22"/>
        <v>#DIV/0!</v>
      </c>
      <c r="P137" s="143" t="e">
        <f t="shared" si="23"/>
        <v>#DIV/0!</v>
      </c>
      <c r="Q137" s="4" t="s">
        <v>1404</v>
      </c>
      <c r="R137" s="4"/>
      <c r="S137" s="4"/>
      <c r="T137" s="4"/>
      <c r="U137" s="4"/>
      <c r="V137" s="4"/>
      <c r="W137" s="4"/>
      <c r="X137" s="4"/>
      <c r="Y137" s="4"/>
      <c r="Z137" s="4"/>
      <c r="AA137" s="4"/>
      <c r="AB137" s="4"/>
    </row>
    <row r="138" spans="1:28" ht="17.25" customHeight="1" x14ac:dyDescent="0.2">
      <c r="A138" s="150">
        <v>137</v>
      </c>
      <c r="B138" s="137" t="s">
        <v>157</v>
      </c>
      <c r="C138" s="138" t="s">
        <v>81</v>
      </c>
      <c r="D138" s="139">
        <v>178.82</v>
      </c>
      <c r="E138" s="140">
        <v>2857</v>
      </c>
      <c r="F138" s="139">
        <f t="shared" si="24"/>
        <v>180.04976409999998</v>
      </c>
      <c r="G138" s="167">
        <v>25569.041962604166</v>
      </c>
      <c r="H138" s="141" t="s">
        <v>1405</v>
      </c>
      <c r="I138" s="140">
        <v>139</v>
      </c>
      <c r="J138" s="140">
        <v>1107024</v>
      </c>
      <c r="K138" s="144" t="s">
        <v>429</v>
      </c>
      <c r="L138" s="140">
        <v>9257</v>
      </c>
      <c r="M138" s="143">
        <f t="shared" si="21"/>
        <v>96.213304693269947</v>
      </c>
      <c r="N138" s="143">
        <v>6471592.3799999999</v>
      </c>
      <c r="O138" s="145">
        <f t="shared" si="22"/>
        <v>1.4304052938513411E-3</v>
      </c>
      <c r="P138" s="145">
        <f t="shared" si="23"/>
        <v>1.486702175350388E-5</v>
      </c>
      <c r="Q138" s="4"/>
      <c r="R138" s="4"/>
      <c r="S138" s="4"/>
      <c r="T138" s="4"/>
      <c r="U138" s="4"/>
      <c r="V138" s="4"/>
      <c r="W138" s="4"/>
      <c r="X138" s="4"/>
      <c r="Y138" s="4"/>
      <c r="Z138" s="4"/>
      <c r="AA138" s="4"/>
      <c r="AB138" s="4"/>
    </row>
    <row r="139" spans="1:28" ht="17.25" customHeight="1" x14ac:dyDescent="0.2">
      <c r="A139" s="122">
        <v>138</v>
      </c>
      <c r="B139" s="123" t="s">
        <v>310</v>
      </c>
      <c r="C139" s="131" t="s">
        <v>81</v>
      </c>
      <c r="D139" s="125">
        <v>178.82</v>
      </c>
      <c r="E139" s="132">
        <v>2857</v>
      </c>
      <c r="F139" s="125">
        <f t="shared" si="24"/>
        <v>180.04976409999998</v>
      </c>
      <c r="G139" s="127" t="s">
        <v>1406</v>
      </c>
      <c r="H139" s="136">
        <v>25569.041962604166</v>
      </c>
      <c r="I139" s="132">
        <v>140</v>
      </c>
      <c r="J139" s="132">
        <v>0</v>
      </c>
      <c r="K139" s="144" t="s">
        <v>429</v>
      </c>
      <c r="L139" s="132">
        <v>140</v>
      </c>
      <c r="M139" s="143">
        <f t="shared" si="21"/>
        <v>11.832159566199232</v>
      </c>
      <c r="N139" s="126"/>
      <c r="O139" s="148" t="e">
        <f t="shared" si="22"/>
        <v>#DIV/0!</v>
      </c>
      <c r="P139" s="129" t="e">
        <f t="shared" si="23"/>
        <v>#DIV/0!</v>
      </c>
      <c r="Q139" s="4" t="s">
        <v>1407</v>
      </c>
    </row>
    <row r="140" spans="1:28" ht="17.25" customHeight="1" x14ac:dyDescent="0.2">
      <c r="A140" s="122">
        <v>139</v>
      </c>
      <c r="B140" s="123" t="s">
        <v>310</v>
      </c>
      <c r="C140" s="131" t="s">
        <v>81</v>
      </c>
      <c r="D140" s="125">
        <v>178.82</v>
      </c>
      <c r="E140" s="132">
        <v>2857</v>
      </c>
      <c r="F140" s="125">
        <f t="shared" si="24"/>
        <v>180.04976409999998</v>
      </c>
      <c r="G140" s="136">
        <v>25569.041962604166</v>
      </c>
      <c r="H140" s="136">
        <v>25569.041962604166</v>
      </c>
      <c r="I140" s="132">
        <v>140</v>
      </c>
      <c r="J140" s="132">
        <v>2539</v>
      </c>
      <c r="K140" s="144" t="s">
        <v>429</v>
      </c>
      <c r="L140" s="126"/>
      <c r="M140" s="143">
        <f t="shared" si="21"/>
        <v>0</v>
      </c>
      <c r="N140" s="126"/>
      <c r="O140" s="148" t="e">
        <f t="shared" si="22"/>
        <v>#DIV/0!</v>
      </c>
      <c r="P140" s="129" t="e">
        <f t="shared" si="23"/>
        <v>#DIV/0!</v>
      </c>
      <c r="Q140" s="4" t="s">
        <v>1408</v>
      </c>
    </row>
    <row r="141" spans="1:28" ht="17.25" customHeight="1" x14ac:dyDescent="0.2">
      <c r="A141" s="122">
        <v>140</v>
      </c>
      <c r="B141" s="123" t="s">
        <v>310</v>
      </c>
      <c r="C141" s="131" t="s">
        <v>81</v>
      </c>
      <c r="D141" s="125">
        <v>178.82</v>
      </c>
      <c r="E141" s="132">
        <v>2857</v>
      </c>
      <c r="F141" s="125">
        <f t="shared" si="24"/>
        <v>180.04976409999998</v>
      </c>
      <c r="G141" s="136">
        <v>25569.041962604166</v>
      </c>
      <c r="H141" s="136">
        <v>25569.041962604166</v>
      </c>
      <c r="I141" s="132">
        <v>223</v>
      </c>
      <c r="J141" s="126"/>
      <c r="K141" s="144" t="s">
        <v>429</v>
      </c>
      <c r="L141" s="126"/>
      <c r="M141" s="143">
        <f t="shared" si="21"/>
        <v>0</v>
      </c>
      <c r="N141" s="126"/>
      <c r="O141" s="148" t="e">
        <f t="shared" si="22"/>
        <v>#DIV/0!</v>
      </c>
      <c r="P141" s="129" t="e">
        <f t="shared" si="23"/>
        <v>#DIV/0!</v>
      </c>
      <c r="Q141" s="4" t="s">
        <v>1409</v>
      </c>
    </row>
    <row r="142" spans="1:28" ht="17.25" customHeight="1" x14ac:dyDescent="0.2">
      <c r="A142" s="122">
        <v>141</v>
      </c>
      <c r="B142" s="123" t="s">
        <v>30</v>
      </c>
      <c r="C142" s="131" t="s">
        <v>81</v>
      </c>
      <c r="D142" s="125">
        <v>230.22200000000001</v>
      </c>
      <c r="E142" s="132">
        <v>3362</v>
      </c>
      <c r="F142" s="125">
        <f t="shared" si="24"/>
        <v>231.6089872</v>
      </c>
      <c r="G142" s="136">
        <v>25569.041962604166</v>
      </c>
      <c r="H142" s="136">
        <v>25569.041962604166</v>
      </c>
      <c r="I142" s="132">
        <v>223</v>
      </c>
      <c r="J142" s="132">
        <v>504</v>
      </c>
      <c r="K142" s="144" t="s">
        <v>429</v>
      </c>
      <c r="L142" s="132">
        <v>20641</v>
      </c>
      <c r="M142" s="143">
        <f t="shared" si="21"/>
        <v>143.66976021418009</v>
      </c>
      <c r="N142" s="129">
        <v>11806.47</v>
      </c>
      <c r="O142" s="130">
        <f t="shared" si="22"/>
        <v>1.7482786980359075</v>
      </c>
      <c r="P142" s="130">
        <f t="shared" si="23"/>
        <v>1.2168731230772627E-2</v>
      </c>
      <c r="Q142" s="4" t="s">
        <v>1410</v>
      </c>
    </row>
    <row r="143" spans="1:28" ht="17.25" customHeight="1" x14ac:dyDescent="0.2">
      <c r="A143" s="122">
        <v>142</v>
      </c>
      <c r="B143" s="123" t="s">
        <v>30</v>
      </c>
      <c r="C143" s="131" t="s">
        <v>81</v>
      </c>
      <c r="D143" s="125">
        <v>228.71100000000001</v>
      </c>
      <c r="E143" s="132">
        <v>3362</v>
      </c>
      <c r="F143" s="125">
        <f t="shared" si="24"/>
        <v>230.10811090000001</v>
      </c>
      <c r="G143" s="136">
        <v>25569.041962604166</v>
      </c>
      <c r="H143" s="136">
        <v>25569.041962604166</v>
      </c>
      <c r="I143" s="132">
        <v>223</v>
      </c>
      <c r="J143" s="132">
        <v>378</v>
      </c>
      <c r="K143" s="144" t="s">
        <v>429</v>
      </c>
      <c r="L143" s="132">
        <v>13830</v>
      </c>
      <c r="M143" s="143">
        <f t="shared" si="21"/>
        <v>117.6010204037363</v>
      </c>
      <c r="N143" s="129">
        <v>8489.41</v>
      </c>
      <c r="O143" s="130">
        <f t="shared" si="22"/>
        <v>1.629088476113181</v>
      </c>
      <c r="P143" s="130">
        <f t="shared" si="23"/>
        <v>1.3852672965934771E-2</v>
      </c>
      <c r="Q143" s="4"/>
    </row>
    <row r="144" spans="1:28" ht="17.25" customHeight="1" x14ac:dyDescent="0.2">
      <c r="A144" s="122">
        <v>143</v>
      </c>
      <c r="B144" s="123" t="s">
        <v>30</v>
      </c>
      <c r="C144" s="131" t="s">
        <v>81</v>
      </c>
      <c r="D144" s="125">
        <v>227.214</v>
      </c>
      <c r="E144" s="132">
        <v>3362</v>
      </c>
      <c r="F144" s="125">
        <f t="shared" si="24"/>
        <v>228.62114079999998</v>
      </c>
      <c r="G144" s="136">
        <v>25569.041962604166</v>
      </c>
      <c r="H144" s="136">
        <v>25569.041962604166</v>
      </c>
      <c r="I144" s="132">
        <v>224</v>
      </c>
      <c r="J144" s="132">
        <v>504</v>
      </c>
      <c r="K144" s="144" t="s">
        <v>429</v>
      </c>
      <c r="L144" s="132">
        <v>14786</v>
      </c>
      <c r="M144" s="143">
        <f t="shared" si="21"/>
        <v>121.59769734661919</v>
      </c>
      <c r="N144" s="129">
        <v>10124.32</v>
      </c>
      <c r="O144" s="130">
        <f t="shared" si="22"/>
        <v>1.4604437631366847</v>
      </c>
      <c r="P144" s="130">
        <f t="shared" si="23"/>
        <v>1.2010455748792925E-2</v>
      </c>
      <c r="Q144" s="4"/>
    </row>
    <row r="145" spans="1:17" ht="17.25" customHeight="1" x14ac:dyDescent="0.2">
      <c r="A145" s="122">
        <v>144</v>
      </c>
      <c r="B145" s="123" t="s">
        <v>30</v>
      </c>
      <c r="C145" s="131" t="s">
        <v>81</v>
      </c>
      <c r="D145" s="125">
        <v>225.70400000000001</v>
      </c>
      <c r="E145" s="132">
        <v>3362</v>
      </c>
      <c r="F145" s="125">
        <f t="shared" si="24"/>
        <v>227.1212578</v>
      </c>
      <c r="G145" s="136">
        <v>25569.041962604166</v>
      </c>
      <c r="H145" s="136">
        <v>25569.041962604166</v>
      </c>
      <c r="I145" s="132">
        <v>224</v>
      </c>
      <c r="J145" s="132">
        <v>504</v>
      </c>
      <c r="K145" s="144" t="s">
        <v>429</v>
      </c>
      <c r="L145" s="132">
        <v>13671</v>
      </c>
      <c r="M145" s="143">
        <f t="shared" si="21"/>
        <v>116.92305161943047</v>
      </c>
      <c r="N145" s="129">
        <v>10875.7</v>
      </c>
      <c r="O145" s="130">
        <f t="shared" si="22"/>
        <v>1.2570225364804104</v>
      </c>
      <c r="P145" s="130">
        <f t="shared" si="23"/>
        <v>1.0750852967572704E-2</v>
      </c>
      <c r="Q145" s="4"/>
    </row>
    <row r="146" spans="1:17" ht="17.25" customHeight="1" x14ac:dyDescent="0.2">
      <c r="A146" s="122">
        <v>145</v>
      </c>
      <c r="B146" s="123" t="s">
        <v>30</v>
      </c>
      <c r="C146" s="131" t="s">
        <v>81</v>
      </c>
      <c r="D146" s="125">
        <v>224.2</v>
      </c>
      <c r="E146" s="132">
        <v>3362</v>
      </c>
      <c r="F146" s="125">
        <f t="shared" si="24"/>
        <v>225.62733459999998</v>
      </c>
      <c r="G146" s="136">
        <v>25569.041962604166</v>
      </c>
      <c r="H146" s="136">
        <v>25569.041962604166</v>
      </c>
      <c r="I146" s="132">
        <v>224</v>
      </c>
      <c r="J146" s="132">
        <v>1385</v>
      </c>
      <c r="K146" s="144" t="s">
        <v>429</v>
      </c>
      <c r="L146" s="132">
        <v>28444</v>
      </c>
      <c r="M146" s="143">
        <f t="shared" ref="M146:M177" si="25">SQRT(L146)</f>
        <v>168.65349092147486</v>
      </c>
      <c r="N146" s="129">
        <v>29631.29</v>
      </c>
      <c r="O146" s="130">
        <f t="shared" ref="O146:O177" si="26">L146/N146</f>
        <v>0.95993120785493979</v>
      </c>
      <c r="P146" s="130">
        <f t="shared" ref="P146:P177" si="27">M146/N146</f>
        <v>5.6917363679230585E-3</v>
      </c>
      <c r="Q146" s="4"/>
    </row>
    <row r="147" spans="1:17" ht="17.25" customHeight="1" x14ac:dyDescent="0.2">
      <c r="A147" s="122">
        <v>146</v>
      </c>
      <c r="B147" s="123" t="s">
        <v>30</v>
      </c>
      <c r="C147" s="131" t="s">
        <v>81</v>
      </c>
      <c r="D147" s="125">
        <v>222.696</v>
      </c>
      <c r="E147" s="132">
        <v>3362</v>
      </c>
      <c r="F147" s="125">
        <f t="shared" si="24"/>
        <v>224.1334114</v>
      </c>
      <c r="G147" s="136">
        <v>25569.041962604166</v>
      </c>
      <c r="H147" s="136">
        <v>25569.041962604166</v>
      </c>
      <c r="I147" s="132">
        <v>223</v>
      </c>
      <c r="J147" s="132">
        <v>1511</v>
      </c>
      <c r="K147" s="144" t="s">
        <v>429</v>
      </c>
      <c r="L147" s="132">
        <v>6224</v>
      </c>
      <c r="M147" s="143">
        <f t="shared" si="25"/>
        <v>78.892331693264083</v>
      </c>
      <c r="N147" s="129">
        <v>31681.68</v>
      </c>
      <c r="O147" s="130">
        <f t="shared" si="26"/>
        <v>0.19645422843738083</v>
      </c>
      <c r="P147" s="130">
        <f t="shared" si="27"/>
        <v>2.4901561941558679E-3</v>
      </c>
      <c r="Q147" s="4"/>
    </row>
    <row r="148" spans="1:17" ht="17.25" customHeight="1" x14ac:dyDescent="0.2">
      <c r="A148" s="122">
        <v>147</v>
      </c>
      <c r="B148" s="123" t="s">
        <v>30</v>
      </c>
      <c r="C148" s="131" t="s">
        <v>81</v>
      </c>
      <c r="D148" s="125">
        <v>221.19200000000001</v>
      </c>
      <c r="E148" s="132">
        <v>3362</v>
      </c>
      <c r="F148" s="125">
        <f t="shared" si="24"/>
        <v>222.63948819999999</v>
      </c>
      <c r="G148" s="136">
        <v>25569.041962604166</v>
      </c>
      <c r="H148" s="136">
        <v>25569.041962604166</v>
      </c>
      <c r="I148" s="132">
        <v>223</v>
      </c>
      <c r="J148" s="132">
        <v>2769</v>
      </c>
      <c r="K148" s="144" t="s">
        <v>429</v>
      </c>
      <c r="L148" s="132">
        <v>5175</v>
      </c>
      <c r="M148" s="143">
        <f t="shared" si="25"/>
        <v>71.937472849690792</v>
      </c>
      <c r="N148" s="129">
        <v>60513.06</v>
      </c>
      <c r="O148" s="130">
        <f t="shared" si="26"/>
        <v>8.5518729345367764E-2</v>
      </c>
      <c r="P148" s="130">
        <f t="shared" si="27"/>
        <v>1.1887925160236617E-3</v>
      </c>
      <c r="Q148" s="4"/>
    </row>
    <row r="149" spans="1:17" ht="17.25" customHeight="1" x14ac:dyDescent="0.2">
      <c r="A149" s="122">
        <v>148</v>
      </c>
      <c r="B149" s="123" t="s">
        <v>30</v>
      </c>
      <c r="C149" s="131" t="s">
        <v>81</v>
      </c>
      <c r="D149" s="125">
        <v>223.495</v>
      </c>
      <c r="E149" s="132">
        <v>3362</v>
      </c>
      <c r="F149" s="125">
        <f t="shared" si="24"/>
        <v>224.92705809999998</v>
      </c>
      <c r="G149" s="136">
        <v>25569.041962604166</v>
      </c>
      <c r="H149" s="136">
        <v>25569.041962604166</v>
      </c>
      <c r="I149" s="132">
        <v>226</v>
      </c>
      <c r="J149" s="132">
        <v>4783</v>
      </c>
      <c r="K149" s="144" t="s">
        <v>429</v>
      </c>
      <c r="L149" s="132">
        <v>59662</v>
      </c>
      <c r="M149" s="143">
        <f t="shared" si="25"/>
        <v>244.25806025595142</v>
      </c>
      <c r="N149" s="129">
        <v>105693.399</v>
      </c>
      <c r="O149" s="130">
        <f t="shared" si="26"/>
        <v>0.56448179890590899</v>
      </c>
      <c r="P149" s="130">
        <f t="shared" si="27"/>
        <v>2.3110058202967946E-3</v>
      </c>
      <c r="Q149" s="4"/>
    </row>
    <row r="150" spans="1:17" ht="17.25" customHeight="1" x14ac:dyDescent="0.2">
      <c r="A150" s="122">
        <v>149</v>
      </c>
      <c r="B150" s="123" t="s">
        <v>30</v>
      </c>
      <c r="C150" s="131" t="s">
        <v>81</v>
      </c>
      <c r="D150" s="125">
        <v>231.76599999999999</v>
      </c>
      <c r="E150" s="132">
        <v>3362</v>
      </c>
      <c r="F150" s="125">
        <f t="shared" si="24"/>
        <v>233.14264239999997</v>
      </c>
      <c r="G150" s="136">
        <v>25569.041962604166</v>
      </c>
      <c r="H150" s="136">
        <v>25569.041962604166</v>
      </c>
      <c r="I150" s="132">
        <v>231</v>
      </c>
      <c r="J150" s="132">
        <v>378</v>
      </c>
      <c r="K150" s="144" t="s">
        <v>429</v>
      </c>
      <c r="L150" s="132">
        <v>14287</v>
      </c>
      <c r="M150" s="143">
        <f t="shared" si="25"/>
        <v>119.52823934116992</v>
      </c>
      <c r="N150" s="129">
        <v>8119.4309999999996</v>
      </c>
      <c r="O150" s="130">
        <f t="shared" si="26"/>
        <v>1.7596060610651165</v>
      </c>
      <c r="P150" s="130">
        <f t="shared" si="27"/>
        <v>1.4721258095692904E-2</v>
      </c>
      <c r="Q150" s="4"/>
    </row>
    <row r="151" spans="1:17" ht="17.25" customHeight="1" x14ac:dyDescent="0.2">
      <c r="A151" s="122">
        <f t="shared" ref="A151:A182" si="28">A150+1</f>
        <v>150</v>
      </c>
      <c r="B151" s="123" t="s">
        <v>30</v>
      </c>
      <c r="C151" s="131" t="s">
        <v>81</v>
      </c>
      <c r="D151" s="125">
        <v>236.78200000000001</v>
      </c>
      <c r="E151" s="132">
        <v>3362</v>
      </c>
      <c r="F151" s="125">
        <f t="shared" si="24"/>
        <v>238.12503520000001</v>
      </c>
      <c r="G151" s="136">
        <v>25569.041962604166</v>
      </c>
      <c r="H151" s="136">
        <v>25569.041962604166</v>
      </c>
      <c r="I151" s="132">
        <v>230</v>
      </c>
      <c r="J151" s="132">
        <v>504</v>
      </c>
      <c r="K151" s="144" t="s">
        <v>429</v>
      </c>
      <c r="L151" s="132">
        <v>20720</v>
      </c>
      <c r="M151" s="143">
        <f t="shared" si="25"/>
        <v>143.94443372357264</v>
      </c>
      <c r="N151" s="129">
        <v>11179.43</v>
      </c>
      <c r="O151" s="130">
        <f t="shared" si="26"/>
        <v>1.8534039749790463</v>
      </c>
      <c r="P151" s="130">
        <f t="shared" si="27"/>
        <v>1.2875829422749875E-2</v>
      </c>
      <c r="Q151" s="4"/>
    </row>
    <row r="152" spans="1:17" ht="17.25" customHeight="1" x14ac:dyDescent="0.2">
      <c r="A152" s="122">
        <f t="shared" si="28"/>
        <v>151</v>
      </c>
      <c r="B152" s="123" t="s">
        <v>30</v>
      </c>
      <c r="C152" s="131" t="s">
        <v>81</v>
      </c>
      <c r="D152" s="125">
        <v>241.797</v>
      </c>
      <c r="E152" s="132">
        <v>3362</v>
      </c>
      <c r="F152" s="125">
        <f t="shared" si="24"/>
        <v>243.10643469999999</v>
      </c>
      <c r="G152" s="136">
        <v>25569.041962604166</v>
      </c>
      <c r="H152" s="136">
        <v>25569.041962604166</v>
      </c>
      <c r="I152" s="132">
        <v>230</v>
      </c>
      <c r="J152" s="132">
        <v>630</v>
      </c>
      <c r="K152" s="144" t="s">
        <v>429</v>
      </c>
      <c r="L152" s="132">
        <v>26377</v>
      </c>
      <c r="M152" s="143">
        <f t="shared" si="25"/>
        <v>162.40997506310995</v>
      </c>
      <c r="N152" s="129">
        <v>13367.09</v>
      </c>
      <c r="O152" s="130">
        <f t="shared" si="26"/>
        <v>1.9732791505106946</v>
      </c>
      <c r="P152" s="130">
        <f t="shared" si="27"/>
        <v>1.2149987399135484E-2</v>
      </c>
      <c r="Q152" s="4"/>
    </row>
    <row r="153" spans="1:17" ht="17.25" customHeight="1" x14ac:dyDescent="0.2">
      <c r="A153" s="122">
        <f t="shared" si="28"/>
        <v>152</v>
      </c>
      <c r="B153" s="123" t="s">
        <v>30</v>
      </c>
      <c r="C153" s="131" t="s">
        <v>81</v>
      </c>
      <c r="D153" s="125">
        <v>246.71799999999999</v>
      </c>
      <c r="E153" s="132">
        <v>3362</v>
      </c>
      <c r="F153" s="125">
        <f t="shared" si="24"/>
        <v>247.99446399999997</v>
      </c>
      <c r="G153" s="136">
        <v>25569.041962604166</v>
      </c>
      <c r="H153" s="136">
        <v>25569.041962604166</v>
      </c>
      <c r="I153" s="132">
        <v>230</v>
      </c>
      <c r="J153" s="132">
        <v>504</v>
      </c>
      <c r="K153" s="144" t="s">
        <v>429</v>
      </c>
      <c r="L153" s="132">
        <v>24234</v>
      </c>
      <c r="M153" s="143">
        <f t="shared" si="25"/>
        <v>155.6727336433712</v>
      </c>
      <c r="N153" s="129">
        <v>12459.8</v>
      </c>
      <c r="O153" s="130">
        <f t="shared" si="26"/>
        <v>1.9449750397277645</v>
      </c>
      <c r="P153" s="130">
        <f t="shared" si="27"/>
        <v>1.2493999393519254E-2</v>
      </c>
      <c r="Q153" s="4"/>
    </row>
    <row r="154" spans="1:17" ht="17.25" customHeight="1" x14ac:dyDescent="0.2">
      <c r="A154" s="122">
        <f t="shared" si="28"/>
        <v>153</v>
      </c>
      <c r="B154" s="123" t="s">
        <v>30</v>
      </c>
      <c r="C154" s="131" t="s">
        <v>81</v>
      </c>
      <c r="D154" s="125">
        <v>250.70599999999999</v>
      </c>
      <c r="E154" s="132">
        <v>3362</v>
      </c>
      <c r="F154" s="125">
        <f t="shared" si="24"/>
        <v>251.95574439999999</v>
      </c>
      <c r="G154" s="136">
        <v>25569.041962604166</v>
      </c>
      <c r="H154" s="136">
        <v>25569.041962604166</v>
      </c>
      <c r="I154" s="132">
        <v>250</v>
      </c>
      <c r="J154" s="132">
        <v>378</v>
      </c>
      <c r="K154" s="144" t="s">
        <v>429</v>
      </c>
      <c r="L154" s="132">
        <v>19875</v>
      </c>
      <c r="M154" s="143">
        <f t="shared" si="25"/>
        <v>140.97872179871683</v>
      </c>
      <c r="N154" s="129">
        <v>9605.1200000000008</v>
      </c>
      <c r="O154" s="130">
        <f t="shared" si="26"/>
        <v>2.0692089219083152</v>
      </c>
      <c r="P154" s="130">
        <f t="shared" si="27"/>
        <v>1.4677455544409317E-2</v>
      </c>
      <c r="Q154" s="4"/>
    </row>
    <row r="155" spans="1:17" ht="17.25" customHeight="1" x14ac:dyDescent="0.2">
      <c r="A155" s="122">
        <f t="shared" si="28"/>
        <v>154</v>
      </c>
      <c r="B155" s="123" t="s">
        <v>30</v>
      </c>
      <c r="C155" s="131" t="s">
        <v>81</v>
      </c>
      <c r="D155" s="125">
        <v>255.69499999999999</v>
      </c>
      <c r="E155" s="132">
        <v>3362</v>
      </c>
      <c r="F155" s="125">
        <f t="shared" si="24"/>
        <v>256.91131809999996</v>
      </c>
      <c r="G155" s="136">
        <v>25569.041962604166</v>
      </c>
      <c r="H155" s="136">
        <v>25569.041962604166</v>
      </c>
      <c r="I155" s="132">
        <v>255</v>
      </c>
      <c r="J155" s="132">
        <v>630</v>
      </c>
      <c r="K155" s="144" t="s">
        <v>429</v>
      </c>
      <c r="L155" s="132">
        <v>30673</v>
      </c>
      <c r="M155" s="143">
        <f t="shared" si="25"/>
        <v>175.13708916160505</v>
      </c>
      <c r="N155" s="129">
        <v>15343.09</v>
      </c>
      <c r="O155" s="130">
        <f t="shared" si="26"/>
        <v>1.9991409813798915</v>
      </c>
      <c r="P155" s="130">
        <f t="shared" si="27"/>
        <v>1.1414720839257609E-2</v>
      </c>
      <c r="Q155" s="4"/>
    </row>
    <row r="156" spans="1:17" ht="17.25" customHeight="1" x14ac:dyDescent="0.2">
      <c r="A156" s="122">
        <f t="shared" si="28"/>
        <v>155</v>
      </c>
      <c r="B156" s="123" t="s">
        <v>30</v>
      </c>
      <c r="C156" s="131" t="s">
        <v>81</v>
      </c>
      <c r="D156" s="125">
        <v>260.67700000000002</v>
      </c>
      <c r="E156" s="132">
        <v>3362</v>
      </c>
      <c r="F156" s="125">
        <f t="shared" si="24"/>
        <v>261.85993869999999</v>
      </c>
      <c r="G156" s="136">
        <v>25569.041962604166</v>
      </c>
      <c r="H156" s="136">
        <v>25569.041962604166</v>
      </c>
      <c r="I156" s="132">
        <v>256</v>
      </c>
      <c r="J156" s="132">
        <v>630</v>
      </c>
      <c r="K156" s="144" t="s">
        <v>429</v>
      </c>
      <c r="L156" s="132">
        <v>32042</v>
      </c>
      <c r="M156" s="143">
        <f t="shared" si="25"/>
        <v>179.00279327429502</v>
      </c>
      <c r="N156" s="129">
        <v>15552.81</v>
      </c>
      <c r="O156" s="130">
        <f t="shared" si="26"/>
        <v>2.0602064835872103</v>
      </c>
      <c r="P156" s="130">
        <f t="shared" si="27"/>
        <v>1.150935382572635E-2</v>
      </c>
      <c r="Q156" s="4"/>
    </row>
    <row r="157" spans="1:17" ht="17.25" customHeight="1" x14ac:dyDescent="0.2">
      <c r="A157" s="122">
        <f t="shared" si="28"/>
        <v>156</v>
      </c>
      <c r="B157" s="123" t="s">
        <v>30</v>
      </c>
      <c r="C157" s="131" t="s">
        <v>81</v>
      </c>
      <c r="D157" s="125">
        <v>265.65800000000002</v>
      </c>
      <c r="E157" s="132">
        <v>3362</v>
      </c>
      <c r="F157" s="125">
        <f t="shared" si="24"/>
        <v>266.80756600000001</v>
      </c>
      <c r="G157" s="136">
        <v>25569.041962604166</v>
      </c>
      <c r="H157" s="136">
        <v>25569.041962604166</v>
      </c>
      <c r="I157" s="132">
        <v>258</v>
      </c>
      <c r="J157" s="132">
        <v>252</v>
      </c>
      <c r="K157" s="144" t="s">
        <v>429</v>
      </c>
      <c r="L157" s="132">
        <v>12056</v>
      </c>
      <c r="M157" s="143">
        <f t="shared" si="25"/>
        <v>109.79981785048643</v>
      </c>
      <c r="N157" s="129">
        <v>5712.96</v>
      </c>
      <c r="O157" s="130">
        <f t="shared" si="26"/>
        <v>2.1102895871842269</v>
      </c>
      <c r="P157" s="130">
        <f t="shared" si="27"/>
        <v>1.9219427030906296E-2</v>
      </c>
      <c r="Q157" s="4"/>
    </row>
    <row r="158" spans="1:17" ht="17.25" customHeight="1" x14ac:dyDescent="0.2">
      <c r="A158" s="122">
        <f t="shared" si="28"/>
        <v>157</v>
      </c>
      <c r="B158" s="123" t="s">
        <v>30</v>
      </c>
      <c r="C158" s="131" t="s">
        <v>81</v>
      </c>
      <c r="D158" s="125">
        <v>270.64699999999999</v>
      </c>
      <c r="E158" s="132">
        <v>3362</v>
      </c>
      <c r="F158" s="125">
        <f t="shared" si="24"/>
        <v>271.76313969999995</v>
      </c>
      <c r="G158" s="136">
        <v>25569.041962604166</v>
      </c>
      <c r="H158" s="136">
        <v>25569.041962604166</v>
      </c>
      <c r="I158" s="132">
        <v>260</v>
      </c>
      <c r="J158" s="132">
        <v>1133</v>
      </c>
      <c r="K158" s="144" t="s">
        <v>429</v>
      </c>
      <c r="L158" s="132">
        <v>64068</v>
      </c>
      <c r="M158" s="143">
        <f t="shared" si="25"/>
        <v>253.11657393382995</v>
      </c>
      <c r="N158" s="129">
        <v>29285.33</v>
      </c>
      <c r="O158" s="130">
        <f t="shared" si="26"/>
        <v>2.1877165119874009</v>
      </c>
      <c r="P158" s="130">
        <f t="shared" si="27"/>
        <v>8.6431183781719365E-3</v>
      </c>
      <c r="Q158" s="4"/>
    </row>
    <row r="159" spans="1:17" ht="17.25" customHeight="1" x14ac:dyDescent="0.2">
      <c r="A159" s="122">
        <f t="shared" si="28"/>
        <v>158</v>
      </c>
      <c r="B159" s="123" t="s">
        <v>30</v>
      </c>
      <c r="C159" s="131" t="s">
        <v>81</v>
      </c>
      <c r="D159" s="125">
        <v>275.63499999999999</v>
      </c>
      <c r="E159" s="132">
        <v>3362</v>
      </c>
      <c r="F159" s="125">
        <f t="shared" si="24"/>
        <v>276.71772009999995</v>
      </c>
      <c r="G159" s="136">
        <v>25569.041962604166</v>
      </c>
      <c r="H159" s="136">
        <v>25569.041962604166</v>
      </c>
      <c r="I159" s="132">
        <v>260</v>
      </c>
      <c r="J159" s="132">
        <v>504</v>
      </c>
      <c r="K159" s="144" t="s">
        <v>429</v>
      </c>
      <c r="L159" s="132">
        <v>28942</v>
      </c>
      <c r="M159" s="143">
        <f t="shared" si="25"/>
        <v>170.1234845634194</v>
      </c>
      <c r="N159" s="129">
        <v>12808.38</v>
      </c>
      <c r="O159" s="130">
        <f t="shared" si="26"/>
        <v>2.2596144086918097</v>
      </c>
      <c r="P159" s="130">
        <f t="shared" si="27"/>
        <v>1.3282201540196294E-2</v>
      </c>
      <c r="Q159" s="4"/>
    </row>
    <row r="160" spans="1:17" ht="17.25" customHeight="1" x14ac:dyDescent="0.2">
      <c r="A160" s="122">
        <f t="shared" si="28"/>
        <v>159</v>
      </c>
      <c r="B160" s="123" t="s">
        <v>30</v>
      </c>
      <c r="C160" s="131" t="s">
        <v>81</v>
      </c>
      <c r="D160" s="125">
        <v>280.61700000000002</v>
      </c>
      <c r="E160" s="132">
        <v>3362</v>
      </c>
      <c r="F160" s="125">
        <f t="shared" si="24"/>
        <v>281.66634069999998</v>
      </c>
      <c r="G160" s="136">
        <v>25569.041962604166</v>
      </c>
      <c r="H160" s="136">
        <v>25569.041962604166</v>
      </c>
      <c r="I160" s="129">
        <v>263.8</v>
      </c>
      <c r="J160" s="132">
        <v>1259</v>
      </c>
      <c r="K160" s="144" t="s">
        <v>429</v>
      </c>
      <c r="L160" s="132">
        <v>72941</v>
      </c>
      <c r="M160" s="143">
        <f t="shared" si="25"/>
        <v>270.0759152534709</v>
      </c>
      <c r="N160" s="129">
        <v>32146.91</v>
      </c>
      <c r="O160" s="130">
        <f t="shared" si="26"/>
        <v>2.2689894611954928</v>
      </c>
      <c r="P160" s="130">
        <f t="shared" si="27"/>
        <v>8.4013024969886961E-3</v>
      </c>
      <c r="Q160" s="4"/>
    </row>
    <row r="161" spans="1:28" ht="17.25" customHeight="1" x14ac:dyDescent="0.2">
      <c r="A161" s="122">
        <f t="shared" si="28"/>
        <v>160</v>
      </c>
      <c r="B161" s="123" t="s">
        <v>30</v>
      </c>
      <c r="C161" s="131" t="s">
        <v>81</v>
      </c>
      <c r="D161" s="125">
        <v>285.59899999999999</v>
      </c>
      <c r="E161" s="132">
        <v>3362</v>
      </c>
      <c r="F161" s="125">
        <f t="shared" si="24"/>
        <v>286.6149613</v>
      </c>
      <c r="G161" s="136">
        <v>25569.041962604166</v>
      </c>
      <c r="H161" s="136">
        <v>25569.041962604166</v>
      </c>
      <c r="I161" s="132">
        <v>263</v>
      </c>
      <c r="J161" s="132">
        <v>881</v>
      </c>
      <c r="K161" s="144" t="s">
        <v>429</v>
      </c>
      <c r="L161" s="132">
        <v>55303</v>
      </c>
      <c r="M161" s="143">
        <f t="shared" si="25"/>
        <v>235.16589888842302</v>
      </c>
      <c r="N161" s="129">
        <v>23961.61</v>
      </c>
      <c r="O161" s="130">
        <f t="shared" si="26"/>
        <v>2.3079834785725999</v>
      </c>
      <c r="P161" s="130">
        <f t="shared" si="27"/>
        <v>9.8142778756695817E-3</v>
      </c>
      <c r="Q161" s="4"/>
    </row>
    <row r="162" spans="1:28" ht="17.25" customHeight="1" x14ac:dyDescent="0.2">
      <c r="A162" s="122">
        <f t="shared" si="28"/>
        <v>161</v>
      </c>
      <c r="B162" s="123" t="s">
        <v>30</v>
      </c>
      <c r="C162" s="131" t="s">
        <v>81</v>
      </c>
      <c r="D162" s="125">
        <v>290.57400000000001</v>
      </c>
      <c r="E162" s="132">
        <v>3362</v>
      </c>
      <c r="F162" s="125">
        <f t="shared" si="24"/>
        <v>291.5566288</v>
      </c>
      <c r="G162" s="136">
        <v>25569.041962604166</v>
      </c>
      <c r="H162" s="136">
        <v>25569.041962604166</v>
      </c>
      <c r="I162" s="132">
        <v>262</v>
      </c>
      <c r="J162" s="132">
        <v>630</v>
      </c>
      <c r="K162" s="144" t="s">
        <v>429</v>
      </c>
      <c r="L162" s="132">
        <v>39547</v>
      </c>
      <c r="M162" s="143">
        <f t="shared" si="25"/>
        <v>198.86427532364883</v>
      </c>
      <c r="N162" s="129">
        <v>16370.26</v>
      </c>
      <c r="O162" s="130">
        <f t="shared" si="26"/>
        <v>2.4157832557332628</v>
      </c>
      <c r="P162" s="130">
        <f t="shared" si="27"/>
        <v>1.214789962551901E-2</v>
      </c>
      <c r="Q162" s="4"/>
    </row>
    <row r="163" spans="1:28" ht="17.25" customHeight="1" x14ac:dyDescent="0.2">
      <c r="A163" s="122">
        <f t="shared" si="28"/>
        <v>162</v>
      </c>
      <c r="B163" s="123" t="s">
        <v>30</v>
      </c>
      <c r="C163" s="131" t="s">
        <v>81</v>
      </c>
      <c r="D163" s="125">
        <v>295.55599999999998</v>
      </c>
      <c r="E163" s="132">
        <v>3362</v>
      </c>
      <c r="F163" s="125">
        <f t="shared" si="24"/>
        <v>296.50524939999997</v>
      </c>
      <c r="G163" s="136">
        <v>25569.041962604166</v>
      </c>
      <c r="H163" s="136">
        <v>25569.041962604166</v>
      </c>
      <c r="I163" s="132">
        <v>260</v>
      </c>
      <c r="J163" s="132">
        <v>252</v>
      </c>
      <c r="K163" s="144" t="s">
        <v>429</v>
      </c>
      <c r="L163" s="132">
        <v>14375</v>
      </c>
      <c r="M163" s="143">
        <f t="shared" si="25"/>
        <v>119.89578808281799</v>
      </c>
      <c r="N163" s="129">
        <v>5514.83</v>
      </c>
      <c r="O163" s="130">
        <f t="shared" si="26"/>
        <v>2.6066080006092665</v>
      </c>
      <c r="P163" s="130">
        <f t="shared" si="27"/>
        <v>2.1740613596940975E-2</v>
      </c>
      <c r="Q163" s="4"/>
    </row>
    <row r="164" spans="1:28" ht="17.25" customHeight="1" x14ac:dyDescent="0.2">
      <c r="A164" s="122">
        <f t="shared" si="28"/>
        <v>163</v>
      </c>
      <c r="B164" s="123" t="s">
        <v>30</v>
      </c>
      <c r="C164" s="131" t="s">
        <v>81</v>
      </c>
      <c r="D164" s="125">
        <v>300.54399999999998</v>
      </c>
      <c r="E164" s="132">
        <v>3362</v>
      </c>
      <c r="F164" s="125">
        <f t="shared" ref="F164:F195" si="29">0.9933*(D164+E164/1000)-0.41</f>
        <v>301.45982979999997</v>
      </c>
      <c r="G164" s="136">
        <v>25569.041962604166</v>
      </c>
      <c r="H164" s="136">
        <v>25569.041962604166</v>
      </c>
      <c r="I164" s="132">
        <v>265</v>
      </c>
      <c r="J164" s="132">
        <v>252</v>
      </c>
      <c r="K164" s="144" t="s">
        <v>429</v>
      </c>
      <c r="L164" s="132">
        <v>25703</v>
      </c>
      <c r="M164" s="143">
        <f t="shared" si="25"/>
        <v>160.32155188869649</v>
      </c>
      <c r="N164" s="129">
        <v>7958.95</v>
      </c>
      <c r="O164" s="130">
        <f t="shared" si="26"/>
        <v>3.229446095276387</v>
      </c>
      <c r="P164" s="130">
        <f t="shared" si="27"/>
        <v>2.0143555605789266E-2</v>
      </c>
      <c r="Q164" s="4"/>
    </row>
    <row r="165" spans="1:28" ht="17.25" customHeight="1" x14ac:dyDescent="0.2">
      <c r="A165" s="150">
        <f t="shared" si="28"/>
        <v>164</v>
      </c>
      <c r="B165" s="137" t="s">
        <v>157</v>
      </c>
      <c r="C165" s="138" t="s">
        <v>81</v>
      </c>
      <c r="D165" s="139">
        <v>249.2</v>
      </c>
      <c r="E165" s="140">
        <v>3362</v>
      </c>
      <c r="F165" s="139">
        <f t="shared" si="29"/>
        <v>250.45983459999997</v>
      </c>
      <c r="G165" s="142">
        <v>25569.041962604166</v>
      </c>
      <c r="H165" s="142">
        <v>25569.041962604166</v>
      </c>
      <c r="I165" s="140">
        <v>250</v>
      </c>
      <c r="J165" s="140">
        <v>75390</v>
      </c>
      <c r="K165" s="144" t="s">
        <v>429</v>
      </c>
      <c r="L165" s="140">
        <v>3674241</v>
      </c>
      <c r="M165" s="143">
        <f t="shared" si="25"/>
        <v>1916.8309784641942</v>
      </c>
      <c r="N165" s="143">
        <v>1847860.1880000001</v>
      </c>
      <c r="O165" s="145">
        <f t="shared" si="26"/>
        <v>1.9883760816216036</v>
      </c>
      <c r="P165" s="145">
        <f t="shared" si="27"/>
        <v>1.0373246801419773E-3</v>
      </c>
      <c r="Q165" s="4"/>
      <c r="R165" s="4"/>
      <c r="S165" s="4"/>
      <c r="T165" s="4"/>
      <c r="U165" s="4"/>
      <c r="V165" s="4"/>
      <c r="W165" s="4"/>
      <c r="X165" s="4"/>
      <c r="Y165" s="4"/>
      <c r="Z165" s="4"/>
      <c r="AA165" s="4"/>
      <c r="AB165" s="4"/>
    </row>
    <row r="166" spans="1:28" ht="17.25" customHeight="1" x14ac:dyDescent="0.2">
      <c r="A166" s="122">
        <f t="shared" si="28"/>
        <v>165</v>
      </c>
      <c r="B166" s="123" t="s">
        <v>9</v>
      </c>
      <c r="C166" s="131" t="s">
        <v>81</v>
      </c>
      <c r="D166" s="125">
        <v>159.88</v>
      </c>
      <c r="E166" s="132">
        <v>3295</v>
      </c>
      <c r="F166" s="125">
        <f t="shared" si="29"/>
        <v>161.67172749999997</v>
      </c>
      <c r="G166" s="136">
        <v>25569.041962604166</v>
      </c>
      <c r="H166" s="136">
        <v>25569.041962604166</v>
      </c>
      <c r="I166" s="132">
        <v>120</v>
      </c>
      <c r="J166" s="132">
        <v>5538</v>
      </c>
      <c r="K166" s="144" t="s">
        <v>1411</v>
      </c>
      <c r="L166" s="132">
        <v>26</v>
      </c>
      <c r="M166" s="143">
        <f t="shared" si="25"/>
        <v>5.0990195135927845</v>
      </c>
      <c r="N166" s="129">
        <v>68106.17</v>
      </c>
      <c r="O166" s="130">
        <f t="shared" si="26"/>
        <v>3.8175689515355216E-4</v>
      </c>
      <c r="P166" s="130">
        <f t="shared" si="27"/>
        <v>7.4868686839867589E-5</v>
      </c>
      <c r="Q166" s="4" t="s">
        <v>1412</v>
      </c>
    </row>
    <row r="167" spans="1:28" ht="17.25" customHeight="1" x14ac:dyDescent="0.2">
      <c r="A167" s="122">
        <f t="shared" si="28"/>
        <v>166</v>
      </c>
      <c r="B167" s="123" t="s">
        <v>9</v>
      </c>
      <c r="C167" s="131" t="s">
        <v>81</v>
      </c>
      <c r="D167" s="125">
        <v>161.07499999999999</v>
      </c>
      <c r="E167" s="132">
        <v>3295</v>
      </c>
      <c r="F167" s="125">
        <f t="shared" si="29"/>
        <v>162.85872099999997</v>
      </c>
      <c r="G167" s="136">
        <v>25569.041962604166</v>
      </c>
      <c r="H167" s="136">
        <v>25569.041962604166</v>
      </c>
      <c r="I167" s="132">
        <v>130</v>
      </c>
      <c r="J167" s="132">
        <v>6671</v>
      </c>
      <c r="K167" s="144" t="s">
        <v>1411</v>
      </c>
      <c r="L167" s="132">
        <v>27</v>
      </c>
      <c r="M167" s="143">
        <f t="shared" si="25"/>
        <v>5.196152422706632</v>
      </c>
      <c r="N167" s="129">
        <v>85434.91</v>
      </c>
      <c r="O167" s="130">
        <f t="shared" si="26"/>
        <v>3.1603006312056744E-4</v>
      </c>
      <c r="P167" s="130">
        <f t="shared" si="27"/>
        <v>6.0820014004891346E-5</v>
      </c>
      <c r="Q167" s="4"/>
    </row>
    <row r="168" spans="1:28" ht="17.25" customHeight="1" x14ac:dyDescent="0.2">
      <c r="A168" s="122">
        <f t="shared" si="28"/>
        <v>167</v>
      </c>
      <c r="B168" s="123" t="s">
        <v>9</v>
      </c>
      <c r="C168" s="131" t="s">
        <v>81</v>
      </c>
      <c r="D168" s="125">
        <v>162.572</v>
      </c>
      <c r="E168" s="132">
        <v>3295</v>
      </c>
      <c r="F168" s="125">
        <f t="shared" si="29"/>
        <v>164.34569109999998</v>
      </c>
      <c r="G168" s="136">
        <v>25569.041962604166</v>
      </c>
      <c r="H168" s="136">
        <v>25569.041962604166</v>
      </c>
      <c r="I168" s="132">
        <v>137</v>
      </c>
      <c r="J168" s="132">
        <v>6671</v>
      </c>
      <c r="K168" s="144" t="s">
        <v>1411</v>
      </c>
      <c r="L168" s="132">
        <v>45</v>
      </c>
      <c r="M168" s="143">
        <f t="shared" si="25"/>
        <v>6.7082039324993694</v>
      </c>
      <c r="N168" s="129">
        <v>86169.14</v>
      </c>
      <c r="O168" s="130">
        <f t="shared" si="26"/>
        <v>5.2222872364746824E-4</v>
      </c>
      <c r="P168" s="130">
        <f t="shared" si="27"/>
        <v>7.7849261725246056E-5</v>
      </c>
      <c r="Q168" s="4"/>
    </row>
    <row r="169" spans="1:28" ht="17.25" customHeight="1" x14ac:dyDescent="0.2">
      <c r="A169" s="122">
        <f t="shared" si="28"/>
        <v>168</v>
      </c>
      <c r="B169" s="123" t="s">
        <v>9</v>
      </c>
      <c r="C169" s="131" t="s">
        <v>81</v>
      </c>
      <c r="D169" s="125">
        <v>163.57900000000001</v>
      </c>
      <c r="E169" s="132">
        <v>3295</v>
      </c>
      <c r="F169" s="125">
        <f t="shared" si="29"/>
        <v>165.34594419999999</v>
      </c>
      <c r="G169" s="136">
        <v>25569.041962604166</v>
      </c>
      <c r="H169" s="136">
        <v>25569.041962604166</v>
      </c>
      <c r="I169" s="132">
        <v>135</v>
      </c>
      <c r="J169" s="132">
        <v>8307</v>
      </c>
      <c r="K169" s="144" t="s">
        <v>1411</v>
      </c>
      <c r="L169" s="132">
        <v>53</v>
      </c>
      <c r="M169" s="143">
        <f t="shared" si="25"/>
        <v>7.2801098892805181</v>
      </c>
      <c r="N169" s="129">
        <v>108175.94</v>
      </c>
      <c r="O169" s="130">
        <f t="shared" si="26"/>
        <v>4.8994258797288939E-4</v>
      </c>
      <c r="P169" s="130">
        <f t="shared" si="27"/>
        <v>6.7298790186436268E-5</v>
      </c>
      <c r="Q169" s="4"/>
    </row>
    <row r="170" spans="1:28" ht="17.25" customHeight="1" x14ac:dyDescent="0.2">
      <c r="A170" s="122">
        <f t="shared" si="28"/>
        <v>169</v>
      </c>
      <c r="B170" s="123" t="s">
        <v>9</v>
      </c>
      <c r="C170" s="131" t="s">
        <v>81</v>
      </c>
      <c r="D170" s="125">
        <v>161.69900000000001</v>
      </c>
      <c r="E170" s="132">
        <v>3295</v>
      </c>
      <c r="F170" s="125">
        <f t="shared" si="29"/>
        <v>163.4785402</v>
      </c>
      <c r="G170" s="136">
        <v>25569.041962604166</v>
      </c>
      <c r="H170" s="136">
        <v>25569.041962604166</v>
      </c>
      <c r="I170" s="126"/>
      <c r="J170" s="132">
        <v>4657</v>
      </c>
      <c r="K170" s="144" t="s">
        <v>1411</v>
      </c>
      <c r="L170" s="132">
        <v>28</v>
      </c>
      <c r="M170" s="143">
        <f t="shared" si="25"/>
        <v>5.2915026221291814</v>
      </c>
      <c r="N170" s="129">
        <v>60689.62</v>
      </c>
      <c r="O170" s="130">
        <f t="shared" si="26"/>
        <v>4.6136390374498966E-4</v>
      </c>
      <c r="P170" s="130">
        <f t="shared" si="27"/>
        <v>8.7189582372227423E-5</v>
      </c>
      <c r="Q170" s="4"/>
    </row>
    <row r="171" spans="1:28" ht="17.25" customHeight="1" x14ac:dyDescent="0.2">
      <c r="A171" s="122">
        <f t="shared" si="28"/>
        <v>170</v>
      </c>
      <c r="B171" s="123" t="s">
        <v>157</v>
      </c>
      <c r="C171" s="131" t="s">
        <v>81</v>
      </c>
      <c r="D171" s="125">
        <v>162.572</v>
      </c>
      <c r="E171" s="132">
        <v>3295</v>
      </c>
      <c r="F171" s="125">
        <f t="shared" si="29"/>
        <v>164.34569109999998</v>
      </c>
      <c r="G171" s="136">
        <v>25569.041962604166</v>
      </c>
      <c r="H171" s="136">
        <v>25569.041962604166</v>
      </c>
      <c r="I171" s="132">
        <v>134</v>
      </c>
      <c r="J171" s="132">
        <v>19886</v>
      </c>
      <c r="K171" s="144" t="s">
        <v>1411</v>
      </c>
      <c r="L171" s="132">
        <v>116</v>
      </c>
      <c r="M171" s="143">
        <f t="shared" si="25"/>
        <v>10.770329614269007</v>
      </c>
      <c r="N171" s="129">
        <v>260787.47</v>
      </c>
      <c r="O171" s="130">
        <f t="shared" si="26"/>
        <v>4.4480664657700001E-4</v>
      </c>
      <c r="P171" s="130">
        <f t="shared" si="27"/>
        <v>4.1299260329758204E-5</v>
      </c>
      <c r="Q171" s="4"/>
    </row>
    <row r="172" spans="1:28" ht="17.25" customHeight="1" x14ac:dyDescent="0.2">
      <c r="A172" s="122">
        <f t="shared" si="28"/>
        <v>171</v>
      </c>
      <c r="B172" s="123" t="s">
        <v>310</v>
      </c>
      <c r="C172" s="131" t="s">
        <v>81</v>
      </c>
      <c r="D172" s="125"/>
      <c r="E172" s="126"/>
      <c r="F172" s="125">
        <f t="shared" si="29"/>
        <v>-0.41</v>
      </c>
      <c r="G172" s="127"/>
      <c r="H172" s="136">
        <v>25569.041962604166</v>
      </c>
      <c r="I172" s="126"/>
      <c r="J172" s="126"/>
      <c r="K172" s="144"/>
      <c r="L172" s="126"/>
      <c r="M172" s="143">
        <f t="shared" si="25"/>
        <v>0</v>
      </c>
      <c r="N172" s="126"/>
      <c r="O172" s="148" t="e">
        <f t="shared" si="26"/>
        <v>#DIV/0!</v>
      </c>
      <c r="P172" s="129" t="e">
        <f t="shared" si="27"/>
        <v>#DIV/0!</v>
      </c>
      <c r="Q172" s="4" t="s">
        <v>1413</v>
      </c>
    </row>
    <row r="173" spans="1:28" ht="17.25" customHeight="1" x14ac:dyDescent="0.2">
      <c r="A173" s="150">
        <f t="shared" si="28"/>
        <v>172</v>
      </c>
      <c r="B173" s="137" t="s">
        <v>157</v>
      </c>
      <c r="C173" s="138" t="s">
        <v>81</v>
      </c>
      <c r="D173" s="139">
        <v>158.732</v>
      </c>
      <c r="E173" s="140">
        <v>2923</v>
      </c>
      <c r="F173" s="139">
        <f t="shared" si="29"/>
        <v>160.1619115</v>
      </c>
      <c r="G173" s="142">
        <v>25569.041962604166</v>
      </c>
      <c r="H173" s="141" t="s">
        <v>1414</v>
      </c>
      <c r="I173" s="140">
        <v>124</v>
      </c>
      <c r="J173" s="147"/>
      <c r="K173" s="144" t="s">
        <v>429</v>
      </c>
      <c r="L173" s="140">
        <v>3526</v>
      </c>
      <c r="M173" s="143">
        <f t="shared" si="25"/>
        <v>59.38013135721409</v>
      </c>
      <c r="N173" s="143">
        <v>7139678.392</v>
      </c>
      <c r="O173" s="145">
        <f t="shared" si="26"/>
        <v>4.9385978000786117E-4</v>
      </c>
      <c r="P173" s="145">
        <f t="shared" si="27"/>
        <v>8.3169196281655276E-6</v>
      </c>
      <c r="Q173" s="4" t="s">
        <v>1415</v>
      </c>
      <c r="R173" s="4"/>
      <c r="S173" s="4"/>
      <c r="T173" s="4"/>
      <c r="U173" s="4"/>
      <c r="V173" s="4"/>
      <c r="W173" s="4"/>
      <c r="X173" s="4"/>
      <c r="Y173" s="4"/>
      <c r="Z173" s="4"/>
      <c r="AA173" s="4"/>
      <c r="AB173" s="4"/>
    </row>
    <row r="174" spans="1:28" ht="17.25" customHeight="1" x14ac:dyDescent="0.2">
      <c r="A174" s="122">
        <f t="shared" si="28"/>
        <v>173</v>
      </c>
      <c r="B174" s="123" t="s">
        <v>31</v>
      </c>
      <c r="C174" s="131" t="s">
        <v>81</v>
      </c>
      <c r="D174" s="125">
        <v>230.22200000000001</v>
      </c>
      <c r="E174" s="132">
        <v>3087</v>
      </c>
      <c r="F174" s="125">
        <f t="shared" si="29"/>
        <v>231.33582970000001</v>
      </c>
      <c r="G174" s="136">
        <v>25569.041962604166</v>
      </c>
      <c r="H174" s="136">
        <v>25569.041962604166</v>
      </c>
      <c r="I174" s="132">
        <v>260</v>
      </c>
      <c r="J174" s="126"/>
      <c r="K174" s="144" t="s">
        <v>429</v>
      </c>
      <c r="L174" s="132">
        <v>41507</v>
      </c>
      <c r="M174" s="143">
        <f t="shared" si="25"/>
        <v>203.73266797448071</v>
      </c>
      <c r="N174" s="129">
        <v>25752.99</v>
      </c>
      <c r="O174" s="130">
        <f t="shared" si="26"/>
        <v>1.611735181041114</v>
      </c>
      <c r="P174" s="130">
        <f t="shared" si="27"/>
        <v>7.9110296697385701E-3</v>
      </c>
      <c r="Q174" s="4"/>
    </row>
    <row r="175" spans="1:28" ht="17.25" customHeight="1" x14ac:dyDescent="0.2">
      <c r="A175" s="122">
        <f t="shared" si="28"/>
        <v>174</v>
      </c>
      <c r="B175" s="123" t="s">
        <v>31</v>
      </c>
      <c r="C175" s="131" t="s">
        <v>81</v>
      </c>
      <c r="D175" s="125">
        <v>228.71100000000001</v>
      </c>
      <c r="E175" s="132">
        <v>3087</v>
      </c>
      <c r="F175" s="125">
        <f t="shared" si="29"/>
        <v>229.83495339999999</v>
      </c>
      <c r="G175" s="136">
        <v>25569.041962604166</v>
      </c>
      <c r="H175" s="136">
        <v>25569.041962604166</v>
      </c>
      <c r="I175" s="132">
        <v>257</v>
      </c>
      <c r="J175" s="132">
        <v>378</v>
      </c>
      <c r="K175" s="144" t="s">
        <v>429</v>
      </c>
      <c r="L175" s="132">
        <v>11971</v>
      </c>
      <c r="M175" s="143">
        <f t="shared" si="25"/>
        <v>109.4120651482276</v>
      </c>
      <c r="N175" s="129">
        <v>8006.86</v>
      </c>
      <c r="O175" s="130">
        <f t="shared" si="26"/>
        <v>1.4950929577886962</v>
      </c>
      <c r="P175" s="130">
        <f t="shared" si="27"/>
        <v>1.3664790585601298E-2</v>
      </c>
      <c r="Q175" s="4" t="s">
        <v>1416</v>
      </c>
    </row>
    <row r="176" spans="1:28" ht="17.25" customHeight="1" x14ac:dyDescent="0.2">
      <c r="A176" s="122">
        <f t="shared" si="28"/>
        <v>175</v>
      </c>
      <c r="B176" s="123" t="s">
        <v>31</v>
      </c>
      <c r="C176" s="131" t="s">
        <v>81</v>
      </c>
      <c r="D176" s="125">
        <v>227.214</v>
      </c>
      <c r="E176" s="132">
        <v>3087</v>
      </c>
      <c r="F176" s="125">
        <f t="shared" si="29"/>
        <v>228.34798329999998</v>
      </c>
      <c r="G176" s="136">
        <v>25569.041962604166</v>
      </c>
      <c r="H176" s="136">
        <v>25569.041962604166</v>
      </c>
      <c r="I176" s="132">
        <v>255</v>
      </c>
      <c r="J176" s="126"/>
      <c r="K176" s="144" t="s">
        <v>429</v>
      </c>
      <c r="L176" s="132">
        <v>20935</v>
      </c>
      <c r="M176" s="143">
        <f t="shared" si="25"/>
        <v>144.68932234273544</v>
      </c>
      <c r="N176" s="129">
        <v>14970.23</v>
      </c>
      <c r="O176" s="130">
        <f t="shared" si="26"/>
        <v>1.3984421081038836</v>
      </c>
      <c r="P176" s="130">
        <f t="shared" si="27"/>
        <v>9.6651368978790207E-3</v>
      </c>
      <c r="Q176" s="4"/>
    </row>
    <row r="177" spans="1:17" ht="17.25" customHeight="1" x14ac:dyDescent="0.2">
      <c r="A177" s="122">
        <f t="shared" si="28"/>
        <v>176</v>
      </c>
      <c r="B177" s="123" t="s">
        <v>31</v>
      </c>
      <c r="C177" s="131" t="s">
        <v>81</v>
      </c>
      <c r="D177" s="125">
        <v>225.70400000000001</v>
      </c>
      <c r="E177" s="132">
        <v>3087</v>
      </c>
      <c r="F177" s="125">
        <f t="shared" si="29"/>
        <v>226.8481003</v>
      </c>
      <c r="G177" s="136">
        <v>25569.041962604166</v>
      </c>
      <c r="H177" s="136">
        <v>25569.041962604166</v>
      </c>
      <c r="I177" s="132">
        <v>253</v>
      </c>
      <c r="J177" s="132">
        <v>881</v>
      </c>
      <c r="K177" s="144" t="s">
        <v>429</v>
      </c>
      <c r="L177" s="132">
        <v>28712</v>
      </c>
      <c r="M177" s="143">
        <f t="shared" si="25"/>
        <v>169.44615663980107</v>
      </c>
      <c r="N177" s="129">
        <v>21367.58</v>
      </c>
      <c r="O177" s="130">
        <f t="shared" si="26"/>
        <v>1.343717912838047</v>
      </c>
      <c r="P177" s="130">
        <f t="shared" si="27"/>
        <v>7.93005837066252E-3</v>
      </c>
      <c r="Q177" s="4"/>
    </row>
    <row r="178" spans="1:17" ht="17.25" customHeight="1" x14ac:dyDescent="0.2">
      <c r="A178" s="122">
        <f t="shared" si="28"/>
        <v>177</v>
      </c>
      <c r="B178" s="123" t="s">
        <v>31</v>
      </c>
      <c r="C178" s="131" t="s">
        <v>81</v>
      </c>
      <c r="D178" s="125">
        <v>224.2</v>
      </c>
      <c r="E178" s="132">
        <v>3087</v>
      </c>
      <c r="F178" s="125">
        <f t="shared" si="29"/>
        <v>225.35417709999996</v>
      </c>
      <c r="G178" s="136">
        <v>25569.041962604166</v>
      </c>
      <c r="H178" s="136">
        <v>25569.041962604166</v>
      </c>
      <c r="I178" s="132">
        <v>247</v>
      </c>
      <c r="J178" s="132">
        <v>1259</v>
      </c>
      <c r="K178" s="144" t="s">
        <v>429</v>
      </c>
      <c r="L178" s="132">
        <v>30438</v>
      </c>
      <c r="M178" s="143">
        <f t="shared" ref="M178:M209" si="30">SQRT(L178)</f>
        <v>174.46489618258454</v>
      </c>
      <c r="N178" s="129">
        <v>31936.959999999999</v>
      </c>
      <c r="O178" s="130">
        <f t="shared" ref="O178:O209" si="31">L178/N178</f>
        <v>0.95306503812510646</v>
      </c>
      <c r="P178" s="130">
        <f t="shared" ref="P178:P209" si="32">M178/N178</f>
        <v>5.4627897014175595E-3</v>
      </c>
      <c r="Q178" s="4"/>
    </row>
    <row r="179" spans="1:17" ht="17.25" customHeight="1" x14ac:dyDescent="0.2">
      <c r="A179" s="122">
        <f t="shared" si="28"/>
        <v>178</v>
      </c>
      <c r="B179" s="123" t="s">
        <v>31</v>
      </c>
      <c r="C179" s="131" t="s">
        <v>81</v>
      </c>
      <c r="D179" s="125">
        <v>222.696</v>
      </c>
      <c r="E179" s="132">
        <v>3087</v>
      </c>
      <c r="F179" s="125">
        <f t="shared" si="29"/>
        <v>223.86025389999998</v>
      </c>
      <c r="G179" s="136">
        <v>25569.041962604166</v>
      </c>
      <c r="H179" s="136">
        <v>25569.041962604166</v>
      </c>
      <c r="I179" s="132">
        <v>245</v>
      </c>
      <c r="J179" s="132">
        <v>1133</v>
      </c>
      <c r="K179" s="144" t="s">
        <v>429</v>
      </c>
      <c r="L179" s="132">
        <v>4820</v>
      </c>
      <c r="M179" s="143">
        <f t="shared" si="30"/>
        <v>69.426219830839131</v>
      </c>
      <c r="N179" s="129">
        <v>28557.59</v>
      </c>
      <c r="O179" s="130">
        <f t="shared" si="31"/>
        <v>0.16878174944034144</v>
      </c>
      <c r="P179" s="130">
        <f t="shared" si="32"/>
        <v>2.4310951950370857E-3</v>
      </c>
      <c r="Q179" s="4"/>
    </row>
    <row r="180" spans="1:17" ht="17.25" customHeight="1" x14ac:dyDescent="0.2">
      <c r="A180" s="122">
        <f t="shared" si="28"/>
        <v>179</v>
      </c>
      <c r="B180" s="123" t="s">
        <v>31</v>
      </c>
      <c r="C180" s="131" t="s">
        <v>81</v>
      </c>
      <c r="D180" s="125">
        <v>221.19200000000001</v>
      </c>
      <c r="E180" s="132">
        <v>3087</v>
      </c>
      <c r="F180" s="125">
        <f t="shared" si="29"/>
        <v>222.36633069999999</v>
      </c>
      <c r="G180" s="136">
        <v>25569.041962604166</v>
      </c>
      <c r="H180" s="127"/>
      <c r="I180" s="132">
        <v>243</v>
      </c>
      <c r="J180" s="132">
        <v>3399</v>
      </c>
      <c r="K180" s="144" t="s">
        <v>429</v>
      </c>
      <c r="L180" s="132">
        <v>6794</v>
      </c>
      <c r="M180" s="143">
        <f t="shared" si="30"/>
        <v>82.425724139979508</v>
      </c>
      <c r="N180" s="129">
        <v>81950.03</v>
      </c>
      <c r="O180" s="130">
        <f t="shared" si="31"/>
        <v>8.2904179534772596E-2</v>
      </c>
      <c r="P180" s="130">
        <f t="shared" si="32"/>
        <v>1.0058046853671622E-3</v>
      </c>
      <c r="Q180" s="4"/>
    </row>
    <row r="181" spans="1:17" ht="17.25" customHeight="1" x14ac:dyDescent="0.2">
      <c r="A181" s="122">
        <f t="shared" si="28"/>
        <v>180</v>
      </c>
      <c r="B181" s="123" t="s">
        <v>31</v>
      </c>
      <c r="C181" s="131" t="s">
        <v>81</v>
      </c>
      <c r="D181" s="125">
        <v>223.495</v>
      </c>
      <c r="E181" s="132">
        <v>3087</v>
      </c>
      <c r="F181" s="125">
        <f t="shared" si="29"/>
        <v>224.65390059999999</v>
      </c>
      <c r="G181" s="136">
        <v>25569.041962604166</v>
      </c>
      <c r="H181" s="136">
        <v>25569.041962604166</v>
      </c>
      <c r="I181" s="132">
        <v>246</v>
      </c>
      <c r="J181" s="132">
        <v>881</v>
      </c>
      <c r="K181" s="144" t="s">
        <v>429</v>
      </c>
      <c r="L181" s="132">
        <v>9672</v>
      </c>
      <c r="M181" s="143">
        <f t="shared" si="30"/>
        <v>98.34632682515398</v>
      </c>
      <c r="N181" s="129">
        <v>21184.86</v>
      </c>
      <c r="O181" s="130">
        <f t="shared" si="31"/>
        <v>0.45655246246611964</v>
      </c>
      <c r="P181" s="130">
        <f t="shared" si="32"/>
        <v>4.6422929783417957E-3</v>
      </c>
      <c r="Q181" s="4"/>
    </row>
    <row r="182" spans="1:17" ht="17.25" customHeight="1" x14ac:dyDescent="0.2">
      <c r="A182" s="122">
        <f t="shared" si="28"/>
        <v>181</v>
      </c>
      <c r="B182" s="123" t="s">
        <v>31</v>
      </c>
      <c r="C182" s="131" t="s">
        <v>81</v>
      </c>
      <c r="D182" s="125">
        <v>231.76599999999999</v>
      </c>
      <c r="E182" s="132">
        <v>3087</v>
      </c>
      <c r="F182" s="125">
        <f t="shared" si="29"/>
        <v>232.86948489999997</v>
      </c>
      <c r="G182" s="136">
        <v>25569.041962604166</v>
      </c>
      <c r="H182" s="136">
        <v>25569.041962604166</v>
      </c>
      <c r="I182" s="132">
        <v>257</v>
      </c>
      <c r="J182" s="132">
        <v>252</v>
      </c>
      <c r="K182" s="144" t="s">
        <v>429</v>
      </c>
      <c r="L182" s="132">
        <v>12294</v>
      </c>
      <c r="M182" s="143">
        <f t="shared" si="30"/>
        <v>110.87831167545798</v>
      </c>
      <c r="N182" s="129">
        <v>6661.86</v>
      </c>
      <c r="O182" s="130">
        <f t="shared" si="31"/>
        <v>1.8454305554304655</v>
      </c>
      <c r="P182" s="130">
        <f t="shared" si="32"/>
        <v>1.6643746892828427E-2</v>
      </c>
      <c r="Q182" s="4"/>
    </row>
    <row r="183" spans="1:17" ht="17.25" customHeight="1" x14ac:dyDescent="0.2">
      <c r="A183" s="122">
        <f t="shared" ref="A183:A214" si="33">A182+1</f>
        <v>182</v>
      </c>
      <c r="B183" s="123" t="s">
        <v>31</v>
      </c>
      <c r="C183" s="131" t="s">
        <v>81</v>
      </c>
      <c r="D183" s="125">
        <v>236.78200000000001</v>
      </c>
      <c r="E183" s="132">
        <v>3087</v>
      </c>
      <c r="F183" s="125">
        <f t="shared" si="29"/>
        <v>237.85187769999999</v>
      </c>
      <c r="G183" s="136">
        <v>25569.041962604166</v>
      </c>
      <c r="H183" s="136">
        <v>25569.041962604166</v>
      </c>
      <c r="I183" s="132">
        <v>258</v>
      </c>
      <c r="J183" s="132">
        <v>252</v>
      </c>
      <c r="K183" s="144" t="s">
        <v>429</v>
      </c>
      <c r="L183" s="132">
        <v>10647</v>
      </c>
      <c r="M183" s="143">
        <f t="shared" si="30"/>
        <v>103.18430113151904</v>
      </c>
      <c r="N183" s="129">
        <v>6347.1</v>
      </c>
      <c r="O183" s="130">
        <f t="shared" si="31"/>
        <v>1.677458997022262</v>
      </c>
      <c r="P183" s="130">
        <f t="shared" si="32"/>
        <v>1.6256920661643748E-2</v>
      </c>
      <c r="Q183" s="4"/>
    </row>
    <row r="184" spans="1:17" ht="17.25" customHeight="1" x14ac:dyDescent="0.2">
      <c r="A184" s="122">
        <f t="shared" si="33"/>
        <v>183</v>
      </c>
      <c r="B184" s="123" t="s">
        <v>31</v>
      </c>
      <c r="C184" s="131" t="s">
        <v>81</v>
      </c>
      <c r="D184" s="125">
        <v>241.77699999999999</v>
      </c>
      <c r="E184" s="132">
        <v>3087</v>
      </c>
      <c r="F184" s="125">
        <f t="shared" si="29"/>
        <v>242.81341119999996</v>
      </c>
      <c r="G184" s="136">
        <v>25569.041962604166</v>
      </c>
      <c r="H184" s="136">
        <v>25569.041962604166</v>
      </c>
      <c r="I184" s="132">
        <v>261</v>
      </c>
      <c r="J184" s="132">
        <v>504</v>
      </c>
      <c r="K184" s="144" t="s">
        <v>429</v>
      </c>
      <c r="L184" s="132">
        <v>23054</v>
      </c>
      <c r="M184" s="143">
        <f t="shared" si="30"/>
        <v>151.83543723386842</v>
      </c>
      <c r="N184" s="129">
        <v>12556.65</v>
      </c>
      <c r="O184" s="130">
        <f t="shared" si="31"/>
        <v>1.8359992513926884</v>
      </c>
      <c r="P184" s="130">
        <f t="shared" si="32"/>
        <v>1.2092033881160057E-2</v>
      </c>
      <c r="Q184" s="4"/>
    </row>
    <row r="185" spans="1:17" ht="17.25" customHeight="1" x14ac:dyDescent="0.2">
      <c r="A185" s="122">
        <f t="shared" si="33"/>
        <v>184</v>
      </c>
      <c r="B185" s="123" t="s">
        <v>31</v>
      </c>
      <c r="C185" s="131" t="s">
        <v>81</v>
      </c>
      <c r="D185" s="125">
        <v>246.71799999999999</v>
      </c>
      <c r="E185" s="132">
        <v>3087</v>
      </c>
      <c r="F185" s="125">
        <f t="shared" si="29"/>
        <v>247.72130649999997</v>
      </c>
      <c r="G185" s="136">
        <v>25569.041962604166</v>
      </c>
      <c r="H185" s="136">
        <v>25569.041962604166</v>
      </c>
      <c r="I185" s="132">
        <v>263</v>
      </c>
      <c r="J185" s="132">
        <v>881</v>
      </c>
      <c r="K185" s="144" t="s">
        <v>429</v>
      </c>
      <c r="L185" s="132">
        <v>39623</v>
      </c>
      <c r="M185" s="143">
        <f t="shared" si="30"/>
        <v>199.05526870695988</v>
      </c>
      <c r="N185" s="129">
        <v>22090.73</v>
      </c>
      <c r="O185" s="130">
        <f t="shared" si="31"/>
        <v>1.7936482859552401</v>
      </c>
      <c r="P185" s="130">
        <f t="shared" si="32"/>
        <v>9.0108053788607208E-3</v>
      </c>
      <c r="Q185" s="4"/>
    </row>
    <row r="186" spans="1:17" ht="17.25" customHeight="1" x14ac:dyDescent="0.2">
      <c r="A186" s="122">
        <f t="shared" si="33"/>
        <v>185</v>
      </c>
      <c r="B186" s="123" t="s">
        <v>31</v>
      </c>
      <c r="C186" s="131" t="s">
        <v>81</v>
      </c>
      <c r="D186" s="125">
        <v>250.71299999999999</v>
      </c>
      <c r="E186" s="132">
        <v>3087</v>
      </c>
      <c r="F186" s="125">
        <f t="shared" si="29"/>
        <v>251.68953999999997</v>
      </c>
      <c r="G186" s="136">
        <v>25569.041962604166</v>
      </c>
      <c r="H186" s="136">
        <v>25569.041962604166</v>
      </c>
      <c r="I186" s="132">
        <v>262</v>
      </c>
      <c r="J186" s="132">
        <v>252</v>
      </c>
      <c r="K186" s="144" t="s">
        <v>429</v>
      </c>
      <c r="L186" s="132">
        <v>13532</v>
      </c>
      <c r="M186" s="143">
        <f t="shared" si="30"/>
        <v>116.32712495372694</v>
      </c>
      <c r="N186" s="129">
        <v>7561.4390000000003</v>
      </c>
      <c r="O186" s="130">
        <f t="shared" si="31"/>
        <v>1.7896064492486152</v>
      </c>
      <c r="P186" s="130">
        <f t="shared" si="32"/>
        <v>1.5384257540625128E-2</v>
      </c>
      <c r="Q186" s="4"/>
    </row>
    <row r="187" spans="1:17" ht="17.25" customHeight="1" x14ac:dyDescent="0.2">
      <c r="A187" s="122">
        <f t="shared" si="33"/>
        <v>186</v>
      </c>
      <c r="B187" s="123" t="s">
        <v>31</v>
      </c>
      <c r="C187" s="131" t="s">
        <v>81</v>
      </c>
      <c r="D187" s="125">
        <v>255.648</v>
      </c>
      <c r="E187" s="132">
        <v>3087</v>
      </c>
      <c r="F187" s="125">
        <f t="shared" si="29"/>
        <v>256.5914755</v>
      </c>
      <c r="G187" s="136">
        <v>25569.041962604166</v>
      </c>
      <c r="H187" s="136">
        <v>25569.041962604166</v>
      </c>
      <c r="I187" s="132">
        <v>261</v>
      </c>
      <c r="J187" s="132">
        <v>252</v>
      </c>
      <c r="K187" s="144" t="s">
        <v>429</v>
      </c>
      <c r="L187" s="132">
        <v>14824</v>
      </c>
      <c r="M187" s="143">
        <f t="shared" si="30"/>
        <v>121.75385004179539</v>
      </c>
      <c r="N187" s="129">
        <v>7561.4390000000003</v>
      </c>
      <c r="O187" s="130">
        <f t="shared" si="31"/>
        <v>1.9604733966643122</v>
      </c>
      <c r="P187" s="130">
        <f t="shared" si="32"/>
        <v>1.6101941712654878E-2</v>
      </c>
      <c r="Q187" s="4"/>
    </row>
    <row r="188" spans="1:17" ht="17.25" customHeight="1" x14ac:dyDescent="0.2">
      <c r="A188" s="122">
        <f t="shared" si="33"/>
        <v>187</v>
      </c>
      <c r="B188" s="123" t="s">
        <v>31</v>
      </c>
      <c r="C188" s="131" t="s">
        <v>81</v>
      </c>
      <c r="D188" s="125">
        <v>260.67</v>
      </c>
      <c r="E188" s="132">
        <v>3087</v>
      </c>
      <c r="F188" s="125">
        <f t="shared" si="29"/>
        <v>261.57982809999999</v>
      </c>
      <c r="G188" s="136">
        <v>25569.041962604166</v>
      </c>
      <c r="H188" s="136">
        <v>25569.041962604166</v>
      </c>
      <c r="I188" s="132">
        <v>261</v>
      </c>
      <c r="J188" s="132">
        <v>378</v>
      </c>
      <c r="K188" s="144" t="s">
        <v>429</v>
      </c>
      <c r="L188" s="132">
        <v>19690</v>
      </c>
      <c r="M188" s="143">
        <f t="shared" si="30"/>
        <v>140.32106042928837</v>
      </c>
      <c r="N188" s="129">
        <v>11015.8</v>
      </c>
      <c r="O188" s="130">
        <f t="shared" si="31"/>
        <v>1.7874325968154834</v>
      </c>
      <c r="P188" s="130">
        <f t="shared" si="32"/>
        <v>1.2738163404318196E-2</v>
      </c>
      <c r="Q188" s="4"/>
    </row>
    <row r="189" spans="1:17" ht="17.25" customHeight="1" x14ac:dyDescent="0.2">
      <c r="A189" s="122">
        <f t="shared" si="33"/>
        <v>188</v>
      </c>
      <c r="B189" s="123" t="s">
        <v>31</v>
      </c>
      <c r="C189" s="131" t="s">
        <v>81</v>
      </c>
      <c r="D189" s="125">
        <v>265.67200000000003</v>
      </c>
      <c r="E189" s="132">
        <v>3087</v>
      </c>
      <c r="F189" s="125">
        <f t="shared" si="29"/>
        <v>266.54831469999999</v>
      </c>
      <c r="G189" s="136">
        <v>25569.041962604166</v>
      </c>
      <c r="H189" s="136">
        <v>25569.041962604166</v>
      </c>
      <c r="I189" s="132">
        <v>258</v>
      </c>
      <c r="J189" s="132">
        <v>756</v>
      </c>
      <c r="K189" s="144" t="s">
        <v>429</v>
      </c>
      <c r="L189" s="132">
        <v>35706</v>
      </c>
      <c r="M189" s="143">
        <f t="shared" si="30"/>
        <v>188.96031329355907</v>
      </c>
      <c r="N189" s="129">
        <v>19388.16</v>
      </c>
      <c r="O189" s="130">
        <f t="shared" si="31"/>
        <v>1.8416394335511983</v>
      </c>
      <c r="P189" s="130">
        <f t="shared" si="32"/>
        <v>9.7461705130120167E-3</v>
      </c>
      <c r="Q189" s="4"/>
    </row>
    <row r="190" spans="1:17" ht="17.25" customHeight="1" x14ac:dyDescent="0.2">
      <c r="A190" s="122">
        <f t="shared" si="33"/>
        <v>189</v>
      </c>
      <c r="B190" s="123" t="s">
        <v>31</v>
      </c>
      <c r="C190" s="131" t="s">
        <v>81</v>
      </c>
      <c r="D190" s="125">
        <v>270.68</v>
      </c>
      <c r="E190" s="132">
        <v>3087</v>
      </c>
      <c r="F190" s="125">
        <f t="shared" si="29"/>
        <v>271.52276109999997</v>
      </c>
      <c r="G190" s="136">
        <v>25569.041962604166</v>
      </c>
      <c r="H190" s="136">
        <v>25569.041962604166</v>
      </c>
      <c r="I190" s="132">
        <v>259</v>
      </c>
      <c r="J190" s="132">
        <v>881</v>
      </c>
      <c r="K190" s="144" t="s">
        <v>429</v>
      </c>
      <c r="L190" s="132">
        <v>44311</v>
      </c>
      <c r="M190" s="143">
        <f t="shared" si="30"/>
        <v>210.5017814651458</v>
      </c>
      <c r="N190" s="129">
        <v>22630.07</v>
      </c>
      <c r="O190" s="130">
        <f t="shared" si="31"/>
        <v>1.9580584593861177</v>
      </c>
      <c r="P190" s="130">
        <f t="shared" si="32"/>
        <v>9.3018617028204423E-3</v>
      </c>
      <c r="Q190" s="4"/>
    </row>
    <row r="191" spans="1:17" ht="17.25" customHeight="1" x14ac:dyDescent="0.2">
      <c r="A191" s="122">
        <f t="shared" si="33"/>
        <v>190</v>
      </c>
      <c r="B191" s="123" t="s">
        <v>31</v>
      </c>
      <c r="C191" s="131" t="s">
        <v>81</v>
      </c>
      <c r="D191" s="125">
        <v>275.63499999999999</v>
      </c>
      <c r="E191" s="132">
        <v>3087</v>
      </c>
      <c r="F191" s="125">
        <f t="shared" si="29"/>
        <v>276.44456259999993</v>
      </c>
      <c r="G191" s="136">
        <v>25569.041962604166</v>
      </c>
      <c r="H191" s="136">
        <v>25569.041962604166</v>
      </c>
      <c r="I191" s="132">
        <v>262</v>
      </c>
      <c r="J191" s="132">
        <v>1133</v>
      </c>
      <c r="K191" s="144" t="s">
        <v>429</v>
      </c>
      <c r="L191" s="132">
        <v>58136</v>
      </c>
      <c r="M191" s="143">
        <f t="shared" si="30"/>
        <v>241.11408088288829</v>
      </c>
      <c r="N191" s="129">
        <v>29602.2</v>
      </c>
      <c r="O191" s="130">
        <f t="shared" si="31"/>
        <v>1.9639080879123849</v>
      </c>
      <c r="P191" s="130">
        <f t="shared" si="32"/>
        <v>8.1451405937021E-3</v>
      </c>
      <c r="Q191" s="4"/>
    </row>
    <row r="192" spans="1:17" ht="17.25" customHeight="1" x14ac:dyDescent="0.2">
      <c r="A192" s="122">
        <f t="shared" si="33"/>
        <v>191</v>
      </c>
      <c r="B192" s="123" t="s">
        <v>31</v>
      </c>
      <c r="C192" s="131" t="s">
        <v>81</v>
      </c>
      <c r="D192" s="125">
        <v>280.61700000000002</v>
      </c>
      <c r="E192" s="132">
        <v>3087</v>
      </c>
      <c r="F192" s="125">
        <f t="shared" si="29"/>
        <v>281.39318319999995</v>
      </c>
      <c r="G192" s="136">
        <v>25569.041962604166</v>
      </c>
      <c r="H192" s="136">
        <v>25569.041962604166</v>
      </c>
      <c r="I192" s="132">
        <v>262</v>
      </c>
      <c r="J192" s="132">
        <v>252</v>
      </c>
      <c r="K192" s="144" t="s">
        <v>429</v>
      </c>
      <c r="L192" s="132">
        <v>17056</v>
      </c>
      <c r="M192" s="143">
        <f t="shared" si="30"/>
        <v>130.59862173851607</v>
      </c>
      <c r="N192" s="129">
        <v>8381.89</v>
      </c>
      <c r="O192" s="130">
        <f t="shared" si="31"/>
        <v>2.0348632587638349</v>
      </c>
      <c r="P192" s="130">
        <f t="shared" si="32"/>
        <v>1.5581046964171098E-2</v>
      </c>
      <c r="Q192" s="4"/>
    </row>
    <row r="193" spans="1:28" ht="17.25" customHeight="1" x14ac:dyDescent="0.2">
      <c r="A193" s="122">
        <f t="shared" si="33"/>
        <v>192</v>
      </c>
      <c r="B193" s="123" t="s">
        <v>31</v>
      </c>
      <c r="C193" s="131" t="s">
        <v>81</v>
      </c>
      <c r="D193" s="125">
        <v>285.60599999999999</v>
      </c>
      <c r="E193" s="132">
        <v>3087</v>
      </c>
      <c r="F193" s="125">
        <f t="shared" si="29"/>
        <v>286.34875689999996</v>
      </c>
      <c r="G193" s="136">
        <v>25569.041962604166</v>
      </c>
      <c r="H193" s="136">
        <v>25569.041962604166</v>
      </c>
      <c r="I193" s="132">
        <v>261</v>
      </c>
      <c r="J193" s="132">
        <v>881</v>
      </c>
      <c r="K193" s="144" t="s">
        <v>429</v>
      </c>
      <c r="L193" s="132">
        <v>47479</v>
      </c>
      <c r="M193" s="143">
        <f t="shared" si="30"/>
        <v>217.89676454688353</v>
      </c>
      <c r="N193" s="129">
        <v>22845.72</v>
      </c>
      <c r="O193" s="130">
        <f t="shared" si="31"/>
        <v>2.0782448528652191</v>
      </c>
      <c r="P193" s="130">
        <f t="shared" si="32"/>
        <v>9.5377499394583981E-3</v>
      </c>
      <c r="Q193" s="4"/>
    </row>
    <row r="194" spans="1:28" ht="17.25" customHeight="1" x14ac:dyDescent="0.2">
      <c r="A194" s="122">
        <f t="shared" si="33"/>
        <v>193</v>
      </c>
      <c r="B194" s="123" t="s">
        <v>31</v>
      </c>
      <c r="C194" s="131" t="s">
        <v>81</v>
      </c>
      <c r="D194" s="125">
        <v>290.57400000000001</v>
      </c>
      <c r="E194" s="132">
        <v>3087</v>
      </c>
      <c r="F194" s="125">
        <f t="shared" si="29"/>
        <v>291.28347129999997</v>
      </c>
      <c r="G194" s="136">
        <v>25569.041962604166</v>
      </c>
      <c r="H194" s="136">
        <v>25569.041962604166</v>
      </c>
      <c r="I194" s="132">
        <v>262</v>
      </c>
      <c r="J194" s="132">
        <v>756</v>
      </c>
      <c r="K194" s="144" t="s">
        <v>429</v>
      </c>
      <c r="L194" s="132">
        <v>44698</v>
      </c>
      <c r="M194" s="143">
        <f t="shared" si="30"/>
        <v>211.41901522805369</v>
      </c>
      <c r="N194" s="129">
        <v>20388.39</v>
      </c>
      <c r="O194" s="130">
        <f t="shared" si="31"/>
        <v>2.1923261228571751</v>
      </c>
      <c r="P194" s="130">
        <f t="shared" si="32"/>
        <v>1.0369578727307732E-2</v>
      </c>
      <c r="Q194" s="4"/>
    </row>
    <row r="195" spans="1:28" ht="17.25" customHeight="1" x14ac:dyDescent="0.2">
      <c r="A195" s="122">
        <f t="shared" si="33"/>
        <v>194</v>
      </c>
      <c r="B195" s="123" t="s">
        <v>31</v>
      </c>
      <c r="C195" s="131" t="s">
        <v>81</v>
      </c>
      <c r="D195" s="125">
        <v>295.55599999999998</v>
      </c>
      <c r="E195" s="132">
        <v>3087</v>
      </c>
      <c r="F195" s="125">
        <f t="shared" si="29"/>
        <v>296.23209189999994</v>
      </c>
      <c r="G195" s="136">
        <v>25569.041962604166</v>
      </c>
      <c r="H195" s="136">
        <v>25569.041962604166</v>
      </c>
      <c r="I195" s="132">
        <v>261</v>
      </c>
      <c r="J195" s="132">
        <v>630</v>
      </c>
      <c r="K195" s="144" t="s">
        <v>429</v>
      </c>
      <c r="L195" s="132">
        <v>43347</v>
      </c>
      <c r="M195" s="143">
        <f t="shared" si="30"/>
        <v>208.19942363032612</v>
      </c>
      <c r="N195" s="129">
        <v>18128.48</v>
      </c>
      <c r="O195" s="130">
        <f t="shared" si="31"/>
        <v>2.391099529579976</v>
      </c>
      <c r="P195" s="130">
        <f t="shared" si="32"/>
        <v>1.1484659697356101E-2</v>
      </c>
      <c r="Q195" s="4"/>
    </row>
    <row r="196" spans="1:28" ht="17.25" customHeight="1" x14ac:dyDescent="0.2">
      <c r="A196" s="122">
        <f t="shared" si="33"/>
        <v>195</v>
      </c>
      <c r="B196" s="123" t="s">
        <v>31</v>
      </c>
      <c r="C196" s="131" t="s">
        <v>81</v>
      </c>
      <c r="D196" s="125">
        <v>300.54399999999998</v>
      </c>
      <c r="E196" s="132">
        <v>3087</v>
      </c>
      <c r="F196" s="125">
        <f t="shared" ref="F196:F226" si="34">0.9933*(D196+E196/1000)-0.41</f>
        <v>301.18667229999994</v>
      </c>
      <c r="G196" s="136">
        <v>25569.041962604166</v>
      </c>
      <c r="H196" s="136">
        <v>25569.041962604166</v>
      </c>
      <c r="I196" s="132">
        <v>260</v>
      </c>
      <c r="J196" s="132">
        <v>1007</v>
      </c>
      <c r="K196" s="144" t="s">
        <v>429</v>
      </c>
      <c r="L196" s="132">
        <v>74349</v>
      </c>
      <c r="M196" s="143">
        <f t="shared" si="30"/>
        <v>272.67013037734807</v>
      </c>
      <c r="N196" s="129">
        <v>25916.62</v>
      </c>
      <c r="O196" s="130">
        <f t="shared" si="31"/>
        <v>2.8687768698233027</v>
      </c>
      <c r="P196" s="130">
        <f t="shared" si="32"/>
        <v>1.0521052914205173E-2</v>
      </c>
      <c r="Q196" s="4"/>
    </row>
    <row r="197" spans="1:28" ht="17.25" customHeight="1" x14ac:dyDescent="0.2">
      <c r="A197" s="122">
        <f t="shared" si="33"/>
        <v>196</v>
      </c>
      <c r="B197" s="123" t="s">
        <v>310</v>
      </c>
      <c r="C197" s="131" t="s">
        <v>81</v>
      </c>
      <c r="D197" s="125">
        <v>399.16500000000002</v>
      </c>
      <c r="E197" s="132">
        <v>3361</v>
      </c>
      <c r="F197" s="125">
        <f t="shared" si="34"/>
        <v>399.41907579999997</v>
      </c>
      <c r="G197" s="127"/>
      <c r="H197" s="127"/>
      <c r="I197" s="132">
        <v>316</v>
      </c>
      <c r="J197" s="126"/>
      <c r="K197" s="144" t="s">
        <v>429</v>
      </c>
      <c r="L197" s="126"/>
      <c r="M197" s="143">
        <f t="shared" si="30"/>
        <v>0</v>
      </c>
      <c r="N197" s="126"/>
      <c r="O197" s="148" t="e">
        <f t="shared" si="31"/>
        <v>#DIV/0!</v>
      </c>
      <c r="P197" s="129" t="e">
        <f t="shared" si="32"/>
        <v>#DIV/0!</v>
      </c>
      <c r="Q197" s="4" t="s">
        <v>1417</v>
      </c>
    </row>
    <row r="198" spans="1:28" ht="17.25" customHeight="1" x14ac:dyDescent="0.2">
      <c r="A198" s="122">
        <f t="shared" si="33"/>
        <v>197</v>
      </c>
      <c r="B198" s="123" t="s">
        <v>310</v>
      </c>
      <c r="C198" s="131" t="s">
        <v>81</v>
      </c>
      <c r="D198" s="125">
        <v>399.16500000000002</v>
      </c>
      <c r="E198" s="132">
        <v>3361</v>
      </c>
      <c r="F198" s="125">
        <f t="shared" si="34"/>
        <v>399.41907579999997</v>
      </c>
      <c r="G198" s="127"/>
      <c r="H198" s="127"/>
      <c r="I198" s="132">
        <v>23</v>
      </c>
      <c r="J198" s="126"/>
      <c r="K198" s="144" t="s">
        <v>429</v>
      </c>
      <c r="L198" s="126"/>
      <c r="M198" s="143">
        <f t="shared" si="30"/>
        <v>0</v>
      </c>
      <c r="N198" s="126"/>
      <c r="O198" s="148" t="e">
        <f t="shared" si="31"/>
        <v>#DIV/0!</v>
      </c>
      <c r="P198" s="129" t="e">
        <f t="shared" si="32"/>
        <v>#DIV/0!</v>
      </c>
      <c r="Q198" s="4" t="s">
        <v>1418</v>
      </c>
    </row>
    <row r="199" spans="1:28" ht="17.25" customHeight="1" x14ac:dyDescent="0.2">
      <c r="A199" s="122">
        <f t="shared" si="33"/>
        <v>198</v>
      </c>
      <c r="B199" s="123" t="s">
        <v>310</v>
      </c>
      <c r="C199" s="131" t="s">
        <v>81</v>
      </c>
      <c r="D199" s="125">
        <v>399.16500000000002</v>
      </c>
      <c r="E199" s="132">
        <v>3361</v>
      </c>
      <c r="F199" s="125">
        <f t="shared" si="34"/>
        <v>399.41907579999997</v>
      </c>
      <c r="G199" s="127"/>
      <c r="H199" s="127"/>
      <c r="I199" s="129">
        <v>5.8</v>
      </c>
      <c r="J199" s="126"/>
      <c r="K199" s="144" t="s">
        <v>429</v>
      </c>
      <c r="L199" s="126"/>
      <c r="M199" s="143">
        <f t="shared" si="30"/>
        <v>0</v>
      </c>
      <c r="N199" s="126"/>
      <c r="O199" s="148" t="e">
        <f t="shared" si="31"/>
        <v>#DIV/0!</v>
      </c>
      <c r="P199" s="129" t="e">
        <f t="shared" si="32"/>
        <v>#DIV/0!</v>
      </c>
      <c r="Q199" s="4" t="s">
        <v>1419</v>
      </c>
    </row>
    <row r="200" spans="1:28" ht="17.25" customHeight="1" x14ac:dyDescent="0.2">
      <c r="A200" s="122">
        <f t="shared" si="33"/>
        <v>199</v>
      </c>
      <c r="B200" s="123" t="s">
        <v>310</v>
      </c>
      <c r="C200" s="131" t="s">
        <v>81</v>
      </c>
      <c r="D200" s="125">
        <v>399.16500000000002</v>
      </c>
      <c r="E200" s="132">
        <v>3361</v>
      </c>
      <c r="F200" s="125">
        <f t="shared" si="34"/>
        <v>399.41907579999997</v>
      </c>
      <c r="G200" s="127"/>
      <c r="H200" s="127"/>
      <c r="I200" s="129">
        <v>0.7</v>
      </c>
      <c r="J200" s="126"/>
      <c r="K200" s="144" t="s">
        <v>429</v>
      </c>
      <c r="L200" s="126"/>
      <c r="M200" s="143">
        <f t="shared" si="30"/>
        <v>0</v>
      </c>
      <c r="N200" s="126"/>
      <c r="O200" s="148" t="e">
        <f t="shared" si="31"/>
        <v>#DIV/0!</v>
      </c>
      <c r="P200" s="129" t="e">
        <f t="shared" si="32"/>
        <v>#DIV/0!</v>
      </c>
      <c r="Q200" s="4" t="s">
        <v>1420</v>
      </c>
    </row>
    <row r="201" spans="1:28" ht="17.25" customHeight="1" x14ac:dyDescent="0.2">
      <c r="A201" s="150">
        <f t="shared" si="33"/>
        <v>200</v>
      </c>
      <c r="B201" s="137" t="s">
        <v>157</v>
      </c>
      <c r="C201" s="138" t="s">
        <v>81</v>
      </c>
      <c r="D201" s="139">
        <v>168.22200000000001</v>
      </c>
      <c r="E201" s="140">
        <v>3339</v>
      </c>
      <c r="F201" s="139">
        <f t="shared" si="34"/>
        <v>170.00154130000001</v>
      </c>
      <c r="G201" s="142">
        <v>25569.041962604166</v>
      </c>
      <c r="H201" s="142">
        <v>25569.041962604166</v>
      </c>
      <c r="I201" s="147" t="s">
        <v>1421</v>
      </c>
      <c r="J201" s="140">
        <v>751493</v>
      </c>
      <c r="K201" s="144" t="s">
        <v>429</v>
      </c>
      <c r="L201" s="150">
        <v>9966</v>
      </c>
      <c r="M201" s="143">
        <f t="shared" si="30"/>
        <v>99.82985525382675</v>
      </c>
      <c r="N201" s="143">
        <v>10.57</v>
      </c>
      <c r="O201" s="130">
        <f t="shared" si="31"/>
        <v>942.85714285714278</v>
      </c>
      <c r="P201" s="145">
        <f t="shared" si="32"/>
        <v>9.4446409890091534</v>
      </c>
      <c r="Q201" s="4" t="s">
        <v>1422</v>
      </c>
      <c r="R201" s="4"/>
      <c r="S201" s="4"/>
      <c r="T201" s="4"/>
      <c r="U201" s="4"/>
      <c r="V201" s="4"/>
      <c r="W201" s="4"/>
      <c r="X201" s="4"/>
      <c r="Y201" s="4"/>
      <c r="Z201" s="4"/>
      <c r="AA201" s="4"/>
      <c r="AB201" s="4"/>
    </row>
    <row r="202" spans="1:28" ht="17.25" customHeight="1" x14ac:dyDescent="0.2">
      <c r="A202" s="122">
        <f t="shared" si="33"/>
        <v>201</v>
      </c>
      <c r="B202" s="123" t="s">
        <v>32</v>
      </c>
      <c r="C202" s="131" t="s">
        <v>81</v>
      </c>
      <c r="D202" s="125">
        <v>230.26900000000001</v>
      </c>
      <c r="E202" s="132">
        <v>3339</v>
      </c>
      <c r="F202" s="139">
        <f t="shared" si="34"/>
        <v>231.6328264</v>
      </c>
      <c r="G202" s="134">
        <v>25569.041962604166</v>
      </c>
      <c r="H202" s="136"/>
      <c r="I202" s="132">
        <v>259</v>
      </c>
      <c r="J202" s="132">
        <v>1259</v>
      </c>
      <c r="K202" s="144" t="s">
        <v>429</v>
      </c>
      <c r="L202" s="132">
        <v>44508</v>
      </c>
      <c r="M202" s="143">
        <f t="shared" si="30"/>
        <v>210.96919206367551</v>
      </c>
      <c r="N202" s="129">
        <v>31862.880000000001</v>
      </c>
      <c r="O202" s="130">
        <f t="shared" si="31"/>
        <v>1.3968605474458051</v>
      </c>
      <c r="P202" s="130">
        <f t="shared" si="32"/>
        <v>6.6211589179532892E-3</v>
      </c>
      <c r="Q202" s="4"/>
    </row>
    <row r="203" spans="1:28" ht="17.25" customHeight="1" x14ac:dyDescent="0.2">
      <c r="A203" s="122">
        <f t="shared" si="33"/>
        <v>202</v>
      </c>
      <c r="B203" s="123" t="s">
        <v>32</v>
      </c>
      <c r="C203" s="131" t="s">
        <v>81</v>
      </c>
      <c r="D203" s="125">
        <v>228.75800000000001</v>
      </c>
      <c r="E203" s="132">
        <v>3339</v>
      </c>
      <c r="F203" s="139">
        <f t="shared" si="34"/>
        <v>230.13195010000001</v>
      </c>
      <c r="G203" s="136">
        <v>25569.041962604166</v>
      </c>
      <c r="H203" s="136">
        <v>25569.041962604166</v>
      </c>
      <c r="I203" s="132">
        <v>257</v>
      </c>
      <c r="J203" s="132">
        <v>378</v>
      </c>
      <c r="K203" s="144" t="s">
        <v>429</v>
      </c>
      <c r="L203" s="132">
        <v>13125</v>
      </c>
      <c r="M203" s="143">
        <f t="shared" si="30"/>
        <v>114.564392373896</v>
      </c>
      <c r="N203" s="129">
        <v>9641.3089999999993</v>
      </c>
      <c r="O203" s="130">
        <f t="shared" si="31"/>
        <v>1.3613296700686599</v>
      </c>
      <c r="P203" s="130">
        <f t="shared" si="32"/>
        <v>1.1882659540721702E-2</v>
      </c>
      <c r="Q203" s="4"/>
    </row>
    <row r="204" spans="1:28" ht="17.25" customHeight="1" x14ac:dyDescent="0.2">
      <c r="A204" s="122">
        <f t="shared" si="33"/>
        <v>203</v>
      </c>
      <c r="B204" s="123" t="s">
        <v>32</v>
      </c>
      <c r="C204" s="131" t="s">
        <v>81</v>
      </c>
      <c r="D204" s="125">
        <v>227.25399999999999</v>
      </c>
      <c r="E204" s="132">
        <v>3339</v>
      </c>
      <c r="F204" s="139">
        <f t="shared" si="34"/>
        <v>228.63802689999997</v>
      </c>
      <c r="G204" s="136">
        <v>25569.041962604166</v>
      </c>
      <c r="H204" s="136">
        <v>25569.041962604166</v>
      </c>
      <c r="I204" s="132">
        <v>255</v>
      </c>
      <c r="J204" s="132">
        <v>378</v>
      </c>
      <c r="K204" s="144" t="s">
        <v>429</v>
      </c>
      <c r="L204" s="132">
        <v>12247</v>
      </c>
      <c r="M204" s="143">
        <f t="shared" si="30"/>
        <v>110.66616465749593</v>
      </c>
      <c r="N204" s="129">
        <v>8387.8700000000008</v>
      </c>
      <c r="O204" s="130">
        <f t="shared" si="31"/>
        <v>1.460084622198484</v>
      </c>
      <c r="P204" s="130">
        <f t="shared" si="32"/>
        <v>1.3193595591907829E-2</v>
      </c>
      <c r="Q204" s="4"/>
    </row>
    <row r="205" spans="1:28" ht="17.25" customHeight="1" x14ac:dyDescent="0.2">
      <c r="A205" s="122">
        <f t="shared" si="33"/>
        <v>204</v>
      </c>
      <c r="B205" s="123" t="s">
        <v>32</v>
      </c>
      <c r="C205" s="131" t="s">
        <v>81</v>
      </c>
      <c r="D205" s="125">
        <v>225.75700000000001</v>
      </c>
      <c r="E205" s="132">
        <v>3339</v>
      </c>
      <c r="F205" s="139">
        <f t="shared" si="34"/>
        <v>227.15105679999999</v>
      </c>
      <c r="G205" s="136">
        <v>25569.041962604166</v>
      </c>
      <c r="H205" s="136">
        <v>25569.041962604166</v>
      </c>
      <c r="I205" s="132">
        <v>252</v>
      </c>
      <c r="J205" s="132">
        <v>252</v>
      </c>
      <c r="K205" s="144" t="s">
        <v>429</v>
      </c>
      <c r="L205" s="132">
        <v>11485</v>
      </c>
      <c r="M205" s="143">
        <f t="shared" si="30"/>
        <v>107.16809226630845</v>
      </c>
      <c r="N205" s="129">
        <v>7893.68</v>
      </c>
      <c r="O205" s="130">
        <f t="shared" si="31"/>
        <v>1.454961437504434</v>
      </c>
      <c r="P205" s="130">
        <f t="shared" si="32"/>
        <v>1.3576442453495511E-2</v>
      </c>
      <c r="Q205" s="4"/>
    </row>
    <row r="206" spans="1:28" ht="17.25" customHeight="1" x14ac:dyDescent="0.2">
      <c r="A206" s="122">
        <f t="shared" si="33"/>
        <v>205</v>
      </c>
      <c r="B206" s="123" t="s">
        <v>32</v>
      </c>
      <c r="C206" s="131" t="s">
        <v>81</v>
      </c>
      <c r="D206" s="125">
        <v>224.25299999999999</v>
      </c>
      <c r="E206" s="132">
        <v>3339</v>
      </c>
      <c r="F206" s="139">
        <f t="shared" si="34"/>
        <v>225.65713359999998</v>
      </c>
      <c r="G206" s="136">
        <v>25569.041962604166</v>
      </c>
      <c r="H206" s="136">
        <v>25569.041962604166</v>
      </c>
      <c r="I206" s="132">
        <v>246</v>
      </c>
      <c r="J206" s="132">
        <v>378</v>
      </c>
      <c r="K206" s="144" t="s">
        <v>429</v>
      </c>
      <c r="L206" s="132">
        <v>10981</v>
      </c>
      <c r="M206" s="143">
        <f t="shared" si="30"/>
        <v>104.79026672358459</v>
      </c>
      <c r="N206" s="129">
        <v>8962.75</v>
      </c>
      <c r="O206" s="130">
        <f t="shared" si="31"/>
        <v>1.2251820032914005</v>
      </c>
      <c r="P206" s="130">
        <f t="shared" si="32"/>
        <v>1.1691753839344465E-2</v>
      </c>
      <c r="Q206" s="4"/>
    </row>
    <row r="207" spans="1:28" ht="17.25" customHeight="1" x14ac:dyDescent="0.2">
      <c r="A207" s="153">
        <f t="shared" si="33"/>
        <v>206</v>
      </c>
      <c r="B207" s="154" t="s">
        <v>9</v>
      </c>
      <c r="C207" s="155" t="s">
        <v>81</v>
      </c>
      <c r="D207" s="156">
        <v>222.74299999999999</v>
      </c>
      <c r="E207" s="157">
        <v>3339</v>
      </c>
      <c r="F207" s="139">
        <f t="shared" si="34"/>
        <v>224.1572506</v>
      </c>
      <c r="G207" s="168">
        <v>25569.041962604166</v>
      </c>
      <c r="H207" s="158"/>
      <c r="I207" s="157">
        <v>244</v>
      </c>
      <c r="J207" s="159"/>
      <c r="K207" s="169" t="s">
        <v>429</v>
      </c>
      <c r="L207" s="159"/>
      <c r="M207" s="161">
        <f t="shared" si="30"/>
        <v>0</v>
      </c>
      <c r="N207" s="159"/>
      <c r="O207" s="162" t="e">
        <f t="shared" si="31"/>
        <v>#DIV/0!</v>
      </c>
      <c r="P207" s="163" t="e">
        <f t="shared" si="32"/>
        <v>#DIV/0!</v>
      </c>
      <c r="Q207" s="164" t="s">
        <v>1423</v>
      </c>
      <c r="R207" s="154"/>
      <c r="S207" s="154"/>
      <c r="T207" s="154"/>
      <c r="U207" s="154"/>
      <c r="V207" s="154"/>
      <c r="W207" s="154"/>
      <c r="X207" s="154"/>
      <c r="Y207" s="154"/>
      <c r="Z207" s="154"/>
      <c r="AA207" s="154"/>
      <c r="AB207" s="154"/>
    </row>
    <row r="208" spans="1:28" ht="17.25" customHeight="1" x14ac:dyDescent="0.2">
      <c r="A208" s="122">
        <f t="shared" si="33"/>
        <v>207</v>
      </c>
      <c r="B208" s="123" t="s">
        <v>32</v>
      </c>
      <c r="C208" s="131" t="s">
        <v>81</v>
      </c>
      <c r="D208" s="125">
        <v>222.74299999999999</v>
      </c>
      <c r="E208" s="132">
        <v>3339</v>
      </c>
      <c r="F208" s="139">
        <f t="shared" si="34"/>
        <v>224.1572506</v>
      </c>
      <c r="G208" s="136">
        <v>25569.041962604166</v>
      </c>
      <c r="H208" s="136">
        <v>25569.041962604166</v>
      </c>
      <c r="I208" s="132">
        <v>244</v>
      </c>
      <c r="J208" s="132">
        <v>1133</v>
      </c>
      <c r="K208" s="144" t="s">
        <v>429</v>
      </c>
      <c r="L208" s="132">
        <v>6420</v>
      </c>
      <c r="M208" s="143">
        <f t="shared" si="30"/>
        <v>80.124902496040519</v>
      </c>
      <c r="N208" s="129">
        <v>26160.65</v>
      </c>
      <c r="O208" s="130">
        <f t="shared" si="31"/>
        <v>0.24540674639200477</v>
      </c>
      <c r="P208" s="130">
        <f t="shared" si="32"/>
        <v>3.0628024340389292E-3</v>
      </c>
      <c r="Q208" s="4"/>
    </row>
    <row r="209" spans="1:17" ht="17.25" customHeight="1" x14ac:dyDescent="0.2">
      <c r="A209" s="122">
        <f t="shared" si="33"/>
        <v>208</v>
      </c>
      <c r="B209" s="123" t="s">
        <v>32</v>
      </c>
      <c r="C209" s="131" t="s">
        <v>81</v>
      </c>
      <c r="D209" s="125">
        <v>221.239</v>
      </c>
      <c r="E209" s="132">
        <v>3339</v>
      </c>
      <c r="F209" s="139">
        <f t="shared" si="34"/>
        <v>222.66332739999999</v>
      </c>
      <c r="G209" s="136">
        <v>25569.041962604166</v>
      </c>
      <c r="H209" s="136">
        <v>25569.041962604166</v>
      </c>
      <c r="I209" s="132">
        <v>242</v>
      </c>
      <c r="J209" s="132">
        <v>2769</v>
      </c>
      <c r="K209" s="144" t="s">
        <v>429</v>
      </c>
      <c r="L209" s="132">
        <v>6163</v>
      </c>
      <c r="M209" s="143">
        <f t="shared" si="30"/>
        <v>78.504776924719678</v>
      </c>
      <c r="N209" s="129">
        <v>65768.039999999994</v>
      </c>
      <c r="O209" s="130">
        <f t="shared" si="31"/>
        <v>9.3708129358880093E-2</v>
      </c>
      <c r="P209" s="130">
        <f t="shared" si="32"/>
        <v>1.193661494621395E-3</v>
      </c>
      <c r="Q209" s="4"/>
    </row>
    <row r="210" spans="1:17" ht="17.25" customHeight="1" x14ac:dyDescent="0.2">
      <c r="A210" s="122">
        <f t="shared" si="33"/>
        <v>209</v>
      </c>
      <c r="B210" s="123" t="s">
        <v>32</v>
      </c>
      <c r="C210" s="131" t="s">
        <v>81</v>
      </c>
      <c r="D210" s="125">
        <v>223.495</v>
      </c>
      <c r="E210" s="132">
        <v>3339</v>
      </c>
      <c r="F210" s="139">
        <f t="shared" si="34"/>
        <v>224.90421219999999</v>
      </c>
      <c r="G210" s="136">
        <v>25569.041962604166</v>
      </c>
      <c r="H210" s="136">
        <v>25569.041962604166</v>
      </c>
      <c r="I210" s="132">
        <v>244</v>
      </c>
      <c r="J210" s="132">
        <v>881</v>
      </c>
      <c r="K210" s="144" t="s">
        <v>429</v>
      </c>
      <c r="L210" s="132">
        <v>14051</v>
      </c>
      <c r="M210" s="143">
        <f t="shared" ref="M210:M237" si="35">SQRT(L210)</f>
        <v>118.53691408164801</v>
      </c>
      <c r="N210" s="129">
        <v>20655.34</v>
      </c>
      <c r="O210" s="130">
        <f t="shared" ref="O210:O237" si="36">L210/N210</f>
        <v>0.68025992309978922</v>
      </c>
      <c r="P210" s="130">
        <f t="shared" ref="P210:P237" si="37">M210/N210</f>
        <v>5.7388023669253567E-3</v>
      </c>
      <c r="Q210" s="4"/>
    </row>
    <row r="211" spans="1:17" ht="17.25" customHeight="1" x14ac:dyDescent="0.2">
      <c r="A211" s="122">
        <f t="shared" si="33"/>
        <v>210</v>
      </c>
      <c r="B211" s="123" t="s">
        <v>32</v>
      </c>
      <c r="C211" s="131" t="s">
        <v>81</v>
      </c>
      <c r="D211" s="125">
        <v>231.76</v>
      </c>
      <c r="E211" s="132">
        <v>3339</v>
      </c>
      <c r="F211" s="139">
        <f t="shared" si="34"/>
        <v>233.11383669999998</v>
      </c>
      <c r="G211" s="136">
        <v>25569.041962604166</v>
      </c>
      <c r="H211" s="136">
        <v>25569.041962604166</v>
      </c>
      <c r="I211" s="132">
        <v>259</v>
      </c>
      <c r="J211" s="132">
        <v>630</v>
      </c>
      <c r="K211" s="144" t="s">
        <v>429</v>
      </c>
      <c r="L211" s="132">
        <v>25800</v>
      </c>
      <c r="M211" s="143">
        <f t="shared" si="35"/>
        <v>160.62378404209011</v>
      </c>
      <c r="N211" s="129">
        <v>15930.03</v>
      </c>
      <c r="O211" s="130">
        <f t="shared" si="36"/>
        <v>1.6195826373208335</v>
      </c>
      <c r="P211" s="130">
        <f t="shared" si="37"/>
        <v>1.0083081076563579E-2</v>
      </c>
      <c r="Q211" s="4"/>
    </row>
    <row r="212" spans="1:17" ht="17.25" customHeight="1" x14ac:dyDescent="0.2">
      <c r="A212" s="122">
        <f t="shared" si="33"/>
        <v>211</v>
      </c>
      <c r="B212" s="123" t="s">
        <v>32</v>
      </c>
      <c r="C212" s="131" t="s">
        <v>81</v>
      </c>
      <c r="D212" s="125">
        <v>236.77500000000001</v>
      </c>
      <c r="E212" s="132">
        <v>3339</v>
      </c>
      <c r="F212" s="139">
        <f t="shared" si="34"/>
        <v>238.09523619999999</v>
      </c>
      <c r="G212" s="136">
        <v>25569.041962604166</v>
      </c>
      <c r="H212" s="136">
        <v>25569.041962604166</v>
      </c>
      <c r="I212" s="132">
        <v>271</v>
      </c>
      <c r="J212" s="132">
        <v>378</v>
      </c>
      <c r="K212" s="144" t="s">
        <v>429</v>
      </c>
      <c r="L212" s="132">
        <v>17719</v>
      </c>
      <c r="M212" s="143">
        <f t="shared" si="35"/>
        <v>133.11273417671202</v>
      </c>
      <c r="N212" s="129">
        <v>10474.6</v>
      </c>
      <c r="O212" s="130">
        <f t="shared" si="36"/>
        <v>1.6916159089607239</v>
      </c>
      <c r="P212" s="130">
        <f t="shared" si="37"/>
        <v>1.270814486249709E-2</v>
      </c>
      <c r="Q212" s="4"/>
    </row>
    <row r="213" spans="1:17" ht="17.25" customHeight="1" x14ac:dyDescent="0.2">
      <c r="A213" s="122">
        <f t="shared" si="33"/>
        <v>212</v>
      </c>
      <c r="B213" s="123" t="s">
        <v>32</v>
      </c>
      <c r="C213" s="131" t="s">
        <v>81</v>
      </c>
      <c r="D213" s="125">
        <v>241.78299999999999</v>
      </c>
      <c r="E213" s="132">
        <v>3339</v>
      </c>
      <c r="F213" s="139">
        <f t="shared" si="34"/>
        <v>243.06968259999999</v>
      </c>
      <c r="G213" s="136">
        <v>25569.041962604166</v>
      </c>
      <c r="H213" s="136">
        <v>25569.041962604166</v>
      </c>
      <c r="I213" s="132">
        <v>276</v>
      </c>
      <c r="J213" s="132">
        <v>252</v>
      </c>
      <c r="K213" s="144" t="s">
        <v>429</v>
      </c>
      <c r="L213" s="132">
        <v>13353</v>
      </c>
      <c r="M213" s="143">
        <f t="shared" si="35"/>
        <v>115.5551816233266</v>
      </c>
      <c r="N213" s="129">
        <v>7606.7</v>
      </c>
      <c r="O213" s="130">
        <f t="shared" si="36"/>
        <v>1.7554261374840601</v>
      </c>
      <c r="P213" s="130">
        <f t="shared" si="37"/>
        <v>1.5191236886340543E-2</v>
      </c>
      <c r="Q213" s="4"/>
    </row>
    <row r="214" spans="1:17" ht="17.25" customHeight="1" x14ac:dyDescent="0.2">
      <c r="A214" s="122">
        <f t="shared" si="33"/>
        <v>213</v>
      </c>
      <c r="B214" s="123" t="s">
        <v>32</v>
      </c>
      <c r="C214" s="131" t="s">
        <v>81</v>
      </c>
      <c r="D214" s="125">
        <v>246.71799999999999</v>
      </c>
      <c r="E214" s="132">
        <v>3339</v>
      </c>
      <c r="F214" s="139">
        <f t="shared" si="34"/>
        <v>247.97161809999997</v>
      </c>
      <c r="G214" s="136">
        <v>25569.041962604166</v>
      </c>
      <c r="H214" s="136">
        <v>25569.041962604166</v>
      </c>
      <c r="I214" s="132">
        <v>291</v>
      </c>
      <c r="J214" s="132">
        <v>378</v>
      </c>
      <c r="K214" s="144" t="s">
        <v>429</v>
      </c>
      <c r="L214" s="132">
        <v>18413</v>
      </c>
      <c r="M214" s="143">
        <f t="shared" si="35"/>
        <v>135.69450983735487</v>
      </c>
      <c r="N214" s="129">
        <v>10054.61</v>
      </c>
      <c r="O214" s="130">
        <f t="shared" si="36"/>
        <v>1.8312992746610757</v>
      </c>
      <c r="P214" s="130">
        <f t="shared" si="37"/>
        <v>1.3495750689221648E-2</v>
      </c>
      <c r="Q214" s="4"/>
    </row>
    <row r="215" spans="1:17" ht="17.25" customHeight="1" x14ac:dyDescent="0.2">
      <c r="A215" s="122">
        <f t="shared" ref="A215:A237" si="38">A214+1</f>
        <v>214</v>
      </c>
      <c r="B215" s="123" t="s">
        <v>32</v>
      </c>
      <c r="C215" s="131" t="s">
        <v>81</v>
      </c>
      <c r="D215" s="125">
        <v>250.80699999999999</v>
      </c>
      <c r="E215" s="132">
        <v>3339</v>
      </c>
      <c r="F215" s="139">
        <f t="shared" si="34"/>
        <v>252.03322179999998</v>
      </c>
      <c r="G215" s="136">
        <v>25569.041962604166</v>
      </c>
      <c r="H215" s="136">
        <v>25569.041962604166</v>
      </c>
      <c r="I215" s="132">
        <v>302</v>
      </c>
      <c r="J215" s="132">
        <v>378</v>
      </c>
      <c r="K215" s="144" t="s">
        <v>429</v>
      </c>
      <c r="L215" s="132">
        <v>21835</v>
      </c>
      <c r="M215" s="143">
        <f t="shared" si="35"/>
        <v>147.76670802315385</v>
      </c>
      <c r="N215" s="129">
        <v>12148.34</v>
      </c>
      <c r="O215" s="130">
        <f t="shared" si="36"/>
        <v>1.7973649074688394</v>
      </c>
      <c r="P215" s="130">
        <f t="shared" si="37"/>
        <v>1.2163530821754564E-2</v>
      </c>
      <c r="Q215" s="4"/>
    </row>
    <row r="216" spans="1:17" ht="17.25" customHeight="1" x14ac:dyDescent="0.2">
      <c r="A216" s="122">
        <f t="shared" si="38"/>
        <v>215</v>
      </c>
      <c r="B216" s="123" t="s">
        <v>32</v>
      </c>
      <c r="C216" s="131" t="s">
        <v>81</v>
      </c>
      <c r="D216" s="125">
        <v>255.816</v>
      </c>
      <c r="E216" s="132">
        <v>3339</v>
      </c>
      <c r="F216" s="139">
        <f t="shared" si="34"/>
        <v>257.00866150000002</v>
      </c>
      <c r="G216" s="136">
        <v>25569.041962604166</v>
      </c>
      <c r="H216" s="136">
        <v>25569.041962604166</v>
      </c>
      <c r="I216" s="132">
        <v>311</v>
      </c>
      <c r="J216" s="132">
        <v>378</v>
      </c>
      <c r="K216" s="144" t="s">
        <v>429</v>
      </c>
      <c r="L216" s="132">
        <v>19827</v>
      </c>
      <c r="M216" s="143">
        <f t="shared" si="35"/>
        <v>140.80838043241602</v>
      </c>
      <c r="N216" s="129">
        <v>11186.24</v>
      </c>
      <c r="O216" s="130">
        <f t="shared" si="36"/>
        <v>1.7724454329604944</v>
      </c>
      <c r="P216" s="130">
        <f t="shared" si="37"/>
        <v>1.2587641641196329E-2</v>
      </c>
      <c r="Q216" s="4"/>
    </row>
    <row r="217" spans="1:17" ht="17.25" customHeight="1" x14ac:dyDescent="0.2">
      <c r="A217" s="122">
        <f t="shared" si="38"/>
        <v>216</v>
      </c>
      <c r="B217" s="123" t="s">
        <v>32</v>
      </c>
      <c r="C217" s="131" t="s">
        <v>81</v>
      </c>
      <c r="D217" s="125">
        <v>260.83100000000002</v>
      </c>
      <c r="E217" s="132">
        <v>3339</v>
      </c>
      <c r="F217" s="139">
        <f t="shared" si="34"/>
        <v>261.99006099999997</v>
      </c>
      <c r="G217" s="136">
        <v>25569.041962604166</v>
      </c>
      <c r="H217" s="136">
        <v>25569.041962604166</v>
      </c>
      <c r="I217" s="132">
        <v>312</v>
      </c>
      <c r="J217" s="132">
        <v>252</v>
      </c>
      <c r="K217" s="144" t="s">
        <v>429</v>
      </c>
      <c r="L217" s="132">
        <v>13335</v>
      </c>
      <c r="M217" s="143">
        <f t="shared" si="35"/>
        <v>115.47727049077668</v>
      </c>
      <c r="N217" s="129">
        <v>7514.67</v>
      </c>
      <c r="O217" s="130">
        <f t="shared" si="36"/>
        <v>1.7745290212344653</v>
      </c>
      <c r="P217" s="130">
        <f t="shared" si="37"/>
        <v>1.5366911719446985E-2</v>
      </c>
      <c r="Q217" s="4"/>
    </row>
    <row r="218" spans="1:17" ht="17.25" customHeight="1" x14ac:dyDescent="0.2">
      <c r="A218" s="122">
        <f t="shared" si="38"/>
        <v>217</v>
      </c>
      <c r="B218" s="123" t="s">
        <v>32</v>
      </c>
      <c r="C218" s="131" t="s">
        <v>81</v>
      </c>
      <c r="D218" s="125">
        <v>265.83999999999997</v>
      </c>
      <c r="E218" s="132">
        <v>3339</v>
      </c>
      <c r="F218" s="139">
        <f t="shared" si="34"/>
        <v>266.96550069999995</v>
      </c>
      <c r="G218" s="136">
        <v>25569.041962604166</v>
      </c>
      <c r="H218" s="136">
        <v>25569.041962604166</v>
      </c>
      <c r="I218" s="132">
        <v>314</v>
      </c>
      <c r="J218" s="132">
        <v>756</v>
      </c>
      <c r="K218" s="144" t="s">
        <v>429</v>
      </c>
      <c r="L218" s="132">
        <v>42576</v>
      </c>
      <c r="M218" s="143">
        <f t="shared" si="35"/>
        <v>206.33952602446288</v>
      </c>
      <c r="N218" s="129">
        <v>23672.2</v>
      </c>
      <c r="O218" s="130">
        <f t="shared" si="36"/>
        <v>1.798565405834692</v>
      </c>
      <c r="P218" s="130">
        <f t="shared" si="37"/>
        <v>8.7165335720576411E-3</v>
      </c>
      <c r="Q218" s="4"/>
    </row>
    <row r="219" spans="1:17" ht="17.25" customHeight="1" x14ac:dyDescent="0.2">
      <c r="A219" s="122">
        <f t="shared" si="38"/>
        <v>218</v>
      </c>
      <c r="B219" s="123" t="s">
        <v>32</v>
      </c>
      <c r="C219" s="131" t="s">
        <v>81</v>
      </c>
      <c r="D219" s="125">
        <v>270.84199999999998</v>
      </c>
      <c r="E219" s="132">
        <v>3339</v>
      </c>
      <c r="F219" s="139">
        <f t="shared" si="34"/>
        <v>271.93398729999996</v>
      </c>
      <c r="G219" s="136">
        <v>25569.041962604166</v>
      </c>
      <c r="H219" s="136">
        <v>25569.041962604166</v>
      </c>
      <c r="I219" s="132">
        <v>325</v>
      </c>
      <c r="J219" s="132">
        <v>252</v>
      </c>
      <c r="K219" s="144" t="s">
        <v>429</v>
      </c>
      <c r="L219" s="132">
        <v>19514</v>
      </c>
      <c r="M219" s="143">
        <f t="shared" si="35"/>
        <v>139.6925194847598</v>
      </c>
      <c r="N219" s="129">
        <v>10078.25</v>
      </c>
      <c r="O219" s="130">
        <f t="shared" si="36"/>
        <v>1.936248852727408</v>
      </c>
      <c r="P219" s="130">
        <f t="shared" si="37"/>
        <v>1.386079125689081E-2</v>
      </c>
      <c r="Q219" s="4"/>
    </row>
    <row r="220" spans="1:17" ht="17.25" customHeight="1" x14ac:dyDescent="0.2">
      <c r="A220" s="122">
        <f t="shared" si="38"/>
        <v>219</v>
      </c>
      <c r="B220" s="123" t="s">
        <v>32</v>
      </c>
      <c r="C220" s="131" t="s">
        <v>81</v>
      </c>
      <c r="D220" s="125">
        <v>275.63499999999999</v>
      </c>
      <c r="E220" s="132">
        <v>3339</v>
      </c>
      <c r="F220" s="139">
        <f t="shared" si="34"/>
        <v>276.69487419999996</v>
      </c>
      <c r="G220" s="136">
        <v>25569.041962604166</v>
      </c>
      <c r="H220" s="136">
        <v>25569.041962604166</v>
      </c>
      <c r="I220" s="132">
        <v>329</v>
      </c>
      <c r="J220" s="132">
        <v>881</v>
      </c>
      <c r="K220" s="144" t="s">
        <v>429</v>
      </c>
      <c r="L220" s="132">
        <v>51613</v>
      </c>
      <c r="M220" s="143">
        <f t="shared" si="35"/>
        <v>227.18494668441394</v>
      </c>
      <c r="N220" s="129">
        <v>26412.240000000002</v>
      </c>
      <c r="O220" s="130">
        <f t="shared" si="36"/>
        <v>1.9541318721925893</v>
      </c>
      <c r="P220" s="130">
        <f t="shared" si="37"/>
        <v>8.6015024354016891E-3</v>
      </c>
      <c r="Q220" s="4"/>
    </row>
    <row r="221" spans="1:17" ht="17.25" customHeight="1" x14ac:dyDescent="0.2">
      <c r="A221" s="122">
        <f t="shared" si="38"/>
        <v>220</v>
      </c>
      <c r="B221" s="123" t="s">
        <v>32</v>
      </c>
      <c r="C221" s="131" t="s">
        <v>81</v>
      </c>
      <c r="D221" s="125">
        <v>280.86500000000001</v>
      </c>
      <c r="E221" s="132">
        <v>3339</v>
      </c>
      <c r="F221" s="139">
        <f t="shared" si="34"/>
        <v>281.8898332</v>
      </c>
      <c r="G221" s="136">
        <v>25569.041962604166</v>
      </c>
      <c r="H221" s="136">
        <v>25569.041962604166</v>
      </c>
      <c r="I221" s="132">
        <v>329</v>
      </c>
      <c r="J221" s="132">
        <v>881</v>
      </c>
      <c r="K221" s="144" t="s">
        <v>429</v>
      </c>
      <c r="L221" s="132">
        <v>57916</v>
      </c>
      <c r="M221" s="143">
        <f t="shared" si="35"/>
        <v>240.65743287918619</v>
      </c>
      <c r="N221" s="129">
        <v>28012.98</v>
      </c>
      <c r="O221" s="130">
        <f t="shared" si="36"/>
        <v>2.0674701513369875</v>
      </c>
      <c r="P221" s="130">
        <f t="shared" si="37"/>
        <v>8.5909258093635945E-3</v>
      </c>
      <c r="Q221" s="4"/>
    </row>
    <row r="222" spans="1:17" ht="17.25" customHeight="1" x14ac:dyDescent="0.2">
      <c r="A222" s="122">
        <f t="shared" si="38"/>
        <v>221</v>
      </c>
      <c r="B222" s="123" t="s">
        <v>32</v>
      </c>
      <c r="C222" s="131" t="s">
        <v>81</v>
      </c>
      <c r="D222" s="125">
        <v>285.87400000000002</v>
      </c>
      <c r="E222" s="132">
        <v>3339</v>
      </c>
      <c r="F222" s="139">
        <f t="shared" si="34"/>
        <v>286.86527289999998</v>
      </c>
      <c r="G222" s="136">
        <v>25569.041962604166</v>
      </c>
      <c r="H222" s="136">
        <v>25569.041962604166</v>
      </c>
      <c r="I222" s="132">
        <v>327</v>
      </c>
      <c r="J222" s="132">
        <v>504</v>
      </c>
      <c r="K222" s="144" t="s">
        <v>429</v>
      </c>
      <c r="L222" s="132">
        <v>38103</v>
      </c>
      <c r="M222" s="143">
        <f t="shared" si="35"/>
        <v>195.19989754095673</v>
      </c>
      <c r="N222" s="129">
        <v>18797.560000000001</v>
      </c>
      <c r="O222" s="130">
        <f t="shared" si="36"/>
        <v>2.027018400260459</v>
      </c>
      <c r="P222" s="130">
        <f t="shared" si="37"/>
        <v>1.0384321025758488E-2</v>
      </c>
      <c r="Q222" s="4"/>
    </row>
    <row r="223" spans="1:17" ht="17.25" customHeight="1" x14ac:dyDescent="0.2">
      <c r="A223" s="122">
        <f t="shared" si="38"/>
        <v>222</v>
      </c>
      <c r="B223" s="123" t="s">
        <v>32</v>
      </c>
      <c r="C223" s="131" t="s">
        <v>81</v>
      </c>
      <c r="D223" s="125">
        <v>290.57400000000001</v>
      </c>
      <c r="E223" s="132">
        <v>3339</v>
      </c>
      <c r="F223" s="139">
        <f t="shared" si="34"/>
        <v>291.53378289999995</v>
      </c>
      <c r="G223" s="136">
        <v>25569.041962604166</v>
      </c>
      <c r="H223" s="136">
        <v>25569.041962604166</v>
      </c>
      <c r="I223" s="132">
        <v>326</v>
      </c>
      <c r="J223" s="132">
        <v>756</v>
      </c>
      <c r="K223" s="144" t="s">
        <v>429</v>
      </c>
      <c r="L223" s="132">
        <v>52512</v>
      </c>
      <c r="M223" s="143">
        <f t="shared" si="35"/>
        <v>229.15496939844007</v>
      </c>
      <c r="N223" s="129">
        <v>24654.95</v>
      </c>
      <c r="O223" s="130">
        <f t="shared" si="36"/>
        <v>2.1298765562290738</v>
      </c>
      <c r="P223" s="130">
        <f t="shared" si="37"/>
        <v>9.2944812055364163E-3</v>
      </c>
      <c r="Q223" s="4"/>
    </row>
    <row r="224" spans="1:17" ht="17.25" customHeight="1" x14ac:dyDescent="0.2">
      <c r="A224" s="122">
        <f t="shared" si="38"/>
        <v>223</v>
      </c>
      <c r="B224" s="123" t="s">
        <v>32</v>
      </c>
      <c r="C224" s="131" t="s">
        <v>81</v>
      </c>
      <c r="D224" s="125">
        <v>295.89100000000002</v>
      </c>
      <c r="E224" s="132">
        <v>3339</v>
      </c>
      <c r="F224" s="139">
        <f t="shared" si="34"/>
        <v>296.81515899999999</v>
      </c>
      <c r="G224" s="136">
        <v>25569.041962604166</v>
      </c>
      <c r="H224" s="136">
        <v>25569.041962604166</v>
      </c>
      <c r="I224" s="132">
        <v>323</v>
      </c>
      <c r="J224" s="132">
        <v>378</v>
      </c>
      <c r="K224" s="144" t="s">
        <v>429</v>
      </c>
      <c r="L224" s="132">
        <v>28775</v>
      </c>
      <c r="M224" s="143">
        <f t="shared" si="35"/>
        <v>169.63195453687374</v>
      </c>
      <c r="N224" s="129">
        <v>11974.26</v>
      </c>
      <c r="O224" s="130">
        <f t="shared" si="36"/>
        <v>2.4030712545075854</v>
      </c>
      <c r="P224" s="130">
        <f t="shared" si="37"/>
        <v>1.4166383103162428E-2</v>
      </c>
      <c r="Q224" s="4"/>
    </row>
    <row r="225" spans="1:28" ht="17.25" customHeight="1" x14ac:dyDescent="0.2">
      <c r="A225" s="122">
        <f t="shared" si="38"/>
        <v>224</v>
      </c>
      <c r="B225" s="123" t="s">
        <v>32</v>
      </c>
      <c r="C225" s="131" t="s">
        <v>81</v>
      </c>
      <c r="D225" s="125">
        <v>300.54399999999998</v>
      </c>
      <c r="E225" s="132">
        <v>3339</v>
      </c>
      <c r="F225" s="139">
        <f t="shared" si="34"/>
        <v>301.43698389999997</v>
      </c>
      <c r="G225" s="136">
        <v>25569.041962604166</v>
      </c>
      <c r="H225" s="136">
        <v>25569.041962604166</v>
      </c>
      <c r="I225" s="132">
        <v>319</v>
      </c>
      <c r="J225" s="132">
        <v>504</v>
      </c>
      <c r="K225" s="144" t="s">
        <v>429</v>
      </c>
      <c r="L225" s="132">
        <v>28868</v>
      </c>
      <c r="M225" s="143">
        <f t="shared" si="35"/>
        <v>169.90585628517928</v>
      </c>
      <c r="N225" s="129">
        <v>9891.6</v>
      </c>
      <c r="O225" s="130">
        <f t="shared" si="36"/>
        <v>2.9184358445549758</v>
      </c>
      <c r="P225" s="130">
        <f t="shared" si="37"/>
        <v>1.7176781944799553E-2</v>
      </c>
      <c r="Q225" s="4"/>
    </row>
    <row r="226" spans="1:28" ht="17.25" customHeight="1" x14ac:dyDescent="0.2">
      <c r="A226" s="122">
        <f t="shared" si="38"/>
        <v>225</v>
      </c>
      <c r="B226" s="123" t="s">
        <v>310</v>
      </c>
      <c r="C226" s="131" t="s">
        <v>81</v>
      </c>
      <c r="D226" s="125">
        <v>249.21600000000001</v>
      </c>
      <c r="E226" s="132">
        <v>3339</v>
      </c>
      <c r="F226" s="139">
        <f t="shared" si="34"/>
        <v>250.45288149999999</v>
      </c>
      <c r="G226" s="136">
        <v>25569.041962604166</v>
      </c>
      <c r="H226" s="136">
        <v>25569.041962604166</v>
      </c>
      <c r="I226" s="132">
        <v>296</v>
      </c>
      <c r="J226" s="126"/>
      <c r="K226" s="144" t="s">
        <v>429</v>
      </c>
      <c r="L226" s="126"/>
      <c r="M226" s="143">
        <f t="shared" si="35"/>
        <v>0</v>
      </c>
      <c r="N226" s="126"/>
      <c r="O226" s="148" t="e">
        <f t="shared" si="36"/>
        <v>#DIV/0!</v>
      </c>
      <c r="P226" s="129" t="e">
        <f t="shared" si="37"/>
        <v>#DIV/0!</v>
      </c>
      <c r="Q226" s="170" t="s">
        <v>1424</v>
      </c>
      <c r="R226" s="7"/>
      <c r="S226" s="7"/>
      <c r="T226" s="7"/>
      <c r="U226" s="7"/>
      <c r="V226" s="7"/>
      <c r="W226" s="7"/>
      <c r="X226" s="7"/>
      <c r="Y226" s="7"/>
      <c r="Z226" s="7"/>
      <c r="AA226" s="7"/>
      <c r="AB226" s="7"/>
    </row>
    <row r="227" spans="1:28" ht="17.25" customHeight="1" x14ac:dyDescent="0.2">
      <c r="A227" s="122">
        <f t="shared" si="38"/>
        <v>226</v>
      </c>
      <c r="B227" s="123" t="s">
        <v>310</v>
      </c>
      <c r="C227" s="131" t="s">
        <v>81</v>
      </c>
      <c r="D227" s="125">
        <v>249.21600000000001</v>
      </c>
      <c r="E227" s="132">
        <v>3339</v>
      </c>
      <c r="F227" s="139">
        <f>0.9933*(G227 + E227/1000)-0.41</f>
        <v>25400.636010154718</v>
      </c>
      <c r="G227" s="136">
        <v>25569.041962604166</v>
      </c>
      <c r="H227" s="136">
        <v>25569.041962604166</v>
      </c>
      <c r="I227" s="132">
        <v>296</v>
      </c>
      <c r="J227" s="126"/>
      <c r="K227" s="144" t="s">
        <v>429</v>
      </c>
      <c r="L227" s="126"/>
      <c r="M227" s="143">
        <f t="shared" si="35"/>
        <v>0</v>
      </c>
      <c r="N227" s="126"/>
      <c r="O227" s="148" t="e">
        <f t="shared" si="36"/>
        <v>#DIV/0!</v>
      </c>
      <c r="P227" s="129" t="e">
        <f t="shared" si="37"/>
        <v>#DIV/0!</v>
      </c>
      <c r="Q227" s="4" t="s">
        <v>1425</v>
      </c>
    </row>
    <row r="228" spans="1:28" ht="17.25" customHeight="1" x14ac:dyDescent="0.2">
      <c r="A228" s="122">
        <f t="shared" si="38"/>
        <v>227</v>
      </c>
      <c r="B228" s="123" t="s">
        <v>310</v>
      </c>
      <c r="C228" s="131" t="s">
        <v>81</v>
      </c>
      <c r="D228" s="125">
        <v>249.21600000000001</v>
      </c>
      <c r="E228" s="132">
        <v>3339</v>
      </c>
      <c r="F228" s="139">
        <f t="shared" ref="F228:F237" si="39">0.9933*(D228 + E228/1000)-0.41</f>
        <v>250.45288149999999</v>
      </c>
      <c r="G228" s="136">
        <v>25569.041962604166</v>
      </c>
      <c r="H228" s="136">
        <v>25569.041962604166</v>
      </c>
      <c r="I228" s="132">
        <v>296</v>
      </c>
      <c r="J228" s="126"/>
      <c r="K228" s="144" t="s">
        <v>429</v>
      </c>
      <c r="L228" s="126"/>
      <c r="M228" s="143">
        <f t="shared" si="35"/>
        <v>0</v>
      </c>
      <c r="N228" s="126"/>
      <c r="O228" s="148" t="e">
        <f t="shared" si="36"/>
        <v>#DIV/0!</v>
      </c>
      <c r="P228" s="129" t="e">
        <f t="shared" si="37"/>
        <v>#DIV/0!</v>
      </c>
      <c r="Q228" s="4" t="s">
        <v>1425</v>
      </c>
    </row>
    <row r="229" spans="1:28" ht="17.25" customHeight="1" x14ac:dyDescent="0.2">
      <c r="A229" s="122">
        <f t="shared" si="38"/>
        <v>228</v>
      </c>
      <c r="B229" s="123" t="s">
        <v>310</v>
      </c>
      <c r="C229" s="131" t="s">
        <v>81</v>
      </c>
      <c r="D229" s="125">
        <v>249.21600000000001</v>
      </c>
      <c r="E229" s="132">
        <v>3339</v>
      </c>
      <c r="F229" s="139">
        <f t="shared" si="39"/>
        <v>250.45288149999999</v>
      </c>
      <c r="G229" s="136">
        <v>25569.041962604166</v>
      </c>
      <c r="H229" s="136">
        <v>25569.041962604166</v>
      </c>
      <c r="I229" s="132">
        <v>296</v>
      </c>
      <c r="J229" s="126"/>
      <c r="K229" s="144" t="s">
        <v>429</v>
      </c>
      <c r="L229" s="126"/>
      <c r="M229" s="143">
        <f t="shared" si="35"/>
        <v>0</v>
      </c>
      <c r="N229" s="126"/>
      <c r="O229" s="148" t="e">
        <f t="shared" si="36"/>
        <v>#DIV/0!</v>
      </c>
      <c r="P229" s="129" t="e">
        <f t="shared" si="37"/>
        <v>#DIV/0!</v>
      </c>
      <c r="Q229" s="4" t="s">
        <v>1425</v>
      </c>
    </row>
    <row r="230" spans="1:28" ht="17.25" customHeight="1" x14ac:dyDescent="0.2">
      <c r="A230" s="122">
        <f t="shared" si="38"/>
        <v>229</v>
      </c>
      <c r="B230" s="123" t="s">
        <v>310</v>
      </c>
      <c r="C230" s="131" t="s">
        <v>81</v>
      </c>
      <c r="D230" s="125">
        <v>249.21600000000001</v>
      </c>
      <c r="E230" s="132">
        <v>3339</v>
      </c>
      <c r="F230" s="139">
        <f t="shared" si="39"/>
        <v>250.45288149999999</v>
      </c>
      <c r="G230" s="127"/>
      <c r="H230" s="136">
        <v>25569.041962604166</v>
      </c>
      <c r="I230" s="132">
        <v>296</v>
      </c>
      <c r="J230" s="126"/>
      <c r="K230" s="144" t="s">
        <v>429</v>
      </c>
      <c r="L230" s="126"/>
      <c r="M230" s="143">
        <f t="shared" si="35"/>
        <v>0</v>
      </c>
      <c r="N230" s="126"/>
      <c r="O230" s="148" t="e">
        <f t="shared" si="36"/>
        <v>#DIV/0!</v>
      </c>
      <c r="P230" s="129" t="e">
        <f t="shared" si="37"/>
        <v>#DIV/0!</v>
      </c>
      <c r="Q230" s="4" t="s">
        <v>1425</v>
      </c>
    </row>
    <row r="231" spans="1:28" ht="17.25" customHeight="1" x14ac:dyDescent="0.2">
      <c r="A231" s="150">
        <f t="shared" si="38"/>
        <v>230</v>
      </c>
      <c r="B231" s="137" t="s">
        <v>120</v>
      </c>
      <c r="C231" s="138" t="s">
        <v>73</v>
      </c>
      <c r="D231" s="150">
        <v>0</v>
      </c>
      <c r="E231" s="140">
        <v>0</v>
      </c>
      <c r="F231" s="139">
        <f t="shared" si="39"/>
        <v>-0.41</v>
      </c>
      <c r="G231" s="142">
        <v>25569.041962604166</v>
      </c>
      <c r="H231" s="142">
        <v>25569.041962604166</v>
      </c>
      <c r="I231" s="147"/>
      <c r="J231" s="147"/>
      <c r="K231" s="144" t="s">
        <v>429</v>
      </c>
      <c r="L231" s="147"/>
      <c r="M231" s="143">
        <f t="shared" si="35"/>
        <v>0</v>
      </c>
      <c r="N231" s="147"/>
      <c r="O231" s="166" t="e">
        <f t="shared" si="36"/>
        <v>#DIV/0!</v>
      </c>
      <c r="P231" s="143" t="e">
        <f t="shared" si="37"/>
        <v>#DIV/0!</v>
      </c>
      <c r="Q231" s="4"/>
      <c r="R231" s="4"/>
      <c r="S231" s="4"/>
      <c r="T231" s="4"/>
      <c r="U231" s="4"/>
      <c r="V231" s="4"/>
      <c r="W231" s="4"/>
      <c r="X231" s="4"/>
      <c r="Y231" s="4"/>
      <c r="Z231" s="4"/>
      <c r="AA231" s="4"/>
      <c r="AB231" s="4"/>
    </row>
    <row r="232" spans="1:28" ht="17.25" customHeight="1" x14ac:dyDescent="0.2">
      <c r="A232" s="122">
        <f t="shared" si="38"/>
        <v>231</v>
      </c>
      <c r="B232" s="123" t="s">
        <v>120</v>
      </c>
      <c r="C232" s="131" t="s">
        <v>73</v>
      </c>
      <c r="D232" s="150">
        <v>0</v>
      </c>
      <c r="E232" s="140">
        <v>0</v>
      </c>
      <c r="F232" s="139">
        <f t="shared" si="39"/>
        <v>-0.41</v>
      </c>
      <c r="G232" s="136">
        <v>25569.041962604166</v>
      </c>
      <c r="H232" s="127" t="s">
        <v>1426</v>
      </c>
      <c r="I232" s="122" t="s">
        <v>1427</v>
      </c>
      <c r="J232" s="126"/>
      <c r="K232" s="144" t="s">
        <v>429</v>
      </c>
      <c r="L232" s="126"/>
      <c r="M232" s="143">
        <f t="shared" si="35"/>
        <v>0</v>
      </c>
      <c r="N232" s="126"/>
      <c r="O232" s="148" t="e">
        <f t="shared" si="36"/>
        <v>#DIV/0!</v>
      </c>
      <c r="P232" s="129" t="e">
        <f t="shared" si="37"/>
        <v>#DIV/0!</v>
      </c>
      <c r="Q232" s="4"/>
    </row>
    <row r="233" spans="1:28" ht="17.25" customHeight="1" x14ac:dyDescent="0.2">
      <c r="A233" s="122">
        <f t="shared" si="38"/>
        <v>232</v>
      </c>
      <c r="B233" s="123" t="s">
        <v>310</v>
      </c>
      <c r="C233" s="131" t="s">
        <v>73</v>
      </c>
      <c r="D233" s="122">
        <v>0</v>
      </c>
      <c r="E233" s="132">
        <v>0</v>
      </c>
      <c r="F233" s="139">
        <f t="shared" si="39"/>
        <v>-0.41</v>
      </c>
      <c r="G233" s="127"/>
      <c r="H233" s="127"/>
      <c r="I233" s="126"/>
      <c r="J233" s="126"/>
      <c r="K233" s="144" t="s">
        <v>429</v>
      </c>
      <c r="L233" s="126"/>
      <c r="M233" s="143">
        <f t="shared" si="35"/>
        <v>0</v>
      </c>
      <c r="N233" s="126"/>
      <c r="O233" s="148" t="e">
        <f t="shared" si="36"/>
        <v>#DIV/0!</v>
      </c>
      <c r="P233" s="129" t="e">
        <f t="shared" si="37"/>
        <v>#DIV/0!</v>
      </c>
      <c r="Q233" s="4"/>
    </row>
    <row r="234" spans="1:28" ht="17.25" customHeight="1" x14ac:dyDescent="0.2">
      <c r="A234" s="122">
        <f t="shared" si="38"/>
        <v>233</v>
      </c>
      <c r="B234" s="123" t="s">
        <v>310</v>
      </c>
      <c r="C234" s="131" t="s">
        <v>73</v>
      </c>
      <c r="D234" s="125">
        <v>344.185</v>
      </c>
      <c r="E234" s="132">
        <v>574</v>
      </c>
      <c r="F234" s="139">
        <f t="shared" si="39"/>
        <v>342.03911469999997</v>
      </c>
      <c r="G234" s="127" t="s">
        <v>1428</v>
      </c>
      <c r="H234" s="127" t="s">
        <v>1429</v>
      </c>
      <c r="I234" s="126">
        <v>4.7</v>
      </c>
      <c r="J234" s="132">
        <v>16488</v>
      </c>
      <c r="K234" s="144" t="s">
        <v>429</v>
      </c>
      <c r="L234" s="132">
        <v>36879353</v>
      </c>
      <c r="M234" s="143">
        <f t="shared" si="35"/>
        <v>6072.8373105163946</v>
      </c>
      <c r="N234" s="129">
        <v>5054.24</v>
      </c>
      <c r="O234" s="130">
        <f t="shared" si="36"/>
        <v>7296.7158267118302</v>
      </c>
      <c r="P234" s="130">
        <f t="shared" si="37"/>
        <v>1.2015332296282715</v>
      </c>
      <c r="Q234" s="4" t="s">
        <v>1430</v>
      </c>
    </row>
    <row r="235" spans="1:28" ht="17.25" customHeight="1" x14ac:dyDescent="0.2">
      <c r="A235" s="122">
        <f t="shared" si="38"/>
        <v>234</v>
      </c>
      <c r="B235" s="123" t="s">
        <v>310</v>
      </c>
      <c r="C235" s="131" t="s">
        <v>73</v>
      </c>
      <c r="D235" s="125">
        <v>344.19</v>
      </c>
      <c r="E235" s="132">
        <v>574</v>
      </c>
      <c r="F235" s="139">
        <f t="shared" si="39"/>
        <v>342.04408119999999</v>
      </c>
      <c r="G235" s="127" t="s">
        <v>1431</v>
      </c>
      <c r="H235" s="127" t="s">
        <v>1432</v>
      </c>
      <c r="I235" s="171">
        <v>25569.041962604166</v>
      </c>
      <c r="J235" s="132">
        <v>1385</v>
      </c>
      <c r="K235" s="144" t="s">
        <v>429</v>
      </c>
      <c r="L235" s="132">
        <v>4490621</v>
      </c>
      <c r="M235" s="143">
        <f t="shared" si="35"/>
        <v>2119.1085389852028</v>
      </c>
      <c r="N235" s="129">
        <v>634.99</v>
      </c>
      <c r="O235" s="130">
        <f t="shared" si="36"/>
        <v>7071.9554638655727</v>
      </c>
      <c r="P235" s="130">
        <f t="shared" si="37"/>
        <v>3.3372313563760101</v>
      </c>
      <c r="Q235" s="4" t="s">
        <v>1433</v>
      </c>
    </row>
    <row r="236" spans="1:28" ht="17.25" customHeight="1" x14ac:dyDescent="0.2">
      <c r="A236" s="122">
        <f t="shared" si="38"/>
        <v>235</v>
      </c>
      <c r="B236" s="123" t="s">
        <v>310</v>
      </c>
      <c r="C236" s="131" t="s">
        <v>73</v>
      </c>
      <c r="D236" s="125">
        <v>344.19200000000001</v>
      </c>
      <c r="E236" s="132">
        <v>574</v>
      </c>
      <c r="F236" s="139">
        <f t="shared" si="39"/>
        <v>342.0460678</v>
      </c>
      <c r="G236" s="127" t="s">
        <v>1434</v>
      </c>
      <c r="H236" s="127" t="s">
        <v>1435</v>
      </c>
      <c r="I236" s="129">
        <v>1.03</v>
      </c>
      <c r="J236" s="132">
        <v>1762</v>
      </c>
      <c r="K236" s="144" t="s">
        <v>429</v>
      </c>
      <c r="L236" s="132">
        <v>1340100</v>
      </c>
      <c r="M236" s="143">
        <f t="shared" si="35"/>
        <v>1157.6268828944842</v>
      </c>
      <c r="N236" s="129">
        <v>173.15</v>
      </c>
      <c r="O236" s="130">
        <f t="shared" si="36"/>
        <v>7739.5321975166034</v>
      </c>
      <c r="P236" s="130">
        <f t="shared" si="37"/>
        <v>6.6856880328875778</v>
      </c>
      <c r="Q236" s="4" t="s">
        <v>1436</v>
      </c>
    </row>
    <row r="237" spans="1:28" ht="17.25" customHeight="1" x14ac:dyDescent="0.2">
      <c r="A237" s="122">
        <f t="shared" si="38"/>
        <v>236</v>
      </c>
      <c r="B237" s="123" t="s">
        <v>310</v>
      </c>
      <c r="C237" s="131" t="s">
        <v>73</v>
      </c>
      <c r="D237" s="125">
        <v>344.19200000000001</v>
      </c>
      <c r="E237" s="132">
        <v>574</v>
      </c>
      <c r="F237" s="139">
        <f t="shared" si="39"/>
        <v>342.0460678</v>
      </c>
      <c r="G237" s="127" t="s">
        <v>1437</v>
      </c>
      <c r="H237" s="127" t="s">
        <v>1438</v>
      </c>
      <c r="I237" s="129">
        <v>0.55000000000000004</v>
      </c>
      <c r="J237" s="132">
        <v>1385</v>
      </c>
      <c r="K237" s="144" t="s">
        <v>429</v>
      </c>
      <c r="L237" s="132">
        <v>573217</v>
      </c>
      <c r="M237" s="143">
        <f t="shared" si="35"/>
        <v>757.11095620126912</v>
      </c>
      <c r="N237" s="129">
        <v>71.12</v>
      </c>
      <c r="O237" s="130">
        <f t="shared" si="36"/>
        <v>8059.8565804274458</v>
      </c>
      <c r="P237" s="130">
        <f t="shared" si="37"/>
        <v>10.645542128814245</v>
      </c>
      <c r="Q237" s="4" t="s">
        <v>1439</v>
      </c>
    </row>
    <row r="238" spans="1:28" ht="17.25" customHeight="1" x14ac:dyDescent="0.2">
      <c r="A238" s="122"/>
      <c r="B238" s="123"/>
      <c r="C238" s="124"/>
      <c r="D238" s="125"/>
      <c r="E238" s="126"/>
      <c r="F238" s="139"/>
      <c r="G238" s="172" t="s">
        <v>1440</v>
      </c>
      <c r="H238" s="127"/>
      <c r="I238" s="126"/>
      <c r="J238" s="126"/>
      <c r="K238" s="144"/>
      <c r="L238" s="126"/>
      <c r="M238" s="143"/>
      <c r="N238" s="126"/>
      <c r="O238" s="130"/>
      <c r="P238" s="130"/>
      <c r="Q238" s="4"/>
    </row>
    <row r="239" spans="1:28" ht="17.25" customHeight="1" x14ac:dyDescent="0.2">
      <c r="A239" s="173">
        <f>A237+1</f>
        <v>237</v>
      </c>
      <c r="B239" s="174" t="s">
        <v>9</v>
      </c>
      <c r="C239" s="175" t="s">
        <v>73</v>
      </c>
      <c r="D239" s="176">
        <v>344.19200000000001</v>
      </c>
      <c r="E239" s="177">
        <v>574</v>
      </c>
      <c r="F239" s="178">
        <f t="shared" ref="F239:F273" si="40">0.9933*(D239 + E239/1000)-0.41</f>
        <v>342.0460678</v>
      </c>
      <c r="G239" s="179" t="s">
        <v>1441</v>
      </c>
      <c r="H239" s="179" t="s">
        <v>1442</v>
      </c>
      <c r="I239" s="180">
        <v>0.28000000000000003</v>
      </c>
      <c r="J239" s="177">
        <v>1007</v>
      </c>
      <c r="K239" s="181" t="s">
        <v>429</v>
      </c>
      <c r="L239" s="177">
        <v>188416</v>
      </c>
      <c r="M239" s="182">
        <f t="shared" ref="M239:M273" si="41">SQRT(L239)</f>
        <v>434.06911892001716</v>
      </c>
      <c r="N239" s="180">
        <v>25.469000000000001</v>
      </c>
      <c r="O239" s="177">
        <f t="shared" ref="O239:O273" si="42">L239/N239</f>
        <v>7397.8562173622831</v>
      </c>
      <c r="P239" s="177">
        <f t="shared" ref="P239:P273" si="43">M239/N239</f>
        <v>17.043037375633794</v>
      </c>
      <c r="Q239" s="4" t="s">
        <v>1443</v>
      </c>
    </row>
    <row r="240" spans="1:28" ht="17.25" customHeight="1" x14ac:dyDescent="0.2">
      <c r="A240" s="122">
        <f t="shared" ref="A240:A303" si="44">A239+1</f>
        <v>238</v>
      </c>
      <c r="B240" s="123" t="s">
        <v>9</v>
      </c>
      <c r="C240" s="131" t="s">
        <v>73</v>
      </c>
      <c r="D240" s="125">
        <v>343.15</v>
      </c>
      <c r="E240" s="132">
        <v>574</v>
      </c>
      <c r="F240" s="139">
        <f t="shared" si="40"/>
        <v>341.01104919999995</v>
      </c>
      <c r="G240" s="127" t="s">
        <v>1444</v>
      </c>
      <c r="H240" s="127" t="s">
        <v>1445</v>
      </c>
      <c r="I240" s="129">
        <v>0.25</v>
      </c>
      <c r="J240" s="132">
        <v>1637</v>
      </c>
      <c r="K240" s="144" t="s">
        <v>429</v>
      </c>
      <c r="L240" s="132">
        <v>252093</v>
      </c>
      <c r="M240" s="143">
        <f t="shared" si="41"/>
        <v>502.0886375930051</v>
      </c>
      <c r="N240" s="129">
        <v>43.9</v>
      </c>
      <c r="O240" s="132">
        <f t="shared" si="42"/>
        <v>5742.4373576309799</v>
      </c>
      <c r="P240" s="132">
        <f t="shared" si="43"/>
        <v>11.437098806218795</v>
      </c>
      <c r="Q240" s="4"/>
    </row>
    <row r="241" spans="1:17" ht="17.25" customHeight="1" x14ac:dyDescent="0.2">
      <c r="A241" s="122">
        <f t="shared" si="44"/>
        <v>239</v>
      </c>
      <c r="B241" s="123" t="s">
        <v>9</v>
      </c>
      <c r="C241" s="131" t="s">
        <v>73</v>
      </c>
      <c r="D241" s="125">
        <v>342.15</v>
      </c>
      <c r="E241" s="132">
        <v>574</v>
      </c>
      <c r="F241" s="139">
        <f t="shared" si="40"/>
        <v>340.01774919999997</v>
      </c>
      <c r="G241" s="127" t="s">
        <v>1446</v>
      </c>
      <c r="H241" s="127" t="s">
        <v>1447</v>
      </c>
      <c r="I241" s="129">
        <v>0.25</v>
      </c>
      <c r="J241" s="132">
        <v>1007</v>
      </c>
      <c r="K241" s="144" t="s">
        <v>429</v>
      </c>
      <c r="L241" s="132">
        <v>88517</v>
      </c>
      <c r="M241" s="143">
        <f t="shared" si="41"/>
        <v>297.51806667831113</v>
      </c>
      <c r="N241" s="129">
        <v>26.5</v>
      </c>
      <c r="O241" s="132">
        <f t="shared" si="42"/>
        <v>3340.2641509433961</v>
      </c>
      <c r="P241" s="132">
        <f t="shared" si="43"/>
        <v>11.227096855785325</v>
      </c>
      <c r="Q241" s="4"/>
    </row>
    <row r="242" spans="1:17" ht="17.25" customHeight="1" x14ac:dyDescent="0.2">
      <c r="A242" s="122">
        <f t="shared" si="44"/>
        <v>240</v>
      </c>
      <c r="B242" s="123" t="s">
        <v>9</v>
      </c>
      <c r="C242" s="131" t="s">
        <v>73</v>
      </c>
      <c r="D242" s="125">
        <v>341.13</v>
      </c>
      <c r="E242" s="132">
        <v>574</v>
      </c>
      <c r="F242" s="139">
        <f t="shared" si="40"/>
        <v>339.00458319999996</v>
      </c>
      <c r="G242" s="127" t="s">
        <v>1448</v>
      </c>
      <c r="H242" s="127" t="s">
        <v>1449</v>
      </c>
      <c r="I242" s="129">
        <v>0.25</v>
      </c>
      <c r="J242" s="132">
        <v>1133</v>
      </c>
      <c r="K242" s="144" t="s">
        <v>429</v>
      </c>
      <c r="L242" s="132">
        <v>50137</v>
      </c>
      <c r="M242" s="143">
        <f t="shared" si="41"/>
        <v>223.91292950609173</v>
      </c>
      <c r="N242" s="132">
        <v>29</v>
      </c>
      <c r="O242" s="132">
        <f t="shared" si="42"/>
        <v>1728.8620689655172</v>
      </c>
      <c r="P242" s="132">
        <f t="shared" si="43"/>
        <v>7.7211355002100595</v>
      </c>
      <c r="Q242" s="4"/>
    </row>
    <row r="243" spans="1:17" ht="17.25" customHeight="1" x14ac:dyDescent="0.2">
      <c r="A243" s="122">
        <f t="shared" si="44"/>
        <v>241</v>
      </c>
      <c r="B243" s="123" t="s">
        <v>9</v>
      </c>
      <c r="C243" s="131" t="s">
        <v>73</v>
      </c>
      <c r="D243" s="125">
        <v>340.12</v>
      </c>
      <c r="E243" s="132">
        <v>574</v>
      </c>
      <c r="F243" s="139">
        <f t="shared" si="40"/>
        <v>338.00135019999999</v>
      </c>
      <c r="G243" s="127" t="s">
        <v>1449</v>
      </c>
      <c r="H243" s="127" t="s">
        <v>1450</v>
      </c>
      <c r="I243" s="129">
        <v>0.25</v>
      </c>
      <c r="J243" s="132">
        <v>881</v>
      </c>
      <c r="K243" s="144" t="s">
        <v>429</v>
      </c>
      <c r="L243" s="132">
        <v>22010</v>
      </c>
      <c r="M243" s="143">
        <f t="shared" si="41"/>
        <v>148.35767590522573</v>
      </c>
      <c r="N243" s="129">
        <v>20.8</v>
      </c>
      <c r="O243" s="132">
        <f t="shared" si="42"/>
        <v>1058.1730769230769</v>
      </c>
      <c r="P243" s="132">
        <f t="shared" si="43"/>
        <v>7.1325805723666216</v>
      </c>
      <c r="Q243" s="4"/>
    </row>
    <row r="244" spans="1:17" ht="17.25" customHeight="1" x14ac:dyDescent="0.2">
      <c r="A244" s="122">
        <f t="shared" si="44"/>
        <v>242</v>
      </c>
      <c r="B244" s="123" t="s">
        <v>9</v>
      </c>
      <c r="C244" s="131" t="s">
        <v>73</v>
      </c>
      <c r="D244" s="125">
        <v>339.11</v>
      </c>
      <c r="E244" s="132">
        <v>574</v>
      </c>
      <c r="F244" s="139">
        <f t="shared" si="40"/>
        <v>336.99811719999997</v>
      </c>
      <c r="G244" s="127" t="s">
        <v>1450</v>
      </c>
      <c r="H244" s="127" t="s">
        <v>1451</v>
      </c>
      <c r="I244" s="129">
        <v>0.23</v>
      </c>
      <c r="J244" s="132">
        <v>1133</v>
      </c>
      <c r="K244" s="144" t="s">
        <v>429</v>
      </c>
      <c r="L244" s="132">
        <v>18524</v>
      </c>
      <c r="M244" s="143">
        <f t="shared" si="41"/>
        <v>136.10290224679267</v>
      </c>
      <c r="N244" s="129">
        <v>25.7</v>
      </c>
      <c r="O244" s="132">
        <f t="shared" si="42"/>
        <v>720.77821011673154</v>
      </c>
      <c r="P244" s="132">
        <f t="shared" si="43"/>
        <v>5.2958327722487422</v>
      </c>
      <c r="Q244" s="4"/>
    </row>
    <row r="245" spans="1:17" ht="17.25" customHeight="1" x14ac:dyDescent="0.2">
      <c r="A245" s="122">
        <f t="shared" si="44"/>
        <v>243</v>
      </c>
      <c r="B245" s="123" t="s">
        <v>9</v>
      </c>
      <c r="C245" s="131" t="s">
        <v>73</v>
      </c>
      <c r="D245" s="125">
        <v>338.1</v>
      </c>
      <c r="E245" s="132">
        <v>574</v>
      </c>
      <c r="F245" s="139">
        <f t="shared" si="40"/>
        <v>335.9948842</v>
      </c>
      <c r="G245" s="127" t="s">
        <v>1452</v>
      </c>
      <c r="H245" s="127" t="s">
        <v>1453</v>
      </c>
      <c r="I245" s="129">
        <v>0.24</v>
      </c>
      <c r="J245" s="132">
        <v>1259</v>
      </c>
      <c r="K245" s="144" t="s">
        <v>429</v>
      </c>
      <c r="L245" s="132">
        <v>15787</v>
      </c>
      <c r="M245" s="143">
        <f t="shared" si="41"/>
        <v>125.64632903511348</v>
      </c>
      <c r="N245" s="129">
        <v>29.6</v>
      </c>
      <c r="O245" s="132">
        <f t="shared" si="42"/>
        <v>533.34459459459458</v>
      </c>
      <c r="P245" s="132">
        <f t="shared" si="43"/>
        <v>4.2448084133484283</v>
      </c>
      <c r="Q245" s="4"/>
    </row>
    <row r="246" spans="1:17" ht="17.25" customHeight="1" x14ac:dyDescent="0.2">
      <c r="A246" s="122">
        <f t="shared" si="44"/>
        <v>244</v>
      </c>
      <c r="B246" s="123" t="s">
        <v>9</v>
      </c>
      <c r="C246" s="131" t="s">
        <v>73</v>
      </c>
      <c r="D246" s="125">
        <v>337.09</v>
      </c>
      <c r="E246" s="132">
        <v>574</v>
      </c>
      <c r="F246" s="139">
        <f t="shared" si="40"/>
        <v>334.99165119999992</v>
      </c>
      <c r="G246" s="127" t="s">
        <v>1454</v>
      </c>
      <c r="H246" s="127">
        <v>25569.041962604166</v>
      </c>
      <c r="I246" s="129">
        <v>0.23</v>
      </c>
      <c r="J246" s="132">
        <v>3399</v>
      </c>
      <c r="K246" s="144" t="s">
        <v>429</v>
      </c>
      <c r="L246" s="132">
        <v>31505</v>
      </c>
      <c r="M246" s="143">
        <f t="shared" si="41"/>
        <v>177.49647883831386</v>
      </c>
      <c r="N246" s="129">
        <v>77.599999999999994</v>
      </c>
      <c r="O246" s="132">
        <f t="shared" si="42"/>
        <v>405.99226804123714</v>
      </c>
      <c r="P246" s="132">
        <f t="shared" si="43"/>
        <v>2.2873257582256943</v>
      </c>
      <c r="Q246" s="4"/>
    </row>
    <row r="247" spans="1:17" ht="17.25" customHeight="1" x14ac:dyDescent="0.2">
      <c r="A247" s="122">
        <f t="shared" si="44"/>
        <v>245</v>
      </c>
      <c r="B247" s="123" t="s">
        <v>9</v>
      </c>
      <c r="C247" s="131" t="s">
        <v>73</v>
      </c>
      <c r="D247" s="125">
        <v>336.08</v>
      </c>
      <c r="E247" s="132">
        <v>574</v>
      </c>
      <c r="F247" s="139">
        <f t="shared" si="40"/>
        <v>333.98841819999996</v>
      </c>
      <c r="G247" s="127">
        <v>25569.041962604166</v>
      </c>
      <c r="H247" s="127">
        <v>25569.041962604166</v>
      </c>
      <c r="I247" s="129">
        <v>0.23</v>
      </c>
      <c r="J247" s="132">
        <v>2140</v>
      </c>
      <c r="K247" s="144" t="s">
        <v>429</v>
      </c>
      <c r="L247" s="132">
        <v>15433</v>
      </c>
      <c r="M247" s="143">
        <f t="shared" si="41"/>
        <v>124.22962609619333</v>
      </c>
      <c r="N247" s="129">
        <v>44.9</v>
      </c>
      <c r="O247" s="132">
        <f t="shared" si="42"/>
        <v>343.71937639198217</v>
      </c>
      <c r="P247" s="132">
        <f t="shared" si="43"/>
        <v>2.7668068172871565</v>
      </c>
      <c r="Q247" s="4"/>
    </row>
    <row r="248" spans="1:17" ht="17.25" customHeight="1" x14ac:dyDescent="0.2">
      <c r="A248" s="122">
        <f t="shared" si="44"/>
        <v>246</v>
      </c>
      <c r="B248" s="123" t="s">
        <v>9</v>
      </c>
      <c r="C248" s="131" t="s">
        <v>73</v>
      </c>
      <c r="D248" s="125">
        <v>344.19200000000001</v>
      </c>
      <c r="E248" s="132">
        <v>574</v>
      </c>
      <c r="F248" s="139">
        <f t="shared" si="40"/>
        <v>342.0460678</v>
      </c>
      <c r="G248" s="127">
        <v>25569.041962604166</v>
      </c>
      <c r="H248" s="127">
        <v>25569.041962604166</v>
      </c>
      <c r="I248" s="129">
        <v>0.28999999999999998</v>
      </c>
      <c r="J248" s="132">
        <v>881</v>
      </c>
      <c r="K248" s="144" t="s">
        <v>429</v>
      </c>
      <c r="L248" s="132">
        <v>165129</v>
      </c>
      <c r="M248" s="143">
        <f t="shared" si="41"/>
        <v>406.36067723144669</v>
      </c>
      <c r="N248" s="129">
        <v>22.7</v>
      </c>
      <c r="O248" s="132">
        <f t="shared" si="42"/>
        <v>7274.4052863436127</v>
      </c>
      <c r="P248" s="132">
        <f t="shared" si="43"/>
        <v>17.901351419887519</v>
      </c>
      <c r="Q248" s="4"/>
    </row>
    <row r="249" spans="1:17" ht="17.25" customHeight="1" x14ac:dyDescent="0.2">
      <c r="A249" s="122">
        <f t="shared" si="44"/>
        <v>247</v>
      </c>
      <c r="B249" s="123" t="s">
        <v>9</v>
      </c>
      <c r="C249" s="131" t="s">
        <v>73</v>
      </c>
      <c r="D249" s="125">
        <v>345.19200000000001</v>
      </c>
      <c r="E249" s="132">
        <v>574</v>
      </c>
      <c r="F249" s="139">
        <f t="shared" si="40"/>
        <v>343.03936779999998</v>
      </c>
      <c r="G249" s="127">
        <v>25569.041962604166</v>
      </c>
      <c r="H249" s="127">
        <v>25569.041962604166</v>
      </c>
      <c r="I249" s="129">
        <v>0.28999999999999998</v>
      </c>
      <c r="J249" s="132">
        <v>1007</v>
      </c>
      <c r="K249" s="144" t="s">
        <v>429</v>
      </c>
      <c r="L249" s="132">
        <v>210368</v>
      </c>
      <c r="M249" s="143">
        <f t="shared" si="41"/>
        <v>458.65891466317322</v>
      </c>
      <c r="N249" s="129">
        <v>26.3</v>
      </c>
      <c r="O249" s="132">
        <f t="shared" si="42"/>
        <v>7998.7832699619767</v>
      </c>
      <c r="P249" s="132">
        <f t="shared" si="43"/>
        <v>17.439502458675786</v>
      </c>
      <c r="Q249" s="4"/>
    </row>
    <row r="250" spans="1:17" ht="17.25" customHeight="1" x14ac:dyDescent="0.2">
      <c r="A250" s="122">
        <f t="shared" si="44"/>
        <v>248</v>
      </c>
      <c r="B250" s="123" t="s">
        <v>9</v>
      </c>
      <c r="C250" s="131" t="s">
        <v>73</v>
      </c>
      <c r="D250" s="125">
        <v>346.2</v>
      </c>
      <c r="E250" s="132">
        <v>574</v>
      </c>
      <c r="F250" s="139">
        <f t="shared" si="40"/>
        <v>344.04061419999994</v>
      </c>
      <c r="G250" s="127">
        <v>25569.041962604166</v>
      </c>
      <c r="H250" s="127">
        <v>25569.041962604166</v>
      </c>
      <c r="I250" s="129">
        <v>0.28999999999999998</v>
      </c>
      <c r="J250" s="132">
        <v>1637</v>
      </c>
      <c r="K250" s="144" t="s">
        <v>429</v>
      </c>
      <c r="L250" s="132">
        <v>388057</v>
      </c>
      <c r="M250" s="143">
        <f t="shared" si="41"/>
        <v>622.9422124081816</v>
      </c>
      <c r="N250" s="132">
        <v>46</v>
      </c>
      <c r="O250" s="132">
        <f t="shared" si="42"/>
        <v>8436.0217391304341</v>
      </c>
      <c r="P250" s="132">
        <f t="shared" si="43"/>
        <v>13.542222008873512</v>
      </c>
      <c r="Q250" s="4"/>
    </row>
    <row r="251" spans="1:17" ht="17.25" customHeight="1" x14ac:dyDescent="0.2">
      <c r="A251" s="122">
        <f t="shared" si="44"/>
        <v>249</v>
      </c>
      <c r="B251" s="123" t="s">
        <v>9</v>
      </c>
      <c r="C251" s="131" t="s">
        <v>73</v>
      </c>
      <c r="D251" s="125">
        <v>347.17</v>
      </c>
      <c r="E251" s="132">
        <v>574</v>
      </c>
      <c r="F251" s="139">
        <f t="shared" si="40"/>
        <v>345.0041152</v>
      </c>
      <c r="G251" s="127">
        <v>25569.041962604166</v>
      </c>
      <c r="H251" s="127">
        <v>25569.041962604166</v>
      </c>
      <c r="I251" s="129">
        <v>0.28000000000000003</v>
      </c>
      <c r="J251" s="126"/>
      <c r="K251" s="144" t="s">
        <v>429</v>
      </c>
      <c r="L251" s="132">
        <v>192159</v>
      </c>
      <c r="M251" s="143">
        <f t="shared" si="41"/>
        <v>438.35944155453069</v>
      </c>
      <c r="N251" s="129">
        <v>21.9</v>
      </c>
      <c r="O251" s="132">
        <f t="shared" si="42"/>
        <v>8774.3835616438355</v>
      </c>
      <c r="P251" s="132">
        <f t="shared" si="43"/>
        <v>20.016412856371264</v>
      </c>
      <c r="Q251" s="4"/>
    </row>
    <row r="252" spans="1:17" ht="17.25" customHeight="1" x14ac:dyDescent="0.2">
      <c r="A252" s="122">
        <f t="shared" si="44"/>
        <v>250</v>
      </c>
      <c r="B252" s="123" t="s">
        <v>9</v>
      </c>
      <c r="C252" s="131" t="s">
        <v>73</v>
      </c>
      <c r="D252" s="125">
        <v>348.17</v>
      </c>
      <c r="E252" s="132">
        <v>574</v>
      </c>
      <c r="F252" s="139">
        <f t="shared" si="40"/>
        <v>345.99741519999998</v>
      </c>
      <c r="G252" s="127">
        <v>25569.041962604166</v>
      </c>
      <c r="H252" s="127">
        <v>25569.041962604166</v>
      </c>
      <c r="I252" s="129">
        <v>0.28000000000000003</v>
      </c>
      <c r="J252" s="132">
        <v>1007</v>
      </c>
      <c r="K252" s="144" t="s">
        <v>429</v>
      </c>
      <c r="L252" s="132">
        <v>252703</v>
      </c>
      <c r="M252" s="143">
        <f t="shared" si="41"/>
        <v>502.69573302346618</v>
      </c>
      <c r="N252" s="129">
        <v>28.3</v>
      </c>
      <c r="O252" s="132">
        <f t="shared" si="42"/>
        <v>8929.4346289752648</v>
      </c>
      <c r="P252" s="132">
        <f t="shared" si="43"/>
        <v>17.763100106836259</v>
      </c>
      <c r="Q252" s="4"/>
    </row>
    <row r="253" spans="1:17" ht="17.25" customHeight="1" x14ac:dyDescent="0.2">
      <c r="A253" s="122">
        <f t="shared" si="44"/>
        <v>251</v>
      </c>
      <c r="B253" s="123" t="s">
        <v>9</v>
      </c>
      <c r="C253" s="131" t="s">
        <v>73</v>
      </c>
      <c r="D253" s="125">
        <v>349.18</v>
      </c>
      <c r="E253" s="132">
        <v>574</v>
      </c>
      <c r="F253" s="139">
        <f t="shared" si="40"/>
        <v>347.0006482</v>
      </c>
      <c r="G253" s="127">
        <v>25569.041962604166</v>
      </c>
      <c r="H253" s="127">
        <v>25569.041962604166</v>
      </c>
      <c r="I253" s="129">
        <v>0.28000000000000003</v>
      </c>
      <c r="J253" s="132">
        <v>1259</v>
      </c>
      <c r="K253" s="144" t="s">
        <v>429</v>
      </c>
      <c r="L253" s="132">
        <v>298071</v>
      </c>
      <c r="M253" s="143">
        <f t="shared" si="41"/>
        <v>545.95878965357815</v>
      </c>
      <c r="N253" s="129">
        <v>32.799999999999997</v>
      </c>
      <c r="O253" s="132">
        <f t="shared" si="42"/>
        <v>9087.5304878048792</v>
      </c>
      <c r="P253" s="132">
        <f t="shared" si="43"/>
        <v>16.645085050413968</v>
      </c>
      <c r="Q253" s="4"/>
    </row>
    <row r="254" spans="1:17" ht="17.25" customHeight="1" x14ac:dyDescent="0.2">
      <c r="A254" s="122">
        <f t="shared" si="44"/>
        <v>252</v>
      </c>
      <c r="B254" s="123" t="s">
        <v>9</v>
      </c>
      <c r="C254" s="131" t="s">
        <v>73</v>
      </c>
      <c r="D254" s="125">
        <v>350.17399999999998</v>
      </c>
      <c r="E254" s="132">
        <v>574</v>
      </c>
      <c r="F254" s="139">
        <f t="shared" si="40"/>
        <v>347.98798839999995</v>
      </c>
      <c r="G254" s="127">
        <v>25569.041962604166</v>
      </c>
      <c r="H254" s="127">
        <v>25569.041962604166</v>
      </c>
      <c r="I254" s="129">
        <v>0.28999999999999998</v>
      </c>
      <c r="J254" s="132">
        <v>881</v>
      </c>
      <c r="K254" s="144" t="s">
        <v>429</v>
      </c>
      <c r="L254" s="132">
        <v>194652</v>
      </c>
      <c r="M254" s="143">
        <f t="shared" si="41"/>
        <v>441.19383495239367</v>
      </c>
      <c r="N254" s="129">
        <v>21.4</v>
      </c>
      <c r="O254" s="132">
        <f t="shared" si="42"/>
        <v>9095.8878504672903</v>
      </c>
      <c r="P254" s="132">
        <f t="shared" si="43"/>
        <v>20.6165343435698</v>
      </c>
      <c r="Q254" s="4"/>
    </row>
    <row r="255" spans="1:17" ht="17.25" customHeight="1" x14ac:dyDescent="0.2">
      <c r="A255" s="122">
        <f t="shared" si="44"/>
        <v>253</v>
      </c>
      <c r="B255" s="123" t="s">
        <v>9</v>
      </c>
      <c r="C255" s="131" t="s">
        <v>73</v>
      </c>
      <c r="D255" s="125">
        <v>352.2</v>
      </c>
      <c r="E255" s="132">
        <v>574</v>
      </c>
      <c r="F255" s="139">
        <f t="shared" si="40"/>
        <v>350.00041419999997</v>
      </c>
      <c r="G255" s="127">
        <v>25569.041962604166</v>
      </c>
      <c r="H255" s="127">
        <v>25569.041962604166</v>
      </c>
      <c r="I255" s="129">
        <v>0.24</v>
      </c>
      <c r="J255" s="132">
        <v>881</v>
      </c>
      <c r="K255" s="144" t="s">
        <v>429</v>
      </c>
      <c r="L255" s="132">
        <v>190121</v>
      </c>
      <c r="M255" s="143">
        <f t="shared" si="41"/>
        <v>436.02866878222585</v>
      </c>
      <c r="N255" s="129">
        <v>20.3</v>
      </c>
      <c r="O255" s="132">
        <f t="shared" si="42"/>
        <v>9365.5665024630543</v>
      </c>
      <c r="P255" s="132">
        <f t="shared" si="43"/>
        <v>21.479244767597333</v>
      </c>
      <c r="Q255" s="4"/>
    </row>
    <row r="256" spans="1:17" ht="17.25" customHeight="1" x14ac:dyDescent="0.2">
      <c r="A256" s="122">
        <f t="shared" si="44"/>
        <v>254</v>
      </c>
      <c r="B256" s="123" t="s">
        <v>9</v>
      </c>
      <c r="C256" s="131" t="s">
        <v>73</v>
      </c>
      <c r="D256" s="125">
        <v>354.2</v>
      </c>
      <c r="E256" s="132">
        <v>574</v>
      </c>
      <c r="F256" s="139">
        <f t="shared" si="40"/>
        <v>351.98701419999998</v>
      </c>
      <c r="G256" s="127">
        <v>25569.041962604166</v>
      </c>
      <c r="H256" s="127">
        <v>25569.041962604166</v>
      </c>
      <c r="I256" s="129">
        <v>0.24</v>
      </c>
      <c r="J256" s="132">
        <v>756</v>
      </c>
      <c r="K256" s="144" t="s">
        <v>429</v>
      </c>
      <c r="L256" s="132">
        <v>179835</v>
      </c>
      <c r="M256" s="143">
        <f t="shared" si="41"/>
        <v>424.06956976420742</v>
      </c>
      <c r="N256" s="129">
        <v>19.3</v>
      </c>
      <c r="O256" s="132">
        <f t="shared" si="42"/>
        <v>9317.8756476683939</v>
      </c>
      <c r="P256" s="132">
        <f t="shared" si="43"/>
        <v>21.972516568093649</v>
      </c>
      <c r="Q256" s="4"/>
    </row>
    <row r="257" spans="1:17" ht="17.25" customHeight="1" x14ac:dyDescent="0.2">
      <c r="A257" s="122">
        <f t="shared" si="44"/>
        <v>255</v>
      </c>
      <c r="B257" s="123" t="s">
        <v>9</v>
      </c>
      <c r="C257" s="131" t="s">
        <v>73</v>
      </c>
      <c r="D257" s="125">
        <v>356.23</v>
      </c>
      <c r="E257" s="132">
        <v>574</v>
      </c>
      <c r="F257" s="139">
        <f t="shared" si="40"/>
        <v>354.00341320000001</v>
      </c>
      <c r="G257" s="127">
        <v>25569.041962604166</v>
      </c>
      <c r="H257" s="127">
        <v>25569.041962604166</v>
      </c>
      <c r="I257" s="129">
        <v>0.22</v>
      </c>
      <c r="J257" s="132">
        <v>1259</v>
      </c>
      <c r="K257" s="144" t="s">
        <v>429</v>
      </c>
      <c r="L257" s="132">
        <v>370793</v>
      </c>
      <c r="M257" s="143">
        <f t="shared" si="41"/>
        <v>608.92774612428366</v>
      </c>
      <c r="N257" s="129">
        <v>39.700000000000003</v>
      </c>
      <c r="O257" s="132">
        <f t="shared" si="42"/>
        <v>9339.8740554156157</v>
      </c>
      <c r="P257" s="132">
        <f t="shared" si="43"/>
        <v>15.338230380964323</v>
      </c>
      <c r="Q257" s="4"/>
    </row>
    <row r="258" spans="1:17" ht="17.25" customHeight="1" x14ac:dyDescent="0.2">
      <c r="A258" s="122">
        <f t="shared" si="44"/>
        <v>256</v>
      </c>
      <c r="B258" s="123" t="s">
        <v>9</v>
      </c>
      <c r="C258" s="131" t="s">
        <v>73</v>
      </c>
      <c r="D258" s="125">
        <v>358.24</v>
      </c>
      <c r="E258" s="132">
        <v>574</v>
      </c>
      <c r="F258" s="139">
        <f t="shared" si="40"/>
        <v>355.99994619999995</v>
      </c>
      <c r="G258" s="127">
        <v>25569.041962604166</v>
      </c>
      <c r="H258" s="127">
        <v>25569.041962604166</v>
      </c>
      <c r="I258" s="129">
        <v>0.33</v>
      </c>
      <c r="J258" s="132">
        <v>881</v>
      </c>
      <c r="K258" s="144" t="s">
        <v>429</v>
      </c>
      <c r="L258" s="132">
        <v>246456</v>
      </c>
      <c r="M258" s="143">
        <f t="shared" si="41"/>
        <v>496.4433502425025</v>
      </c>
      <c r="N258" s="129">
        <v>25.96</v>
      </c>
      <c r="O258" s="132">
        <f t="shared" si="42"/>
        <v>9493.6825885978433</v>
      </c>
      <c r="P258" s="132">
        <f t="shared" si="43"/>
        <v>19.123395617970051</v>
      </c>
      <c r="Q258" s="4"/>
    </row>
    <row r="259" spans="1:17" ht="17.25" customHeight="1" x14ac:dyDescent="0.2">
      <c r="A259" s="122">
        <f t="shared" si="44"/>
        <v>257</v>
      </c>
      <c r="B259" s="123" t="s">
        <v>9</v>
      </c>
      <c r="C259" s="131" t="s">
        <v>73</v>
      </c>
      <c r="D259" s="125">
        <v>360.25</v>
      </c>
      <c r="E259" s="132">
        <v>574</v>
      </c>
      <c r="F259" s="139">
        <f t="shared" si="40"/>
        <v>357.99647919999995</v>
      </c>
      <c r="G259" s="127">
        <v>25569.041962604166</v>
      </c>
      <c r="H259" s="127">
        <v>25569.041962604166</v>
      </c>
      <c r="I259" s="129">
        <v>0.35</v>
      </c>
      <c r="J259" s="132">
        <v>756</v>
      </c>
      <c r="K259" s="144" t="s">
        <v>429</v>
      </c>
      <c r="L259" s="132">
        <v>203984</v>
      </c>
      <c r="M259" s="143">
        <f t="shared" si="41"/>
        <v>451.64587898042424</v>
      </c>
      <c r="N259" s="129">
        <v>21.8</v>
      </c>
      <c r="O259" s="132">
        <f t="shared" si="42"/>
        <v>9357.0642201834853</v>
      </c>
      <c r="P259" s="132">
        <f t="shared" si="43"/>
        <v>20.717700870661663</v>
      </c>
      <c r="Q259" s="4"/>
    </row>
    <row r="260" spans="1:17" ht="17.25" customHeight="1" x14ac:dyDescent="0.2">
      <c r="A260" s="122">
        <f t="shared" si="44"/>
        <v>258</v>
      </c>
      <c r="B260" s="123" t="s">
        <v>9</v>
      </c>
      <c r="C260" s="131" t="s">
        <v>73</v>
      </c>
      <c r="D260" s="125">
        <v>364.29</v>
      </c>
      <c r="E260" s="132">
        <v>574</v>
      </c>
      <c r="F260" s="139">
        <f t="shared" si="40"/>
        <v>362.00941119999999</v>
      </c>
      <c r="G260" s="127">
        <v>25569.041962604166</v>
      </c>
      <c r="H260" s="127">
        <v>25569.041962604166</v>
      </c>
      <c r="I260" s="129">
        <v>0.32</v>
      </c>
      <c r="J260" s="126"/>
      <c r="K260" s="144" t="s">
        <v>429</v>
      </c>
      <c r="L260" s="132">
        <v>158942</v>
      </c>
      <c r="M260" s="143">
        <f t="shared" si="41"/>
        <v>398.67530648386037</v>
      </c>
      <c r="N260" s="129">
        <v>17.100000000000001</v>
      </c>
      <c r="O260" s="132">
        <f t="shared" si="42"/>
        <v>9294.8538011695891</v>
      </c>
      <c r="P260" s="132">
        <f t="shared" si="43"/>
        <v>23.314345408412883</v>
      </c>
      <c r="Q260" s="4"/>
    </row>
    <row r="261" spans="1:17" ht="17.25" customHeight="1" x14ac:dyDescent="0.2">
      <c r="A261" s="122">
        <f t="shared" si="44"/>
        <v>259</v>
      </c>
      <c r="B261" s="123" t="s">
        <v>9</v>
      </c>
      <c r="C261" s="131" t="s">
        <v>73</v>
      </c>
      <c r="D261" s="125">
        <v>368.31</v>
      </c>
      <c r="E261" s="132">
        <v>574</v>
      </c>
      <c r="F261" s="139">
        <f t="shared" si="40"/>
        <v>366.00247719999999</v>
      </c>
      <c r="G261" s="127">
        <v>25569.041962604166</v>
      </c>
      <c r="H261" s="127">
        <v>25569.041962604166</v>
      </c>
      <c r="I261" s="129">
        <v>0.28000000000000003</v>
      </c>
      <c r="J261" s="132">
        <v>1007</v>
      </c>
      <c r="K261" s="144" t="s">
        <v>429</v>
      </c>
      <c r="L261" s="132">
        <v>213279</v>
      </c>
      <c r="M261" s="143">
        <f t="shared" si="41"/>
        <v>461.8213940475257</v>
      </c>
      <c r="N261" s="129">
        <v>25.9</v>
      </c>
      <c r="O261" s="132">
        <f t="shared" si="42"/>
        <v>8234.7104247104253</v>
      </c>
      <c r="P261" s="132">
        <f t="shared" si="43"/>
        <v>17.830941855116823</v>
      </c>
      <c r="Q261" s="4"/>
    </row>
    <row r="262" spans="1:17" ht="17.25" customHeight="1" x14ac:dyDescent="0.2">
      <c r="A262" s="122">
        <f t="shared" si="44"/>
        <v>260</v>
      </c>
      <c r="B262" s="123" t="s">
        <v>9</v>
      </c>
      <c r="C262" s="131" t="s">
        <v>73</v>
      </c>
      <c r="D262" s="125">
        <v>372.33</v>
      </c>
      <c r="E262" s="132">
        <v>574</v>
      </c>
      <c r="F262" s="139">
        <f t="shared" si="40"/>
        <v>369.99554319999993</v>
      </c>
      <c r="G262" s="127">
        <v>25569.041962604166</v>
      </c>
      <c r="H262" s="127">
        <v>25569.041962604166</v>
      </c>
      <c r="I262" s="129">
        <v>0.3</v>
      </c>
      <c r="J262" s="132">
        <v>756</v>
      </c>
      <c r="K262" s="144" t="s">
        <v>429</v>
      </c>
      <c r="L262" s="132">
        <v>117985</v>
      </c>
      <c r="M262" s="143">
        <f t="shared" si="41"/>
        <v>343.48944670833777</v>
      </c>
      <c r="N262" s="129">
        <v>23.3</v>
      </c>
      <c r="O262" s="132">
        <f t="shared" si="42"/>
        <v>5063.7339055793991</v>
      </c>
      <c r="P262" s="132">
        <f t="shared" si="43"/>
        <v>14.742036339413637</v>
      </c>
      <c r="Q262" s="4"/>
    </row>
    <row r="263" spans="1:17" ht="17.25" customHeight="1" x14ac:dyDescent="0.2">
      <c r="A263" s="122">
        <f t="shared" si="44"/>
        <v>261</v>
      </c>
      <c r="B263" s="123" t="s">
        <v>9</v>
      </c>
      <c r="C263" s="131" t="s">
        <v>73</v>
      </c>
      <c r="D263" s="125">
        <v>376.36</v>
      </c>
      <c r="E263" s="132">
        <v>574</v>
      </c>
      <c r="F263" s="139">
        <f t="shared" si="40"/>
        <v>373.99854219999997</v>
      </c>
      <c r="G263" s="127">
        <v>25569.041962604166</v>
      </c>
      <c r="H263" s="127">
        <v>25569.041962604166</v>
      </c>
      <c r="I263" s="129">
        <v>0.35</v>
      </c>
      <c r="J263" s="132">
        <v>881</v>
      </c>
      <c r="K263" s="144" t="s">
        <v>429</v>
      </c>
      <c r="L263" s="132">
        <v>52191</v>
      </c>
      <c r="M263" s="143">
        <f t="shared" si="41"/>
        <v>228.4534963619511</v>
      </c>
      <c r="N263" s="129">
        <v>27.6</v>
      </c>
      <c r="O263" s="132">
        <f t="shared" si="42"/>
        <v>1890.978260869565</v>
      </c>
      <c r="P263" s="132">
        <f t="shared" si="43"/>
        <v>8.2773005928243144</v>
      </c>
      <c r="Q263" s="4"/>
    </row>
    <row r="264" spans="1:17" ht="17.25" customHeight="1" x14ac:dyDescent="0.2">
      <c r="A264" s="122">
        <f t="shared" si="44"/>
        <v>262</v>
      </c>
      <c r="B264" s="123" t="s">
        <v>9</v>
      </c>
      <c r="C264" s="131" t="s">
        <v>73</v>
      </c>
      <c r="D264" s="125">
        <v>380.39</v>
      </c>
      <c r="E264" s="132">
        <v>574</v>
      </c>
      <c r="F264" s="139">
        <f t="shared" si="40"/>
        <v>378.00154119999996</v>
      </c>
      <c r="G264" s="127">
        <v>25569.041962604166</v>
      </c>
      <c r="H264" s="127">
        <v>25569.041962604166</v>
      </c>
      <c r="I264" s="129">
        <v>0.32</v>
      </c>
      <c r="J264" s="132">
        <v>1385</v>
      </c>
      <c r="K264" s="144" t="s">
        <v>429</v>
      </c>
      <c r="L264" s="132">
        <v>27349</v>
      </c>
      <c r="M264" s="143">
        <f t="shared" si="41"/>
        <v>165.37533068750005</v>
      </c>
      <c r="N264" s="129">
        <v>39.700000000000003</v>
      </c>
      <c r="O264" s="132">
        <f t="shared" si="42"/>
        <v>688.89168765743068</v>
      </c>
      <c r="P264" s="132">
        <f t="shared" si="43"/>
        <v>4.1656254581234267</v>
      </c>
      <c r="Q264" s="4"/>
    </row>
    <row r="265" spans="1:17" ht="17.25" customHeight="1" x14ac:dyDescent="0.2">
      <c r="A265" s="122">
        <f t="shared" si="44"/>
        <v>263</v>
      </c>
      <c r="B265" s="123" t="s">
        <v>9</v>
      </c>
      <c r="C265" s="131" t="s">
        <v>73</v>
      </c>
      <c r="D265" s="125">
        <v>384.42</v>
      </c>
      <c r="E265" s="132">
        <v>574</v>
      </c>
      <c r="F265" s="139">
        <f t="shared" si="40"/>
        <v>382.00454020000001</v>
      </c>
      <c r="G265" s="127">
        <v>25569.041962604166</v>
      </c>
      <c r="H265" s="127">
        <v>25569.041962604166</v>
      </c>
      <c r="I265" s="129">
        <v>0.5</v>
      </c>
      <c r="J265" s="132">
        <v>1511</v>
      </c>
      <c r="K265" s="144" t="s">
        <v>429</v>
      </c>
      <c r="L265" s="132">
        <v>29117</v>
      </c>
      <c r="M265" s="143">
        <f t="shared" si="41"/>
        <v>170.63704169962628</v>
      </c>
      <c r="N265" s="129">
        <v>74.900000000000006</v>
      </c>
      <c r="O265" s="132">
        <f t="shared" si="42"/>
        <v>388.74499332443253</v>
      </c>
      <c r="P265" s="132">
        <f t="shared" si="43"/>
        <v>2.2781981535330611</v>
      </c>
      <c r="Q265" s="4"/>
    </row>
    <row r="266" spans="1:17" ht="17.25" customHeight="1" x14ac:dyDescent="0.2">
      <c r="A266" s="122">
        <f t="shared" si="44"/>
        <v>264</v>
      </c>
      <c r="B266" s="123" t="s">
        <v>9</v>
      </c>
      <c r="C266" s="131" t="s">
        <v>73</v>
      </c>
      <c r="D266" s="125">
        <v>388.44</v>
      </c>
      <c r="E266" s="132">
        <v>574</v>
      </c>
      <c r="F266" s="139">
        <f t="shared" si="40"/>
        <v>385.99760619999995</v>
      </c>
      <c r="G266" s="127">
        <v>25569.041962604166</v>
      </c>
      <c r="H266" s="127">
        <v>25569.041962604166</v>
      </c>
      <c r="I266" s="129">
        <v>0.7</v>
      </c>
      <c r="J266" s="132">
        <v>2140</v>
      </c>
      <c r="K266" s="144" t="s">
        <v>429</v>
      </c>
      <c r="L266" s="132">
        <v>40668</v>
      </c>
      <c r="M266" s="143">
        <f t="shared" si="41"/>
        <v>201.66308536764978</v>
      </c>
      <c r="N266" s="129">
        <v>148.80000000000001</v>
      </c>
      <c r="O266" s="132">
        <f t="shared" si="42"/>
        <v>273.30645161290323</v>
      </c>
      <c r="P266" s="132">
        <f t="shared" si="43"/>
        <v>1.3552626704815172</v>
      </c>
      <c r="Q266" s="4"/>
    </row>
    <row r="267" spans="1:17" ht="17.25" customHeight="1" x14ac:dyDescent="0.2">
      <c r="A267" s="122">
        <f t="shared" si="44"/>
        <v>265</v>
      </c>
      <c r="B267" s="123" t="s">
        <v>9</v>
      </c>
      <c r="C267" s="131" t="s">
        <v>73</v>
      </c>
      <c r="D267" s="125">
        <v>344.19200000000001</v>
      </c>
      <c r="E267" s="132">
        <v>574</v>
      </c>
      <c r="F267" s="139">
        <f t="shared" si="40"/>
        <v>342.0460678</v>
      </c>
      <c r="G267" s="127">
        <v>25569.041962604166</v>
      </c>
      <c r="H267" s="127">
        <v>25569.041962604166</v>
      </c>
      <c r="I267" s="129">
        <v>0.25</v>
      </c>
      <c r="J267" s="132">
        <v>1762</v>
      </c>
      <c r="K267" s="144" t="s">
        <v>429</v>
      </c>
      <c r="L267" s="132">
        <v>279775</v>
      </c>
      <c r="M267" s="143">
        <f t="shared" si="41"/>
        <v>528.93761446885208</v>
      </c>
      <c r="N267" s="129">
        <v>38.4</v>
      </c>
      <c r="O267" s="132">
        <f t="shared" si="42"/>
        <v>7285.807291666667</v>
      </c>
      <c r="P267" s="132">
        <f t="shared" si="43"/>
        <v>13.774417043459691</v>
      </c>
      <c r="Q267" s="4"/>
    </row>
    <row r="268" spans="1:17" ht="17.25" customHeight="1" x14ac:dyDescent="0.2">
      <c r="A268" s="183">
        <f t="shared" si="44"/>
        <v>266</v>
      </c>
      <c r="B268" s="184" t="s">
        <v>9</v>
      </c>
      <c r="C268" s="185" t="s">
        <v>73</v>
      </c>
      <c r="D268" s="186">
        <v>331.77</v>
      </c>
      <c r="E268" s="187">
        <v>865</v>
      </c>
      <c r="F268" s="188">
        <f t="shared" si="40"/>
        <v>329.99634549999996</v>
      </c>
      <c r="G268" s="189">
        <v>25569.041962604166</v>
      </c>
      <c r="H268" s="189">
        <v>25569.041962604166</v>
      </c>
      <c r="I268" s="187">
        <v>10</v>
      </c>
      <c r="J268" s="187">
        <v>5035</v>
      </c>
      <c r="K268" s="190" t="s">
        <v>429</v>
      </c>
      <c r="L268" s="187">
        <v>800555</v>
      </c>
      <c r="M268" s="191">
        <f t="shared" si="41"/>
        <v>894.73739164069809</v>
      </c>
      <c r="N268" s="187">
        <v>4998</v>
      </c>
      <c r="O268" s="187">
        <f t="shared" si="42"/>
        <v>160.17507002801119</v>
      </c>
      <c r="P268" s="187">
        <f t="shared" si="43"/>
        <v>0.17901908596252464</v>
      </c>
      <c r="Q268" s="4"/>
    </row>
    <row r="269" spans="1:17" ht="17.25" customHeight="1" x14ac:dyDescent="0.2">
      <c r="A269" s="122">
        <f t="shared" si="44"/>
        <v>267</v>
      </c>
      <c r="B269" s="123" t="s">
        <v>157</v>
      </c>
      <c r="C269" s="131" t="s">
        <v>73</v>
      </c>
      <c r="D269" s="125">
        <v>331.77</v>
      </c>
      <c r="E269" s="132">
        <v>865</v>
      </c>
      <c r="F269" s="139">
        <f t="shared" si="40"/>
        <v>329.99634549999996</v>
      </c>
      <c r="G269" s="127">
        <v>25569.041962604166</v>
      </c>
      <c r="H269" s="127">
        <v>25569.041962604166</v>
      </c>
      <c r="I269" s="129">
        <v>10.5</v>
      </c>
      <c r="J269" s="132">
        <v>548483</v>
      </c>
      <c r="K269" s="144" t="s">
        <v>429</v>
      </c>
      <c r="L269" s="132">
        <v>166309808</v>
      </c>
      <c r="M269" s="143">
        <f t="shared" si="41"/>
        <v>12896.116004441026</v>
      </c>
      <c r="N269" s="132">
        <v>1319220</v>
      </c>
      <c r="O269" s="132">
        <f t="shared" si="42"/>
        <v>126.06677278998195</v>
      </c>
      <c r="P269" s="132">
        <f t="shared" si="43"/>
        <v>9.7755613199019317E-3</v>
      </c>
      <c r="Q269" s="4" t="s">
        <v>1455</v>
      </c>
    </row>
    <row r="270" spans="1:17" ht="17.25" customHeight="1" x14ac:dyDescent="0.2">
      <c r="A270" s="173">
        <f t="shared" si="44"/>
        <v>268</v>
      </c>
      <c r="B270" s="174" t="s">
        <v>9</v>
      </c>
      <c r="C270" s="175" t="s">
        <v>73</v>
      </c>
      <c r="D270" s="176">
        <v>331.77</v>
      </c>
      <c r="E270" s="177">
        <v>865</v>
      </c>
      <c r="F270" s="178">
        <f t="shared" si="40"/>
        <v>329.99634549999996</v>
      </c>
      <c r="G270" s="179">
        <v>25569.041962604166</v>
      </c>
      <c r="H270" s="179">
        <v>25569.041962604166</v>
      </c>
      <c r="I270" s="177">
        <v>29</v>
      </c>
      <c r="J270" s="177">
        <v>1133</v>
      </c>
      <c r="K270" s="181" t="s">
        <v>429</v>
      </c>
      <c r="L270" s="177">
        <v>283799</v>
      </c>
      <c r="M270" s="182">
        <f t="shared" si="41"/>
        <v>532.72788551004157</v>
      </c>
      <c r="N270" s="177">
        <v>2908</v>
      </c>
      <c r="O270" s="177">
        <f t="shared" si="42"/>
        <v>97.592503438789549</v>
      </c>
      <c r="P270" s="177">
        <f t="shared" si="43"/>
        <v>0.18319390835971169</v>
      </c>
      <c r="Q270" s="4"/>
    </row>
    <row r="271" spans="1:17" ht="17.25" customHeight="1" x14ac:dyDescent="0.2">
      <c r="A271" s="122">
        <f t="shared" si="44"/>
        <v>269</v>
      </c>
      <c r="B271" s="123" t="s">
        <v>9</v>
      </c>
      <c r="C271" s="131" t="s">
        <v>73</v>
      </c>
      <c r="D271" s="125">
        <v>336.49</v>
      </c>
      <c r="E271" s="132">
        <v>174</v>
      </c>
      <c r="F271" s="139">
        <f t="shared" si="40"/>
        <v>333.99835119999995</v>
      </c>
      <c r="G271" s="127">
        <v>25569.041962604166</v>
      </c>
      <c r="H271" s="127">
        <v>25569.041962604166</v>
      </c>
      <c r="I271" s="129">
        <v>0.22</v>
      </c>
      <c r="J271" s="132">
        <v>1888</v>
      </c>
      <c r="K271" s="144" t="s">
        <v>429</v>
      </c>
      <c r="L271" s="132">
        <v>9450</v>
      </c>
      <c r="M271" s="143">
        <f t="shared" si="41"/>
        <v>97.211110476117909</v>
      </c>
      <c r="N271" s="129">
        <v>39.5</v>
      </c>
      <c r="O271" s="132">
        <f t="shared" si="42"/>
        <v>239.24050632911391</v>
      </c>
      <c r="P271" s="132">
        <f t="shared" si="43"/>
        <v>2.4610407715472888</v>
      </c>
      <c r="Q271" s="4"/>
    </row>
    <row r="272" spans="1:17" ht="17.25" customHeight="1" x14ac:dyDescent="0.2">
      <c r="A272" s="122">
        <f t="shared" si="44"/>
        <v>270</v>
      </c>
      <c r="B272" s="123" t="s">
        <v>9</v>
      </c>
      <c r="C272" s="131" t="s">
        <v>73</v>
      </c>
      <c r="D272" s="125">
        <v>338.51</v>
      </c>
      <c r="E272" s="132">
        <v>174</v>
      </c>
      <c r="F272" s="139">
        <f t="shared" si="40"/>
        <v>336.00481719999993</v>
      </c>
      <c r="G272" s="127">
        <v>25569.041962604166</v>
      </c>
      <c r="H272" s="127">
        <v>25569.041962604166</v>
      </c>
      <c r="I272" s="129">
        <v>0.21</v>
      </c>
      <c r="J272" s="126"/>
      <c r="K272" s="144" t="s">
        <v>429</v>
      </c>
      <c r="L272" s="132">
        <v>11229</v>
      </c>
      <c r="M272" s="143">
        <f t="shared" si="41"/>
        <v>105.9669759878048</v>
      </c>
      <c r="N272" s="129">
        <v>29.4</v>
      </c>
      <c r="O272" s="132">
        <f t="shared" si="42"/>
        <v>381.9387755102041</v>
      </c>
      <c r="P272" s="132">
        <f t="shared" si="43"/>
        <v>3.6043189111498233</v>
      </c>
      <c r="Q272" s="4"/>
    </row>
    <row r="273" spans="1:17" ht="17.25" customHeight="1" x14ac:dyDescent="0.2">
      <c r="A273" s="122">
        <f t="shared" si="44"/>
        <v>271</v>
      </c>
      <c r="B273" s="123" t="s">
        <v>9</v>
      </c>
      <c r="C273" s="131" t="s">
        <v>73</v>
      </c>
      <c r="D273" s="125">
        <v>340.52</v>
      </c>
      <c r="E273" s="132">
        <v>174</v>
      </c>
      <c r="F273" s="139">
        <f t="shared" si="40"/>
        <v>338.00135019999993</v>
      </c>
      <c r="G273" s="127">
        <v>25569.041962604166</v>
      </c>
      <c r="H273" s="127">
        <v>25569.041962604166</v>
      </c>
      <c r="I273" s="129">
        <v>0.21</v>
      </c>
      <c r="J273" s="132">
        <v>1259</v>
      </c>
      <c r="K273" s="144" t="s">
        <v>429</v>
      </c>
      <c r="L273" s="132">
        <v>17531</v>
      </c>
      <c r="M273" s="143">
        <f t="shared" si="41"/>
        <v>132.40468269664785</v>
      </c>
      <c r="N273" s="129">
        <v>25.4</v>
      </c>
      <c r="O273" s="132">
        <f t="shared" si="42"/>
        <v>690.19685039370086</v>
      </c>
      <c r="P273" s="132">
        <f t="shared" si="43"/>
        <v>5.2127827833325933</v>
      </c>
      <c r="Q273" s="4"/>
    </row>
    <row r="274" spans="1:17" ht="17.25" customHeight="1" x14ac:dyDescent="0.2">
      <c r="A274" s="122">
        <f t="shared" si="44"/>
        <v>272</v>
      </c>
      <c r="B274" s="123"/>
      <c r="C274" s="124"/>
      <c r="D274" s="125"/>
      <c r="E274" s="126"/>
      <c r="F274" s="139"/>
      <c r="G274" s="127"/>
      <c r="H274" s="127"/>
      <c r="I274" s="126"/>
      <c r="J274" s="126"/>
      <c r="K274" s="144"/>
      <c r="L274" s="126"/>
      <c r="M274" s="143"/>
      <c r="N274" s="126"/>
      <c r="O274" s="132"/>
      <c r="P274" s="132"/>
      <c r="Q274" s="4" t="s">
        <v>1456</v>
      </c>
    </row>
    <row r="275" spans="1:17" ht="17.25" customHeight="1" x14ac:dyDescent="0.2">
      <c r="A275" s="122">
        <f t="shared" si="44"/>
        <v>273</v>
      </c>
      <c r="B275" s="123" t="s">
        <v>9</v>
      </c>
      <c r="C275" s="131" t="s">
        <v>73</v>
      </c>
      <c r="D275" s="125">
        <v>341.53</v>
      </c>
      <c r="E275" s="132">
        <v>174</v>
      </c>
      <c r="F275" s="139">
        <f>0.9933*(D275 + E275/1000)-0.41</f>
        <v>339.0045831999999</v>
      </c>
      <c r="G275" s="127">
        <v>25569.041962604166</v>
      </c>
      <c r="H275" s="127">
        <v>25569.041962604166</v>
      </c>
      <c r="I275" s="129">
        <v>0.25</v>
      </c>
      <c r="J275" s="132">
        <v>881</v>
      </c>
      <c r="K275" s="144" t="s">
        <v>429</v>
      </c>
      <c r="L275" s="132">
        <v>22485</v>
      </c>
      <c r="M275" s="143">
        <f>SQRT(L275)</f>
        <v>149.94999166388774</v>
      </c>
      <c r="N275" s="129">
        <v>19.600000000000001</v>
      </c>
      <c r="O275" s="132">
        <f>L275/N275</f>
        <v>1147.1938775510203</v>
      </c>
      <c r="P275" s="132">
        <f>M275/N275</f>
        <v>7.6505097787697824</v>
      </c>
      <c r="Q275" s="4"/>
    </row>
    <row r="276" spans="1:17" ht="17.25" customHeight="1" x14ac:dyDescent="0.2">
      <c r="A276" s="122">
        <f t="shared" si="44"/>
        <v>274</v>
      </c>
      <c r="B276" s="123"/>
      <c r="C276" s="124"/>
      <c r="D276" s="125"/>
      <c r="E276" s="126"/>
      <c r="F276" s="125"/>
      <c r="G276" s="127"/>
      <c r="H276" s="127"/>
      <c r="I276" s="126"/>
      <c r="J276" s="126"/>
      <c r="K276" s="128"/>
      <c r="L276" s="126"/>
      <c r="M276" s="129"/>
      <c r="N276" s="126"/>
      <c r="O276" s="130"/>
      <c r="P276" s="130"/>
      <c r="Q276" s="4" t="s">
        <v>1456</v>
      </c>
    </row>
    <row r="277" spans="1:17" ht="17.25" customHeight="1" x14ac:dyDescent="0.2">
      <c r="A277" s="122">
        <f t="shared" si="44"/>
        <v>275</v>
      </c>
      <c r="B277" s="123" t="s">
        <v>9</v>
      </c>
      <c r="C277" s="131" t="s">
        <v>73</v>
      </c>
      <c r="D277" s="125">
        <v>342.53</v>
      </c>
      <c r="E277" s="132">
        <v>174</v>
      </c>
      <c r="F277" s="139">
        <f t="shared" ref="F277:F291" si="45">0.9933*(D277 + E277/1000)-0.41</f>
        <v>339.99788319999993</v>
      </c>
      <c r="G277" s="127">
        <v>25569.041962604166</v>
      </c>
      <c r="H277" s="127">
        <v>25569.041962604166</v>
      </c>
      <c r="I277" s="129">
        <v>0.26</v>
      </c>
      <c r="J277" s="126"/>
      <c r="K277" s="144" t="s">
        <v>429</v>
      </c>
      <c r="L277" s="132">
        <v>91195</v>
      </c>
      <c r="M277" s="143">
        <f t="shared" ref="M277:M308" si="46">SQRT(L277)</f>
        <v>301.98509897013133</v>
      </c>
      <c r="N277" s="129">
        <v>43.3</v>
      </c>
      <c r="O277" s="132">
        <f t="shared" ref="O277:O308" si="47">L277/N277</f>
        <v>2106.1200923787528</v>
      </c>
      <c r="P277" s="132">
        <f t="shared" ref="P277:P308" si="48">M277/N277</f>
        <v>6.9742517083171212</v>
      </c>
      <c r="Q277" s="4"/>
    </row>
    <row r="278" spans="1:17" ht="17.25" customHeight="1" x14ac:dyDescent="0.2">
      <c r="A278" s="122">
        <f t="shared" si="44"/>
        <v>276</v>
      </c>
      <c r="B278" s="123" t="s">
        <v>9</v>
      </c>
      <c r="C278" s="131" t="s">
        <v>73</v>
      </c>
      <c r="D278" s="125">
        <v>343.54</v>
      </c>
      <c r="E278" s="132">
        <v>174</v>
      </c>
      <c r="F278" s="139">
        <f t="shared" si="45"/>
        <v>341.00111619999996</v>
      </c>
      <c r="G278" s="127">
        <v>25569.041962604166</v>
      </c>
      <c r="H278" s="127">
        <v>25569.041962604166</v>
      </c>
      <c r="I278" s="129">
        <v>0.26</v>
      </c>
      <c r="J278" s="132">
        <v>881</v>
      </c>
      <c r="K278" s="144" t="s">
        <v>429</v>
      </c>
      <c r="L278" s="132">
        <v>82168</v>
      </c>
      <c r="M278" s="143">
        <f t="shared" si="46"/>
        <v>286.64961189577775</v>
      </c>
      <c r="N278" s="129">
        <v>21.8</v>
      </c>
      <c r="O278" s="132">
        <f t="shared" si="47"/>
        <v>3769.1743119266052</v>
      </c>
      <c r="P278" s="132">
        <f t="shared" si="48"/>
        <v>13.149064765861365</v>
      </c>
      <c r="Q278" s="4"/>
    </row>
    <row r="279" spans="1:17" ht="17.25" customHeight="1" x14ac:dyDescent="0.2">
      <c r="A279" s="122">
        <f t="shared" si="44"/>
        <v>277</v>
      </c>
      <c r="B279" s="123" t="s">
        <v>9</v>
      </c>
      <c r="C279" s="131" t="s">
        <v>73</v>
      </c>
      <c r="D279" s="125">
        <v>344.55</v>
      </c>
      <c r="E279" s="132">
        <v>174</v>
      </c>
      <c r="F279" s="139">
        <f t="shared" si="45"/>
        <v>342.00434919999998</v>
      </c>
      <c r="G279" s="127">
        <v>25569.041962604166</v>
      </c>
      <c r="H279" s="127">
        <v>25569.041962604166</v>
      </c>
      <c r="I279" s="129">
        <v>0.27</v>
      </c>
      <c r="J279" s="132">
        <v>1133</v>
      </c>
      <c r="K279" s="144" t="s">
        <v>429</v>
      </c>
      <c r="L279" s="132">
        <v>143579</v>
      </c>
      <c r="M279" s="143">
        <f t="shared" si="46"/>
        <v>378.91819697660338</v>
      </c>
      <c r="N279" s="129">
        <v>27.6</v>
      </c>
      <c r="O279" s="132">
        <f t="shared" si="47"/>
        <v>5202.13768115942</v>
      </c>
      <c r="P279" s="132">
        <f t="shared" si="48"/>
        <v>13.728920180311716</v>
      </c>
      <c r="Q279" s="4"/>
    </row>
    <row r="280" spans="1:17" ht="17.25" customHeight="1" x14ac:dyDescent="0.2">
      <c r="A280" s="122">
        <f t="shared" si="44"/>
        <v>278</v>
      </c>
      <c r="B280" s="123" t="s">
        <v>9</v>
      </c>
      <c r="C280" s="131" t="s">
        <v>73</v>
      </c>
      <c r="D280" s="125">
        <v>345.56</v>
      </c>
      <c r="E280" s="132">
        <v>174</v>
      </c>
      <c r="F280" s="139">
        <f t="shared" si="45"/>
        <v>343.00758219999994</v>
      </c>
      <c r="G280" s="127">
        <v>25569.041962604166</v>
      </c>
      <c r="H280" s="127">
        <v>25569.041962604166</v>
      </c>
      <c r="I280" s="129">
        <v>0.27</v>
      </c>
      <c r="J280" s="132">
        <v>2769</v>
      </c>
      <c r="K280" s="144" t="s">
        <v>429</v>
      </c>
      <c r="L280" s="132">
        <v>460718</v>
      </c>
      <c r="M280" s="143">
        <f t="shared" si="46"/>
        <v>678.76210854761189</v>
      </c>
      <c r="N280" s="129">
        <v>76.7</v>
      </c>
      <c r="O280" s="132">
        <f t="shared" si="47"/>
        <v>6006.7535853976533</v>
      </c>
      <c r="P280" s="132">
        <f t="shared" si="48"/>
        <v>8.8495711675047186</v>
      </c>
      <c r="Q280" s="4"/>
    </row>
    <row r="281" spans="1:17" ht="17.25" customHeight="1" x14ac:dyDescent="0.2">
      <c r="A281" s="122">
        <f t="shared" si="44"/>
        <v>279</v>
      </c>
      <c r="B281" s="123" t="s">
        <v>9</v>
      </c>
      <c r="C281" s="131" t="s">
        <v>73</v>
      </c>
      <c r="D281" s="125">
        <v>346.57</v>
      </c>
      <c r="E281" s="132">
        <v>174</v>
      </c>
      <c r="F281" s="139">
        <f t="shared" si="45"/>
        <v>344.01081519999991</v>
      </c>
      <c r="G281" s="127">
        <v>25569.041962604166</v>
      </c>
      <c r="H281" s="127">
        <v>25569.041962604166</v>
      </c>
      <c r="I281" s="129">
        <v>0.28999999999999998</v>
      </c>
      <c r="J281" s="132">
        <v>2266</v>
      </c>
      <c r="K281" s="144" t="s">
        <v>429</v>
      </c>
      <c r="L281" s="132">
        <v>400005</v>
      </c>
      <c r="M281" s="143">
        <f t="shared" si="46"/>
        <v>632.45948486839848</v>
      </c>
      <c r="N281" s="129">
        <v>61.5</v>
      </c>
      <c r="O281" s="132">
        <f t="shared" si="47"/>
        <v>6504.1463414634145</v>
      </c>
      <c r="P281" s="132">
        <f t="shared" si="48"/>
        <v>10.283894062900789</v>
      </c>
      <c r="Q281" s="4"/>
    </row>
    <row r="282" spans="1:17" ht="17.25" customHeight="1" x14ac:dyDescent="0.2">
      <c r="A282" s="122">
        <f t="shared" si="44"/>
        <v>280</v>
      </c>
      <c r="B282" s="123" t="s">
        <v>9</v>
      </c>
      <c r="C282" s="131" t="s">
        <v>73</v>
      </c>
      <c r="D282" s="125">
        <v>347.58</v>
      </c>
      <c r="E282" s="132">
        <v>174</v>
      </c>
      <c r="F282" s="139">
        <f t="shared" si="45"/>
        <v>345.01404819999993</v>
      </c>
      <c r="G282" s="127">
        <v>25569.041962604166</v>
      </c>
      <c r="H282" s="127">
        <v>25569.041962604166</v>
      </c>
      <c r="I282" s="129">
        <v>0.3</v>
      </c>
      <c r="J282" s="126"/>
      <c r="K282" s="144" t="s">
        <v>429</v>
      </c>
      <c r="L282" s="132">
        <v>354275</v>
      </c>
      <c r="M282" s="143">
        <f t="shared" si="46"/>
        <v>595.21004695821455</v>
      </c>
      <c r="N282" s="129">
        <v>52.1</v>
      </c>
      <c r="O282" s="132">
        <f t="shared" si="47"/>
        <v>6799.9040307101723</v>
      </c>
      <c r="P282" s="132">
        <f t="shared" si="48"/>
        <v>11.424377100925422</v>
      </c>
      <c r="Q282" s="4"/>
    </row>
    <row r="283" spans="1:17" ht="17.25" customHeight="1" x14ac:dyDescent="0.2">
      <c r="A283" s="122">
        <f t="shared" si="44"/>
        <v>281</v>
      </c>
      <c r="B283" s="123" t="s">
        <v>9</v>
      </c>
      <c r="C283" s="131" t="s">
        <v>73</v>
      </c>
      <c r="D283" s="125">
        <v>348.59</v>
      </c>
      <c r="E283" s="132">
        <v>174</v>
      </c>
      <c r="F283" s="139">
        <f t="shared" si="45"/>
        <v>346.0172811999999</v>
      </c>
      <c r="G283" s="127">
        <v>25569.041962604166</v>
      </c>
      <c r="H283" s="127">
        <v>25569.041962604166</v>
      </c>
      <c r="I283" s="129">
        <v>0.31</v>
      </c>
      <c r="J283" s="132">
        <v>1511</v>
      </c>
      <c r="K283" s="144" t="s">
        <v>429</v>
      </c>
      <c r="L283" s="132">
        <v>296680</v>
      </c>
      <c r="M283" s="143">
        <f t="shared" si="46"/>
        <v>544.68339427597755</v>
      </c>
      <c r="N283" s="129">
        <v>42.9</v>
      </c>
      <c r="O283" s="132">
        <f t="shared" si="47"/>
        <v>6915.6177156177155</v>
      </c>
      <c r="P283" s="132">
        <f t="shared" si="48"/>
        <v>12.696582617155654</v>
      </c>
      <c r="Q283" s="4"/>
    </row>
    <row r="284" spans="1:17" ht="17.25" customHeight="1" x14ac:dyDescent="0.2">
      <c r="A284" s="122">
        <f t="shared" si="44"/>
        <v>282</v>
      </c>
      <c r="B284" s="123" t="s">
        <v>9</v>
      </c>
      <c r="C284" s="131" t="s">
        <v>73</v>
      </c>
      <c r="D284" s="125">
        <v>349.58</v>
      </c>
      <c r="E284" s="132">
        <v>174</v>
      </c>
      <c r="F284" s="139">
        <f t="shared" si="45"/>
        <v>347.00064819999994</v>
      </c>
      <c r="G284" s="127">
        <v>25569.041962604166</v>
      </c>
      <c r="H284" s="127">
        <v>25569.041962604166</v>
      </c>
      <c r="I284" s="129">
        <v>0.32</v>
      </c>
      <c r="J284" s="132">
        <v>1259</v>
      </c>
      <c r="K284" s="144" t="s">
        <v>429</v>
      </c>
      <c r="L284" s="132">
        <v>243915</v>
      </c>
      <c r="M284" s="143">
        <f t="shared" si="46"/>
        <v>493.87751517962425</v>
      </c>
      <c r="N284" s="129">
        <v>34.1</v>
      </c>
      <c r="O284" s="132">
        <f t="shared" si="47"/>
        <v>7152.9325513196482</v>
      </c>
      <c r="P284" s="132">
        <f t="shared" si="48"/>
        <v>14.483211588845286</v>
      </c>
      <c r="Q284" s="4"/>
    </row>
    <row r="285" spans="1:17" ht="17.25" customHeight="1" x14ac:dyDescent="0.2">
      <c r="A285" s="122">
        <f t="shared" si="44"/>
        <v>283</v>
      </c>
      <c r="B285" s="123" t="s">
        <v>9</v>
      </c>
      <c r="C285" s="131" t="s">
        <v>73</v>
      </c>
      <c r="D285" s="125">
        <v>350.58</v>
      </c>
      <c r="E285" s="132">
        <v>174</v>
      </c>
      <c r="F285" s="139">
        <f t="shared" si="45"/>
        <v>347.99394819999992</v>
      </c>
      <c r="G285" s="127">
        <v>25569.041962604166</v>
      </c>
      <c r="H285" s="127">
        <v>25569.041962604166</v>
      </c>
      <c r="I285" s="129">
        <v>0.32</v>
      </c>
      <c r="J285" s="132">
        <v>1511</v>
      </c>
      <c r="K285" s="144" t="s">
        <v>429</v>
      </c>
      <c r="L285" s="132">
        <v>223367</v>
      </c>
      <c r="M285" s="143">
        <f t="shared" si="46"/>
        <v>472.61718123656908</v>
      </c>
      <c r="N285" s="129">
        <v>30.8</v>
      </c>
      <c r="O285" s="132">
        <f t="shared" si="47"/>
        <v>7252.1753246753242</v>
      </c>
      <c r="P285" s="132">
        <f t="shared" si="48"/>
        <v>15.344713676511983</v>
      </c>
      <c r="Q285" s="4"/>
    </row>
    <row r="286" spans="1:17" ht="17.25" customHeight="1" x14ac:dyDescent="0.2">
      <c r="A286" s="122">
        <f t="shared" si="44"/>
        <v>284</v>
      </c>
      <c r="B286" s="123" t="s">
        <v>9</v>
      </c>
      <c r="C286" s="131" t="s">
        <v>73</v>
      </c>
      <c r="D286" s="125">
        <v>351.59</v>
      </c>
      <c r="E286" s="132">
        <v>174</v>
      </c>
      <c r="F286" s="139">
        <f t="shared" si="45"/>
        <v>348.99718119999989</v>
      </c>
      <c r="G286" s="127">
        <v>25569.041962604166</v>
      </c>
      <c r="H286" s="127">
        <v>25569.041962604166</v>
      </c>
      <c r="I286" s="129">
        <v>0.35</v>
      </c>
      <c r="J286" s="132">
        <v>1259</v>
      </c>
      <c r="K286" s="144" t="s">
        <v>429</v>
      </c>
      <c r="L286" s="132">
        <v>311272</v>
      </c>
      <c r="M286" s="143">
        <f t="shared" si="46"/>
        <v>557.91755663359436</v>
      </c>
      <c r="N286" s="129">
        <v>42.9</v>
      </c>
      <c r="O286" s="132">
        <f t="shared" si="47"/>
        <v>7255.757575757576</v>
      </c>
      <c r="P286" s="132">
        <f t="shared" si="48"/>
        <v>13.005071250200334</v>
      </c>
      <c r="Q286" s="4"/>
    </row>
    <row r="287" spans="1:17" ht="17.25" customHeight="1" x14ac:dyDescent="0.2">
      <c r="A287" s="122">
        <f t="shared" si="44"/>
        <v>285</v>
      </c>
      <c r="B287" s="123" t="s">
        <v>9</v>
      </c>
      <c r="C287" s="131" t="s">
        <v>73</v>
      </c>
      <c r="D287" s="125">
        <v>353.61</v>
      </c>
      <c r="E287" s="132">
        <v>174</v>
      </c>
      <c r="F287" s="139">
        <f t="shared" si="45"/>
        <v>351.00364719999993</v>
      </c>
      <c r="G287" s="127">
        <v>25569.041962604166</v>
      </c>
      <c r="H287" s="127">
        <v>25569.041962604166</v>
      </c>
      <c r="I287" s="129">
        <v>0.35</v>
      </c>
      <c r="J287" s="132">
        <v>2140</v>
      </c>
      <c r="K287" s="144" t="s">
        <v>429</v>
      </c>
      <c r="L287" s="132">
        <v>559892</v>
      </c>
      <c r="M287" s="143">
        <f t="shared" si="46"/>
        <v>748.25931333996778</v>
      </c>
      <c r="N287" s="129">
        <v>75.7</v>
      </c>
      <c r="O287" s="132">
        <f t="shared" si="47"/>
        <v>7396.1955085865256</v>
      </c>
      <c r="P287" s="132">
        <f t="shared" si="48"/>
        <v>9.8845351828265215</v>
      </c>
      <c r="Q287" s="4"/>
    </row>
    <row r="288" spans="1:17" ht="17.25" customHeight="1" x14ac:dyDescent="0.2">
      <c r="A288" s="122">
        <f t="shared" si="44"/>
        <v>286</v>
      </c>
      <c r="B288" s="123" t="s">
        <v>9</v>
      </c>
      <c r="C288" s="131" t="s">
        <v>73</v>
      </c>
      <c r="D288" s="125">
        <v>355.62</v>
      </c>
      <c r="E288" s="132">
        <v>174</v>
      </c>
      <c r="F288" s="139">
        <f t="shared" si="45"/>
        <v>353.00018019999993</v>
      </c>
      <c r="G288" s="127">
        <v>25569.041962604166</v>
      </c>
      <c r="H288" s="127">
        <v>25569.041962604166</v>
      </c>
      <c r="I288" s="129">
        <v>0.39</v>
      </c>
      <c r="J288" s="132">
        <v>1385</v>
      </c>
      <c r="K288" s="144" t="s">
        <v>429</v>
      </c>
      <c r="L288" s="132">
        <v>398583</v>
      </c>
      <c r="M288" s="143">
        <f t="shared" si="46"/>
        <v>631.33430130161628</v>
      </c>
      <c r="N288" s="129">
        <v>52.1</v>
      </c>
      <c r="O288" s="132">
        <f t="shared" si="47"/>
        <v>7650.345489443378</v>
      </c>
      <c r="P288" s="132">
        <f t="shared" si="48"/>
        <v>12.117740907900505</v>
      </c>
      <c r="Q288" s="4"/>
    </row>
    <row r="289" spans="1:28" ht="17.25" customHeight="1" x14ac:dyDescent="0.2">
      <c r="A289" s="122">
        <f t="shared" si="44"/>
        <v>287</v>
      </c>
      <c r="B289" s="123" t="s">
        <v>9</v>
      </c>
      <c r="C289" s="131" t="s">
        <v>73</v>
      </c>
      <c r="D289" s="125">
        <v>357.63</v>
      </c>
      <c r="E289" s="132">
        <v>174</v>
      </c>
      <c r="F289" s="139">
        <f t="shared" si="45"/>
        <v>354.99671319999993</v>
      </c>
      <c r="G289" s="127">
        <v>25569.041962604166</v>
      </c>
      <c r="H289" s="127">
        <v>25569.041962604166</v>
      </c>
      <c r="I289" s="129">
        <v>0.41</v>
      </c>
      <c r="J289" s="132">
        <v>2643</v>
      </c>
      <c r="K289" s="144" t="s">
        <v>429</v>
      </c>
      <c r="L289" s="132">
        <v>793208</v>
      </c>
      <c r="M289" s="143">
        <f t="shared" si="46"/>
        <v>890.62225438173277</v>
      </c>
      <c r="N289" s="129">
        <v>103.3</v>
      </c>
      <c r="O289" s="132">
        <f t="shared" si="47"/>
        <v>7678.6834462729912</v>
      </c>
      <c r="P289" s="132">
        <f t="shared" si="48"/>
        <v>8.6217062379644993</v>
      </c>
      <c r="Q289" s="4"/>
    </row>
    <row r="290" spans="1:28" ht="17.25" customHeight="1" x14ac:dyDescent="0.2">
      <c r="A290" s="122">
        <f t="shared" si="44"/>
        <v>288</v>
      </c>
      <c r="B290" s="123" t="s">
        <v>9</v>
      </c>
      <c r="C290" s="131" t="s">
        <v>73</v>
      </c>
      <c r="D290" s="125">
        <v>359.65</v>
      </c>
      <c r="E290" s="132">
        <v>174</v>
      </c>
      <c r="F290" s="139">
        <f t="shared" si="45"/>
        <v>357.00317919999992</v>
      </c>
      <c r="G290" s="127">
        <v>25569.041962604166</v>
      </c>
      <c r="H290" s="127">
        <v>25569.041962604166</v>
      </c>
      <c r="I290" s="129">
        <v>0.41</v>
      </c>
      <c r="J290" s="132">
        <v>2769</v>
      </c>
      <c r="K290" s="144" t="s">
        <v>429</v>
      </c>
      <c r="L290" s="132">
        <v>837723</v>
      </c>
      <c r="M290" s="143">
        <f t="shared" si="46"/>
        <v>915.27209069216133</v>
      </c>
      <c r="N290" s="129">
        <v>108.4</v>
      </c>
      <c r="O290" s="132">
        <f t="shared" si="47"/>
        <v>7728.0719557195571</v>
      </c>
      <c r="P290" s="132">
        <f t="shared" si="48"/>
        <v>8.4434694713299017</v>
      </c>
      <c r="Q290" s="4"/>
    </row>
    <row r="291" spans="1:28" ht="17.25" customHeight="1" x14ac:dyDescent="0.2">
      <c r="A291" s="122">
        <f t="shared" si="44"/>
        <v>289</v>
      </c>
      <c r="B291" s="123" t="s">
        <v>9</v>
      </c>
      <c r="C291" s="131" t="s">
        <v>73</v>
      </c>
      <c r="D291" s="125">
        <v>363.67</v>
      </c>
      <c r="E291" s="132">
        <v>174</v>
      </c>
      <c r="F291" s="139">
        <f t="shared" si="45"/>
        <v>360.99624519999998</v>
      </c>
      <c r="G291" s="127">
        <v>25569.041962604166</v>
      </c>
      <c r="H291" s="127">
        <v>25569.041962604166</v>
      </c>
      <c r="I291" s="129">
        <v>0.45</v>
      </c>
      <c r="J291" s="132">
        <v>1762</v>
      </c>
      <c r="K291" s="144" t="s">
        <v>429</v>
      </c>
      <c r="L291" s="132">
        <v>561747</v>
      </c>
      <c r="M291" s="143">
        <f t="shared" si="46"/>
        <v>749.49783188478932</v>
      </c>
      <c r="N291" s="129">
        <v>74.900000000000006</v>
      </c>
      <c r="O291" s="132">
        <f t="shared" si="47"/>
        <v>7499.9599465954598</v>
      </c>
      <c r="P291" s="132">
        <f t="shared" si="48"/>
        <v>10.006646620624689</v>
      </c>
      <c r="Q291" s="4"/>
    </row>
    <row r="292" spans="1:28" ht="17.25" customHeight="1" x14ac:dyDescent="0.2">
      <c r="A292" s="122">
        <f t="shared" si="44"/>
        <v>290</v>
      </c>
      <c r="B292" s="123" t="s">
        <v>9</v>
      </c>
      <c r="C292" s="131" t="s">
        <v>73</v>
      </c>
      <c r="D292" s="125">
        <v>367.69</v>
      </c>
      <c r="E292" s="132">
        <v>174</v>
      </c>
      <c r="F292" s="139">
        <f t="shared" ref="F292:F323" si="49">0.9933*(D292+E292/1000)-0.41</f>
        <v>364.98931119999992</v>
      </c>
      <c r="G292" s="127">
        <v>25569.041962604166</v>
      </c>
      <c r="H292" s="127">
        <v>25569.041962604166</v>
      </c>
      <c r="I292" s="129">
        <v>0.55000000000000004</v>
      </c>
      <c r="J292" s="132">
        <v>2518</v>
      </c>
      <c r="K292" s="144" t="s">
        <v>429</v>
      </c>
      <c r="L292" s="132">
        <v>618792</v>
      </c>
      <c r="M292" s="143">
        <f t="shared" si="46"/>
        <v>786.63333262708875</v>
      </c>
      <c r="N292" s="129">
        <v>100.7</v>
      </c>
      <c r="O292" s="132">
        <f t="shared" si="47"/>
        <v>6144.9056603773579</v>
      </c>
      <c r="P292" s="132">
        <f t="shared" si="48"/>
        <v>7.8116517639234235</v>
      </c>
      <c r="Q292" s="4"/>
    </row>
    <row r="293" spans="1:28" ht="17.25" customHeight="1" x14ac:dyDescent="0.2">
      <c r="A293" s="122">
        <f t="shared" si="44"/>
        <v>291</v>
      </c>
      <c r="B293" s="123" t="s">
        <v>9</v>
      </c>
      <c r="C293" s="131" t="s">
        <v>73</v>
      </c>
      <c r="D293" s="125">
        <v>371.73</v>
      </c>
      <c r="E293" s="132">
        <v>174</v>
      </c>
      <c r="F293" s="139">
        <f t="shared" si="49"/>
        <v>369.00224319999995</v>
      </c>
      <c r="G293" s="127">
        <v>25569.041962604166</v>
      </c>
      <c r="H293" s="127">
        <v>25569.041962604166</v>
      </c>
      <c r="I293" s="129">
        <v>0.55000000000000004</v>
      </c>
      <c r="J293" s="132">
        <v>1259</v>
      </c>
      <c r="K293" s="144" t="s">
        <v>429</v>
      </c>
      <c r="L293" s="132">
        <v>255482</v>
      </c>
      <c r="M293" s="143">
        <f t="shared" si="46"/>
        <v>505.45227272216317</v>
      </c>
      <c r="N293" s="129">
        <v>62.3</v>
      </c>
      <c r="O293" s="132">
        <f t="shared" si="47"/>
        <v>4100.8346709470306</v>
      </c>
      <c r="P293" s="132">
        <f t="shared" si="48"/>
        <v>8.1131985990716409</v>
      </c>
      <c r="Q293" s="4"/>
    </row>
    <row r="294" spans="1:28" ht="17.25" customHeight="1" x14ac:dyDescent="0.2">
      <c r="A294" s="122">
        <f t="shared" si="44"/>
        <v>292</v>
      </c>
      <c r="B294" s="123" t="s">
        <v>9</v>
      </c>
      <c r="C294" s="131" t="s">
        <v>73</v>
      </c>
      <c r="D294" s="125">
        <v>375.75</v>
      </c>
      <c r="E294" s="132">
        <v>174</v>
      </c>
      <c r="F294" s="139">
        <f t="shared" si="49"/>
        <v>372.99530919999995</v>
      </c>
      <c r="G294" s="127">
        <v>25569.041962604166</v>
      </c>
      <c r="H294" s="127">
        <v>25569.041962604166</v>
      </c>
      <c r="I294" s="126"/>
      <c r="J294" s="132">
        <v>1007</v>
      </c>
      <c r="K294" s="144" t="s">
        <v>429</v>
      </c>
      <c r="L294" s="132">
        <v>83828</v>
      </c>
      <c r="M294" s="143">
        <f t="shared" si="46"/>
        <v>289.53065468098538</v>
      </c>
      <c r="N294" s="129">
        <v>44.2</v>
      </c>
      <c r="O294" s="132">
        <f t="shared" si="47"/>
        <v>1896.5610859728506</v>
      </c>
      <c r="P294" s="132">
        <f t="shared" si="48"/>
        <v>6.5504673004747822</v>
      </c>
      <c r="Q294" s="4"/>
    </row>
    <row r="295" spans="1:28" ht="17.25" customHeight="1" x14ac:dyDescent="0.2">
      <c r="A295" s="122">
        <f t="shared" si="44"/>
        <v>293</v>
      </c>
      <c r="B295" s="123" t="s">
        <v>9</v>
      </c>
      <c r="C295" s="131" t="s">
        <v>73</v>
      </c>
      <c r="D295" s="125">
        <v>379.78</v>
      </c>
      <c r="E295" s="132">
        <v>174</v>
      </c>
      <c r="F295" s="139">
        <f t="shared" si="49"/>
        <v>376.99830819999988</v>
      </c>
      <c r="G295" s="127">
        <v>25569.041962604166</v>
      </c>
      <c r="H295" s="127">
        <v>25569.041962604166</v>
      </c>
      <c r="I295" s="129">
        <v>0.42</v>
      </c>
      <c r="J295" s="132">
        <v>1511</v>
      </c>
      <c r="K295" s="144" t="s">
        <v>429</v>
      </c>
      <c r="L295" s="132">
        <v>34664</v>
      </c>
      <c r="M295" s="143">
        <f t="shared" si="46"/>
        <v>186.18270596379247</v>
      </c>
      <c r="N295" s="129">
        <v>47.9</v>
      </c>
      <c r="O295" s="132">
        <f t="shared" si="47"/>
        <v>723.67432150313152</v>
      </c>
      <c r="P295" s="132">
        <f t="shared" si="48"/>
        <v>3.8869040911021395</v>
      </c>
      <c r="Q295" s="4"/>
    </row>
    <row r="296" spans="1:28" ht="17.25" customHeight="1" x14ac:dyDescent="0.2">
      <c r="A296" s="122">
        <f t="shared" si="44"/>
        <v>294</v>
      </c>
      <c r="B296" s="123" t="s">
        <v>9</v>
      </c>
      <c r="C296" s="131" t="s">
        <v>73</v>
      </c>
      <c r="D296" s="125">
        <v>383.81</v>
      </c>
      <c r="E296" s="132">
        <v>174</v>
      </c>
      <c r="F296" s="139">
        <f t="shared" si="49"/>
        <v>381.00130719999993</v>
      </c>
      <c r="G296" s="127">
        <v>25569.041962604166</v>
      </c>
      <c r="H296" s="127">
        <v>25569.041962604166</v>
      </c>
      <c r="I296" s="129">
        <v>0.46</v>
      </c>
      <c r="J296" s="132">
        <v>1133</v>
      </c>
      <c r="K296" s="144" t="s">
        <v>429</v>
      </c>
      <c r="L296" s="132">
        <v>21037</v>
      </c>
      <c r="M296" s="143">
        <f t="shared" si="46"/>
        <v>145.04137340772803</v>
      </c>
      <c r="N296" s="129">
        <v>56.4</v>
      </c>
      <c r="O296" s="132">
        <f t="shared" si="47"/>
        <v>372.99645390070924</v>
      </c>
      <c r="P296" s="132">
        <f t="shared" si="48"/>
        <v>2.5716555568746107</v>
      </c>
      <c r="Q296" s="4"/>
    </row>
    <row r="297" spans="1:28" ht="17.25" customHeight="1" x14ac:dyDescent="0.2">
      <c r="A297" s="183">
        <f t="shared" si="44"/>
        <v>295</v>
      </c>
      <c r="B297" s="184" t="s">
        <v>9</v>
      </c>
      <c r="C297" s="185" t="s">
        <v>73</v>
      </c>
      <c r="D297" s="186">
        <v>387.84</v>
      </c>
      <c r="E297" s="187">
        <v>174</v>
      </c>
      <c r="F297" s="188">
        <f t="shared" si="49"/>
        <v>385.00430619999992</v>
      </c>
      <c r="G297" s="189">
        <v>25569.041962604166</v>
      </c>
      <c r="H297" s="189">
        <v>25569.041962604166</v>
      </c>
      <c r="I297" s="192">
        <v>0.55000000000000004</v>
      </c>
      <c r="J297" s="187">
        <v>1511</v>
      </c>
      <c r="K297" s="190" t="s">
        <v>429</v>
      </c>
      <c r="L297" s="187">
        <v>19964</v>
      </c>
      <c r="M297" s="191">
        <f t="shared" si="46"/>
        <v>141.29401968944049</v>
      </c>
      <c r="N297" s="192">
        <v>74.400000000000006</v>
      </c>
      <c r="O297" s="187">
        <f t="shared" si="47"/>
        <v>268.33333333333331</v>
      </c>
      <c r="P297" s="187">
        <f t="shared" si="48"/>
        <v>1.8991131678688236</v>
      </c>
      <c r="Q297" s="4"/>
    </row>
    <row r="298" spans="1:28" ht="17.25" customHeight="1" x14ac:dyDescent="0.2">
      <c r="A298" s="122">
        <f t="shared" si="44"/>
        <v>296</v>
      </c>
      <c r="B298" s="123" t="s">
        <v>310</v>
      </c>
      <c r="C298" s="131" t="s">
        <v>73</v>
      </c>
      <c r="D298" s="125">
        <v>169.06</v>
      </c>
      <c r="E298" s="126" t="s">
        <v>1457</v>
      </c>
      <c r="F298" s="139" t="e">
        <f t="shared" si="49"/>
        <v>#VALUE!</v>
      </c>
      <c r="G298" s="127"/>
      <c r="H298" s="127">
        <v>25569.041962604166</v>
      </c>
      <c r="I298" s="126" t="s">
        <v>1458</v>
      </c>
      <c r="J298" s="132">
        <v>35618</v>
      </c>
      <c r="K298" s="144" t="s">
        <v>429</v>
      </c>
      <c r="L298" s="126"/>
      <c r="M298" s="143">
        <f t="shared" si="46"/>
        <v>0</v>
      </c>
      <c r="N298" s="126"/>
      <c r="O298" s="148" t="e">
        <f t="shared" si="47"/>
        <v>#DIV/0!</v>
      </c>
      <c r="P298" s="129" t="e">
        <f t="shared" si="48"/>
        <v>#DIV/0!</v>
      </c>
      <c r="Q298" s="4"/>
    </row>
    <row r="299" spans="1:28" ht="17.25" customHeight="1" x14ac:dyDescent="0.2">
      <c r="A299" s="193">
        <f t="shared" si="44"/>
        <v>297</v>
      </c>
      <c r="B299" s="194" t="s">
        <v>9</v>
      </c>
      <c r="C299" s="195" t="s">
        <v>73</v>
      </c>
      <c r="D299" s="196">
        <v>169.06</v>
      </c>
      <c r="E299" s="197">
        <v>2500</v>
      </c>
      <c r="F299" s="198">
        <f t="shared" si="49"/>
        <v>170.00054800000001</v>
      </c>
      <c r="G299" s="199">
        <v>25569.041962604166</v>
      </c>
      <c r="H299" s="199">
        <v>25569.041962604166</v>
      </c>
      <c r="I299" s="200" t="s">
        <v>1459</v>
      </c>
      <c r="J299" s="197">
        <v>87723</v>
      </c>
      <c r="K299" s="201" t="s">
        <v>1460</v>
      </c>
      <c r="L299" s="197">
        <v>723</v>
      </c>
      <c r="M299" s="202">
        <f t="shared" si="46"/>
        <v>26.888659319497503</v>
      </c>
      <c r="N299" s="197">
        <v>1611503</v>
      </c>
      <c r="O299" s="203">
        <f t="shared" si="47"/>
        <v>4.4864949056874233E-4</v>
      </c>
      <c r="P299" s="203">
        <f t="shared" si="48"/>
        <v>1.6685454088200581E-5</v>
      </c>
      <c r="Q299" s="204"/>
      <c r="R299" s="34"/>
      <c r="S299" s="34"/>
      <c r="T299" s="34"/>
      <c r="U299" s="34"/>
      <c r="V299" s="34"/>
      <c r="W299" s="34"/>
      <c r="X299" s="34"/>
      <c r="Y299" s="34"/>
      <c r="Z299" s="34"/>
      <c r="AA299" s="34"/>
      <c r="AB299" s="34"/>
    </row>
    <row r="300" spans="1:28" ht="17.25" customHeight="1" x14ac:dyDescent="0.2">
      <c r="A300" s="122">
        <f t="shared" si="44"/>
        <v>298</v>
      </c>
      <c r="B300" s="123" t="s">
        <v>9</v>
      </c>
      <c r="C300" s="131" t="s">
        <v>73</v>
      </c>
      <c r="D300" s="125">
        <v>352.6</v>
      </c>
      <c r="E300" s="132">
        <v>175</v>
      </c>
      <c r="F300" s="139">
        <f t="shared" si="49"/>
        <v>350.00140749999997</v>
      </c>
      <c r="G300" s="127">
        <v>25569.041962604166</v>
      </c>
      <c r="H300" s="127">
        <v>25569.041962604166</v>
      </c>
      <c r="I300" s="129">
        <v>0.25</v>
      </c>
      <c r="J300" s="132">
        <v>3273</v>
      </c>
      <c r="K300" s="144" t="s">
        <v>429</v>
      </c>
      <c r="L300" s="132">
        <v>275276</v>
      </c>
      <c r="M300" s="143">
        <f t="shared" si="46"/>
        <v>524.66751376466982</v>
      </c>
      <c r="N300" s="129">
        <v>75.400000000000006</v>
      </c>
      <c r="O300" s="132">
        <f t="shared" si="47"/>
        <v>3650.8753315649865</v>
      </c>
      <c r="P300" s="132">
        <f t="shared" si="48"/>
        <v>6.9584550897171056</v>
      </c>
      <c r="Q300" s="4"/>
    </row>
    <row r="301" spans="1:28" ht="17.25" customHeight="1" x14ac:dyDescent="0.2">
      <c r="A301" s="122">
        <f t="shared" si="44"/>
        <v>299</v>
      </c>
      <c r="B301" s="123" t="s">
        <v>9</v>
      </c>
      <c r="C301" s="131" t="s">
        <v>73</v>
      </c>
      <c r="D301" s="125">
        <v>350.59</v>
      </c>
      <c r="E301" s="132">
        <v>175</v>
      </c>
      <c r="F301" s="139">
        <f t="shared" si="49"/>
        <v>348.00487449999997</v>
      </c>
      <c r="G301" s="127">
        <v>25569.041962604166</v>
      </c>
      <c r="H301" s="127">
        <v>25569.041962604166</v>
      </c>
      <c r="I301" s="129">
        <v>0.25</v>
      </c>
      <c r="J301" s="132">
        <v>881</v>
      </c>
      <c r="K301" s="144" t="s">
        <v>429</v>
      </c>
      <c r="L301" s="132">
        <v>82752</v>
      </c>
      <c r="M301" s="143">
        <f t="shared" si="46"/>
        <v>287.66647354184323</v>
      </c>
      <c r="N301" s="129">
        <v>21.4</v>
      </c>
      <c r="O301" s="132">
        <f t="shared" si="47"/>
        <v>3866.9158878504677</v>
      </c>
      <c r="P301" s="132">
        <f t="shared" si="48"/>
        <v>13.442358576721647</v>
      </c>
      <c r="Q301" s="4"/>
    </row>
    <row r="302" spans="1:28" ht="17.25" customHeight="1" x14ac:dyDescent="0.2">
      <c r="A302" s="122">
        <f t="shared" si="44"/>
        <v>300</v>
      </c>
      <c r="B302" s="123" t="s">
        <v>9</v>
      </c>
      <c r="C302" s="131" t="s">
        <v>73</v>
      </c>
      <c r="D302" s="125">
        <v>348.57</v>
      </c>
      <c r="E302" s="132">
        <v>175</v>
      </c>
      <c r="F302" s="139">
        <f t="shared" si="49"/>
        <v>345.99840849999998</v>
      </c>
      <c r="G302" s="127">
        <v>25569.041962604166</v>
      </c>
      <c r="H302" s="127">
        <v>25569.041962604166</v>
      </c>
      <c r="I302" s="129">
        <v>0.26</v>
      </c>
      <c r="J302" s="132">
        <v>1259</v>
      </c>
      <c r="K302" s="144" t="s">
        <v>429</v>
      </c>
      <c r="L302" s="132">
        <v>112020</v>
      </c>
      <c r="M302" s="143">
        <f t="shared" si="46"/>
        <v>334.69388999502218</v>
      </c>
      <c r="N302" s="129">
        <v>27.8</v>
      </c>
      <c r="O302" s="132">
        <f t="shared" si="47"/>
        <v>4029.4964028776976</v>
      </c>
      <c r="P302" s="132">
        <f t="shared" si="48"/>
        <v>12.039348560972021</v>
      </c>
      <c r="Q302" s="4"/>
    </row>
    <row r="303" spans="1:28" ht="17.25" customHeight="1" x14ac:dyDescent="0.2">
      <c r="A303" s="122">
        <f t="shared" si="44"/>
        <v>301</v>
      </c>
      <c r="B303" s="123" t="s">
        <v>9</v>
      </c>
      <c r="C303" s="131" t="s">
        <v>73</v>
      </c>
      <c r="D303" s="125">
        <v>346.56</v>
      </c>
      <c r="E303" s="132">
        <v>175</v>
      </c>
      <c r="F303" s="139">
        <f t="shared" si="49"/>
        <v>344.00187549999998</v>
      </c>
      <c r="G303" s="127">
        <v>25569.041962604166</v>
      </c>
      <c r="H303" s="127">
        <v>25569.041962604166</v>
      </c>
      <c r="I303" s="129">
        <v>0.25</v>
      </c>
      <c r="J303" s="132">
        <v>1511</v>
      </c>
      <c r="K303" s="144" t="s">
        <v>429</v>
      </c>
      <c r="L303" s="132">
        <v>171853</v>
      </c>
      <c r="M303" s="143">
        <f t="shared" si="46"/>
        <v>414.55156494699185</v>
      </c>
      <c r="N303" s="129">
        <v>41.6</v>
      </c>
      <c r="O303" s="132">
        <f t="shared" si="47"/>
        <v>4131.0817307692305</v>
      </c>
      <c r="P303" s="132">
        <f t="shared" si="48"/>
        <v>9.965181849687303</v>
      </c>
      <c r="Q303" s="4"/>
    </row>
    <row r="304" spans="1:28" ht="17.25" customHeight="1" x14ac:dyDescent="0.2">
      <c r="A304" s="122">
        <f t="shared" ref="A304:A367" si="50">A303+1</f>
        <v>302</v>
      </c>
      <c r="B304" s="123" t="s">
        <v>9</v>
      </c>
      <c r="C304" s="131" t="s">
        <v>73</v>
      </c>
      <c r="D304" s="125">
        <v>344.54</v>
      </c>
      <c r="E304" s="132">
        <v>175</v>
      </c>
      <c r="F304" s="139">
        <f t="shared" si="49"/>
        <v>341.99540949999999</v>
      </c>
      <c r="G304" s="127">
        <v>25569.041962604166</v>
      </c>
      <c r="H304" s="127">
        <v>25569.041962604166</v>
      </c>
      <c r="I304" s="129">
        <v>0.25</v>
      </c>
      <c r="J304" s="126"/>
      <c r="K304" s="144" t="s">
        <v>429</v>
      </c>
      <c r="L304" s="132">
        <v>114340</v>
      </c>
      <c r="M304" s="143">
        <f t="shared" si="46"/>
        <v>338.14198201347313</v>
      </c>
      <c r="N304" s="129">
        <v>36.700000000000003</v>
      </c>
      <c r="O304" s="132">
        <f t="shared" si="47"/>
        <v>3115.5313351498635</v>
      </c>
      <c r="P304" s="132">
        <f t="shared" si="48"/>
        <v>9.2136779840183411</v>
      </c>
      <c r="Q304" s="4"/>
    </row>
    <row r="305" spans="1:28" ht="17.25" customHeight="1" x14ac:dyDescent="0.2">
      <c r="A305" s="122">
        <f t="shared" si="50"/>
        <v>303</v>
      </c>
      <c r="B305" s="123" t="s">
        <v>9</v>
      </c>
      <c r="C305" s="131" t="s">
        <v>73</v>
      </c>
      <c r="D305" s="125">
        <v>342.53</v>
      </c>
      <c r="E305" s="132">
        <v>175</v>
      </c>
      <c r="F305" s="139">
        <f t="shared" si="49"/>
        <v>339.99887649999994</v>
      </c>
      <c r="G305" s="127">
        <v>25569.041962604166</v>
      </c>
      <c r="H305" s="127">
        <v>25569.041962604166</v>
      </c>
      <c r="I305" s="129">
        <v>0.28999999999999998</v>
      </c>
      <c r="J305" s="126"/>
      <c r="K305" s="144" t="s">
        <v>429</v>
      </c>
      <c r="L305" s="132">
        <v>69814</v>
      </c>
      <c r="M305" s="143">
        <f t="shared" si="46"/>
        <v>264.22339033476959</v>
      </c>
      <c r="N305" s="132">
        <v>60</v>
      </c>
      <c r="O305" s="132">
        <f t="shared" si="47"/>
        <v>1163.5666666666666</v>
      </c>
      <c r="P305" s="132">
        <f t="shared" si="48"/>
        <v>4.4037231722461598</v>
      </c>
      <c r="Q305" s="4"/>
    </row>
    <row r="306" spans="1:28" ht="17.25" customHeight="1" x14ac:dyDescent="0.2">
      <c r="A306" s="122">
        <f t="shared" si="50"/>
        <v>304</v>
      </c>
      <c r="B306" s="123" t="s">
        <v>9</v>
      </c>
      <c r="C306" s="131" t="s">
        <v>73</v>
      </c>
      <c r="D306" s="125">
        <v>340.52</v>
      </c>
      <c r="E306" s="132">
        <v>175</v>
      </c>
      <c r="F306" s="139">
        <f t="shared" si="49"/>
        <v>338.00234349999994</v>
      </c>
      <c r="G306" s="127">
        <v>25569.041962604166</v>
      </c>
      <c r="H306" s="127">
        <v>25569.041962604166</v>
      </c>
      <c r="I306" s="129">
        <v>0.3</v>
      </c>
      <c r="J306" s="132">
        <v>1259</v>
      </c>
      <c r="K306" s="144" t="s">
        <v>429</v>
      </c>
      <c r="L306" s="132">
        <v>16158</v>
      </c>
      <c r="M306" s="143">
        <f t="shared" si="46"/>
        <v>127.11412195346354</v>
      </c>
      <c r="N306" s="132">
        <v>40</v>
      </c>
      <c r="O306" s="132">
        <f t="shared" si="47"/>
        <v>403.95</v>
      </c>
      <c r="P306" s="132">
        <f t="shared" si="48"/>
        <v>3.1778530488365884</v>
      </c>
      <c r="Q306" s="4"/>
    </row>
    <row r="307" spans="1:28" ht="17.25" customHeight="1" x14ac:dyDescent="0.2">
      <c r="A307" s="122">
        <f t="shared" si="50"/>
        <v>305</v>
      </c>
      <c r="B307" s="123" t="s">
        <v>9</v>
      </c>
      <c r="C307" s="131" t="s">
        <v>73</v>
      </c>
      <c r="D307" s="125">
        <v>343.54</v>
      </c>
      <c r="E307" s="132">
        <v>175</v>
      </c>
      <c r="F307" s="139">
        <f t="shared" si="49"/>
        <v>341.00210950000002</v>
      </c>
      <c r="G307" s="127">
        <v>25569.041962604166</v>
      </c>
      <c r="H307" s="127">
        <v>25569.041962604166</v>
      </c>
      <c r="I307" s="129">
        <v>0.28999999999999998</v>
      </c>
      <c r="J307" s="132">
        <v>630</v>
      </c>
      <c r="K307" s="144" t="s">
        <v>429</v>
      </c>
      <c r="L307" s="132">
        <v>38913</v>
      </c>
      <c r="M307" s="143">
        <f t="shared" si="46"/>
        <v>197.26378278842773</v>
      </c>
      <c r="N307" s="129">
        <v>18.399999999999999</v>
      </c>
      <c r="O307" s="132">
        <f t="shared" si="47"/>
        <v>2114.8369565217395</v>
      </c>
      <c r="P307" s="132">
        <f t="shared" si="48"/>
        <v>10.720857760240639</v>
      </c>
      <c r="Q307" s="4"/>
    </row>
    <row r="308" spans="1:28" ht="17.25" customHeight="1" x14ac:dyDescent="0.2">
      <c r="A308" s="122">
        <f t="shared" si="50"/>
        <v>306</v>
      </c>
      <c r="B308" s="123" t="s">
        <v>9</v>
      </c>
      <c r="C308" s="131" t="s">
        <v>73</v>
      </c>
      <c r="D308" s="125">
        <v>345.55</v>
      </c>
      <c r="E308" s="132">
        <v>175</v>
      </c>
      <c r="F308" s="139">
        <f t="shared" si="49"/>
        <v>342.99864249999996</v>
      </c>
      <c r="G308" s="127">
        <v>25569.041962604166</v>
      </c>
      <c r="H308" s="127">
        <v>25569.041962604166</v>
      </c>
      <c r="I308" s="129">
        <v>0.28999999999999998</v>
      </c>
      <c r="J308" s="132">
        <v>504</v>
      </c>
      <c r="K308" s="144" t="s">
        <v>429</v>
      </c>
      <c r="L308" s="132">
        <v>54120</v>
      </c>
      <c r="M308" s="143">
        <f t="shared" si="46"/>
        <v>232.63705637752554</v>
      </c>
      <c r="N308" s="129">
        <v>14.3</v>
      </c>
      <c r="O308" s="132">
        <f t="shared" si="47"/>
        <v>3784.6153846153843</v>
      </c>
      <c r="P308" s="132">
        <f t="shared" si="48"/>
        <v>16.268325620805982</v>
      </c>
      <c r="Q308" s="4"/>
    </row>
    <row r="309" spans="1:28" ht="17.25" customHeight="1" x14ac:dyDescent="0.2">
      <c r="A309" s="122">
        <f t="shared" si="50"/>
        <v>307</v>
      </c>
      <c r="B309" s="123" t="s">
        <v>9</v>
      </c>
      <c r="C309" s="131" t="s">
        <v>73</v>
      </c>
      <c r="D309" s="125">
        <v>357.63</v>
      </c>
      <c r="E309" s="132">
        <v>175</v>
      </c>
      <c r="F309" s="139">
        <f t="shared" si="49"/>
        <v>354.99770649999999</v>
      </c>
      <c r="G309" s="127">
        <v>25569.041962604166</v>
      </c>
      <c r="H309" s="127">
        <v>25569.041962604166</v>
      </c>
      <c r="I309" s="129">
        <v>0.21</v>
      </c>
      <c r="J309" s="132">
        <v>630</v>
      </c>
      <c r="K309" s="144" t="s">
        <v>429</v>
      </c>
      <c r="L309" s="132">
        <v>48263</v>
      </c>
      <c r="M309" s="143">
        <f t="shared" ref="M309:M340" si="51">SQRT(L309)</f>
        <v>219.68841571644145</v>
      </c>
      <c r="N309" s="129">
        <v>12.5</v>
      </c>
      <c r="O309" s="132">
        <f t="shared" ref="O309:O340" si="52">L309/N309</f>
        <v>3861.04</v>
      </c>
      <c r="P309" s="132">
        <f t="shared" ref="P309:P342" si="53">M309/N309</f>
        <v>17.575073257315317</v>
      </c>
      <c r="Q309" s="4"/>
    </row>
    <row r="310" spans="1:28" ht="17.25" customHeight="1" x14ac:dyDescent="0.2">
      <c r="A310" s="122">
        <f t="shared" si="50"/>
        <v>308</v>
      </c>
      <c r="B310" s="123" t="s">
        <v>9</v>
      </c>
      <c r="C310" s="131" t="s">
        <v>73</v>
      </c>
      <c r="D310" s="125">
        <v>362.67</v>
      </c>
      <c r="E310" s="132">
        <v>175</v>
      </c>
      <c r="F310" s="139">
        <f t="shared" si="49"/>
        <v>360.0039385</v>
      </c>
      <c r="G310" s="127">
        <v>25569.041962604166</v>
      </c>
      <c r="H310" s="127">
        <v>25569.041962604166</v>
      </c>
      <c r="I310" s="129">
        <v>0.18</v>
      </c>
      <c r="J310" s="132">
        <v>1007</v>
      </c>
      <c r="K310" s="144" t="s">
        <v>429</v>
      </c>
      <c r="L310" s="132">
        <v>58645</v>
      </c>
      <c r="M310" s="143">
        <f t="shared" si="51"/>
        <v>242.16729754448679</v>
      </c>
      <c r="N310" s="129">
        <v>16.600000000000001</v>
      </c>
      <c r="O310" s="132">
        <f t="shared" si="52"/>
        <v>3532.8313253012047</v>
      </c>
      <c r="P310" s="132">
        <f t="shared" si="53"/>
        <v>14.588391418342576</v>
      </c>
      <c r="Q310" s="4"/>
    </row>
    <row r="311" spans="1:28" ht="17.25" customHeight="1" x14ac:dyDescent="0.2">
      <c r="A311" s="122">
        <f t="shared" si="50"/>
        <v>309</v>
      </c>
      <c r="B311" s="123" t="s">
        <v>9</v>
      </c>
      <c r="C311" s="131" t="s">
        <v>73</v>
      </c>
      <c r="D311" s="125">
        <v>367.7</v>
      </c>
      <c r="E311" s="132">
        <v>175</v>
      </c>
      <c r="F311" s="139">
        <f t="shared" si="49"/>
        <v>365.00023749999997</v>
      </c>
      <c r="G311" s="127">
        <v>25569.041962604166</v>
      </c>
      <c r="H311" s="127">
        <v>25569.041962604166</v>
      </c>
      <c r="I311" s="129">
        <v>0.17</v>
      </c>
      <c r="J311" s="132">
        <v>756</v>
      </c>
      <c r="K311" s="144" t="s">
        <v>429</v>
      </c>
      <c r="L311" s="132">
        <v>19623</v>
      </c>
      <c r="M311" s="143">
        <f t="shared" si="51"/>
        <v>140.08211877323959</v>
      </c>
      <c r="N311" s="129">
        <v>11.6</v>
      </c>
      <c r="O311" s="132">
        <f t="shared" si="52"/>
        <v>1691.6379310344828</v>
      </c>
      <c r="P311" s="132">
        <f t="shared" si="53"/>
        <v>12.076044721831</v>
      </c>
      <c r="Q311" s="4"/>
    </row>
    <row r="312" spans="1:28" ht="17.25" customHeight="1" x14ac:dyDescent="0.2">
      <c r="A312" s="122">
        <f t="shared" si="50"/>
        <v>310</v>
      </c>
      <c r="B312" s="123" t="s">
        <v>9</v>
      </c>
      <c r="C312" s="131" t="s">
        <v>73</v>
      </c>
      <c r="D312" s="125">
        <v>372.73</v>
      </c>
      <c r="E312" s="132">
        <v>175</v>
      </c>
      <c r="F312" s="139">
        <f t="shared" si="49"/>
        <v>369.99653649999999</v>
      </c>
      <c r="G312" s="127">
        <v>25569.041962604166</v>
      </c>
      <c r="H312" s="127">
        <v>25569.041962604166</v>
      </c>
      <c r="I312" s="129">
        <v>0.15</v>
      </c>
      <c r="J312" s="132">
        <v>1133</v>
      </c>
      <c r="K312" s="144" t="s">
        <v>429</v>
      </c>
      <c r="L312" s="132">
        <v>10325</v>
      </c>
      <c r="M312" s="143">
        <f t="shared" si="51"/>
        <v>101.61200716450787</v>
      </c>
      <c r="N312" s="129">
        <v>17.100000000000001</v>
      </c>
      <c r="O312" s="132">
        <f t="shared" si="52"/>
        <v>603.80116959064321</v>
      </c>
      <c r="P312" s="132">
        <f t="shared" si="53"/>
        <v>5.9422226411992902</v>
      </c>
      <c r="Q312" s="4"/>
    </row>
    <row r="313" spans="1:28" ht="17.25" customHeight="1" x14ac:dyDescent="0.2">
      <c r="A313" s="183">
        <f t="shared" si="50"/>
        <v>311</v>
      </c>
      <c r="B313" s="184" t="s">
        <v>9</v>
      </c>
      <c r="C313" s="185" t="s">
        <v>73</v>
      </c>
      <c r="D313" s="186">
        <v>377.77</v>
      </c>
      <c r="E313" s="187">
        <v>175</v>
      </c>
      <c r="F313" s="188">
        <f t="shared" si="49"/>
        <v>375.00276849999995</v>
      </c>
      <c r="G313" s="189">
        <v>25569.041962604166</v>
      </c>
      <c r="H313" s="189">
        <v>25569.041962604166</v>
      </c>
      <c r="I313" s="192">
        <v>0.15</v>
      </c>
      <c r="J313" s="187">
        <v>3273</v>
      </c>
      <c r="K313" s="190" t="s">
        <v>429</v>
      </c>
      <c r="L313" s="187">
        <v>11973</v>
      </c>
      <c r="M313" s="191">
        <f t="shared" si="51"/>
        <v>109.42120452636226</v>
      </c>
      <c r="N313" s="192">
        <v>45.7</v>
      </c>
      <c r="O313" s="187">
        <f t="shared" si="52"/>
        <v>261.99124726477021</v>
      </c>
      <c r="P313" s="187">
        <f t="shared" si="53"/>
        <v>2.3943370793514718</v>
      </c>
      <c r="Q313" s="204"/>
      <c r="R313" s="34"/>
      <c r="S313" s="34"/>
      <c r="T313" s="34"/>
      <c r="U313" s="34"/>
      <c r="V313" s="34"/>
      <c r="W313" s="34"/>
      <c r="X313" s="34"/>
      <c r="Y313" s="34"/>
      <c r="Z313" s="34"/>
      <c r="AA313" s="34"/>
      <c r="AB313" s="34"/>
    </row>
    <row r="314" spans="1:28" ht="17.25" customHeight="1" x14ac:dyDescent="0.2">
      <c r="A314" s="122">
        <f t="shared" si="50"/>
        <v>312</v>
      </c>
      <c r="B314" s="123" t="s">
        <v>9</v>
      </c>
      <c r="C314" s="131" t="s">
        <v>62</v>
      </c>
      <c r="D314" s="125">
        <v>342.22</v>
      </c>
      <c r="E314" s="132">
        <v>2495</v>
      </c>
      <c r="F314" s="139">
        <f t="shared" si="49"/>
        <v>341.99540949999999</v>
      </c>
      <c r="G314" s="127">
        <v>25569.041962604166</v>
      </c>
      <c r="H314" s="127">
        <v>25569.041962604166</v>
      </c>
      <c r="I314" s="132">
        <v>130</v>
      </c>
      <c r="J314" s="132">
        <v>756</v>
      </c>
      <c r="K314" s="144" t="s">
        <v>429</v>
      </c>
      <c r="L314" s="132">
        <v>87657</v>
      </c>
      <c r="M314" s="143">
        <f t="shared" si="51"/>
        <v>296.06924865645874</v>
      </c>
      <c r="N314" s="132">
        <v>9522</v>
      </c>
      <c r="O314" s="129">
        <f t="shared" si="52"/>
        <v>9.2057340894770014</v>
      </c>
      <c r="P314" s="129">
        <f t="shared" si="53"/>
        <v>3.1093178812902619E-2</v>
      </c>
      <c r="Q314" s="4"/>
    </row>
    <row r="315" spans="1:28" ht="17.25" customHeight="1" x14ac:dyDescent="0.2">
      <c r="A315" s="122">
        <f t="shared" si="50"/>
        <v>313</v>
      </c>
      <c r="B315" s="123" t="s">
        <v>9</v>
      </c>
      <c r="C315" s="131" t="s">
        <v>62</v>
      </c>
      <c r="D315" s="125">
        <v>340.21</v>
      </c>
      <c r="E315" s="132">
        <v>2495</v>
      </c>
      <c r="F315" s="139">
        <f t="shared" si="49"/>
        <v>339.99887649999994</v>
      </c>
      <c r="G315" s="127">
        <v>25569.041962604166</v>
      </c>
      <c r="H315" s="127">
        <v>25569.041962604166</v>
      </c>
      <c r="I315" s="132">
        <v>130</v>
      </c>
      <c r="J315" s="132">
        <v>881</v>
      </c>
      <c r="K315" s="144" t="s">
        <v>429</v>
      </c>
      <c r="L315" s="132">
        <v>84898</v>
      </c>
      <c r="M315" s="143">
        <f t="shared" si="51"/>
        <v>291.37261367534182</v>
      </c>
      <c r="N315" s="132">
        <v>12584</v>
      </c>
      <c r="O315" s="129">
        <f t="shared" si="52"/>
        <v>6.7465034965034967</v>
      </c>
      <c r="P315" s="129">
        <f t="shared" si="53"/>
        <v>2.3154212784118073E-2</v>
      </c>
      <c r="Q315" s="4"/>
    </row>
    <row r="316" spans="1:28" ht="17.25" customHeight="1" x14ac:dyDescent="0.2">
      <c r="A316" s="122">
        <f t="shared" si="50"/>
        <v>314</v>
      </c>
      <c r="B316" s="123" t="s">
        <v>9</v>
      </c>
      <c r="C316" s="131" t="s">
        <v>62</v>
      </c>
      <c r="D316" s="125">
        <v>338.2</v>
      </c>
      <c r="E316" s="132">
        <v>2495</v>
      </c>
      <c r="F316" s="139">
        <f t="shared" si="49"/>
        <v>338.00234349999994</v>
      </c>
      <c r="G316" s="127">
        <v>25569.041962604166</v>
      </c>
      <c r="H316" s="127">
        <v>25569.041962604166</v>
      </c>
      <c r="I316" s="132">
        <v>130</v>
      </c>
      <c r="J316" s="132">
        <v>1259</v>
      </c>
      <c r="K316" s="144" t="s">
        <v>429</v>
      </c>
      <c r="L316" s="132">
        <v>17506</v>
      </c>
      <c r="M316" s="143">
        <f t="shared" si="51"/>
        <v>132.31024147812596</v>
      </c>
      <c r="N316" s="132">
        <v>12198</v>
      </c>
      <c r="O316" s="129">
        <f t="shared" si="52"/>
        <v>1.4351533038202984</v>
      </c>
      <c r="P316" s="129">
        <f t="shared" si="53"/>
        <v>1.0846879937541069E-2</v>
      </c>
      <c r="Q316" s="4"/>
    </row>
    <row r="317" spans="1:28" ht="17.25" customHeight="1" x14ac:dyDescent="0.2">
      <c r="A317" s="122">
        <f t="shared" si="50"/>
        <v>315</v>
      </c>
      <c r="B317" s="123" t="s">
        <v>9</v>
      </c>
      <c r="C317" s="131" t="s">
        <v>62</v>
      </c>
      <c r="D317" s="125">
        <v>336.18</v>
      </c>
      <c r="E317" s="132">
        <v>2495</v>
      </c>
      <c r="F317" s="139">
        <f t="shared" si="49"/>
        <v>335.99587749999995</v>
      </c>
      <c r="G317" s="127">
        <v>25569.041962604166</v>
      </c>
      <c r="H317" s="127">
        <v>25569.041962604166</v>
      </c>
      <c r="I317" s="132">
        <v>130</v>
      </c>
      <c r="J317" s="132">
        <v>1511</v>
      </c>
      <c r="K317" s="144" t="s">
        <v>429</v>
      </c>
      <c r="L317" s="132">
        <v>8268</v>
      </c>
      <c r="M317" s="143">
        <f t="shared" si="51"/>
        <v>90.928543373354444</v>
      </c>
      <c r="N317" s="132">
        <v>14677</v>
      </c>
      <c r="O317" s="129">
        <f t="shared" si="52"/>
        <v>0.56333038086802478</v>
      </c>
      <c r="P317" s="129">
        <f t="shared" si="53"/>
        <v>6.1953085353515323E-3</v>
      </c>
      <c r="Q317" s="4"/>
    </row>
    <row r="318" spans="1:28" ht="17.25" customHeight="1" x14ac:dyDescent="0.2">
      <c r="A318" s="122">
        <f t="shared" si="50"/>
        <v>316</v>
      </c>
      <c r="B318" s="123" t="s">
        <v>9</v>
      </c>
      <c r="C318" s="131" t="s">
        <v>62</v>
      </c>
      <c r="D318" s="125">
        <v>334.17</v>
      </c>
      <c r="E318" s="132">
        <v>2495</v>
      </c>
      <c r="F318" s="139">
        <f t="shared" si="49"/>
        <v>333.99934450000001</v>
      </c>
      <c r="G318" s="127">
        <v>25569.041962604166</v>
      </c>
      <c r="H318" s="127">
        <v>25569.041962604166</v>
      </c>
      <c r="I318" s="132">
        <v>125</v>
      </c>
      <c r="J318" s="132">
        <v>1762</v>
      </c>
      <c r="K318" s="144" t="s">
        <v>429</v>
      </c>
      <c r="L318" s="132">
        <v>6100</v>
      </c>
      <c r="M318" s="143">
        <f t="shared" si="51"/>
        <v>78.10249675906654</v>
      </c>
      <c r="N318" s="132">
        <v>19825</v>
      </c>
      <c r="O318" s="129">
        <f t="shared" si="52"/>
        <v>0.30769230769230771</v>
      </c>
      <c r="P318" s="129">
        <f t="shared" si="53"/>
        <v>3.9395963056275685E-3</v>
      </c>
      <c r="Q318" s="4"/>
    </row>
    <row r="319" spans="1:28" ht="17.25" customHeight="1" x14ac:dyDescent="0.2">
      <c r="A319" s="122">
        <f t="shared" si="50"/>
        <v>317</v>
      </c>
      <c r="B319" s="123" t="s">
        <v>9</v>
      </c>
      <c r="C319" s="131" t="s">
        <v>62</v>
      </c>
      <c r="D319" s="125">
        <v>344.24</v>
      </c>
      <c r="E319" s="132">
        <v>2495</v>
      </c>
      <c r="F319" s="139">
        <f t="shared" si="49"/>
        <v>344.00187549999998</v>
      </c>
      <c r="G319" s="127">
        <v>25569.041962604166</v>
      </c>
      <c r="H319" s="127">
        <v>25569.041962604166</v>
      </c>
      <c r="I319" s="132">
        <v>131</v>
      </c>
      <c r="J319" s="126"/>
      <c r="K319" s="144" t="s">
        <v>429</v>
      </c>
      <c r="L319" s="132">
        <v>67156</v>
      </c>
      <c r="M319" s="143">
        <f t="shared" si="51"/>
        <v>259.14474719739161</v>
      </c>
      <c r="N319" s="132">
        <v>15106</v>
      </c>
      <c r="O319" s="129">
        <f t="shared" si="52"/>
        <v>4.4456507348073613</v>
      </c>
      <c r="P319" s="129">
        <f t="shared" si="53"/>
        <v>1.7155087196967535E-2</v>
      </c>
      <c r="Q319" s="4"/>
    </row>
    <row r="320" spans="1:28" ht="17.25" customHeight="1" x14ac:dyDescent="0.2">
      <c r="A320" s="122">
        <f t="shared" si="50"/>
        <v>318</v>
      </c>
      <c r="B320" s="123" t="s">
        <v>9</v>
      </c>
      <c r="C320" s="131" t="s">
        <v>62</v>
      </c>
      <c r="D320" s="125">
        <v>346.25</v>
      </c>
      <c r="E320" s="132">
        <v>2495</v>
      </c>
      <c r="F320" s="139">
        <f t="shared" si="49"/>
        <v>345.99840849999998</v>
      </c>
      <c r="G320" s="127">
        <v>25569.041962604166</v>
      </c>
      <c r="H320" s="127">
        <v>25569.041962604166</v>
      </c>
      <c r="I320" s="132">
        <v>130</v>
      </c>
      <c r="J320" s="132">
        <v>1007</v>
      </c>
      <c r="K320" s="144" t="s">
        <v>429</v>
      </c>
      <c r="L320" s="132">
        <v>39771</v>
      </c>
      <c r="M320" s="143">
        <f t="shared" si="51"/>
        <v>199.42667825544305</v>
      </c>
      <c r="N320" s="132">
        <v>11946</v>
      </c>
      <c r="O320" s="129">
        <f t="shared" si="52"/>
        <v>3.3292315419387242</v>
      </c>
      <c r="P320" s="129">
        <f t="shared" si="53"/>
        <v>1.6694012912727527E-2</v>
      </c>
      <c r="Q320" s="4"/>
    </row>
    <row r="321" spans="1:17" ht="17.25" customHeight="1" x14ac:dyDescent="0.2">
      <c r="A321" s="122">
        <f t="shared" si="50"/>
        <v>319</v>
      </c>
      <c r="B321" s="123" t="s">
        <v>9</v>
      </c>
      <c r="C321" s="131" t="s">
        <v>62</v>
      </c>
      <c r="D321" s="125">
        <v>348.27</v>
      </c>
      <c r="E321" s="132">
        <v>2495</v>
      </c>
      <c r="F321" s="139">
        <f t="shared" si="49"/>
        <v>348.00487449999997</v>
      </c>
      <c r="G321" s="127">
        <v>25569.041962604166</v>
      </c>
      <c r="H321" s="127">
        <v>25569.041962604166</v>
      </c>
      <c r="I321" s="132">
        <v>129</v>
      </c>
      <c r="J321" s="132">
        <v>1007</v>
      </c>
      <c r="K321" s="144" t="s">
        <v>429</v>
      </c>
      <c r="L321" s="132">
        <v>32525</v>
      </c>
      <c r="M321" s="143">
        <f t="shared" si="51"/>
        <v>180.34688796871433</v>
      </c>
      <c r="N321" s="132">
        <v>11633</v>
      </c>
      <c r="O321" s="129">
        <f t="shared" si="52"/>
        <v>2.7959253846815093</v>
      </c>
      <c r="P321" s="129">
        <f t="shared" si="53"/>
        <v>1.5503042032899022E-2</v>
      </c>
      <c r="Q321" s="4"/>
    </row>
    <row r="322" spans="1:17" ht="17.25" customHeight="1" x14ac:dyDescent="0.2">
      <c r="A322" s="122">
        <f t="shared" si="50"/>
        <v>320</v>
      </c>
      <c r="B322" s="123" t="s">
        <v>9</v>
      </c>
      <c r="C322" s="131" t="s">
        <v>62</v>
      </c>
      <c r="D322" s="125">
        <v>350.28</v>
      </c>
      <c r="E322" s="132">
        <v>2495</v>
      </c>
      <c r="F322" s="139">
        <f t="shared" si="49"/>
        <v>350.00140749999991</v>
      </c>
      <c r="G322" s="127">
        <v>25569.041962604166</v>
      </c>
      <c r="H322" s="127">
        <v>25569.041962604166</v>
      </c>
      <c r="I322" s="132">
        <v>130</v>
      </c>
      <c r="J322" s="132">
        <v>1259</v>
      </c>
      <c r="K322" s="144" t="s">
        <v>429</v>
      </c>
      <c r="L322" s="132">
        <v>38287</v>
      </c>
      <c r="M322" s="143">
        <f t="shared" si="51"/>
        <v>195.6706416404873</v>
      </c>
      <c r="N322" s="132">
        <v>15633</v>
      </c>
      <c r="O322" s="129">
        <f t="shared" si="52"/>
        <v>2.4491140536045544</v>
      </c>
      <c r="P322" s="129">
        <f t="shared" si="53"/>
        <v>1.2516512610534594E-2</v>
      </c>
      <c r="Q322" s="4"/>
    </row>
    <row r="323" spans="1:17" ht="17.25" customHeight="1" x14ac:dyDescent="0.2">
      <c r="A323" s="122">
        <f t="shared" si="50"/>
        <v>321</v>
      </c>
      <c r="B323" s="123" t="s">
        <v>9</v>
      </c>
      <c r="C323" s="131" t="s">
        <v>62</v>
      </c>
      <c r="D323" s="125">
        <v>352.29</v>
      </c>
      <c r="E323" s="132">
        <v>2495</v>
      </c>
      <c r="F323" s="139">
        <f t="shared" si="49"/>
        <v>351.99794049999997</v>
      </c>
      <c r="G323" s="127">
        <v>25569.041962604166</v>
      </c>
      <c r="H323" s="127">
        <v>25569.041962604166</v>
      </c>
      <c r="I323" s="132">
        <v>130</v>
      </c>
      <c r="J323" s="126"/>
      <c r="K323" s="144" t="s">
        <v>429</v>
      </c>
      <c r="L323" s="132">
        <v>26105</v>
      </c>
      <c r="M323" s="143">
        <f t="shared" si="51"/>
        <v>161.57041808449961</v>
      </c>
      <c r="N323" s="132">
        <v>11990</v>
      </c>
      <c r="O323" s="129">
        <f t="shared" si="52"/>
        <v>2.177231025854879</v>
      </c>
      <c r="P323" s="129">
        <f t="shared" si="53"/>
        <v>1.3475431032902385E-2</v>
      </c>
      <c r="Q323" s="4"/>
    </row>
    <row r="324" spans="1:17" ht="17.25" customHeight="1" x14ac:dyDescent="0.2">
      <c r="A324" s="122">
        <f t="shared" si="50"/>
        <v>322</v>
      </c>
      <c r="B324" s="123" t="s">
        <v>9</v>
      </c>
      <c r="C324" s="131" t="s">
        <v>62</v>
      </c>
      <c r="D324" s="125">
        <v>357.33</v>
      </c>
      <c r="E324" s="132">
        <v>2495</v>
      </c>
      <c r="F324" s="139">
        <f t="shared" ref="F324:F342" si="54">0.9933*(D324+E324/1000)-0.41</f>
        <v>357.00417249999992</v>
      </c>
      <c r="G324" s="127">
        <v>25569.041962604166</v>
      </c>
      <c r="H324" s="127">
        <v>25569.041962604166</v>
      </c>
      <c r="I324" s="132">
        <v>130</v>
      </c>
      <c r="J324" s="132">
        <v>881</v>
      </c>
      <c r="K324" s="144" t="s">
        <v>429</v>
      </c>
      <c r="L324" s="132">
        <v>19141</v>
      </c>
      <c r="M324" s="143">
        <f t="shared" si="51"/>
        <v>138.35100288758301</v>
      </c>
      <c r="N324" s="132">
        <v>10517</v>
      </c>
      <c r="O324" s="129">
        <f t="shared" si="52"/>
        <v>1.8200057050489684</v>
      </c>
      <c r="P324" s="129">
        <f t="shared" si="53"/>
        <v>1.3154987438203196E-2</v>
      </c>
      <c r="Q324" s="4"/>
    </row>
    <row r="325" spans="1:17" ht="17.25" customHeight="1" x14ac:dyDescent="0.2">
      <c r="A325" s="122">
        <f t="shared" si="50"/>
        <v>323</v>
      </c>
      <c r="B325" s="123" t="s">
        <v>9</v>
      </c>
      <c r="C325" s="131" t="s">
        <v>62</v>
      </c>
      <c r="D325" s="125">
        <v>362.36</v>
      </c>
      <c r="E325" s="132">
        <v>2495</v>
      </c>
      <c r="F325" s="139">
        <f t="shared" si="54"/>
        <v>362.0004715</v>
      </c>
      <c r="G325" s="127">
        <v>25569.041962604166</v>
      </c>
      <c r="H325" s="127">
        <v>25569.041962604166</v>
      </c>
      <c r="I325" s="132">
        <v>130</v>
      </c>
      <c r="J325" s="126"/>
      <c r="K325" s="144" t="s">
        <v>429</v>
      </c>
      <c r="L325" s="132">
        <v>15630</v>
      </c>
      <c r="M325" s="143">
        <f t="shared" si="51"/>
        <v>125.01999840025594</v>
      </c>
      <c r="N325" s="132">
        <v>9892</v>
      </c>
      <c r="O325" s="129">
        <f t="shared" si="52"/>
        <v>1.5800646987464617</v>
      </c>
      <c r="P325" s="129">
        <f t="shared" si="53"/>
        <v>1.2638495592423771E-2</v>
      </c>
      <c r="Q325" s="4"/>
    </row>
    <row r="326" spans="1:17" ht="17.25" customHeight="1" x14ac:dyDescent="0.2">
      <c r="A326" s="122">
        <f t="shared" si="50"/>
        <v>324</v>
      </c>
      <c r="B326" s="123" t="s">
        <v>9</v>
      </c>
      <c r="C326" s="131" t="s">
        <v>62</v>
      </c>
      <c r="D326" s="125">
        <v>367.39</v>
      </c>
      <c r="E326" s="132">
        <v>2495</v>
      </c>
      <c r="F326" s="139">
        <f t="shared" si="54"/>
        <v>366.99677049999997</v>
      </c>
      <c r="G326" s="127">
        <v>25569.041962604166</v>
      </c>
      <c r="H326" s="127">
        <v>25569.041962604166</v>
      </c>
      <c r="I326" s="132">
        <v>130</v>
      </c>
      <c r="J326" s="132">
        <v>756</v>
      </c>
      <c r="K326" s="144" t="s">
        <v>429</v>
      </c>
      <c r="L326" s="132">
        <v>13885</v>
      </c>
      <c r="M326" s="143">
        <f t="shared" si="51"/>
        <v>117.83462988442744</v>
      </c>
      <c r="N326" s="132">
        <v>9875</v>
      </c>
      <c r="O326" s="129">
        <f t="shared" si="52"/>
        <v>1.4060759493670887</v>
      </c>
      <c r="P326" s="129">
        <f t="shared" si="53"/>
        <v>1.1932620747790121E-2</v>
      </c>
      <c r="Q326" s="4"/>
    </row>
    <row r="327" spans="1:17" ht="17.25" customHeight="1" x14ac:dyDescent="0.2">
      <c r="A327" s="122">
        <f t="shared" si="50"/>
        <v>325</v>
      </c>
      <c r="B327" s="123" t="s">
        <v>9</v>
      </c>
      <c r="C327" s="131" t="s">
        <v>62</v>
      </c>
      <c r="D327" s="125">
        <v>377.46</v>
      </c>
      <c r="E327" s="132">
        <v>2495</v>
      </c>
      <c r="F327" s="139">
        <f t="shared" si="54"/>
        <v>376.99930149999994</v>
      </c>
      <c r="G327" s="127">
        <v>25569.041962604166</v>
      </c>
      <c r="H327" s="127">
        <v>25569.041962604166</v>
      </c>
      <c r="I327" s="132">
        <v>127</v>
      </c>
      <c r="J327" s="132">
        <v>1007</v>
      </c>
      <c r="K327" s="144" t="s">
        <v>429</v>
      </c>
      <c r="L327" s="132">
        <v>12525</v>
      </c>
      <c r="M327" s="143">
        <f t="shared" si="51"/>
        <v>111.91514642799696</v>
      </c>
      <c r="N327" s="132">
        <v>10817</v>
      </c>
      <c r="O327" s="129">
        <f t="shared" si="52"/>
        <v>1.1578996024775816</v>
      </c>
      <c r="P327" s="129">
        <f t="shared" si="53"/>
        <v>1.0346227829157527E-2</v>
      </c>
      <c r="Q327" s="4"/>
    </row>
    <row r="328" spans="1:17" ht="17.25" customHeight="1" x14ac:dyDescent="0.2">
      <c r="A328" s="122">
        <f t="shared" si="50"/>
        <v>326</v>
      </c>
      <c r="B328" s="123" t="s">
        <v>9</v>
      </c>
      <c r="C328" s="131" t="s">
        <v>62</v>
      </c>
      <c r="D328" s="125">
        <v>341.22</v>
      </c>
      <c r="E328" s="132">
        <v>2495</v>
      </c>
      <c r="F328" s="139">
        <f t="shared" si="54"/>
        <v>341.00210950000002</v>
      </c>
      <c r="G328" s="127">
        <v>25569.041962604166</v>
      </c>
      <c r="H328" s="127">
        <v>25569.041962604166</v>
      </c>
      <c r="I328" s="132">
        <v>128</v>
      </c>
      <c r="J328" s="132">
        <v>1133</v>
      </c>
      <c r="K328" s="144" t="s">
        <v>429</v>
      </c>
      <c r="L328" s="132">
        <v>107820</v>
      </c>
      <c r="M328" s="143">
        <f t="shared" si="51"/>
        <v>328.35955902029104</v>
      </c>
      <c r="N328" s="132">
        <v>13780</v>
      </c>
      <c r="O328" s="129">
        <f t="shared" si="52"/>
        <v>7.8243831640058055</v>
      </c>
      <c r="P328" s="129">
        <f t="shared" si="53"/>
        <v>2.3828705299005156E-2</v>
      </c>
      <c r="Q328" s="4"/>
    </row>
    <row r="329" spans="1:17" ht="17.25" customHeight="1" x14ac:dyDescent="0.2">
      <c r="A329" s="122">
        <f t="shared" si="50"/>
        <v>327</v>
      </c>
      <c r="B329" s="123" t="s">
        <v>9</v>
      </c>
      <c r="C329" s="131" t="s">
        <v>62</v>
      </c>
      <c r="D329" s="125">
        <v>343.23</v>
      </c>
      <c r="E329" s="132">
        <v>2495</v>
      </c>
      <c r="F329" s="139">
        <f t="shared" si="54"/>
        <v>342.99864249999996</v>
      </c>
      <c r="G329" s="127">
        <v>25569.041962604166</v>
      </c>
      <c r="H329" s="127">
        <v>25569.041962604166</v>
      </c>
      <c r="I329" s="132">
        <v>129</v>
      </c>
      <c r="J329" s="132">
        <v>1511</v>
      </c>
      <c r="K329" s="144" t="s">
        <v>429</v>
      </c>
      <c r="L329" s="132">
        <v>65523</v>
      </c>
      <c r="M329" s="143">
        <f t="shared" si="51"/>
        <v>255.97460811572697</v>
      </c>
      <c r="N329" s="132">
        <v>12797</v>
      </c>
      <c r="O329" s="129">
        <f t="shared" si="52"/>
        <v>5.1201844182230207</v>
      </c>
      <c r="P329" s="129">
        <f t="shared" si="53"/>
        <v>2.000270439288325E-2</v>
      </c>
      <c r="Q329" s="4"/>
    </row>
    <row r="330" spans="1:17" ht="17.25" customHeight="1" x14ac:dyDescent="0.2">
      <c r="A330" s="183">
        <f t="shared" si="50"/>
        <v>328</v>
      </c>
      <c r="B330" s="184" t="s">
        <v>9</v>
      </c>
      <c r="C330" s="185" t="s">
        <v>62</v>
      </c>
      <c r="D330" s="186">
        <v>339.2</v>
      </c>
      <c r="E330" s="187">
        <v>2495</v>
      </c>
      <c r="F330" s="188">
        <f t="shared" si="54"/>
        <v>338.99564349999997</v>
      </c>
      <c r="G330" s="189">
        <v>25569.041962604166</v>
      </c>
      <c r="H330" s="189">
        <v>25569.041962604166</v>
      </c>
      <c r="I330" s="187">
        <v>130</v>
      </c>
      <c r="J330" s="187">
        <v>1007</v>
      </c>
      <c r="K330" s="190" t="s">
        <v>429</v>
      </c>
      <c r="L330" s="187">
        <v>23872</v>
      </c>
      <c r="M330" s="191">
        <f t="shared" si="51"/>
        <v>154.50566332662373</v>
      </c>
      <c r="N330" s="187">
        <v>11990</v>
      </c>
      <c r="O330" s="192">
        <f t="shared" si="52"/>
        <v>1.9909924937447874</v>
      </c>
      <c r="P330" s="192">
        <f t="shared" si="53"/>
        <v>1.2886210452595808E-2</v>
      </c>
      <c r="Q330" s="4"/>
    </row>
    <row r="331" spans="1:17" ht="17.25" customHeight="1" x14ac:dyDescent="0.2">
      <c r="A331" s="122">
        <f t="shared" si="50"/>
        <v>329</v>
      </c>
      <c r="B331" s="123" t="s">
        <v>9</v>
      </c>
      <c r="C331" s="131" t="s">
        <v>72</v>
      </c>
      <c r="D331" s="125">
        <v>352.6</v>
      </c>
      <c r="E331" s="132">
        <v>174</v>
      </c>
      <c r="F331" s="139">
        <f t="shared" si="54"/>
        <v>350.00041419999997</v>
      </c>
      <c r="G331" s="127">
        <v>25569.041962604166</v>
      </c>
      <c r="H331" s="127">
        <v>25569.041962604166</v>
      </c>
      <c r="I331" s="129">
        <v>0.23</v>
      </c>
      <c r="J331" s="132">
        <v>2266</v>
      </c>
      <c r="K331" s="144" t="s">
        <v>429</v>
      </c>
      <c r="L331" s="132">
        <v>144</v>
      </c>
      <c r="M331" s="143">
        <f t="shared" si="51"/>
        <v>12</v>
      </c>
      <c r="N331" s="132">
        <v>50</v>
      </c>
      <c r="O331" s="129">
        <f t="shared" si="52"/>
        <v>2.88</v>
      </c>
      <c r="P331" s="129">
        <f t="shared" si="53"/>
        <v>0.24</v>
      </c>
      <c r="Q331" s="4"/>
    </row>
    <row r="332" spans="1:17" ht="17.25" customHeight="1" x14ac:dyDescent="0.2">
      <c r="A332" s="122">
        <f t="shared" si="50"/>
        <v>330</v>
      </c>
      <c r="B332" s="123" t="s">
        <v>9</v>
      </c>
      <c r="C332" s="131" t="s">
        <v>72</v>
      </c>
      <c r="D332" s="125">
        <v>342.53</v>
      </c>
      <c r="E332" s="132">
        <v>174</v>
      </c>
      <c r="F332" s="139">
        <f t="shared" si="54"/>
        <v>339.99788319999993</v>
      </c>
      <c r="G332" s="127">
        <v>25569.041962604166</v>
      </c>
      <c r="H332" s="127">
        <v>25569.041962604166</v>
      </c>
      <c r="I332" s="129">
        <v>0.23</v>
      </c>
      <c r="J332" s="132">
        <v>1385</v>
      </c>
      <c r="K332" s="144" t="s">
        <v>429</v>
      </c>
      <c r="L332" s="132">
        <v>535</v>
      </c>
      <c r="M332" s="143">
        <f t="shared" si="51"/>
        <v>23.130067012440755</v>
      </c>
      <c r="N332" s="129">
        <v>29.4</v>
      </c>
      <c r="O332" s="129">
        <f t="shared" si="52"/>
        <v>18.197278911564627</v>
      </c>
      <c r="P332" s="129">
        <f t="shared" si="53"/>
        <v>0.78673697321227065</v>
      </c>
      <c r="Q332" s="4"/>
    </row>
    <row r="333" spans="1:17" ht="17.25" customHeight="1" x14ac:dyDescent="0.2">
      <c r="A333" s="122">
        <f t="shared" si="50"/>
        <v>331</v>
      </c>
      <c r="B333" s="123" t="s">
        <v>9</v>
      </c>
      <c r="C333" s="131" t="s">
        <v>72</v>
      </c>
      <c r="D333" s="125">
        <v>337.67</v>
      </c>
      <c r="E333" s="132">
        <v>174</v>
      </c>
      <c r="F333" s="139">
        <f t="shared" si="54"/>
        <v>335.17044519999996</v>
      </c>
      <c r="G333" s="127">
        <v>25569.041962604166</v>
      </c>
      <c r="H333" s="127">
        <v>25569.041962604166</v>
      </c>
      <c r="I333" s="129">
        <v>0.22</v>
      </c>
      <c r="J333" s="132">
        <v>1385</v>
      </c>
      <c r="K333" s="144" t="s">
        <v>429</v>
      </c>
      <c r="L333" s="132">
        <v>22</v>
      </c>
      <c r="M333" s="143">
        <f t="shared" si="51"/>
        <v>4.6904157598234297</v>
      </c>
      <c r="N333" s="129">
        <v>27.7</v>
      </c>
      <c r="O333" s="129">
        <f t="shared" si="52"/>
        <v>0.79422382671480152</v>
      </c>
      <c r="P333" s="129">
        <f t="shared" si="53"/>
        <v>0.16932908880228989</v>
      </c>
      <c r="Q333" s="4"/>
    </row>
    <row r="334" spans="1:17" ht="17.25" customHeight="1" x14ac:dyDescent="0.2">
      <c r="A334" s="122">
        <f t="shared" si="50"/>
        <v>332</v>
      </c>
      <c r="B334" s="123" t="s">
        <v>9</v>
      </c>
      <c r="C334" s="131" t="s">
        <v>72</v>
      </c>
      <c r="D334" s="125">
        <v>343.54</v>
      </c>
      <c r="E334" s="132">
        <v>174</v>
      </c>
      <c r="F334" s="139">
        <f t="shared" si="54"/>
        <v>341.00111619999996</v>
      </c>
      <c r="G334" s="127">
        <v>25569.041962604166</v>
      </c>
      <c r="H334" s="127">
        <v>25569.041962604166</v>
      </c>
      <c r="I334" s="129">
        <v>0.24</v>
      </c>
      <c r="J334" s="132">
        <v>1259</v>
      </c>
      <c r="K334" s="144" t="s">
        <v>429</v>
      </c>
      <c r="L334" s="132">
        <v>584</v>
      </c>
      <c r="M334" s="143">
        <f t="shared" si="51"/>
        <v>24.166091947189145</v>
      </c>
      <c r="N334" s="129">
        <v>25.1</v>
      </c>
      <c r="O334" s="129">
        <f t="shared" si="52"/>
        <v>23.266932270916332</v>
      </c>
      <c r="P334" s="129">
        <f t="shared" si="53"/>
        <v>0.96279250785614112</v>
      </c>
      <c r="Q334" s="4"/>
    </row>
    <row r="335" spans="1:17" ht="17.25" customHeight="1" x14ac:dyDescent="0.2">
      <c r="A335" s="122">
        <f t="shared" si="50"/>
        <v>333</v>
      </c>
      <c r="B335" s="123" t="s">
        <v>9</v>
      </c>
      <c r="C335" s="131" t="s">
        <v>72</v>
      </c>
      <c r="D335" s="125">
        <v>344.55</v>
      </c>
      <c r="E335" s="132">
        <v>174</v>
      </c>
      <c r="F335" s="139">
        <f t="shared" si="54"/>
        <v>342.00434919999998</v>
      </c>
      <c r="G335" s="127">
        <v>25569.041962604166</v>
      </c>
      <c r="H335" s="127">
        <v>25569.041962604166</v>
      </c>
      <c r="I335" s="129">
        <v>0.22</v>
      </c>
      <c r="J335" s="132">
        <v>1007</v>
      </c>
      <c r="K335" s="144" t="s">
        <v>429</v>
      </c>
      <c r="L335" s="132">
        <v>238</v>
      </c>
      <c r="M335" s="143">
        <f t="shared" si="51"/>
        <v>15.427248620541512</v>
      </c>
      <c r="N335" s="129">
        <v>19.8</v>
      </c>
      <c r="O335" s="129">
        <f t="shared" si="52"/>
        <v>12.020202020202019</v>
      </c>
      <c r="P335" s="129">
        <f t="shared" si="53"/>
        <v>0.77915397073441972</v>
      </c>
      <c r="Q335" s="4"/>
    </row>
    <row r="336" spans="1:17" ht="17.25" customHeight="1" x14ac:dyDescent="0.2">
      <c r="A336" s="122">
        <f t="shared" si="50"/>
        <v>334</v>
      </c>
      <c r="B336" s="123" t="s">
        <v>9</v>
      </c>
      <c r="C336" s="131" t="s">
        <v>72</v>
      </c>
      <c r="D336" s="125">
        <v>345.55</v>
      </c>
      <c r="E336" s="132">
        <v>174</v>
      </c>
      <c r="F336" s="139">
        <f t="shared" si="54"/>
        <v>342.99764919999996</v>
      </c>
      <c r="G336" s="127">
        <v>25569.041962604166</v>
      </c>
      <c r="H336" s="127">
        <v>25569.041962604166</v>
      </c>
      <c r="I336" s="129">
        <v>0.23</v>
      </c>
      <c r="J336" s="132">
        <v>1133</v>
      </c>
      <c r="K336" s="144" t="s">
        <v>429</v>
      </c>
      <c r="L336" s="132">
        <v>187</v>
      </c>
      <c r="M336" s="143">
        <f t="shared" si="51"/>
        <v>13.674794331177344</v>
      </c>
      <c r="N336" s="129">
        <v>24.4</v>
      </c>
      <c r="O336" s="129">
        <f t="shared" si="52"/>
        <v>7.6639344262295088</v>
      </c>
      <c r="P336" s="129">
        <f t="shared" si="53"/>
        <v>0.56044239062202228</v>
      </c>
      <c r="Q336" s="4"/>
    </row>
    <row r="337" spans="1:28" ht="17.25" customHeight="1" x14ac:dyDescent="0.2">
      <c r="A337" s="122">
        <f t="shared" si="50"/>
        <v>335</v>
      </c>
      <c r="B337" s="123" t="s">
        <v>9</v>
      </c>
      <c r="C337" s="131" t="s">
        <v>72</v>
      </c>
      <c r="D337" s="125">
        <v>346.56</v>
      </c>
      <c r="E337" s="132">
        <v>174</v>
      </c>
      <c r="F337" s="139">
        <f t="shared" si="54"/>
        <v>344.00088219999992</v>
      </c>
      <c r="G337" s="127">
        <v>25569.041962604166</v>
      </c>
      <c r="H337" s="127">
        <v>25569.041962604166</v>
      </c>
      <c r="I337" s="129">
        <v>0.22</v>
      </c>
      <c r="J337" s="132">
        <v>1385</v>
      </c>
      <c r="K337" s="144" t="s">
        <v>429</v>
      </c>
      <c r="L337" s="132">
        <v>141</v>
      </c>
      <c r="M337" s="143">
        <f t="shared" si="51"/>
        <v>11.874342087037917</v>
      </c>
      <c r="N337" s="129">
        <v>25.3</v>
      </c>
      <c r="O337" s="129">
        <f t="shared" si="52"/>
        <v>5.5731225296442686</v>
      </c>
      <c r="P337" s="129">
        <f t="shared" si="53"/>
        <v>0.46934158446790186</v>
      </c>
      <c r="Q337" s="4"/>
    </row>
    <row r="338" spans="1:28" ht="17.25" customHeight="1" x14ac:dyDescent="0.2">
      <c r="A338" s="122">
        <f t="shared" si="50"/>
        <v>336</v>
      </c>
      <c r="B338" s="123" t="s">
        <v>9</v>
      </c>
      <c r="C338" s="131" t="s">
        <v>72</v>
      </c>
      <c r="D338" s="125">
        <v>347.57</v>
      </c>
      <c r="E338" s="132">
        <v>174</v>
      </c>
      <c r="F338" s="139">
        <f t="shared" si="54"/>
        <v>345.00411519999994</v>
      </c>
      <c r="G338" s="127">
        <v>25569.041962604166</v>
      </c>
      <c r="H338" s="127">
        <v>25569.041962604166</v>
      </c>
      <c r="I338" s="129">
        <v>0.23</v>
      </c>
      <c r="J338" s="132">
        <v>1763</v>
      </c>
      <c r="K338" s="144" t="s">
        <v>429</v>
      </c>
      <c r="L338" s="132">
        <v>137</v>
      </c>
      <c r="M338" s="143">
        <f t="shared" si="51"/>
        <v>11.704699910719626</v>
      </c>
      <c r="N338" s="129">
        <v>29.9</v>
      </c>
      <c r="O338" s="129">
        <f t="shared" si="52"/>
        <v>4.5819397993311037</v>
      </c>
      <c r="P338" s="129">
        <f t="shared" si="53"/>
        <v>0.39146153547557277</v>
      </c>
      <c r="Q338" s="4"/>
    </row>
    <row r="339" spans="1:28" ht="17.25" customHeight="1" x14ac:dyDescent="0.2">
      <c r="A339" s="122">
        <f t="shared" si="50"/>
        <v>337</v>
      </c>
      <c r="B339" s="123" t="s">
        <v>9</v>
      </c>
      <c r="C339" s="131" t="s">
        <v>72</v>
      </c>
      <c r="D339" s="125">
        <v>349.58</v>
      </c>
      <c r="E339" s="132">
        <v>174</v>
      </c>
      <c r="F339" s="139">
        <f t="shared" si="54"/>
        <v>347.00064819999994</v>
      </c>
      <c r="G339" s="127">
        <v>25569.041962604166</v>
      </c>
      <c r="H339" s="127">
        <v>25569.041962604166</v>
      </c>
      <c r="I339" s="129">
        <v>0.23</v>
      </c>
      <c r="J339" s="132">
        <v>1888</v>
      </c>
      <c r="K339" s="144" t="s">
        <v>429</v>
      </c>
      <c r="L339" s="132">
        <v>157</v>
      </c>
      <c r="M339" s="143">
        <f t="shared" si="51"/>
        <v>12.529964086141668</v>
      </c>
      <c r="N339" s="132">
        <v>43</v>
      </c>
      <c r="O339" s="129">
        <f t="shared" si="52"/>
        <v>3.6511627906976742</v>
      </c>
      <c r="P339" s="129">
        <f t="shared" si="53"/>
        <v>0.29139451363120156</v>
      </c>
      <c r="Q339" s="4"/>
    </row>
    <row r="340" spans="1:28" ht="17.25" customHeight="1" x14ac:dyDescent="0.2">
      <c r="A340" s="122">
        <f t="shared" si="50"/>
        <v>338</v>
      </c>
      <c r="B340" s="123" t="s">
        <v>9</v>
      </c>
      <c r="C340" s="131" t="s">
        <v>72</v>
      </c>
      <c r="D340" s="125">
        <v>362.67</v>
      </c>
      <c r="E340" s="132">
        <v>174</v>
      </c>
      <c r="F340" s="139">
        <f t="shared" si="54"/>
        <v>360.00294519999994</v>
      </c>
      <c r="G340" s="127">
        <v>25569.041962604166</v>
      </c>
      <c r="H340" s="127">
        <v>25569.041962604166</v>
      </c>
      <c r="I340" s="129">
        <v>0.24</v>
      </c>
      <c r="J340" s="132">
        <v>2266</v>
      </c>
      <c r="K340" s="144" t="s">
        <v>429</v>
      </c>
      <c r="L340" s="132">
        <v>77</v>
      </c>
      <c r="M340" s="143">
        <f t="shared" si="51"/>
        <v>8.7749643873921226</v>
      </c>
      <c r="N340" s="129">
        <v>48.3</v>
      </c>
      <c r="O340" s="129">
        <f t="shared" si="52"/>
        <v>1.5942028985507248</v>
      </c>
      <c r="P340" s="129">
        <f t="shared" si="53"/>
        <v>0.18167628131246633</v>
      </c>
      <c r="Q340" s="4"/>
    </row>
    <row r="341" spans="1:28" ht="17.25" customHeight="1" x14ac:dyDescent="0.2">
      <c r="A341" s="122">
        <f t="shared" si="50"/>
        <v>339</v>
      </c>
      <c r="B341" s="123" t="s">
        <v>9</v>
      </c>
      <c r="C341" s="131" t="s">
        <v>72</v>
      </c>
      <c r="D341" s="125">
        <v>341.53</v>
      </c>
      <c r="E341" s="132">
        <v>174</v>
      </c>
      <c r="F341" s="139">
        <f t="shared" si="54"/>
        <v>339.0045831999999</v>
      </c>
      <c r="G341" s="127">
        <v>25569.041962604166</v>
      </c>
      <c r="H341" s="127">
        <v>25569.041962604166</v>
      </c>
      <c r="I341" s="129">
        <v>0.23</v>
      </c>
      <c r="J341" s="132">
        <v>1259</v>
      </c>
      <c r="K341" s="144" t="s">
        <v>429</v>
      </c>
      <c r="L341" s="132">
        <v>209</v>
      </c>
      <c r="M341" s="143">
        <f t="shared" ref="M341:M342" si="55">SQRT(L341)</f>
        <v>14.456832294800961</v>
      </c>
      <c r="N341" s="129">
        <v>26.9</v>
      </c>
      <c r="O341" s="129">
        <f t="shared" ref="O341:O342" si="56">L341/N341</f>
        <v>7.7695167286245361</v>
      </c>
      <c r="P341" s="129">
        <f t="shared" si="53"/>
        <v>0.5374287098439019</v>
      </c>
      <c r="Q341" s="4"/>
    </row>
    <row r="342" spans="1:28" ht="17.25" customHeight="1" x14ac:dyDescent="0.2">
      <c r="A342" s="183">
        <f t="shared" si="50"/>
        <v>340</v>
      </c>
      <c r="B342" s="184" t="s">
        <v>9</v>
      </c>
      <c r="C342" s="185" t="s">
        <v>72</v>
      </c>
      <c r="D342" s="186">
        <v>340.52</v>
      </c>
      <c r="E342" s="187">
        <v>174</v>
      </c>
      <c r="F342" s="188">
        <f t="shared" si="54"/>
        <v>338.00135019999993</v>
      </c>
      <c r="G342" s="189">
        <v>25569.041962604166</v>
      </c>
      <c r="H342" s="189">
        <v>25569.041962604166</v>
      </c>
      <c r="I342" s="192">
        <v>0.23</v>
      </c>
      <c r="J342" s="187">
        <v>2266</v>
      </c>
      <c r="K342" s="190" t="s">
        <v>429</v>
      </c>
      <c r="L342" s="187">
        <v>161</v>
      </c>
      <c r="M342" s="191">
        <f t="shared" si="55"/>
        <v>12.68857754044952</v>
      </c>
      <c r="N342" s="192">
        <v>45.5</v>
      </c>
      <c r="O342" s="192">
        <f t="shared" si="56"/>
        <v>3.5384615384615383</v>
      </c>
      <c r="P342" s="192">
        <f t="shared" si="53"/>
        <v>0.27886983605383558</v>
      </c>
      <c r="Q342" s="4"/>
    </row>
    <row r="343" spans="1:28" ht="17.25" customHeight="1" x14ac:dyDescent="0.2">
      <c r="A343" s="183">
        <f t="shared" si="50"/>
        <v>341</v>
      </c>
      <c r="B343" s="184"/>
      <c r="C343" s="205"/>
      <c r="D343" s="186"/>
      <c r="E343" s="206"/>
      <c r="F343" s="188"/>
      <c r="G343" s="189"/>
      <c r="H343" s="189"/>
      <c r="I343" s="206"/>
      <c r="J343" s="206"/>
      <c r="K343" s="201"/>
      <c r="L343" s="206"/>
      <c r="M343" s="191"/>
      <c r="N343" s="206"/>
      <c r="O343" s="192"/>
      <c r="P343" s="192"/>
      <c r="Q343" s="204" t="s">
        <v>1461</v>
      </c>
      <c r="R343" s="34"/>
      <c r="S343" s="34"/>
      <c r="T343" s="34"/>
      <c r="U343" s="34"/>
      <c r="V343" s="34"/>
      <c r="W343" s="34"/>
      <c r="X343" s="34"/>
      <c r="Y343" s="34"/>
      <c r="Z343" s="34"/>
      <c r="AA343" s="34"/>
      <c r="AB343" s="34"/>
    </row>
    <row r="344" spans="1:28" ht="17.25" customHeight="1" x14ac:dyDescent="0.2">
      <c r="A344" s="183">
        <f t="shared" si="50"/>
        <v>342</v>
      </c>
      <c r="B344" s="184" t="s">
        <v>157</v>
      </c>
      <c r="C344" s="185" t="s">
        <v>72</v>
      </c>
      <c r="D344" s="186">
        <v>168.95</v>
      </c>
      <c r="E344" s="187">
        <v>2610</v>
      </c>
      <c r="F344" s="188">
        <f t="shared" ref="F344:F375" si="57">0.9933*(D344+E344/1000)-0.41</f>
        <v>170.00054800000001</v>
      </c>
      <c r="G344" s="189">
        <v>25569.041962604166</v>
      </c>
      <c r="H344" s="189">
        <v>25569.041962604166</v>
      </c>
      <c r="I344" s="187">
        <v>178</v>
      </c>
      <c r="J344" s="187">
        <v>543581</v>
      </c>
      <c r="K344" s="201" t="s">
        <v>1460</v>
      </c>
      <c r="L344" s="187">
        <v>2677</v>
      </c>
      <c r="M344" s="191">
        <f t="shared" ref="M344:M375" si="58">SQRT(L344)</f>
        <v>51.739733281106119</v>
      </c>
      <c r="N344" s="187">
        <v>8492573</v>
      </c>
      <c r="O344" s="207">
        <f t="shared" ref="O344:O375" si="59">L344/N344</f>
        <v>3.152166016117848E-4</v>
      </c>
      <c r="P344" s="207">
        <f t="shared" ref="P344:P375" si="60">M344/N344</f>
        <v>6.0923507258761414E-6</v>
      </c>
      <c r="Q344" s="4"/>
    </row>
    <row r="345" spans="1:28" ht="17.25" customHeight="1" x14ac:dyDescent="0.2">
      <c r="A345" s="122">
        <f t="shared" si="50"/>
        <v>343</v>
      </c>
      <c r="B345" s="123" t="s">
        <v>9</v>
      </c>
      <c r="C345" s="131" t="s">
        <v>72</v>
      </c>
      <c r="D345" s="125">
        <v>337.17</v>
      </c>
      <c r="E345" s="132">
        <v>504</v>
      </c>
      <c r="F345" s="139">
        <f t="shared" si="57"/>
        <v>335.00158420000002</v>
      </c>
      <c r="G345" s="127">
        <v>25569.041962604166</v>
      </c>
      <c r="H345" s="127">
        <v>25569.041962604166</v>
      </c>
      <c r="I345" s="129">
        <v>0.28999999999999998</v>
      </c>
      <c r="J345" s="132">
        <v>3147</v>
      </c>
      <c r="K345" s="144" t="s">
        <v>429</v>
      </c>
      <c r="L345" s="132">
        <v>31</v>
      </c>
      <c r="M345" s="143">
        <f t="shared" si="58"/>
        <v>5.5677643628300215</v>
      </c>
      <c r="N345" s="129">
        <v>89.2</v>
      </c>
      <c r="O345" s="129">
        <f t="shared" si="59"/>
        <v>0.34753363228699552</v>
      </c>
      <c r="P345" s="129">
        <f t="shared" si="60"/>
        <v>6.2418882991367955E-2</v>
      </c>
      <c r="Q345" s="4"/>
    </row>
    <row r="346" spans="1:28" ht="17.25" customHeight="1" x14ac:dyDescent="0.2">
      <c r="A346" s="122">
        <f t="shared" si="50"/>
        <v>344</v>
      </c>
      <c r="B346" s="123" t="s">
        <v>9</v>
      </c>
      <c r="C346" s="131" t="s">
        <v>72</v>
      </c>
      <c r="D346" s="125">
        <v>340.19</v>
      </c>
      <c r="E346" s="132">
        <v>504</v>
      </c>
      <c r="F346" s="139">
        <f t="shared" si="57"/>
        <v>338.00135019999999</v>
      </c>
      <c r="G346" s="127">
        <v>25569.041962604166</v>
      </c>
      <c r="H346" s="127">
        <v>25569.041962604166</v>
      </c>
      <c r="I346" s="129">
        <v>0.28999999999999998</v>
      </c>
      <c r="J346" s="132">
        <v>1385</v>
      </c>
      <c r="K346" s="144" t="s">
        <v>429</v>
      </c>
      <c r="L346" s="132">
        <v>74</v>
      </c>
      <c r="M346" s="143">
        <f t="shared" si="58"/>
        <v>8.6023252670426267</v>
      </c>
      <c r="N346" s="129">
        <v>33.700000000000003</v>
      </c>
      <c r="O346" s="129">
        <f t="shared" si="59"/>
        <v>2.1958456973293767</v>
      </c>
      <c r="P346" s="129">
        <f t="shared" si="60"/>
        <v>0.2552618773603153</v>
      </c>
      <c r="Q346" s="4"/>
    </row>
    <row r="347" spans="1:28" ht="17.25" customHeight="1" x14ac:dyDescent="0.2">
      <c r="A347" s="122">
        <f t="shared" si="50"/>
        <v>345</v>
      </c>
      <c r="B347" s="123" t="s">
        <v>9</v>
      </c>
      <c r="C347" s="131" t="s">
        <v>72</v>
      </c>
      <c r="D347" s="125">
        <v>341.2</v>
      </c>
      <c r="E347" s="132">
        <v>504</v>
      </c>
      <c r="F347" s="139">
        <f t="shared" si="57"/>
        <v>339.00458319999996</v>
      </c>
      <c r="G347" s="127">
        <v>25569.041962604166</v>
      </c>
      <c r="H347" s="127">
        <v>25569.041962604166</v>
      </c>
      <c r="I347" s="129">
        <v>0.31</v>
      </c>
      <c r="J347" s="132">
        <v>1133</v>
      </c>
      <c r="K347" s="144" t="s">
        <v>429</v>
      </c>
      <c r="L347" s="132">
        <v>151</v>
      </c>
      <c r="M347" s="143">
        <f t="shared" si="58"/>
        <v>12.288205727444508</v>
      </c>
      <c r="N347" s="129">
        <v>30.4</v>
      </c>
      <c r="O347" s="129">
        <f t="shared" si="59"/>
        <v>4.9671052631578947</v>
      </c>
      <c r="P347" s="129">
        <f t="shared" si="60"/>
        <v>0.40421729366593778</v>
      </c>
      <c r="Q347" s="4"/>
    </row>
    <row r="348" spans="1:28" ht="17.25" customHeight="1" x14ac:dyDescent="0.2">
      <c r="A348" s="122">
        <f t="shared" si="50"/>
        <v>346</v>
      </c>
      <c r="B348" s="123" t="s">
        <v>9</v>
      </c>
      <c r="C348" s="131" t="s">
        <v>72</v>
      </c>
      <c r="D348" s="125">
        <v>342.2</v>
      </c>
      <c r="E348" s="132">
        <v>504</v>
      </c>
      <c r="F348" s="139">
        <f t="shared" si="57"/>
        <v>339.99788319999999</v>
      </c>
      <c r="G348" s="127">
        <v>25569.041962604166</v>
      </c>
      <c r="H348" s="127">
        <v>25569.041962604166</v>
      </c>
      <c r="I348" s="129">
        <v>0.3</v>
      </c>
      <c r="J348" s="132">
        <v>1259</v>
      </c>
      <c r="K348" s="144" t="s">
        <v>429</v>
      </c>
      <c r="L348" s="132">
        <v>391</v>
      </c>
      <c r="M348" s="143">
        <f t="shared" si="58"/>
        <v>19.773719933285189</v>
      </c>
      <c r="N348" s="129">
        <v>38.700000000000003</v>
      </c>
      <c r="O348" s="129">
        <f t="shared" si="59"/>
        <v>10.103359173126615</v>
      </c>
      <c r="P348" s="129">
        <f t="shared" si="60"/>
        <v>0.51094883548540537</v>
      </c>
      <c r="Q348" s="4"/>
    </row>
    <row r="349" spans="1:28" ht="17.25" customHeight="1" x14ac:dyDescent="0.2">
      <c r="A349" s="122">
        <f t="shared" si="50"/>
        <v>347</v>
      </c>
      <c r="B349" s="123" t="s">
        <v>9</v>
      </c>
      <c r="C349" s="131" t="s">
        <v>72</v>
      </c>
      <c r="D349" s="125">
        <v>343.21</v>
      </c>
      <c r="E349" s="132">
        <v>504</v>
      </c>
      <c r="F349" s="139">
        <f t="shared" si="57"/>
        <v>341.00111619999996</v>
      </c>
      <c r="G349" s="127">
        <v>25569.041962604166</v>
      </c>
      <c r="H349" s="127">
        <v>25569.041962604166</v>
      </c>
      <c r="I349" s="129">
        <v>0.28999999999999998</v>
      </c>
      <c r="J349" s="132">
        <v>1259</v>
      </c>
      <c r="K349" s="144" t="s">
        <v>429</v>
      </c>
      <c r="L349" s="132">
        <v>527</v>
      </c>
      <c r="M349" s="143">
        <f t="shared" si="58"/>
        <v>22.956480566497994</v>
      </c>
      <c r="N349" s="129">
        <v>37.299999999999997</v>
      </c>
      <c r="O349" s="129">
        <f t="shared" si="59"/>
        <v>14.12868632707775</v>
      </c>
      <c r="P349" s="129">
        <f t="shared" si="60"/>
        <v>0.61545524306965138</v>
      </c>
      <c r="Q349" s="4"/>
    </row>
    <row r="350" spans="1:28" ht="17.25" customHeight="1" x14ac:dyDescent="0.2">
      <c r="A350" s="122">
        <f t="shared" si="50"/>
        <v>348</v>
      </c>
      <c r="B350" s="123" t="s">
        <v>9</v>
      </c>
      <c r="C350" s="131" t="s">
        <v>72</v>
      </c>
      <c r="D350" s="125">
        <v>344.22</v>
      </c>
      <c r="E350" s="132">
        <v>504</v>
      </c>
      <c r="F350" s="139">
        <f t="shared" si="57"/>
        <v>342.00434920000004</v>
      </c>
      <c r="G350" s="127">
        <v>25569.041962604166</v>
      </c>
      <c r="H350" s="127">
        <v>25569.041962604166</v>
      </c>
      <c r="I350" s="129">
        <v>0.38</v>
      </c>
      <c r="J350" s="132">
        <v>1888</v>
      </c>
      <c r="K350" s="144" t="s">
        <v>429</v>
      </c>
      <c r="L350" s="132">
        <v>541</v>
      </c>
      <c r="M350" s="143">
        <f t="shared" si="58"/>
        <v>23.259406699226016</v>
      </c>
      <c r="N350" s="129">
        <v>53.5</v>
      </c>
      <c r="O350" s="129">
        <f t="shared" si="59"/>
        <v>10.11214953271028</v>
      </c>
      <c r="P350" s="129">
        <f t="shared" si="60"/>
        <v>0.43475526540609377</v>
      </c>
      <c r="Q350" s="4"/>
    </row>
    <row r="351" spans="1:28" ht="17.25" customHeight="1" x14ac:dyDescent="0.2">
      <c r="A351" s="122">
        <f t="shared" si="50"/>
        <v>349</v>
      </c>
      <c r="B351" s="123" t="s">
        <v>9</v>
      </c>
      <c r="C351" s="131" t="s">
        <v>72</v>
      </c>
      <c r="D351" s="125">
        <v>345.22</v>
      </c>
      <c r="E351" s="132">
        <v>504</v>
      </c>
      <c r="F351" s="139">
        <f t="shared" si="57"/>
        <v>342.99764920000001</v>
      </c>
      <c r="G351" s="127">
        <v>25569.041962604166</v>
      </c>
      <c r="H351" s="127">
        <v>25569.041962604166</v>
      </c>
      <c r="I351" s="129">
        <v>0.35</v>
      </c>
      <c r="J351" s="132">
        <v>1007</v>
      </c>
      <c r="K351" s="144" t="s">
        <v>429</v>
      </c>
      <c r="L351" s="132">
        <v>183</v>
      </c>
      <c r="M351" s="143">
        <f t="shared" si="58"/>
        <v>13.527749258468683</v>
      </c>
      <c r="N351" s="129">
        <v>37.700000000000003</v>
      </c>
      <c r="O351" s="129">
        <f t="shared" si="59"/>
        <v>4.8541114058355435</v>
      </c>
      <c r="P351" s="129">
        <f t="shared" si="60"/>
        <v>0.35882624027768389</v>
      </c>
      <c r="Q351" s="4"/>
    </row>
    <row r="352" spans="1:28" ht="17.25" customHeight="1" x14ac:dyDescent="0.2">
      <c r="A352" s="122">
        <f t="shared" si="50"/>
        <v>350</v>
      </c>
      <c r="B352" s="123" t="s">
        <v>9</v>
      </c>
      <c r="C352" s="131" t="s">
        <v>72</v>
      </c>
      <c r="D352" s="125">
        <v>346.23</v>
      </c>
      <c r="E352" s="132">
        <v>504</v>
      </c>
      <c r="F352" s="139">
        <f t="shared" si="57"/>
        <v>344.00088219999998</v>
      </c>
      <c r="G352" s="127">
        <v>25569.041962604166</v>
      </c>
      <c r="H352" s="127">
        <v>25569.041962604166</v>
      </c>
      <c r="I352" s="129">
        <v>0.34</v>
      </c>
      <c r="J352" s="132">
        <v>1007</v>
      </c>
      <c r="K352" s="144" t="s">
        <v>429</v>
      </c>
      <c r="L352" s="132">
        <v>151</v>
      </c>
      <c r="M352" s="143">
        <f t="shared" si="58"/>
        <v>12.288205727444508</v>
      </c>
      <c r="N352" s="129">
        <v>37.5</v>
      </c>
      <c r="O352" s="129">
        <f t="shared" si="59"/>
        <v>4.0266666666666664</v>
      </c>
      <c r="P352" s="129">
        <f t="shared" si="60"/>
        <v>0.32768548606518688</v>
      </c>
      <c r="Q352" s="4"/>
    </row>
    <row r="353" spans="1:17" ht="17.25" customHeight="1" x14ac:dyDescent="0.2">
      <c r="A353" s="122">
        <f t="shared" si="50"/>
        <v>351</v>
      </c>
      <c r="B353" s="123" t="s">
        <v>9</v>
      </c>
      <c r="C353" s="131" t="s">
        <v>72</v>
      </c>
      <c r="D353" s="125">
        <v>347.24</v>
      </c>
      <c r="E353" s="132">
        <v>504</v>
      </c>
      <c r="F353" s="139">
        <f t="shared" si="57"/>
        <v>345.0041152</v>
      </c>
      <c r="G353" s="127">
        <v>25569.041962604166</v>
      </c>
      <c r="H353" s="127">
        <v>25569.041962604166</v>
      </c>
      <c r="I353" s="129">
        <v>0.35</v>
      </c>
      <c r="J353" s="132">
        <v>1637</v>
      </c>
      <c r="K353" s="144" t="s">
        <v>429</v>
      </c>
      <c r="L353" s="132">
        <v>189</v>
      </c>
      <c r="M353" s="143">
        <f t="shared" si="58"/>
        <v>13.74772708486752</v>
      </c>
      <c r="N353" s="129">
        <v>65.7</v>
      </c>
      <c r="O353" s="129">
        <f t="shared" si="59"/>
        <v>2.8767123287671232</v>
      </c>
      <c r="P353" s="129">
        <f t="shared" si="60"/>
        <v>0.20925003173314338</v>
      </c>
      <c r="Q353" s="4"/>
    </row>
    <row r="354" spans="1:17" ht="17.25" customHeight="1" x14ac:dyDescent="0.2">
      <c r="A354" s="122">
        <f t="shared" si="50"/>
        <v>352</v>
      </c>
      <c r="B354" s="123" t="s">
        <v>9</v>
      </c>
      <c r="C354" s="131" t="s">
        <v>72</v>
      </c>
      <c r="D354" s="125">
        <v>349.25</v>
      </c>
      <c r="E354" s="132">
        <v>504</v>
      </c>
      <c r="F354" s="139">
        <f t="shared" si="57"/>
        <v>347.0006482</v>
      </c>
      <c r="G354" s="127">
        <v>25569.041962604166</v>
      </c>
      <c r="H354" s="127">
        <v>25569.041962604166</v>
      </c>
      <c r="I354" s="129">
        <v>0.39</v>
      </c>
      <c r="J354" s="132">
        <v>1385</v>
      </c>
      <c r="K354" s="144" t="s">
        <v>429</v>
      </c>
      <c r="L354" s="132">
        <v>149</v>
      </c>
      <c r="M354" s="143">
        <f t="shared" si="58"/>
        <v>12.206555615733702</v>
      </c>
      <c r="N354" s="129">
        <v>58.8</v>
      </c>
      <c r="O354" s="129">
        <f t="shared" si="59"/>
        <v>2.5340136054421771</v>
      </c>
      <c r="P354" s="129">
        <f t="shared" si="60"/>
        <v>0.20759448326077726</v>
      </c>
      <c r="Q354" s="4"/>
    </row>
    <row r="355" spans="1:17" ht="17.25" customHeight="1" x14ac:dyDescent="0.2">
      <c r="A355" s="122">
        <f t="shared" si="50"/>
        <v>353</v>
      </c>
      <c r="B355" s="123" t="s">
        <v>9</v>
      </c>
      <c r="C355" s="131" t="s">
        <v>72</v>
      </c>
      <c r="D355" s="125">
        <v>352.27</v>
      </c>
      <c r="E355" s="132">
        <v>504</v>
      </c>
      <c r="F355" s="139">
        <f t="shared" si="57"/>
        <v>350.00041419999997</v>
      </c>
      <c r="G355" s="127">
        <v>25569.041962604166</v>
      </c>
      <c r="H355" s="127">
        <v>25569.041962604166</v>
      </c>
      <c r="I355" s="129">
        <v>0.38</v>
      </c>
      <c r="J355" s="132">
        <v>1385</v>
      </c>
      <c r="K355" s="144" t="s">
        <v>429</v>
      </c>
      <c r="L355" s="132">
        <v>122</v>
      </c>
      <c r="M355" s="143">
        <f t="shared" si="58"/>
        <v>11.045361017187261</v>
      </c>
      <c r="N355" s="129">
        <v>60.5</v>
      </c>
      <c r="O355" s="129">
        <f t="shared" si="59"/>
        <v>2.0165289256198347</v>
      </c>
      <c r="P355" s="129">
        <f t="shared" si="60"/>
        <v>0.18256795069731011</v>
      </c>
      <c r="Q355" s="4"/>
    </row>
    <row r="356" spans="1:17" ht="17.25" customHeight="1" x14ac:dyDescent="0.2">
      <c r="A356" s="183">
        <f t="shared" si="50"/>
        <v>354</v>
      </c>
      <c r="B356" s="184" t="s">
        <v>9</v>
      </c>
      <c r="C356" s="185" t="s">
        <v>72</v>
      </c>
      <c r="D356" s="186">
        <v>362.34</v>
      </c>
      <c r="E356" s="187">
        <v>504</v>
      </c>
      <c r="F356" s="188">
        <f t="shared" si="57"/>
        <v>360.00294519999994</v>
      </c>
      <c r="G356" s="189">
        <v>25569.041962604166</v>
      </c>
      <c r="H356" s="189">
        <v>25569.041962604166</v>
      </c>
      <c r="I356" s="192">
        <v>0.5</v>
      </c>
      <c r="J356" s="187">
        <v>2644</v>
      </c>
      <c r="K356" s="190" t="s">
        <v>429</v>
      </c>
      <c r="L356" s="187">
        <v>137</v>
      </c>
      <c r="M356" s="191">
        <f t="shared" si="58"/>
        <v>11.704699910719626</v>
      </c>
      <c r="N356" s="192">
        <v>141.9</v>
      </c>
      <c r="O356" s="192">
        <f t="shared" si="59"/>
        <v>0.96546863988724452</v>
      </c>
      <c r="P356" s="192">
        <f t="shared" si="60"/>
        <v>8.2485552577305318E-2</v>
      </c>
      <c r="Q356" s="4"/>
    </row>
    <row r="357" spans="1:17" ht="17.25" customHeight="1" x14ac:dyDescent="0.2">
      <c r="A357" s="122">
        <f t="shared" si="50"/>
        <v>355</v>
      </c>
      <c r="B357" s="123" t="s">
        <v>29</v>
      </c>
      <c r="C357" s="131" t="s">
        <v>84</v>
      </c>
      <c r="D357" s="125">
        <v>222.5</v>
      </c>
      <c r="E357" s="132">
        <v>2420</v>
      </c>
      <c r="F357" s="139">
        <f t="shared" si="57"/>
        <v>223.00303599999998</v>
      </c>
      <c r="G357" s="127">
        <v>25569.041962604166</v>
      </c>
      <c r="H357" s="127">
        <v>25569.041962604166</v>
      </c>
      <c r="I357" s="132">
        <v>130</v>
      </c>
      <c r="J357" s="132">
        <v>1763</v>
      </c>
      <c r="K357" s="144" t="s">
        <v>429</v>
      </c>
      <c r="L357" s="132">
        <v>2167</v>
      </c>
      <c r="M357" s="143">
        <f t="shared" si="58"/>
        <v>46.551047249229526</v>
      </c>
      <c r="N357" s="132">
        <v>22172</v>
      </c>
      <c r="O357" s="129">
        <f t="shared" si="59"/>
        <v>9.7735883095796505E-2</v>
      </c>
      <c r="P357" s="129">
        <f t="shared" si="60"/>
        <v>2.0995420913417612E-3</v>
      </c>
      <c r="Q357" s="4"/>
    </row>
    <row r="358" spans="1:17" ht="17.25" customHeight="1" x14ac:dyDescent="0.2">
      <c r="A358" s="122">
        <f t="shared" si="50"/>
        <v>356</v>
      </c>
      <c r="B358" s="123" t="s">
        <v>29</v>
      </c>
      <c r="C358" s="131" t="s">
        <v>84</v>
      </c>
      <c r="D358" s="125">
        <v>223.5</v>
      </c>
      <c r="E358" s="132">
        <v>2420</v>
      </c>
      <c r="F358" s="139">
        <f t="shared" si="57"/>
        <v>223.99633599999999</v>
      </c>
      <c r="G358" s="127">
        <v>25569.041962604166</v>
      </c>
      <c r="H358" s="127">
        <v>25569.041962604166</v>
      </c>
      <c r="I358" s="132">
        <v>131</v>
      </c>
      <c r="J358" s="132">
        <v>1133</v>
      </c>
      <c r="K358" s="144" t="s">
        <v>429</v>
      </c>
      <c r="L358" s="132">
        <v>3174</v>
      </c>
      <c r="M358" s="143">
        <f t="shared" si="58"/>
        <v>56.338264084013097</v>
      </c>
      <c r="N358" s="132">
        <v>14754</v>
      </c>
      <c r="O358" s="129">
        <f t="shared" si="59"/>
        <v>0.21512810085400569</v>
      </c>
      <c r="P358" s="129">
        <f t="shared" si="60"/>
        <v>3.8185078001906668E-3</v>
      </c>
      <c r="Q358" s="4"/>
    </row>
    <row r="359" spans="1:17" ht="17.25" customHeight="1" x14ac:dyDescent="0.2">
      <c r="A359" s="122">
        <f t="shared" si="50"/>
        <v>357</v>
      </c>
      <c r="B359" s="123" t="s">
        <v>29</v>
      </c>
      <c r="C359" s="131" t="s">
        <v>84</v>
      </c>
      <c r="D359" s="125">
        <v>224.51</v>
      </c>
      <c r="E359" s="132">
        <v>2420</v>
      </c>
      <c r="F359" s="139">
        <f t="shared" si="57"/>
        <v>224.99956899999998</v>
      </c>
      <c r="G359" s="127">
        <v>25569.041962604166</v>
      </c>
      <c r="H359" s="127">
        <v>25569.041962604166</v>
      </c>
      <c r="I359" s="132">
        <v>129</v>
      </c>
      <c r="J359" s="132">
        <v>756</v>
      </c>
      <c r="K359" s="144" t="s">
        <v>429</v>
      </c>
      <c r="L359" s="132">
        <v>6392</v>
      </c>
      <c r="M359" s="143">
        <f t="shared" si="58"/>
        <v>79.94998436522674</v>
      </c>
      <c r="N359" s="132">
        <v>9521</v>
      </c>
      <c r="O359" s="129">
        <f t="shared" si="59"/>
        <v>0.67135805062493437</v>
      </c>
      <c r="P359" s="129">
        <f t="shared" si="60"/>
        <v>8.3972255398830735E-3</v>
      </c>
      <c r="Q359" s="4"/>
    </row>
    <row r="360" spans="1:17" ht="17.25" customHeight="1" x14ac:dyDescent="0.2">
      <c r="A360" s="122">
        <f t="shared" si="50"/>
        <v>358</v>
      </c>
      <c r="B360" s="123" t="s">
        <v>29</v>
      </c>
      <c r="C360" s="131" t="s">
        <v>84</v>
      </c>
      <c r="D360" s="125">
        <v>225.52</v>
      </c>
      <c r="E360" s="132">
        <v>2420</v>
      </c>
      <c r="F360" s="139">
        <f t="shared" si="57"/>
        <v>226.002802</v>
      </c>
      <c r="G360" s="127">
        <v>25569.041962604166</v>
      </c>
      <c r="H360" s="127">
        <v>25569.041962604166</v>
      </c>
      <c r="I360" s="132">
        <v>128</v>
      </c>
      <c r="J360" s="132">
        <v>756</v>
      </c>
      <c r="K360" s="144" t="s">
        <v>429</v>
      </c>
      <c r="L360" s="132">
        <v>9733</v>
      </c>
      <c r="M360" s="143">
        <f t="shared" si="58"/>
        <v>98.655967888415148</v>
      </c>
      <c r="N360" s="132">
        <v>10051</v>
      </c>
      <c r="O360" s="129">
        <f t="shared" si="59"/>
        <v>0.96836135707889759</v>
      </c>
      <c r="P360" s="129">
        <f t="shared" si="60"/>
        <v>9.8155375473500291E-3</v>
      </c>
      <c r="Q360" s="4"/>
    </row>
    <row r="361" spans="1:17" ht="17.25" customHeight="1" x14ac:dyDescent="0.2">
      <c r="A361" s="122">
        <f t="shared" si="50"/>
        <v>359</v>
      </c>
      <c r="B361" s="123" t="s">
        <v>29</v>
      </c>
      <c r="C361" s="131" t="s">
        <v>84</v>
      </c>
      <c r="D361" s="125">
        <v>226.52</v>
      </c>
      <c r="E361" s="132">
        <v>2420</v>
      </c>
      <c r="F361" s="139">
        <f t="shared" si="57"/>
        <v>226.99610199999998</v>
      </c>
      <c r="G361" s="127">
        <v>25569.041962604166</v>
      </c>
      <c r="H361" s="127">
        <v>25569.041962604166</v>
      </c>
      <c r="I361" s="132">
        <v>128</v>
      </c>
      <c r="J361" s="132">
        <v>756</v>
      </c>
      <c r="K361" s="144" t="s">
        <v>429</v>
      </c>
      <c r="L361" s="132">
        <v>10745</v>
      </c>
      <c r="M361" s="143">
        <f t="shared" si="58"/>
        <v>103.65809182114053</v>
      </c>
      <c r="N361" s="132">
        <v>9404</v>
      </c>
      <c r="O361" s="129">
        <f t="shared" si="59"/>
        <v>1.1425988940876224</v>
      </c>
      <c r="P361" s="129">
        <f t="shared" si="60"/>
        <v>1.1022766037977513E-2</v>
      </c>
      <c r="Q361" s="4"/>
    </row>
    <row r="362" spans="1:17" ht="17.25" customHeight="1" x14ac:dyDescent="0.2">
      <c r="A362" s="122">
        <f t="shared" si="50"/>
        <v>360</v>
      </c>
      <c r="B362" s="123" t="s">
        <v>29</v>
      </c>
      <c r="C362" s="131" t="s">
        <v>84</v>
      </c>
      <c r="D362" s="125">
        <v>227.53</v>
      </c>
      <c r="E362" s="132">
        <v>2420</v>
      </c>
      <c r="F362" s="139">
        <f t="shared" si="57"/>
        <v>227.99933499999997</v>
      </c>
      <c r="G362" s="127">
        <v>25569.041962604166</v>
      </c>
      <c r="H362" s="127">
        <v>25569.041962604166</v>
      </c>
      <c r="I362" s="132">
        <v>127</v>
      </c>
      <c r="J362" s="132">
        <v>881</v>
      </c>
      <c r="K362" s="144" t="s">
        <v>429</v>
      </c>
      <c r="L362" s="132">
        <v>13260</v>
      </c>
      <c r="M362" s="143">
        <f t="shared" si="58"/>
        <v>115.15207336387826</v>
      </c>
      <c r="N362" s="132">
        <v>10097</v>
      </c>
      <c r="O362" s="129">
        <f t="shared" si="59"/>
        <v>1.3132613647618105</v>
      </c>
      <c r="P362" s="129">
        <f t="shared" si="60"/>
        <v>1.1404582882428271E-2</v>
      </c>
      <c r="Q362" s="4"/>
    </row>
    <row r="363" spans="1:17" ht="17.25" customHeight="1" x14ac:dyDescent="0.2">
      <c r="A363" s="122">
        <f t="shared" si="50"/>
        <v>361</v>
      </c>
      <c r="B363" s="123" t="s">
        <v>29</v>
      </c>
      <c r="C363" s="131" t="s">
        <v>84</v>
      </c>
      <c r="D363" s="125">
        <v>228.54</v>
      </c>
      <c r="E363" s="132">
        <v>2420</v>
      </c>
      <c r="F363" s="139">
        <f t="shared" si="57"/>
        <v>229.00256799999997</v>
      </c>
      <c r="G363" s="127">
        <v>25569.041962604166</v>
      </c>
      <c r="H363" s="127">
        <v>25569.041962604166</v>
      </c>
      <c r="I363" s="132">
        <v>125</v>
      </c>
      <c r="J363" s="132">
        <v>1007</v>
      </c>
      <c r="K363" s="144" t="s">
        <v>429</v>
      </c>
      <c r="L363" s="132">
        <v>17577</v>
      </c>
      <c r="M363" s="143">
        <f t="shared" si="58"/>
        <v>132.57827876390613</v>
      </c>
      <c r="N363" s="132">
        <v>12520</v>
      </c>
      <c r="O363" s="129">
        <f t="shared" si="59"/>
        <v>1.4039137380191693</v>
      </c>
      <c r="P363" s="129">
        <f t="shared" si="60"/>
        <v>1.0589319390088349E-2</v>
      </c>
      <c r="Q363" s="4"/>
    </row>
    <row r="364" spans="1:17" ht="17.25" customHeight="1" x14ac:dyDescent="0.2">
      <c r="A364" s="122">
        <f t="shared" si="50"/>
        <v>362</v>
      </c>
      <c r="B364" s="123" t="s">
        <v>29</v>
      </c>
      <c r="C364" s="131" t="s">
        <v>84</v>
      </c>
      <c r="D364" s="125">
        <v>229.54</v>
      </c>
      <c r="E364" s="132">
        <v>2420</v>
      </c>
      <c r="F364" s="139">
        <f t="shared" si="57"/>
        <v>229.99586799999997</v>
      </c>
      <c r="G364" s="127">
        <v>25569.041962604166</v>
      </c>
      <c r="H364" s="127">
        <v>25569.041962604166</v>
      </c>
      <c r="I364" s="132">
        <v>126</v>
      </c>
      <c r="J364" s="132">
        <v>882</v>
      </c>
      <c r="K364" s="144" t="s">
        <v>429</v>
      </c>
      <c r="L364" s="132">
        <v>15795</v>
      </c>
      <c r="M364" s="143">
        <f t="shared" si="58"/>
        <v>125.67816039392046</v>
      </c>
      <c r="N364" s="132">
        <v>10496</v>
      </c>
      <c r="O364" s="129">
        <f t="shared" si="59"/>
        <v>1.504858993902439</v>
      </c>
      <c r="P364" s="129">
        <f t="shared" si="60"/>
        <v>1.1973910098506142E-2</v>
      </c>
      <c r="Q364" s="4"/>
    </row>
    <row r="365" spans="1:17" ht="17.25" customHeight="1" x14ac:dyDescent="0.2">
      <c r="A365" s="122">
        <f t="shared" si="50"/>
        <v>363</v>
      </c>
      <c r="B365" s="123" t="s">
        <v>29</v>
      </c>
      <c r="C365" s="131" t="s">
        <v>84</v>
      </c>
      <c r="D365" s="125">
        <v>230.55</v>
      </c>
      <c r="E365" s="132">
        <v>2420</v>
      </c>
      <c r="F365" s="139">
        <f t="shared" si="57"/>
        <v>230.999101</v>
      </c>
      <c r="G365" s="127">
        <v>25569.041962604166</v>
      </c>
      <c r="H365" s="127">
        <v>25569.041962604166</v>
      </c>
      <c r="I365" s="132">
        <v>126</v>
      </c>
      <c r="J365" s="132">
        <v>882</v>
      </c>
      <c r="K365" s="144" t="s">
        <v>429</v>
      </c>
      <c r="L365" s="132">
        <v>16684</v>
      </c>
      <c r="M365" s="143">
        <f t="shared" si="58"/>
        <v>129.1665591397402</v>
      </c>
      <c r="N365" s="132">
        <v>10546</v>
      </c>
      <c r="O365" s="129">
        <f t="shared" si="59"/>
        <v>1.5820216195714014</v>
      </c>
      <c r="P365" s="129">
        <f t="shared" si="60"/>
        <v>1.2247919508793875E-2</v>
      </c>
      <c r="Q365" s="4"/>
    </row>
    <row r="366" spans="1:17" ht="17.25" customHeight="1" x14ac:dyDescent="0.2">
      <c r="A366" s="122">
        <f t="shared" si="50"/>
        <v>364</v>
      </c>
      <c r="B366" s="123" t="s">
        <v>29</v>
      </c>
      <c r="C366" s="131" t="s">
        <v>84</v>
      </c>
      <c r="D366" s="125">
        <v>231.56</v>
      </c>
      <c r="E366" s="132">
        <v>2420</v>
      </c>
      <c r="F366" s="139">
        <f t="shared" si="57"/>
        <v>232.00233399999999</v>
      </c>
      <c r="G366" s="127">
        <v>25569.041962604166</v>
      </c>
      <c r="H366" s="127">
        <v>25569.041962604166</v>
      </c>
      <c r="I366" s="132">
        <v>125</v>
      </c>
      <c r="J366" s="132">
        <v>881</v>
      </c>
      <c r="K366" s="144" t="s">
        <v>429</v>
      </c>
      <c r="L366" s="132">
        <v>15784</v>
      </c>
      <c r="M366" s="143">
        <f t="shared" si="58"/>
        <v>125.63439019631528</v>
      </c>
      <c r="N366" s="132">
        <v>9772</v>
      </c>
      <c r="O366" s="129">
        <f t="shared" si="59"/>
        <v>1.6152271796970938</v>
      </c>
      <c r="P366" s="129">
        <f t="shared" si="60"/>
        <v>1.2856568787997879E-2</v>
      </c>
      <c r="Q366" s="4"/>
    </row>
    <row r="367" spans="1:17" ht="17.25" customHeight="1" x14ac:dyDescent="0.2">
      <c r="A367" s="122">
        <f t="shared" si="50"/>
        <v>365</v>
      </c>
      <c r="B367" s="123" t="s">
        <v>29</v>
      </c>
      <c r="C367" s="131" t="s">
        <v>84</v>
      </c>
      <c r="D367" s="125">
        <v>232.56</v>
      </c>
      <c r="E367" s="132">
        <v>2420</v>
      </c>
      <c r="F367" s="139">
        <f t="shared" si="57"/>
        <v>232.995634</v>
      </c>
      <c r="G367" s="127">
        <v>25569.041962604166</v>
      </c>
      <c r="H367" s="127">
        <v>25569.041962604166</v>
      </c>
      <c r="I367" s="132">
        <v>125</v>
      </c>
      <c r="J367" s="132">
        <v>756</v>
      </c>
      <c r="K367" s="144" t="s">
        <v>429</v>
      </c>
      <c r="L367" s="132">
        <v>14917</v>
      </c>
      <c r="M367" s="143">
        <f t="shared" si="58"/>
        <v>122.13517101965347</v>
      </c>
      <c r="N367" s="132">
        <v>8951</v>
      </c>
      <c r="O367" s="129">
        <f t="shared" si="59"/>
        <v>1.666517707518713</v>
      </c>
      <c r="P367" s="129">
        <f t="shared" si="60"/>
        <v>1.3644863257697851E-2</v>
      </c>
      <c r="Q367" s="4"/>
    </row>
    <row r="368" spans="1:17" ht="17.25" customHeight="1" x14ac:dyDescent="0.2">
      <c r="A368" s="122">
        <f t="shared" ref="A368:A431" si="61">A367+1</f>
        <v>366</v>
      </c>
      <c r="B368" s="123" t="s">
        <v>29</v>
      </c>
      <c r="C368" s="131" t="s">
        <v>84</v>
      </c>
      <c r="D368" s="125">
        <v>237.6</v>
      </c>
      <c r="E368" s="132">
        <v>2420</v>
      </c>
      <c r="F368" s="139">
        <f t="shared" si="57"/>
        <v>238.00186599999998</v>
      </c>
      <c r="G368" s="127">
        <v>25569.041962604166</v>
      </c>
      <c r="H368" s="127">
        <v>25569.041962604166</v>
      </c>
      <c r="I368" s="132">
        <v>120</v>
      </c>
      <c r="J368" s="132">
        <v>756</v>
      </c>
      <c r="K368" s="144" t="s">
        <v>429</v>
      </c>
      <c r="L368" s="132">
        <v>12746</v>
      </c>
      <c r="M368" s="143">
        <f t="shared" si="58"/>
        <v>112.89818421923357</v>
      </c>
      <c r="N368" s="132">
        <v>7323</v>
      </c>
      <c r="O368" s="129">
        <f t="shared" si="59"/>
        <v>1.7405434931039192</v>
      </c>
      <c r="P368" s="129">
        <f t="shared" si="60"/>
        <v>1.5416930796017147E-2</v>
      </c>
      <c r="Q368" s="4"/>
    </row>
    <row r="369" spans="1:17" ht="17.25" customHeight="1" x14ac:dyDescent="0.2">
      <c r="A369" s="122">
        <f t="shared" si="61"/>
        <v>367</v>
      </c>
      <c r="B369" s="123" t="s">
        <v>29</v>
      </c>
      <c r="C369" s="131" t="s">
        <v>84</v>
      </c>
      <c r="D369" s="125">
        <v>242.63</v>
      </c>
      <c r="E369" s="132">
        <v>2420</v>
      </c>
      <c r="F369" s="139">
        <f t="shared" si="57"/>
        <v>242.99816499999997</v>
      </c>
      <c r="G369" s="127">
        <v>25569.041962604166</v>
      </c>
      <c r="H369" s="127">
        <v>25569.041962604166</v>
      </c>
      <c r="I369" s="132">
        <v>120</v>
      </c>
      <c r="J369" s="132">
        <v>882</v>
      </c>
      <c r="K369" s="144" t="s">
        <v>429</v>
      </c>
      <c r="L369" s="132">
        <v>14041</v>
      </c>
      <c r="M369" s="143">
        <f t="shared" si="58"/>
        <v>118.49472562101657</v>
      </c>
      <c r="N369" s="132">
        <v>7744</v>
      </c>
      <c r="O369" s="129">
        <f t="shared" si="59"/>
        <v>1.8131456611570247</v>
      </c>
      <c r="P369" s="129">
        <f t="shared" si="60"/>
        <v>1.5301488329160198E-2</v>
      </c>
      <c r="Q369" s="4"/>
    </row>
    <row r="370" spans="1:17" ht="17.25" customHeight="1" x14ac:dyDescent="0.2">
      <c r="A370" s="122">
        <f t="shared" si="61"/>
        <v>368</v>
      </c>
      <c r="B370" s="123" t="s">
        <v>29</v>
      </c>
      <c r="C370" s="131" t="s">
        <v>84</v>
      </c>
      <c r="D370" s="125">
        <v>247.67</v>
      </c>
      <c r="E370" s="132">
        <v>2420</v>
      </c>
      <c r="F370" s="139">
        <f t="shared" si="57"/>
        <v>248.00439699999995</v>
      </c>
      <c r="G370" s="127">
        <v>25569.041962604166</v>
      </c>
      <c r="H370" s="127">
        <v>25569.041962604166</v>
      </c>
      <c r="I370" s="132">
        <v>120</v>
      </c>
      <c r="J370" s="132">
        <v>756</v>
      </c>
      <c r="K370" s="144" t="s">
        <v>429</v>
      </c>
      <c r="L370" s="132">
        <v>15856</v>
      </c>
      <c r="M370" s="143">
        <f t="shared" si="58"/>
        <v>125.92060990957755</v>
      </c>
      <c r="N370" s="132">
        <v>8518</v>
      </c>
      <c r="O370" s="129">
        <f t="shared" si="59"/>
        <v>1.8614698285982625</v>
      </c>
      <c r="P370" s="129">
        <f t="shared" si="60"/>
        <v>1.4782884469309409E-2</v>
      </c>
      <c r="Q370" s="4"/>
    </row>
    <row r="371" spans="1:17" ht="17.25" customHeight="1" x14ac:dyDescent="0.2">
      <c r="A371" s="122">
        <f t="shared" si="61"/>
        <v>369</v>
      </c>
      <c r="B371" s="123" t="s">
        <v>29</v>
      </c>
      <c r="C371" s="131" t="s">
        <v>84</v>
      </c>
      <c r="D371" s="125">
        <v>252.7</v>
      </c>
      <c r="E371" s="132">
        <v>2420</v>
      </c>
      <c r="F371" s="139">
        <f t="shared" si="57"/>
        <v>253.00069599999998</v>
      </c>
      <c r="G371" s="127">
        <v>25569.041962604166</v>
      </c>
      <c r="H371" s="127">
        <v>25569.041962604166</v>
      </c>
      <c r="I371" s="132">
        <v>113</v>
      </c>
      <c r="J371" s="132">
        <v>756</v>
      </c>
      <c r="K371" s="144" t="s">
        <v>429</v>
      </c>
      <c r="L371" s="132">
        <v>15519</v>
      </c>
      <c r="M371" s="143">
        <f t="shared" si="58"/>
        <v>124.57527844640765</v>
      </c>
      <c r="N371" s="132">
        <v>8282</v>
      </c>
      <c r="O371" s="129">
        <f t="shared" si="59"/>
        <v>1.8738227481284715</v>
      </c>
      <c r="P371" s="129">
        <f t="shared" si="60"/>
        <v>1.5041690225357118E-2</v>
      </c>
      <c r="Q371" s="4"/>
    </row>
    <row r="372" spans="1:17" ht="17.25" customHeight="1" x14ac:dyDescent="0.2">
      <c r="A372" s="122">
        <f t="shared" si="61"/>
        <v>370</v>
      </c>
      <c r="B372" s="123" t="s">
        <v>29</v>
      </c>
      <c r="C372" s="131" t="s">
        <v>84</v>
      </c>
      <c r="D372" s="125">
        <v>257.73</v>
      </c>
      <c r="E372" s="132">
        <v>2420</v>
      </c>
      <c r="F372" s="139">
        <f t="shared" si="57"/>
        <v>257.99699500000003</v>
      </c>
      <c r="G372" s="127">
        <v>25569.041962604166</v>
      </c>
      <c r="H372" s="127">
        <v>25569.041962604166</v>
      </c>
      <c r="I372" s="132">
        <v>112</v>
      </c>
      <c r="J372" s="132">
        <v>882</v>
      </c>
      <c r="K372" s="144" t="s">
        <v>429</v>
      </c>
      <c r="L372" s="132">
        <v>15449</v>
      </c>
      <c r="M372" s="143">
        <f t="shared" si="58"/>
        <v>124.29400629153443</v>
      </c>
      <c r="N372" s="132">
        <v>8033</v>
      </c>
      <c r="O372" s="129">
        <f t="shared" si="59"/>
        <v>1.923191833686045</v>
      </c>
      <c r="P372" s="129">
        <f t="shared" si="60"/>
        <v>1.5472924970936689E-2</v>
      </c>
      <c r="Q372" s="4"/>
    </row>
    <row r="373" spans="1:17" ht="17.25" customHeight="1" x14ac:dyDescent="0.2">
      <c r="A373" s="122">
        <f t="shared" si="61"/>
        <v>371</v>
      </c>
      <c r="B373" s="123" t="s">
        <v>29</v>
      </c>
      <c r="C373" s="131" t="s">
        <v>84</v>
      </c>
      <c r="D373" s="125">
        <v>262.77</v>
      </c>
      <c r="E373" s="132">
        <v>2420</v>
      </c>
      <c r="F373" s="139">
        <f t="shared" si="57"/>
        <v>263.00322699999998</v>
      </c>
      <c r="G373" s="127">
        <v>25569.041962604166</v>
      </c>
      <c r="H373" s="127">
        <v>25569.041962604166</v>
      </c>
      <c r="I373" s="132">
        <v>111</v>
      </c>
      <c r="J373" s="132">
        <v>756</v>
      </c>
      <c r="K373" s="144" t="s">
        <v>429</v>
      </c>
      <c r="L373" s="132">
        <v>15539</v>
      </c>
      <c r="M373" s="143">
        <f t="shared" si="58"/>
        <v>124.65552534885889</v>
      </c>
      <c r="N373" s="132">
        <v>7946</v>
      </c>
      <c r="O373" s="129">
        <f t="shared" si="59"/>
        <v>1.9555751321419583</v>
      </c>
      <c r="P373" s="129">
        <f t="shared" si="60"/>
        <v>1.5687833545036358E-2</v>
      </c>
      <c r="Q373" s="4"/>
    </row>
    <row r="374" spans="1:17" ht="17.25" customHeight="1" x14ac:dyDescent="0.2">
      <c r="A374" s="122">
        <f t="shared" si="61"/>
        <v>372</v>
      </c>
      <c r="B374" s="123" t="s">
        <v>29</v>
      </c>
      <c r="C374" s="131" t="s">
        <v>84</v>
      </c>
      <c r="D374" s="125">
        <v>267.8</v>
      </c>
      <c r="E374" s="132">
        <v>2420</v>
      </c>
      <c r="F374" s="139">
        <f t="shared" si="57"/>
        <v>267.999526</v>
      </c>
      <c r="G374" s="127">
        <v>25569.041962604166</v>
      </c>
      <c r="H374" s="127">
        <v>25569.041962604166</v>
      </c>
      <c r="I374" s="132">
        <v>110</v>
      </c>
      <c r="J374" s="132">
        <v>756</v>
      </c>
      <c r="K374" s="144" t="s">
        <v>429</v>
      </c>
      <c r="L374" s="132">
        <v>16533</v>
      </c>
      <c r="M374" s="143">
        <f t="shared" si="58"/>
        <v>128.58071395042103</v>
      </c>
      <c r="N374" s="132">
        <v>8131</v>
      </c>
      <c r="O374" s="129">
        <f t="shared" si="59"/>
        <v>2.0333292337965809</v>
      </c>
      <c r="P374" s="129">
        <f t="shared" si="60"/>
        <v>1.5813640874482969E-2</v>
      </c>
      <c r="Q374" s="4"/>
    </row>
    <row r="375" spans="1:17" ht="17.25" customHeight="1" x14ac:dyDescent="0.2">
      <c r="A375" s="122">
        <f t="shared" si="61"/>
        <v>373</v>
      </c>
      <c r="B375" s="123" t="s">
        <v>29</v>
      </c>
      <c r="C375" s="131" t="s">
        <v>84</v>
      </c>
      <c r="D375" s="125">
        <v>272.83</v>
      </c>
      <c r="E375" s="132">
        <v>2420</v>
      </c>
      <c r="F375" s="139">
        <f t="shared" si="57"/>
        <v>272.99582499999997</v>
      </c>
      <c r="G375" s="127">
        <v>25569.041962604166</v>
      </c>
      <c r="H375" s="127">
        <v>25569.041962604166</v>
      </c>
      <c r="I375" s="132">
        <v>106</v>
      </c>
      <c r="J375" s="132">
        <v>756</v>
      </c>
      <c r="K375" s="144" t="s">
        <v>429</v>
      </c>
      <c r="L375" s="132">
        <v>15217</v>
      </c>
      <c r="M375" s="143">
        <f t="shared" si="58"/>
        <v>123.35720489699821</v>
      </c>
      <c r="N375" s="132">
        <v>7365</v>
      </c>
      <c r="O375" s="129">
        <f t="shared" si="59"/>
        <v>2.0661235573659198</v>
      </c>
      <c r="P375" s="129">
        <f t="shared" si="60"/>
        <v>1.6749111323421346E-2</v>
      </c>
      <c r="Q375" s="4"/>
    </row>
    <row r="376" spans="1:17" ht="17.25" customHeight="1" x14ac:dyDescent="0.2">
      <c r="A376" s="122">
        <f t="shared" si="61"/>
        <v>374</v>
      </c>
      <c r="B376" s="123" t="s">
        <v>29</v>
      </c>
      <c r="C376" s="131" t="s">
        <v>84</v>
      </c>
      <c r="D376" s="125">
        <v>277.87</v>
      </c>
      <c r="E376" s="132">
        <v>2420</v>
      </c>
      <c r="F376" s="139">
        <f t="shared" ref="F376:F407" si="62">0.9933*(D376+E376/1000)-0.41</f>
        <v>278.00205699999998</v>
      </c>
      <c r="G376" s="127">
        <v>25569.041962604166</v>
      </c>
      <c r="H376" s="127">
        <v>25569.041962604166</v>
      </c>
      <c r="I376" s="132">
        <v>105</v>
      </c>
      <c r="J376" s="132">
        <v>756</v>
      </c>
      <c r="K376" s="144" t="s">
        <v>429</v>
      </c>
      <c r="L376" s="132">
        <v>16104</v>
      </c>
      <c r="M376" s="143">
        <f t="shared" ref="M376:M407" si="63">SQRT(L376)</f>
        <v>126.90153663372244</v>
      </c>
      <c r="N376" s="132">
        <v>7692</v>
      </c>
      <c r="O376" s="129">
        <f t="shared" ref="O376:O407" si="64">L376/N376</f>
        <v>2.0936037441497661</v>
      </c>
      <c r="P376" s="129">
        <f t="shared" ref="P376:P410" si="65">M376/N376</f>
        <v>1.649785967677099E-2</v>
      </c>
      <c r="Q376" s="4"/>
    </row>
    <row r="377" spans="1:17" ht="17.25" customHeight="1" x14ac:dyDescent="0.2">
      <c r="A377" s="122">
        <f t="shared" si="61"/>
        <v>375</v>
      </c>
      <c r="B377" s="123" t="s">
        <v>29</v>
      </c>
      <c r="C377" s="131" t="s">
        <v>84</v>
      </c>
      <c r="D377" s="125">
        <v>282.89999999999998</v>
      </c>
      <c r="E377" s="132">
        <v>2420</v>
      </c>
      <c r="F377" s="139">
        <f t="shared" si="62"/>
        <v>282.99835599999994</v>
      </c>
      <c r="G377" s="127">
        <v>25569.041962604166</v>
      </c>
      <c r="H377" s="127">
        <v>25569.041962604166</v>
      </c>
      <c r="I377" s="132">
        <v>103</v>
      </c>
      <c r="J377" s="132">
        <v>756</v>
      </c>
      <c r="K377" s="144" t="s">
        <v>429</v>
      </c>
      <c r="L377" s="132">
        <v>15496</v>
      </c>
      <c r="M377" s="143">
        <f t="shared" si="63"/>
        <v>124.48293055676348</v>
      </c>
      <c r="N377" s="132">
        <v>7368</v>
      </c>
      <c r="O377" s="129">
        <f t="shared" si="64"/>
        <v>2.1031487513572205</v>
      </c>
      <c r="P377" s="129">
        <f t="shared" si="65"/>
        <v>1.6895077437128595E-2</v>
      </c>
      <c r="Q377" s="4"/>
    </row>
    <row r="378" spans="1:17" ht="17.25" customHeight="1" x14ac:dyDescent="0.2">
      <c r="A378" s="122">
        <f t="shared" si="61"/>
        <v>376</v>
      </c>
      <c r="B378" s="123" t="s">
        <v>29</v>
      </c>
      <c r="C378" s="131" t="s">
        <v>84</v>
      </c>
      <c r="D378" s="125">
        <v>287.94</v>
      </c>
      <c r="E378" s="132">
        <v>2420</v>
      </c>
      <c r="F378" s="139">
        <f t="shared" si="62"/>
        <v>288.00458799999996</v>
      </c>
      <c r="G378" s="127">
        <v>25569.041962604166</v>
      </c>
      <c r="H378" s="127">
        <v>25569.041962604166</v>
      </c>
      <c r="I378" s="132">
        <v>102</v>
      </c>
      <c r="J378" s="132">
        <v>756</v>
      </c>
      <c r="K378" s="144" t="s">
        <v>429</v>
      </c>
      <c r="L378" s="132">
        <v>16640</v>
      </c>
      <c r="M378" s="143">
        <f t="shared" si="63"/>
        <v>128.99612397277679</v>
      </c>
      <c r="N378" s="132">
        <v>7643</v>
      </c>
      <c r="O378" s="129">
        <f t="shared" si="64"/>
        <v>2.1771555671856602</v>
      </c>
      <c r="P378" s="129">
        <f t="shared" si="65"/>
        <v>1.6877682058455683E-2</v>
      </c>
      <c r="Q378" s="4"/>
    </row>
    <row r="379" spans="1:17" ht="17.25" customHeight="1" x14ac:dyDescent="0.2">
      <c r="A379" s="122">
        <f t="shared" si="61"/>
        <v>377</v>
      </c>
      <c r="B379" s="123" t="s">
        <v>29</v>
      </c>
      <c r="C379" s="131" t="s">
        <v>84</v>
      </c>
      <c r="D379" s="125">
        <v>292.97000000000003</v>
      </c>
      <c r="E379" s="132">
        <v>2420</v>
      </c>
      <c r="F379" s="139">
        <f t="shared" si="62"/>
        <v>293.00088700000003</v>
      </c>
      <c r="G379" s="127">
        <v>25569.041962604166</v>
      </c>
      <c r="H379" s="127">
        <v>25569.041962604166</v>
      </c>
      <c r="I379" s="132">
        <v>108</v>
      </c>
      <c r="J379" s="132">
        <v>756</v>
      </c>
      <c r="K379" s="144" t="s">
        <v>429</v>
      </c>
      <c r="L379" s="132">
        <v>17026</v>
      </c>
      <c r="M379" s="143">
        <f t="shared" si="63"/>
        <v>130.48371545905641</v>
      </c>
      <c r="N379" s="132">
        <v>7525</v>
      </c>
      <c r="O379" s="129">
        <f t="shared" si="64"/>
        <v>2.2625913621262459</v>
      </c>
      <c r="P379" s="129">
        <f t="shared" si="65"/>
        <v>1.7340028632432745E-2</v>
      </c>
      <c r="Q379" s="4"/>
    </row>
    <row r="380" spans="1:17" ht="17.25" customHeight="1" x14ac:dyDescent="0.2">
      <c r="A380" s="122">
        <f t="shared" si="61"/>
        <v>378</v>
      </c>
      <c r="B380" s="123" t="s">
        <v>29</v>
      </c>
      <c r="C380" s="131" t="s">
        <v>84</v>
      </c>
      <c r="D380" s="122">
        <v>298</v>
      </c>
      <c r="E380" s="132">
        <v>2420</v>
      </c>
      <c r="F380" s="139">
        <f t="shared" si="62"/>
        <v>297.997186</v>
      </c>
      <c r="G380" s="127">
        <v>25569.041962604166</v>
      </c>
      <c r="H380" s="127">
        <v>25569.041962604166</v>
      </c>
      <c r="I380" s="132">
        <v>109</v>
      </c>
      <c r="J380" s="132">
        <v>756</v>
      </c>
      <c r="K380" s="144" t="s">
        <v>429</v>
      </c>
      <c r="L380" s="132">
        <v>20536</v>
      </c>
      <c r="M380" s="143">
        <f t="shared" si="63"/>
        <v>143.30387294138285</v>
      </c>
      <c r="N380" s="132">
        <v>7913</v>
      </c>
      <c r="O380" s="129">
        <f t="shared" si="64"/>
        <v>2.5952230506761027</v>
      </c>
      <c r="P380" s="129">
        <f t="shared" si="65"/>
        <v>1.8109929602095648E-2</v>
      </c>
      <c r="Q380" s="4"/>
    </row>
    <row r="381" spans="1:17" ht="17.25" customHeight="1" x14ac:dyDescent="0.2">
      <c r="A381" s="122">
        <f t="shared" si="61"/>
        <v>379</v>
      </c>
      <c r="B381" s="123" t="s">
        <v>29</v>
      </c>
      <c r="C381" s="131" t="s">
        <v>84</v>
      </c>
      <c r="D381" s="125">
        <v>303.04000000000002</v>
      </c>
      <c r="E381" s="132">
        <v>2420</v>
      </c>
      <c r="F381" s="139">
        <f t="shared" si="62"/>
        <v>303.00341800000001</v>
      </c>
      <c r="G381" s="127">
        <v>25569.041962604166</v>
      </c>
      <c r="H381" s="127">
        <v>25569.041962604166</v>
      </c>
      <c r="I381" s="132">
        <v>103</v>
      </c>
      <c r="J381" s="132">
        <v>881</v>
      </c>
      <c r="K381" s="144" t="s">
        <v>429</v>
      </c>
      <c r="L381" s="132">
        <v>26217</v>
      </c>
      <c r="M381" s="143">
        <f t="shared" si="63"/>
        <v>161.91664522216362</v>
      </c>
      <c r="N381" s="132">
        <v>8360</v>
      </c>
      <c r="O381" s="129">
        <f t="shared" si="64"/>
        <v>3.1360047846889954</v>
      </c>
      <c r="P381" s="129">
        <f t="shared" si="65"/>
        <v>1.9368019763416702E-2</v>
      </c>
      <c r="Q381" s="4"/>
    </row>
    <row r="382" spans="1:17" ht="17.25" customHeight="1" x14ac:dyDescent="0.2">
      <c r="A382" s="122">
        <f t="shared" si="61"/>
        <v>380</v>
      </c>
      <c r="B382" s="123" t="s">
        <v>29</v>
      </c>
      <c r="C382" s="131" t="s">
        <v>84</v>
      </c>
      <c r="D382" s="125">
        <v>303.81</v>
      </c>
      <c r="E382" s="132">
        <v>1646</v>
      </c>
      <c r="F382" s="139">
        <f t="shared" si="62"/>
        <v>302.99944479999999</v>
      </c>
      <c r="G382" s="127">
        <v>25569.041962604166</v>
      </c>
      <c r="H382" s="127">
        <v>25569.041962604166</v>
      </c>
      <c r="I382" s="132">
        <v>62</v>
      </c>
      <c r="J382" s="132">
        <v>756</v>
      </c>
      <c r="K382" s="144" t="s">
        <v>429</v>
      </c>
      <c r="L382" s="132">
        <v>14057</v>
      </c>
      <c r="M382" s="143">
        <f t="shared" si="63"/>
        <v>118.56221995222593</v>
      </c>
      <c r="N382" s="132">
        <v>4309</v>
      </c>
      <c r="O382" s="129">
        <f t="shared" si="64"/>
        <v>3.2622418194476679</v>
      </c>
      <c r="P382" s="129">
        <f t="shared" si="65"/>
        <v>2.7515019715067517E-2</v>
      </c>
      <c r="Q382" s="4" t="s">
        <v>1462</v>
      </c>
    </row>
    <row r="383" spans="1:17" ht="17.25" customHeight="1" x14ac:dyDescent="0.2">
      <c r="A383" s="122">
        <f t="shared" si="61"/>
        <v>381</v>
      </c>
      <c r="B383" s="123" t="s">
        <v>29</v>
      </c>
      <c r="C383" s="131" t="s">
        <v>84</v>
      </c>
      <c r="D383" s="125">
        <v>308.83999999999997</v>
      </c>
      <c r="E383" s="132">
        <v>1646</v>
      </c>
      <c r="F383" s="139">
        <f t="shared" si="62"/>
        <v>307.99574379999996</v>
      </c>
      <c r="G383" s="127">
        <v>25569.041962604166</v>
      </c>
      <c r="H383" s="127">
        <v>25569.041962604166</v>
      </c>
      <c r="I383" s="132">
        <v>63</v>
      </c>
      <c r="J383" s="132">
        <v>756</v>
      </c>
      <c r="K383" s="144" t="s">
        <v>429</v>
      </c>
      <c r="L383" s="132">
        <v>20213</v>
      </c>
      <c r="M383" s="143">
        <f t="shared" si="63"/>
        <v>142.1724305201258</v>
      </c>
      <c r="N383" s="132">
        <v>4633</v>
      </c>
      <c r="O383" s="129">
        <f t="shared" si="64"/>
        <v>4.3628318584070795</v>
      </c>
      <c r="P383" s="129">
        <f t="shared" si="65"/>
        <v>3.0686904925561365E-2</v>
      </c>
      <c r="Q383" s="4"/>
    </row>
    <row r="384" spans="1:17" ht="17.25" customHeight="1" x14ac:dyDescent="0.2">
      <c r="A384" s="122">
        <f t="shared" si="61"/>
        <v>382</v>
      </c>
      <c r="B384" s="123" t="s">
        <v>29</v>
      </c>
      <c r="C384" s="131" t="s">
        <v>84</v>
      </c>
      <c r="D384" s="125">
        <v>313.88</v>
      </c>
      <c r="E384" s="132">
        <v>1646</v>
      </c>
      <c r="F384" s="139">
        <f t="shared" si="62"/>
        <v>313.00197579999997</v>
      </c>
      <c r="G384" s="127">
        <v>25569.041962604166</v>
      </c>
      <c r="H384" s="127">
        <v>25569.041962604166</v>
      </c>
      <c r="I384" s="132">
        <v>63</v>
      </c>
      <c r="J384" s="132">
        <v>756</v>
      </c>
      <c r="K384" s="144" t="s">
        <v>429</v>
      </c>
      <c r="L384" s="132">
        <v>26584</v>
      </c>
      <c r="M384" s="143">
        <f t="shared" si="63"/>
        <v>163.04600577751054</v>
      </c>
      <c r="N384" s="132">
        <v>4397</v>
      </c>
      <c r="O384" s="129">
        <f t="shared" si="64"/>
        <v>6.0459404139185811</v>
      </c>
      <c r="P384" s="129">
        <f t="shared" si="65"/>
        <v>3.7081193035594845E-2</v>
      </c>
      <c r="Q384" s="4"/>
    </row>
    <row r="385" spans="1:17" ht="17.25" customHeight="1" x14ac:dyDescent="0.2">
      <c r="A385" s="122">
        <f t="shared" si="61"/>
        <v>383</v>
      </c>
      <c r="B385" s="123" t="s">
        <v>29</v>
      </c>
      <c r="C385" s="131" t="s">
        <v>84</v>
      </c>
      <c r="D385" s="125">
        <v>318.91000000000003</v>
      </c>
      <c r="E385" s="132">
        <v>1646</v>
      </c>
      <c r="F385" s="139">
        <f t="shared" si="62"/>
        <v>317.99827479999999</v>
      </c>
      <c r="G385" s="127">
        <v>25569.041962604166</v>
      </c>
      <c r="H385" s="127">
        <v>25569.041962604166</v>
      </c>
      <c r="I385" s="132">
        <v>61</v>
      </c>
      <c r="J385" s="132">
        <v>756</v>
      </c>
      <c r="K385" s="144" t="s">
        <v>429</v>
      </c>
      <c r="L385" s="132">
        <v>37061</v>
      </c>
      <c r="M385" s="143">
        <f t="shared" si="63"/>
        <v>192.51233726699181</v>
      </c>
      <c r="N385" s="132">
        <v>4158</v>
      </c>
      <c r="O385" s="129">
        <f t="shared" si="64"/>
        <v>8.9131794131794138</v>
      </c>
      <c r="P385" s="129">
        <f t="shared" si="65"/>
        <v>4.629926341197494E-2</v>
      </c>
      <c r="Q385" s="4"/>
    </row>
    <row r="386" spans="1:17" ht="17.25" customHeight="1" x14ac:dyDescent="0.2">
      <c r="A386" s="122">
        <f t="shared" si="61"/>
        <v>384</v>
      </c>
      <c r="B386" s="123" t="s">
        <v>29</v>
      </c>
      <c r="C386" s="131" t="s">
        <v>84</v>
      </c>
      <c r="D386" s="125">
        <v>323.95</v>
      </c>
      <c r="E386" s="132">
        <v>1646</v>
      </c>
      <c r="F386" s="139">
        <f t="shared" si="62"/>
        <v>323.00450679999994</v>
      </c>
      <c r="G386" s="127">
        <v>25569.041962604166</v>
      </c>
      <c r="H386" s="127">
        <v>25569.041962604166</v>
      </c>
      <c r="I386" s="132">
        <v>61</v>
      </c>
      <c r="J386" s="132">
        <v>630</v>
      </c>
      <c r="K386" s="144" t="s">
        <v>429</v>
      </c>
      <c r="L386" s="132">
        <v>56907</v>
      </c>
      <c r="M386" s="143">
        <f t="shared" si="63"/>
        <v>238.55188114957301</v>
      </c>
      <c r="N386" s="132">
        <v>4073</v>
      </c>
      <c r="O386" s="129">
        <f t="shared" si="64"/>
        <v>13.971765283574761</v>
      </c>
      <c r="P386" s="129">
        <f t="shared" si="65"/>
        <v>5.8569084495353058E-2</v>
      </c>
      <c r="Q386" s="4"/>
    </row>
    <row r="387" spans="1:17" ht="17.25" customHeight="1" x14ac:dyDescent="0.2">
      <c r="A387" s="122">
        <f t="shared" si="61"/>
        <v>385</v>
      </c>
      <c r="B387" s="123" t="s">
        <v>29</v>
      </c>
      <c r="C387" s="131" t="s">
        <v>84</v>
      </c>
      <c r="D387" s="125">
        <v>325.08999999999997</v>
      </c>
      <c r="E387" s="132">
        <v>502</v>
      </c>
      <c r="F387" s="139">
        <f t="shared" si="62"/>
        <v>323.00053359999993</v>
      </c>
      <c r="G387" s="127">
        <v>25569.041962604166</v>
      </c>
      <c r="H387" s="127">
        <v>25569.041962604166</v>
      </c>
      <c r="I387" s="129">
        <v>11.1</v>
      </c>
      <c r="J387" s="132">
        <v>756</v>
      </c>
      <c r="K387" s="144" t="s">
        <v>429</v>
      </c>
      <c r="L387" s="132">
        <v>10824</v>
      </c>
      <c r="M387" s="143">
        <f t="shared" si="63"/>
        <v>104.03845442911962</v>
      </c>
      <c r="N387" s="132">
        <v>797</v>
      </c>
      <c r="O387" s="129">
        <f t="shared" si="64"/>
        <v>13.580928481806776</v>
      </c>
      <c r="P387" s="129">
        <f t="shared" si="65"/>
        <v>0.13053758397631068</v>
      </c>
      <c r="Q387" s="4" t="s">
        <v>1462</v>
      </c>
    </row>
    <row r="388" spans="1:17" ht="17.25" customHeight="1" x14ac:dyDescent="0.2">
      <c r="A388" s="122">
        <f t="shared" si="61"/>
        <v>386</v>
      </c>
      <c r="B388" s="123" t="s">
        <v>29</v>
      </c>
      <c r="C388" s="131" t="s">
        <v>84</v>
      </c>
      <c r="D388" s="125">
        <v>330.12</v>
      </c>
      <c r="E388" s="132">
        <v>502</v>
      </c>
      <c r="F388" s="139">
        <f t="shared" si="62"/>
        <v>327.99683259999995</v>
      </c>
      <c r="G388" s="127">
        <v>25569.041962604166</v>
      </c>
      <c r="H388" s="127">
        <v>25569.041962604166</v>
      </c>
      <c r="I388" s="129">
        <v>10.3</v>
      </c>
      <c r="J388" s="132">
        <v>882</v>
      </c>
      <c r="K388" s="144" t="s">
        <v>429</v>
      </c>
      <c r="L388" s="132">
        <v>18893</v>
      </c>
      <c r="M388" s="143">
        <f t="shared" si="63"/>
        <v>137.45180973708568</v>
      </c>
      <c r="N388" s="132">
        <v>807</v>
      </c>
      <c r="O388" s="129">
        <f t="shared" si="64"/>
        <v>23.411400247831473</v>
      </c>
      <c r="P388" s="129">
        <f t="shared" si="65"/>
        <v>0.17032442346602936</v>
      </c>
      <c r="Q388" s="4"/>
    </row>
    <row r="389" spans="1:17" ht="17.25" customHeight="1" x14ac:dyDescent="0.2">
      <c r="A389" s="122">
        <f t="shared" si="61"/>
        <v>387</v>
      </c>
      <c r="B389" s="123" t="s">
        <v>29</v>
      </c>
      <c r="C389" s="131" t="s">
        <v>84</v>
      </c>
      <c r="D389" s="125">
        <v>335.16</v>
      </c>
      <c r="E389" s="132">
        <v>502</v>
      </c>
      <c r="F389" s="139">
        <f t="shared" si="62"/>
        <v>333.00306460000002</v>
      </c>
      <c r="G389" s="127">
        <v>25569.041962604166</v>
      </c>
      <c r="H389" s="127">
        <v>25569.041962604166</v>
      </c>
      <c r="I389" s="129">
        <v>10.9</v>
      </c>
      <c r="J389" s="132">
        <v>882</v>
      </c>
      <c r="K389" s="144" t="s">
        <v>429</v>
      </c>
      <c r="L389" s="132">
        <v>42603</v>
      </c>
      <c r="M389" s="143">
        <f t="shared" si="63"/>
        <v>206.40494180130474</v>
      </c>
      <c r="N389" s="132">
        <v>873</v>
      </c>
      <c r="O389" s="129">
        <f t="shared" si="64"/>
        <v>48.800687285223368</v>
      </c>
      <c r="P389" s="129">
        <f t="shared" si="65"/>
        <v>0.23643177755017725</v>
      </c>
      <c r="Q389" s="4"/>
    </row>
    <row r="390" spans="1:17" ht="17.25" customHeight="1" x14ac:dyDescent="0.2">
      <c r="A390" s="122">
        <f t="shared" si="61"/>
        <v>388</v>
      </c>
      <c r="B390" s="123" t="s">
        <v>29</v>
      </c>
      <c r="C390" s="131" t="s">
        <v>84</v>
      </c>
      <c r="D390" s="125">
        <v>340.19</v>
      </c>
      <c r="E390" s="132">
        <v>502</v>
      </c>
      <c r="F390" s="139">
        <f t="shared" si="62"/>
        <v>337.99936359999998</v>
      </c>
      <c r="G390" s="127">
        <v>25569.041962604166</v>
      </c>
      <c r="H390" s="127">
        <v>25569.041962604166</v>
      </c>
      <c r="I390" s="129">
        <v>10.5</v>
      </c>
      <c r="J390" s="132">
        <v>756</v>
      </c>
      <c r="K390" s="144" t="s">
        <v>429</v>
      </c>
      <c r="L390" s="132">
        <v>127995</v>
      </c>
      <c r="M390" s="143">
        <f t="shared" si="63"/>
        <v>357.76388861929593</v>
      </c>
      <c r="N390" s="132">
        <v>774</v>
      </c>
      <c r="O390" s="129">
        <f t="shared" si="64"/>
        <v>165.36821705426357</v>
      </c>
      <c r="P390" s="129">
        <f t="shared" si="65"/>
        <v>0.46222724627816009</v>
      </c>
      <c r="Q390" s="4"/>
    </row>
    <row r="391" spans="1:17" ht="17.25" customHeight="1" x14ac:dyDescent="0.2">
      <c r="A391" s="122">
        <f t="shared" si="61"/>
        <v>389</v>
      </c>
      <c r="B391" s="123" t="s">
        <v>29</v>
      </c>
      <c r="C391" s="131" t="s">
        <v>84</v>
      </c>
      <c r="D391" s="125">
        <v>345.22</v>
      </c>
      <c r="E391" s="132">
        <v>502</v>
      </c>
      <c r="F391" s="139">
        <f t="shared" si="62"/>
        <v>342.9956626</v>
      </c>
      <c r="G391" s="127">
        <v>25569.041962604166</v>
      </c>
      <c r="H391" s="127">
        <v>25569.041962604166</v>
      </c>
      <c r="I391" s="129">
        <v>10.3</v>
      </c>
      <c r="J391" s="132">
        <v>882</v>
      </c>
      <c r="K391" s="144" t="s">
        <v>429</v>
      </c>
      <c r="L391" s="132">
        <v>925753</v>
      </c>
      <c r="M391" s="143">
        <f t="shared" si="63"/>
        <v>962.16058950676211</v>
      </c>
      <c r="N391" s="132">
        <v>714</v>
      </c>
      <c r="O391" s="129">
        <f t="shared" si="64"/>
        <v>1296.5728291316527</v>
      </c>
      <c r="P391" s="129">
        <f t="shared" si="65"/>
        <v>1.3475638508498069</v>
      </c>
      <c r="Q391" s="4"/>
    </row>
    <row r="392" spans="1:17" ht="17.25" customHeight="1" x14ac:dyDescent="0.2">
      <c r="A392" s="122">
        <f t="shared" si="61"/>
        <v>390</v>
      </c>
      <c r="B392" s="123" t="s">
        <v>29</v>
      </c>
      <c r="C392" s="131" t="s">
        <v>84</v>
      </c>
      <c r="D392" s="125">
        <v>345.63</v>
      </c>
      <c r="E392" s="132">
        <v>92</v>
      </c>
      <c r="F392" s="139">
        <f t="shared" si="62"/>
        <v>342.99566259999995</v>
      </c>
      <c r="G392" s="127">
        <v>25569.041962604166</v>
      </c>
      <c r="H392" s="127">
        <v>25569.041962604166</v>
      </c>
      <c r="I392" s="129">
        <v>0.52</v>
      </c>
      <c r="J392" s="132">
        <v>756</v>
      </c>
      <c r="K392" s="144" t="s">
        <v>429</v>
      </c>
      <c r="L392" s="132">
        <v>52021</v>
      </c>
      <c r="M392" s="143">
        <f t="shared" si="63"/>
        <v>228.08112591795052</v>
      </c>
      <c r="N392" s="129">
        <v>37.1</v>
      </c>
      <c r="O392" s="129">
        <f t="shared" si="64"/>
        <v>1402.1832884097034</v>
      </c>
      <c r="P392" s="129">
        <f t="shared" si="65"/>
        <v>6.1477392430714426</v>
      </c>
      <c r="Q392" s="4" t="s">
        <v>1462</v>
      </c>
    </row>
    <row r="393" spans="1:17" ht="17.25" customHeight="1" x14ac:dyDescent="0.2">
      <c r="A393" s="122">
        <f t="shared" si="61"/>
        <v>391</v>
      </c>
      <c r="B393" s="123" t="s">
        <v>29</v>
      </c>
      <c r="C393" s="131" t="s">
        <v>84</v>
      </c>
      <c r="D393" s="125">
        <v>350.67</v>
      </c>
      <c r="E393" s="132">
        <v>92</v>
      </c>
      <c r="F393" s="139">
        <f t="shared" si="62"/>
        <v>348.00189459999996</v>
      </c>
      <c r="G393" s="127">
        <v>25569.041962604166</v>
      </c>
      <c r="H393" s="127">
        <v>25569.041962604166</v>
      </c>
      <c r="I393" s="129">
        <v>0.49</v>
      </c>
      <c r="J393" s="132">
        <v>756</v>
      </c>
      <c r="K393" s="144" t="s">
        <v>429</v>
      </c>
      <c r="L393" s="132">
        <v>66231</v>
      </c>
      <c r="M393" s="143">
        <f t="shared" si="63"/>
        <v>257.3538420152301</v>
      </c>
      <c r="N393" s="132">
        <v>34</v>
      </c>
      <c r="O393" s="129">
        <f t="shared" si="64"/>
        <v>1947.9705882352941</v>
      </c>
      <c r="P393" s="129">
        <f t="shared" si="65"/>
        <v>7.5692306475067674</v>
      </c>
      <c r="Q393" s="4"/>
    </row>
    <row r="394" spans="1:17" ht="17.25" customHeight="1" x14ac:dyDescent="0.2">
      <c r="A394" s="122">
        <f t="shared" si="61"/>
        <v>392</v>
      </c>
      <c r="B394" s="123" t="s">
        <v>29</v>
      </c>
      <c r="C394" s="131" t="s">
        <v>84</v>
      </c>
      <c r="D394" s="125">
        <v>355.7</v>
      </c>
      <c r="E394" s="132">
        <v>92</v>
      </c>
      <c r="F394" s="139">
        <f t="shared" si="62"/>
        <v>352.99819359999992</v>
      </c>
      <c r="G394" s="127">
        <v>25569.041962604166</v>
      </c>
      <c r="H394" s="127">
        <v>25569.041962604166</v>
      </c>
      <c r="I394" s="129">
        <v>0.44</v>
      </c>
      <c r="J394" s="132">
        <v>756</v>
      </c>
      <c r="K394" s="144" t="s">
        <v>429</v>
      </c>
      <c r="L394" s="132">
        <v>63127</v>
      </c>
      <c r="M394" s="143">
        <f t="shared" si="63"/>
        <v>251.25087064525766</v>
      </c>
      <c r="N394" s="129">
        <v>30.6</v>
      </c>
      <c r="O394" s="129">
        <f t="shared" si="64"/>
        <v>2062.9738562091502</v>
      </c>
      <c r="P394" s="129">
        <f t="shared" si="65"/>
        <v>8.2108127661848904</v>
      </c>
      <c r="Q394" s="4"/>
    </row>
    <row r="395" spans="1:17" ht="17.25" customHeight="1" x14ac:dyDescent="0.2">
      <c r="A395" s="122">
        <f t="shared" si="61"/>
        <v>393</v>
      </c>
      <c r="B395" s="123" t="s">
        <v>29</v>
      </c>
      <c r="C395" s="131" t="s">
        <v>84</v>
      </c>
      <c r="D395" s="125">
        <v>360.74</v>
      </c>
      <c r="E395" s="132">
        <v>92</v>
      </c>
      <c r="F395" s="139">
        <f t="shared" si="62"/>
        <v>358.00442559999993</v>
      </c>
      <c r="G395" s="127">
        <v>25569.041962604166</v>
      </c>
      <c r="H395" s="127">
        <v>25569.041962604166</v>
      </c>
      <c r="I395" s="129">
        <v>0.4</v>
      </c>
      <c r="J395" s="132">
        <v>756</v>
      </c>
      <c r="K395" s="144" t="s">
        <v>429</v>
      </c>
      <c r="L395" s="132">
        <v>57085</v>
      </c>
      <c r="M395" s="143">
        <f t="shared" si="63"/>
        <v>238.92467432226417</v>
      </c>
      <c r="N395" s="129">
        <v>27.3</v>
      </c>
      <c r="O395" s="129">
        <f t="shared" si="64"/>
        <v>2091.0256410256411</v>
      </c>
      <c r="P395" s="129">
        <f t="shared" si="65"/>
        <v>8.7518195722441092</v>
      </c>
      <c r="Q395" s="4"/>
    </row>
    <row r="396" spans="1:17" ht="17.25" customHeight="1" x14ac:dyDescent="0.2">
      <c r="A396" s="122">
        <f t="shared" si="61"/>
        <v>394</v>
      </c>
      <c r="B396" s="123" t="s">
        <v>29</v>
      </c>
      <c r="C396" s="131" t="s">
        <v>84</v>
      </c>
      <c r="D396" s="125">
        <v>365.77</v>
      </c>
      <c r="E396" s="132">
        <v>92</v>
      </c>
      <c r="F396" s="139">
        <f t="shared" si="62"/>
        <v>363.00072459999996</v>
      </c>
      <c r="G396" s="127">
        <v>25569.041962604166</v>
      </c>
      <c r="H396" s="127">
        <v>25569.041962604166</v>
      </c>
      <c r="I396" s="129">
        <v>0.34</v>
      </c>
      <c r="J396" s="132">
        <v>756</v>
      </c>
      <c r="K396" s="144" t="s">
        <v>429</v>
      </c>
      <c r="L396" s="132">
        <v>54685</v>
      </c>
      <c r="M396" s="143">
        <f t="shared" si="63"/>
        <v>233.84824138744341</v>
      </c>
      <c r="N396" s="129">
        <v>25.8</v>
      </c>
      <c r="O396" s="129">
        <f t="shared" si="64"/>
        <v>2119.5736434108526</v>
      </c>
      <c r="P396" s="129">
        <f t="shared" si="65"/>
        <v>9.0638853250947058</v>
      </c>
      <c r="Q396" s="4"/>
    </row>
    <row r="397" spans="1:17" ht="17.25" customHeight="1" x14ac:dyDescent="0.2">
      <c r="A397" s="122">
        <f t="shared" si="61"/>
        <v>395</v>
      </c>
      <c r="B397" s="123" t="s">
        <v>29</v>
      </c>
      <c r="C397" s="131" t="s">
        <v>84</v>
      </c>
      <c r="D397" s="125">
        <v>370.8</v>
      </c>
      <c r="E397" s="132">
        <v>92</v>
      </c>
      <c r="F397" s="139">
        <f t="shared" si="62"/>
        <v>367.99702359999998</v>
      </c>
      <c r="G397" s="127">
        <v>25569.041962604166</v>
      </c>
      <c r="H397" s="127">
        <v>25569.041962604166</v>
      </c>
      <c r="I397" s="129">
        <v>0.33</v>
      </c>
      <c r="J397" s="132">
        <v>756</v>
      </c>
      <c r="K397" s="144" t="s">
        <v>429</v>
      </c>
      <c r="L397" s="132">
        <v>47520</v>
      </c>
      <c r="M397" s="143">
        <f t="shared" si="63"/>
        <v>217.99082549501941</v>
      </c>
      <c r="N397" s="129">
        <v>22.4</v>
      </c>
      <c r="O397" s="129">
        <f t="shared" si="64"/>
        <v>2121.4285714285716</v>
      </c>
      <c r="P397" s="129">
        <f t="shared" si="65"/>
        <v>9.7317332810276529</v>
      </c>
      <c r="Q397" s="4"/>
    </row>
    <row r="398" spans="1:17" ht="17.25" customHeight="1" x14ac:dyDescent="0.2">
      <c r="A398" s="122">
        <f t="shared" si="61"/>
        <v>396</v>
      </c>
      <c r="B398" s="123" t="s">
        <v>29</v>
      </c>
      <c r="C398" s="131" t="s">
        <v>84</v>
      </c>
      <c r="D398" s="125">
        <v>375.84</v>
      </c>
      <c r="E398" s="132">
        <v>92</v>
      </c>
      <c r="F398" s="139">
        <f t="shared" si="62"/>
        <v>373.00325559999993</v>
      </c>
      <c r="G398" s="127">
        <v>25569.041962604166</v>
      </c>
      <c r="H398" s="127">
        <v>25569.041962604166</v>
      </c>
      <c r="I398" s="129">
        <v>0.28000000000000003</v>
      </c>
      <c r="J398" s="132">
        <v>756</v>
      </c>
      <c r="K398" s="144" t="s">
        <v>429</v>
      </c>
      <c r="L398" s="132">
        <v>45208</v>
      </c>
      <c r="M398" s="143">
        <f t="shared" si="63"/>
        <v>212.62172983963799</v>
      </c>
      <c r="N398" s="132">
        <v>21</v>
      </c>
      <c r="O398" s="129">
        <f t="shared" si="64"/>
        <v>2152.7619047619046</v>
      </c>
      <c r="P398" s="129">
        <f t="shared" si="65"/>
        <v>10.124844278077999</v>
      </c>
      <c r="Q398" s="4"/>
    </row>
    <row r="399" spans="1:17" ht="17.25" customHeight="1" x14ac:dyDescent="0.2">
      <c r="A399" s="122">
        <f t="shared" si="61"/>
        <v>397</v>
      </c>
      <c r="B399" s="123" t="s">
        <v>29</v>
      </c>
      <c r="C399" s="131" t="s">
        <v>84</v>
      </c>
      <c r="D399" s="125">
        <v>380.87</v>
      </c>
      <c r="E399" s="132">
        <v>92</v>
      </c>
      <c r="F399" s="139">
        <f t="shared" si="62"/>
        <v>377.99955459999995</v>
      </c>
      <c r="G399" s="127">
        <v>25569.041962604166</v>
      </c>
      <c r="H399" s="127">
        <v>25569.041962604166</v>
      </c>
      <c r="I399" s="129">
        <v>0.27</v>
      </c>
      <c r="J399" s="132">
        <v>756</v>
      </c>
      <c r="K399" s="144" t="s">
        <v>429</v>
      </c>
      <c r="L399" s="132">
        <v>39467</v>
      </c>
      <c r="M399" s="143">
        <f t="shared" si="63"/>
        <v>198.66303128664879</v>
      </c>
      <c r="N399" s="129">
        <v>18.5</v>
      </c>
      <c r="O399" s="129">
        <f t="shared" si="64"/>
        <v>2133.3513513513512</v>
      </c>
      <c r="P399" s="129">
        <f t="shared" si="65"/>
        <v>10.738542231710746</v>
      </c>
      <c r="Q399" s="4"/>
    </row>
    <row r="400" spans="1:17" ht="17.25" customHeight="1" x14ac:dyDescent="0.2">
      <c r="A400" s="122">
        <f t="shared" si="61"/>
        <v>398</v>
      </c>
      <c r="B400" s="123" t="s">
        <v>29</v>
      </c>
      <c r="C400" s="131" t="s">
        <v>84</v>
      </c>
      <c r="D400" s="125">
        <v>385.9</v>
      </c>
      <c r="E400" s="132">
        <v>92</v>
      </c>
      <c r="F400" s="139">
        <f t="shared" si="62"/>
        <v>382.99585359999992</v>
      </c>
      <c r="G400" s="127">
        <v>25569.041962604166</v>
      </c>
      <c r="H400" s="127">
        <v>25569.041962604166</v>
      </c>
      <c r="I400" s="129">
        <v>0.25</v>
      </c>
      <c r="J400" s="132">
        <v>756</v>
      </c>
      <c r="K400" s="144" t="s">
        <v>429</v>
      </c>
      <c r="L400" s="132">
        <v>34522</v>
      </c>
      <c r="M400" s="143">
        <f t="shared" si="63"/>
        <v>185.80096878111266</v>
      </c>
      <c r="N400" s="132">
        <v>17</v>
      </c>
      <c r="O400" s="129">
        <f t="shared" si="64"/>
        <v>2030.7058823529412</v>
      </c>
      <c r="P400" s="129">
        <f t="shared" si="65"/>
        <v>10.929468751830157</v>
      </c>
      <c r="Q400" s="4"/>
    </row>
    <row r="401" spans="1:28" ht="17.25" customHeight="1" x14ac:dyDescent="0.2">
      <c r="A401" s="122">
        <f t="shared" si="61"/>
        <v>399</v>
      </c>
      <c r="B401" s="123" t="s">
        <v>29</v>
      </c>
      <c r="C401" s="131" t="s">
        <v>84</v>
      </c>
      <c r="D401" s="125">
        <v>390.94</v>
      </c>
      <c r="E401" s="132">
        <v>92</v>
      </c>
      <c r="F401" s="139">
        <f t="shared" si="62"/>
        <v>388.00208559999993</v>
      </c>
      <c r="G401" s="127">
        <v>25569.041962604166</v>
      </c>
      <c r="H401" s="127">
        <v>25569.041962604166</v>
      </c>
      <c r="I401" s="129">
        <v>0.23</v>
      </c>
      <c r="J401" s="132">
        <v>756</v>
      </c>
      <c r="K401" s="144" t="s">
        <v>429</v>
      </c>
      <c r="L401" s="132">
        <v>28653</v>
      </c>
      <c r="M401" s="143">
        <f t="shared" si="63"/>
        <v>169.27197050900068</v>
      </c>
      <c r="N401" s="129">
        <v>15.4</v>
      </c>
      <c r="O401" s="129">
        <f t="shared" si="64"/>
        <v>1860.5844155844156</v>
      </c>
      <c r="P401" s="129">
        <f t="shared" si="65"/>
        <v>10.991686396688356</v>
      </c>
      <c r="Q401" s="4"/>
    </row>
    <row r="402" spans="1:28" ht="17.25" customHeight="1" x14ac:dyDescent="0.2">
      <c r="A402" s="122">
        <f t="shared" si="61"/>
        <v>400</v>
      </c>
      <c r="B402" s="123" t="s">
        <v>29</v>
      </c>
      <c r="C402" s="131" t="s">
        <v>84</v>
      </c>
      <c r="D402" s="125">
        <v>395.97</v>
      </c>
      <c r="E402" s="132">
        <v>92</v>
      </c>
      <c r="F402" s="139">
        <f t="shared" si="62"/>
        <v>392.99838459999995</v>
      </c>
      <c r="G402" s="127">
        <v>25569.041962604166</v>
      </c>
      <c r="H402" s="127">
        <v>25569.041962604166</v>
      </c>
      <c r="I402" s="129">
        <v>0.21</v>
      </c>
      <c r="J402" s="132">
        <v>756</v>
      </c>
      <c r="K402" s="144" t="s">
        <v>429</v>
      </c>
      <c r="L402" s="132">
        <v>23192</v>
      </c>
      <c r="M402" s="143">
        <f t="shared" si="63"/>
        <v>152.28919856641178</v>
      </c>
      <c r="N402" s="129">
        <v>14.8</v>
      </c>
      <c r="O402" s="129">
        <f t="shared" si="64"/>
        <v>1567.0270270270269</v>
      </c>
      <c r="P402" s="129">
        <f t="shared" si="65"/>
        <v>10.289810713946741</v>
      </c>
      <c r="Q402" s="4"/>
    </row>
    <row r="403" spans="1:28" ht="17.25" customHeight="1" x14ac:dyDescent="0.2">
      <c r="A403" s="183">
        <f t="shared" si="61"/>
        <v>401</v>
      </c>
      <c r="B403" s="184" t="s">
        <v>29</v>
      </c>
      <c r="C403" s="185" t="s">
        <v>84</v>
      </c>
      <c r="D403" s="183">
        <v>400</v>
      </c>
      <c r="E403" s="187">
        <v>92</v>
      </c>
      <c r="F403" s="188">
        <f t="shared" si="62"/>
        <v>397.00138359999994</v>
      </c>
      <c r="G403" s="189">
        <v>25569.041962604166</v>
      </c>
      <c r="H403" s="189">
        <v>25569.041962604166</v>
      </c>
      <c r="I403" s="192">
        <v>0.17</v>
      </c>
      <c r="J403" s="187">
        <v>756</v>
      </c>
      <c r="K403" s="190" t="s">
        <v>429</v>
      </c>
      <c r="L403" s="187">
        <v>14184</v>
      </c>
      <c r="M403" s="191">
        <f t="shared" si="63"/>
        <v>119.09659944767525</v>
      </c>
      <c r="N403" s="192">
        <v>11.1</v>
      </c>
      <c r="O403" s="192">
        <f t="shared" si="64"/>
        <v>1277.8378378378379</v>
      </c>
      <c r="P403" s="192">
        <f t="shared" si="65"/>
        <v>10.729423373664437</v>
      </c>
      <c r="Q403" s="204"/>
      <c r="R403" s="34"/>
      <c r="S403" s="34"/>
      <c r="T403" s="34"/>
      <c r="U403" s="34"/>
      <c r="V403" s="34"/>
      <c r="W403" s="34"/>
      <c r="X403" s="34"/>
      <c r="Y403" s="34"/>
      <c r="Z403" s="34"/>
      <c r="AA403" s="34"/>
      <c r="AB403" s="34"/>
    </row>
    <row r="404" spans="1:28" ht="17.25" customHeight="1" x14ac:dyDescent="0.2">
      <c r="A404" s="122">
        <f t="shared" si="61"/>
        <v>402</v>
      </c>
      <c r="B404" s="123" t="s">
        <v>1400</v>
      </c>
      <c r="C404" s="131" t="s">
        <v>84</v>
      </c>
      <c r="D404" s="122">
        <v>400</v>
      </c>
      <c r="E404" s="132">
        <v>92</v>
      </c>
      <c r="F404" s="139">
        <f t="shared" si="62"/>
        <v>397.00138359999994</v>
      </c>
      <c r="G404" s="127">
        <v>25569.041962604166</v>
      </c>
      <c r="H404" s="127">
        <v>25569.041962604166</v>
      </c>
      <c r="I404" s="129">
        <v>0.17</v>
      </c>
      <c r="J404" s="132">
        <v>6672</v>
      </c>
      <c r="K404" s="144" t="s">
        <v>429</v>
      </c>
      <c r="L404" s="132">
        <v>146169</v>
      </c>
      <c r="M404" s="143">
        <f t="shared" si="63"/>
        <v>382.32054613896963</v>
      </c>
      <c r="N404" s="129">
        <v>116.8</v>
      </c>
      <c r="O404" s="129">
        <f t="shared" si="64"/>
        <v>1251.4469178082193</v>
      </c>
      <c r="P404" s="129">
        <f t="shared" si="65"/>
        <v>3.2732923470802193</v>
      </c>
      <c r="Q404" s="4" t="s">
        <v>1463</v>
      </c>
    </row>
    <row r="405" spans="1:28" ht="17.25" customHeight="1" x14ac:dyDescent="0.2">
      <c r="A405" s="183">
        <f t="shared" si="61"/>
        <v>403</v>
      </c>
      <c r="B405" s="184" t="s">
        <v>1400</v>
      </c>
      <c r="C405" s="185" t="s">
        <v>84</v>
      </c>
      <c r="D405" s="186">
        <v>365.77</v>
      </c>
      <c r="E405" s="187">
        <v>92</v>
      </c>
      <c r="F405" s="188">
        <f t="shared" si="62"/>
        <v>363.00072459999996</v>
      </c>
      <c r="G405" s="189">
        <v>25569.041962604166</v>
      </c>
      <c r="H405" s="189">
        <v>25569.041962604166</v>
      </c>
      <c r="I405" s="192">
        <v>0.83</v>
      </c>
      <c r="J405" s="187">
        <v>9239</v>
      </c>
      <c r="K405" s="190" t="s">
        <v>429</v>
      </c>
      <c r="L405" s="187">
        <v>1723901</v>
      </c>
      <c r="M405" s="191">
        <f t="shared" si="63"/>
        <v>1312.9741048474643</v>
      </c>
      <c r="N405" s="192">
        <v>836.4</v>
      </c>
      <c r="O405" s="192">
        <f t="shared" si="64"/>
        <v>2061.0963653754184</v>
      </c>
      <c r="P405" s="192">
        <f t="shared" si="65"/>
        <v>1.569792090922363</v>
      </c>
      <c r="Q405" s="204" t="s">
        <v>1464</v>
      </c>
      <c r="R405" s="34"/>
      <c r="S405" s="34"/>
      <c r="T405" s="34"/>
      <c r="U405" s="34"/>
      <c r="V405" s="34"/>
      <c r="W405" s="34"/>
      <c r="X405" s="34"/>
      <c r="Y405" s="34"/>
      <c r="Z405" s="34"/>
      <c r="AA405" s="34"/>
      <c r="AB405" s="34"/>
    </row>
    <row r="406" spans="1:28" ht="17.25" customHeight="1" x14ac:dyDescent="0.2">
      <c r="A406" s="183">
        <f t="shared" si="61"/>
        <v>404</v>
      </c>
      <c r="B406" s="184" t="s">
        <v>157</v>
      </c>
      <c r="C406" s="185" t="s">
        <v>84</v>
      </c>
      <c r="D406" s="186">
        <v>219.09</v>
      </c>
      <c r="E406" s="187">
        <v>2802</v>
      </c>
      <c r="F406" s="188">
        <f t="shared" si="62"/>
        <v>219.99532359999998</v>
      </c>
      <c r="G406" s="189">
        <v>25569.041962604166</v>
      </c>
      <c r="H406" s="189">
        <v>25569.041962604166</v>
      </c>
      <c r="I406" s="187">
        <v>194</v>
      </c>
      <c r="J406" s="187">
        <v>51728</v>
      </c>
      <c r="K406" s="190" t="s">
        <v>429</v>
      </c>
      <c r="L406" s="187">
        <v>41078</v>
      </c>
      <c r="M406" s="191">
        <f t="shared" si="63"/>
        <v>202.67708306564904</v>
      </c>
      <c r="N406" s="187">
        <v>909052</v>
      </c>
      <c r="O406" s="192">
        <f t="shared" si="64"/>
        <v>4.5187734035016698E-2</v>
      </c>
      <c r="P406" s="192">
        <f t="shared" si="65"/>
        <v>2.2295433381770135E-4</v>
      </c>
      <c r="Q406" s="204"/>
      <c r="R406" s="34"/>
      <c r="S406" s="34"/>
      <c r="T406" s="34"/>
      <c r="U406" s="34"/>
      <c r="V406" s="34"/>
      <c r="W406" s="34"/>
      <c r="X406" s="34"/>
      <c r="Y406" s="34"/>
      <c r="Z406" s="34"/>
      <c r="AA406" s="34"/>
      <c r="AB406" s="34"/>
    </row>
    <row r="407" spans="1:28" ht="17.25" customHeight="1" x14ac:dyDescent="0.2">
      <c r="A407" s="122">
        <f t="shared" si="61"/>
        <v>405</v>
      </c>
      <c r="B407" s="123" t="s">
        <v>29</v>
      </c>
      <c r="C407" s="131" t="s">
        <v>84</v>
      </c>
      <c r="D407" s="125">
        <v>230.13</v>
      </c>
      <c r="E407" s="132">
        <v>1838</v>
      </c>
      <c r="F407" s="139">
        <f t="shared" si="62"/>
        <v>230.00381439999998</v>
      </c>
      <c r="G407" s="127">
        <v>25569.041962604166</v>
      </c>
      <c r="H407" s="127">
        <v>25569.041962604166</v>
      </c>
      <c r="I407" s="132">
        <v>94</v>
      </c>
      <c r="J407" s="132">
        <v>1763</v>
      </c>
      <c r="K407" s="144" t="s">
        <v>429</v>
      </c>
      <c r="L407" s="132">
        <v>23229</v>
      </c>
      <c r="M407" s="143">
        <f t="shared" si="63"/>
        <v>152.41062955056645</v>
      </c>
      <c r="N407" s="132">
        <v>15762</v>
      </c>
      <c r="O407" s="129">
        <f t="shared" si="64"/>
        <v>1.4737342976779597</v>
      </c>
      <c r="P407" s="129">
        <f t="shared" si="65"/>
        <v>9.6694981316182253E-3</v>
      </c>
      <c r="Q407" s="4"/>
    </row>
    <row r="408" spans="1:28" ht="17.25" customHeight="1" x14ac:dyDescent="0.2">
      <c r="A408" s="122">
        <f t="shared" si="61"/>
        <v>406</v>
      </c>
      <c r="B408" s="123" t="s">
        <v>29</v>
      </c>
      <c r="C408" s="131" t="s">
        <v>84</v>
      </c>
      <c r="D408" s="125">
        <v>231.13</v>
      </c>
      <c r="E408" s="132">
        <v>1838</v>
      </c>
      <c r="F408" s="139">
        <f t="shared" ref="F408:F410" si="66">0.9933*(D408+E408/1000)-0.41</f>
        <v>230.99711439999999</v>
      </c>
      <c r="G408" s="127">
        <v>25569.041962604166</v>
      </c>
      <c r="H408" s="127">
        <v>25569.041962604166</v>
      </c>
      <c r="I408" s="132">
        <v>92</v>
      </c>
      <c r="J408" s="132">
        <v>1637</v>
      </c>
      <c r="K408" s="144" t="s">
        <v>429</v>
      </c>
      <c r="L408" s="132">
        <v>22951</v>
      </c>
      <c r="M408" s="143">
        <f t="shared" ref="M408:M410" si="67">SQRT(L408)</f>
        <v>151.49587453128879</v>
      </c>
      <c r="N408" s="132">
        <v>14878</v>
      </c>
      <c r="O408" s="129">
        <f t="shared" ref="O408:O410" si="68">L408/N408</f>
        <v>1.5426132544696869</v>
      </c>
      <c r="P408" s="129">
        <f t="shared" si="65"/>
        <v>1.0182542985030837E-2</v>
      </c>
      <c r="Q408" s="4"/>
    </row>
    <row r="409" spans="1:28" ht="17.25" customHeight="1" x14ac:dyDescent="0.2">
      <c r="A409" s="122">
        <f t="shared" si="61"/>
        <v>407</v>
      </c>
      <c r="B409" s="123" t="s">
        <v>29</v>
      </c>
      <c r="C409" s="131" t="s">
        <v>84</v>
      </c>
      <c r="D409" s="125">
        <v>232.14</v>
      </c>
      <c r="E409" s="132">
        <v>1838</v>
      </c>
      <c r="F409" s="139">
        <f t="shared" si="66"/>
        <v>232.00034739999998</v>
      </c>
      <c r="G409" s="127">
        <v>25569.041962604166</v>
      </c>
      <c r="H409" s="127">
        <v>25569.041962604166</v>
      </c>
      <c r="I409" s="132">
        <v>88</v>
      </c>
      <c r="J409" s="132">
        <v>2014</v>
      </c>
      <c r="K409" s="144" t="s">
        <v>429</v>
      </c>
      <c r="L409" s="132">
        <v>27614</v>
      </c>
      <c r="M409" s="143">
        <f t="shared" si="67"/>
        <v>166.17460696508357</v>
      </c>
      <c r="N409" s="132">
        <v>17353</v>
      </c>
      <c r="O409" s="129">
        <f t="shared" si="68"/>
        <v>1.5913098599665765</v>
      </c>
      <c r="P409" s="129">
        <f t="shared" si="65"/>
        <v>9.5761313297460706E-3</v>
      </c>
      <c r="Q409" s="4"/>
    </row>
    <row r="410" spans="1:28" ht="17.25" customHeight="1" x14ac:dyDescent="0.2">
      <c r="A410" s="122">
        <f t="shared" si="61"/>
        <v>408</v>
      </c>
      <c r="B410" s="123" t="s">
        <v>29</v>
      </c>
      <c r="C410" s="131" t="s">
        <v>84</v>
      </c>
      <c r="D410" s="125">
        <v>233.15</v>
      </c>
      <c r="E410" s="132">
        <v>1838</v>
      </c>
      <c r="F410" s="139">
        <f t="shared" si="66"/>
        <v>233.0035804</v>
      </c>
      <c r="G410" s="127">
        <v>25569.041962604166</v>
      </c>
      <c r="H410" s="127">
        <v>25569.041962604166</v>
      </c>
      <c r="I410" s="132">
        <v>87</v>
      </c>
      <c r="J410" s="132">
        <v>1637</v>
      </c>
      <c r="K410" s="144" t="s">
        <v>429</v>
      </c>
      <c r="L410" s="132">
        <v>22810</v>
      </c>
      <c r="M410" s="143">
        <f t="shared" si="67"/>
        <v>151.02979838429235</v>
      </c>
      <c r="N410" s="132">
        <v>13886</v>
      </c>
      <c r="O410" s="129">
        <f t="shared" si="68"/>
        <v>1.6426616736281145</v>
      </c>
      <c r="P410" s="129">
        <f t="shared" si="65"/>
        <v>1.0876407776486558E-2</v>
      </c>
      <c r="Q410" s="4"/>
    </row>
    <row r="411" spans="1:28" ht="17.25" customHeight="1" x14ac:dyDescent="0.2">
      <c r="A411" s="122">
        <f t="shared" si="61"/>
        <v>409</v>
      </c>
      <c r="B411" s="123" t="s">
        <v>29</v>
      </c>
      <c r="C411" s="124"/>
      <c r="D411" s="125"/>
      <c r="E411" s="126"/>
      <c r="F411" s="139"/>
      <c r="G411" s="127"/>
      <c r="H411" s="127"/>
      <c r="I411" s="126"/>
      <c r="J411" s="126"/>
      <c r="K411" s="144"/>
      <c r="L411" s="126"/>
      <c r="M411" s="143"/>
      <c r="N411" s="126"/>
      <c r="O411" s="129"/>
      <c r="P411" s="129"/>
      <c r="Q411" s="4" t="s">
        <v>1461</v>
      </c>
    </row>
    <row r="412" spans="1:28" ht="17.25" customHeight="1" x14ac:dyDescent="0.2">
      <c r="A412" s="122">
        <f t="shared" si="61"/>
        <v>410</v>
      </c>
      <c r="B412" s="123" t="s">
        <v>29</v>
      </c>
      <c r="C412" s="131" t="s">
        <v>84</v>
      </c>
      <c r="D412" s="125">
        <v>234.15</v>
      </c>
      <c r="E412" s="132">
        <v>1838</v>
      </c>
      <c r="F412" s="139">
        <f t="shared" ref="F412:F443" si="69">0.9933*(D412+E412/1000)-0.41</f>
        <v>233.99688039999998</v>
      </c>
      <c r="G412" s="127">
        <v>25569.041962604166</v>
      </c>
      <c r="H412" s="127">
        <v>25569.041962604166</v>
      </c>
      <c r="I412" s="132">
        <v>86</v>
      </c>
      <c r="J412" s="132">
        <v>1637</v>
      </c>
      <c r="K412" s="144" t="s">
        <v>429</v>
      </c>
      <c r="L412" s="132">
        <v>23077</v>
      </c>
      <c r="M412" s="143">
        <f t="shared" ref="M412:M443" si="70">SQRT(L412)</f>
        <v>151.91115824718077</v>
      </c>
      <c r="N412" s="132">
        <v>13929</v>
      </c>
      <c r="O412" s="129">
        <f t="shared" ref="O412:O443" si="71">L412/N412</f>
        <v>1.6567592792016657</v>
      </c>
      <c r="P412" s="129">
        <f t="shared" ref="P412:P443" si="72">M412/N412</f>
        <v>1.0906106558057346E-2</v>
      </c>
      <c r="Q412" s="4"/>
    </row>
    <row r="413" spans="1:28" ht="17.25" customHeight="1" x14ac:dyDescent="0.2">
      <c r="A413" s="122">
        <f t="shared" si="61"/>
        <v>411</v>
      </c>
      <c r="B413" s="123" t="s">
        <v>29</v>
      </c>
      <c r="C413" s="131" t="s">
        <v>84</v>
      </c>
      <c r="D413" s="125">
        <v>235.16</v>
      </c>
      <c r="E413" s="132">
        <v>1838</v>
      </c>
      <c r="F413" s="139">
        <f t="shared" si="69"/>
        <v>235.00011339999998</v>
      </c>
      <c r="G413" s="127">
        <v>25569.041962604166</v>
      </c>
      <c r="H413" s="127">
        <v>25569.041962604166</v>
      </c>
      <c r="I413" s="132">
        <v>85</v>
      </c>
      <c r="J413" s="132">
        <v>1763</v>
      </c>
      <c r="K413" s="144" t="s">
        <v>429</v>
      </c>
      <c r="L413" s="132">
        <v>24297</v>
      </c>
      <c r="M413" s="143">
        <f t="shared" si="70"/>
        <v>155.87494987970325</v>
      </c>
      <c r="N413" s="132">
        <v>14473</v>
      </c>
      <c r="O413" s="129">
        <f t="shared" si="71"/>
        <v>1.6787811787466316</v>
      </c>
      <c r="P413" s="129">
        <f t="shared" si="72"/>
        <v>1.0770051121377962E-2</v>
      </c>
      <c r="Q413" s="4"/>
    </row>
    <row r="414" spans="1:28" ht="17.25" customHeight="1" x14ac:dyDescent="0.2">
      <c r="A414" s="122">
        <f t="shared" si="61"/>
        <v>412</v>
      </c>
      <c r="B414" s="123" t="s">
        <v>29</v>
      </c>
      <c r="C414" s="131" t="s">
        <v>84</v>
      </c>
      <c r="D414" s="125">
        <v>236.17</v>
      </c>
      <c r="E414" s="132">
        <v>1838</v>
      </c>
      <c r="F414" s="139">
        <f t="shared" si="69"/>
        <v>236.00334639999997</v>
      </c>
      <c r="G414" s="127">
        <v>25569.041962604166</v>
      </c>
      <c r="H414" s="127">
        <v>25569.041962604166</v>
      </c>
      <c r="I414" s="132">
        <v>85</v>
      </c>
      <c r="J414" s="132">
        <v>1637</v>
      </c>
      <c r="K414" s="144" t="s">
        <v>429</v>
      </c>
      <c r="L414" s="132">
        <v>22508</v>
      </c>
      <c r="M414" s="143">
        <f t="shared" si="70"/>
        <v>150.0266642967176</v>
      </c>
      <c r="N414" s="132">
        <v>13692</v>
      </c>
      <c r="O414" s="129">
        <f t="shared" si="71"/>
        <v>1.6438796377446685</v>
      </c>
      <c r="P414" s="129">
        <f t="shared" si="72"/>
        <v>1.0957249802564826E-2</v>
      </c>
      <c r="Q414" s="4"/>
    </row>
    <row r="415" spans="1:28" ht="17.25" customHeight="1" x14ac:dyDescent="0.2">
      <c r="A415" s="122">
        <f t="shared" si="61"/>
        <v>413</v>
      </c>
      <c r="B415" s="123" t="s">
        <v>29</v>
      </c>
      <c r="C415" s="131" t="s">
        <v>84</v>
      </c>
      <c r="D415" s="125">
        <v>237.17</v>
      </c>
      <c r="E415" s="132">
        <v>1838</v>
      </c>
      <c r="F415" s="139">
        <f t="shared" si="69"/>
        <v>236.99664639999997</v>
      </c>
      <c r="G415" s="127">
        <v>25569.041962604166</v>
      </c>
      <c r="H415" s="127">
        <v>25569.041962604166</v>
      </c>
      <c r="I415" s="132">
        <v>84</v>
      </c>
      <c r="J415" s="132">
        <v>1637</v>
      </c>
      <c r="K415" s="144" t="s">
        <v>429</v>
      </c>
      <c r="L415" s="132">
        <v>23105</v>
      </c>
      <c r="M415" s="143">
        <f t="shared" si="70"/>
        <v>152.00328943809077</v>
      </c>
      <c r="N415" s="132">
        <v>13701</v>
      </c>
      <c r="O415" s="129">
        <f t="shared" si="71"/>
        <v>1.6863732574264652</v>
      </c>
      <c r="P415" s="129">
        <f t="shared" si="72"/>
        <v>1.109432081148024E-2</v>
      </c>
      <c r="Q415" s="4"/>
    </row>
    <row r="416" spans="1:28" ht="17.25" customHeight="1" x14ac:dyDescent="0.2">
      <c r="A416" s="122">
        <f t="shared" si="61"/>
        <v>414</v>
      </c>
      <c r="B416" s="123" t="s">
        <v>29</v>
      </c>
      <c r="C416" s="131" t="s">
        <v>84</v>
      </c>
      <c r="D416" s="125">
        <v>238.18</v>
      </c>
      <c r="E416" s="132">
        <v>1838</v>
      </c>
      <c r="F416" s="139">
        <f t="shared" si="69"/>
        <v>237.9998794</v>
      </c>
      <c r="G416" s="127">
        <v>25569.041962604166</v>
      </c>
      <c r="H416" s="127">
        <v>25569.041962604166</v>
      </c>
      <c r="I416" s="132">
        <v>84</v>
      </c>
      <c r="J416" s="132">
        <v>1637</v>
      </c>
      <c r="K416" s="144" t="s">
        <v>429</v>
      </c>
      <c r="L416" s="132">
        <v>23140</v>
      </c>
      <c r="M416" s="143">
        <f t="shared" si="70"/>
        <v>152.11837495845134</v>
      </c>
      <c r="N416" s="132">
        <v>13439</v>
      </c>
      <c r="O416" s="129">
        <f t="shared" si="71"/>
        <v>1.7218543046357615</v>
      </c>
      <c r="P416" s="129">
        <f t="shared" si="72"/>
        <v>1.1319173670544783E-2</v>
      </c>
      <c r="Q416" s="4"/>
    </row>
    <row r="417" spans="1:28" ht="17.25" customHeight="1" x14ac:dyDescent="0.2">
      <c r="A417" s="122">
        <f t="shared" si="61"/>
        <v>415</v>
      </c>
      <c r="B417" s="123" t="s">
        <v>29</v>
      </c>
      <c r="C417" s="131" t="s">
        <v>84</v>
      </c>
      <c r="D417" s="125">
        <v>239.19</v>
      </c>
      <c r="E417" s="132">
        <v>1838</v>
      </c>
      <c r="F417" s="139">
        <f t="shared" si="69"/>
        <v>239.00311239999999</v>
      </c>
      <c r="G417" s="127">
        <v>25569.041962604166</v>
      </c>
      <c r="H417" s="127">
        <v>25569.041962604166</v>
      </c>
      <c r="I417" s="132">
        <v>83</v>
      </c>
      <c r="J417" s="132">
        <v>1637</v>
      </c>
      <c r="K417" s="144" t="s">
        <v>429</v>
      </c>
      <c r="L417" s="132">
        <v>23240</v>
      </c>
      <c r="M417" s="143">
        <f t="shared" si="70"/>
        <v>152.44671200127604</v>
      </c>
      <c r="N417" s="132">
        <v>13138</v>
      </c>
      <c r="O417" s="129">
        <f t="shared" si="71"/>
        <v>1.7689145988734967</v>
      </c>
      <c r="P417" s="129">
        <f t="shared" si="72"/>
        <v>1.1603494595926019E-2</v>
      </c>
      <c r="Q417" s="4"/>
      <c r="V417" s="34"/>
      <c r="W417" s="34"/>
      <c r="X417" s="34"/>
      <c r="Y417" s="34"/>
      <c r="Z417" s="34"/>
      <c r="AA417" s="34"/>
      <c r="AB417" s="34"/>
    </row>
    <row r="418" spans="1:28" ht="17.25" customHeight="1" x14ac:dyDescent="0.2">
      <c r="A418" s="183">
        <f t="shared" si="61"/>
        <v>416</v>
      </c>
      <c r="B418" s="184" t="s">
        <v>29</v>
      </c>
      <c r="C418" s="185" t="s">
        <v>84</v>
      </c>
      <c r="D418" s="186">
        <v>240.19</v>
      </c>
      <c r="E418" s="187">
        <v>1838</v>
      </c>
      <c r="F418" s="188">
        <f t="shared" si="69"/>
        <v>239.9964124</v>
      </c>
      <c r="G418" s="189">
        <v>25569.041962604166</v>
      </c>
      <c r="H418" s="189">
        <v>25569.041962604166</v>
      </c>
      <c r="I418" s="187">
        <v>80</v>
      </c>
      <c r="J418" s="187">
        <v>1637</v>
      </c>
      <c r="K418" s="190" t="s">
        <v>429</v>
      </c>
      <c r="L418" s="187">
        <v>22316</v>
      </c>
      <c r="M418" s="191">
        <f t="shared" si="70"/>
        <v>149.38540758722053</v>
      </c>
      <c r="N418" s="187">
        <v>12278</v>
      </c>
      <c r="O418" s="192">
        <f t="shared" si="71"/>
        <v>1.8175598631698975</v>
      </c>
      <c r="P418" s="192">
        <f t="shared" si="72"/>
        <v>1.2166917053854091E-2</v>
      </c>
      <c r="Q418" s="204"/>
      <c r="R418" s="34"/>
      <c r="S418" s="34"/>
      <c r="T418" s="34"/>
      <c r="U418" s="34"/>
    </row>
    <row r="419" spans="1:28" ht="17.25" customHeight="1" x14ac:dyDescent="0.2">
      <c r="A419" s="183">
        <f t="shared" si="61"/>
        <v>417</v>
      </c>
      <c r="B419" s="184" t="s">
        <v>157</v>
      </c>
      <c r="C419" s="185" t="s">
        <v>84</v>
      </c>
      <c r="D419" s="186">
        <v>198.87</v>
      </c>
      <c r="E419" s="187">
        <v>2890</v>
      </c>
      <c r="F419" s="188">
        <f t="shared" si="69"/>
        <v>199.99820799999998</v>
      </c>
      <c r="G419" s="189">
        <v>25569.041962604166</v>
      </c>
      <c r="H419" s="189">
        <v>25569.041962604166</v>
      </c>
      <c r="I419" s="187">
        <v>171</v>
      </c>
      <c r="J419" s="187">
        <v>519543</v>
      </c>
      <c r="K419" s="190" t="s">
        <v>429</v>
      </c>
      <c r="L419" s="187">
        <v>51256</v>
      </c>
      <c r="M419" s="191">
        <f t="shared" si="70"/>
        <v>226.39787984873004</v>
      </c>
      <c r="N419" s="187">
        <v>7220369</v>
      </c>
      <c r="O419" s="207">
        <f t="shared" si="71"/>
        <v>7.0988061690475928E-3</v>
      </c>
      <c r="P419" s="207">
        <f t="shared" si="72"/>
        <v>3.1355444555358604E-5</v>
      </c>
      <c r="Q419" s="204"/>
      <c r="R419" s="34"/>
      <c r="S419" s="34"/>
      <c r="T419" s="34"/>
      <c r="U419" s="34"/>
      <c r="V419" s="34"/>
      <c r="W419" s="34"/>
      <c r="X419" s="34"/>
      <c r="Y419" s="34"/>
      <c r="Z419" s="34"/>
      <c r="AA419" s="34"/>
      <c r="AB419" s="34"/>
    </row>
    <row r="420" spans="1:28" ht="17.25" customHeight="1" x14ac:dyDescent="0.2">
      <c r="A420" s="122">
        <f t="shared" si="61"/>
        <v>418</v>
      </c>
      <c r="B420" s="123" t="s">
        <v>30</v>
      </c>
      <c r="C420" s="131" t="s">
        <v>84</v>
      </c>
      <c r="D420" s="125">
        <v>222.5</v>
      </c>
      <c r="E420" s="132">
        <v>2420</v>
      </c>
      <c r="F420" s="139">
        <f t="shared" si="69"/>
        <v>223.00303599999998</v>
      </c>
      <c r="G420" s="127">
        <v>25569.041962604166</v>
      </c>
      <c r="H420" s="127">
        <v>25569.041962604166</v>
      </c>
      <c r="I420" s="132">
        <v>108</v>
      </c>
      <c r="J420" s="132">
        <v>1763</v>
      </c>
      <c r="K420" s="144" t="s">
        <v>429</v>
      </c>
      <c r="L420" s="132">
        <v>1881</v>
      </c>
      <c r="M420" s="143">
        <f t="shared" si="70"/>
        <v>43.370496884402883</v>
      </c>
      <c r="N420" s="132">
        <v>18238</v>
      </c>
      <c r="O420" s="129">
        <f t="shared" si="71"/>
        <v>0.10313630880579011</v>
      </c>
      <c r="P420" s="129">
        <f t="shared" si="72"/>
        <v>2.378029218357434E-3</v>
      </c>
      <c r="Q420" s="4"/>
    </row>
    <row r="421" spans="1:28" ht="17.25" customHeight="1" x14ac:dyDescent="0.2">
      <c r="A421" s="122">
        <f t="shared" si="61"/>
        <v>419</v>
      </c>
      <c r="B421" s="123" t="s">
        <v>30</v>
      </c>
      <c r="C421" s="131" t="s">
        <v>84</v>
      </c>
      <c r="D421" s="125">
        <v>223.5</v>
      </c>
      <c r="E421" s="132">
        <v>2420</v>
      </c>
      <c r="F421" s="139">
        <f t="shared" si="69"/>
        <v>223.99633599999999</v>
      </c>
      <c r="G421" s="127">
        <v>25569.041962604166</v>
      </c>
      <c r="H421" s="127">
        <v>25569.041962604166</v>
      </c>
      <c r="I421" s="132">
        <v>108</v>
      </c>
      <c r="J421" s="132">
        <v>1259</v>
      </c>
      <c r="K421" s="144" t="s">
        <v>429</v>
      </c>
      <c r="L421" s="132">
        <v>2516</v>
      </c>
      <c r="M421" s="143">
        <f t="shared" si="70"/>
        <v>50.159744815937813</v>
      </c>
      <c r="N421" s="132">
        <v>12491</v>
      </c>
      <c r="O421" s="129">
        <f t="shared" si="71"/>
        <v>0.20142502601873349</v>
      </c>
      <c r="P421" s="129">
        <f t="shared" si="72"/>
        <v>4.0156708683002015E-3</v>
      </c>
      <c r="Q421" s="4"/>
    </row>
    <row r="422" spans="1:28" ht="17.25" customHeight="1" x14ac:dyDescent="0.2">
      <c r="A422" s="122">
        <f t="shared" si="61"/>
        <v>420</v>
      </c>
      <c r="B422" s="123" t="s">
        <v>30</v>
      </c>
      <c r="C422" s="131" t="s">
        <v>84</v>
      </c>
      <c r="D422" s="125">
        <v>224.51</v>
      </c>
      <c r="E422" s="132">
        <v>2420</v>
      </c>
      <c r="F422" s="139">
        <f t="shared" si="69"/>
        <v>224.99956899999998</v>
      </c>
      <c r="G422" s="127">
        <v>25569.041962604166</v>
      </c>
      <c r="H422" s="127">
        <v>25569.041962604166</v>
      </c>
      <c r="I422" s="132">
        <v>107</v>
      </c>
      <c r="J422" s="132">
        <v>1133</v>
      </c>
      <c r="K422" s="144" t="s">
        <v>429</v>
      </c>
      <c r="L422" s="132">
        <v>8144</v>
      </c>
      <c r="M422" s="143">
        <f t="shared" si="70"/>
        <v>90.244113381427823</v>
      </c>
      <c r="N422" s="132">
        <v>11550</v>
      </c>
      <c r="O422" s="129">
        <f t="shared" si="71"/>
        <v>0.70510822510822513</v>
      </c>
      <c r="P422" s="129">
        <f t="shared" si="72"/>
        <v>7.8133431499071704E-3</v>
      </c>
      <c r="Q422" s="4"/>
    </row>
    <row r="423" spans="1:28" ht="17.25" customHeight="1" x14ac:dyDescent="0.2">
      <c r="A423" s="122">
        <f t="shared" si="61"/>
        <v>421</v>
      </c>
      <c r="B423" s="123" t="s">
        <v>30</v>
      </c>
      <c r="C423" s="131" t="s">
        <v>84</v>
      </c>
      <c r="D423" s="125">
        <v>225.52</v>
      </c>
      <c r="E423" s="132">
        <v>2420</v>
      </c>
      <c r="F423" s="139">
        <f t="shared" si="69"/>
        <v>226.002802</v>
      </c>
      <c r="G423" s="127">
        <v>25569.041962604166</v>
      </c>
      <c r="H423" s="127">
        <v>25569.041962604166</v>
      </c>
      <c r="I423" s="132">
        <v>107</v>
      </c>
      <c r="J423" s="132">
        <v>1133</v>
      </c>
      <c r="K423" s="144" t="s">
        <v>429</v>
      </c>
      <c r="L423" s="132">
        <v>12392</v>
      </c>
      <c r="M423" s="143">
        <f t="shared" si="70"/>
        <v>111.31936040060597</v>
      </c>
      <c r="N423" s="132">
        <v>11869</v>
      </c>
      <c r="O423" s="129">
        <f t="shared" si="71"/>
        <v>1.0440643693655742</v>
      </c>
      <c r="P423" s="129">
        <f t="shared" si="72"/>
        <v>9.3790007920301604E-3</v>
      </c>
      <c r="Q423" s="4"/>
    </row>
    <row r="424" spans="1:28" ht="17.25" customHeight="1" x14ac:dyDescent="0.2">
      <c r="A424" s="122">
        <f t="shared" si="61"/>
        <v>422</v>
      </c>
      <c r="B424" s="123" t="s">
        <v>30</v>
      </c>
      <c r="C424" s="131" t="s">
        <v>84</v>
      </c>
      <c r="D424" s="125">
        <v>226.52</v>
      </c>
      <c r="E424" s="132">
        <v>2420</v>
      </c>
      <c r="F424" s="139">
        <f t="shared" si="69"/>
        <v>226.99610199999998</v>
      </c>
      <c r="G424" s="127">
        <v>25569.041962604166</v>
      </c>
      <c r="H424" s="127">
        <v>25569.041962604166</v>
      </c>
      <c r="I424" s="132">
        <v>106</v>
      </c>
      <c r="J424" s="132">
        <v>1133</v>
      </c>
      <c r="K424" s="144" t="s">
        <v>429</v>
      </c>
      <c r="L424" s="132">
        <v>13667</v>
      </c>
      <c r="M424" s="143">
        <f t="shared" si="70"/>
        <v>116.90594510117953</v>
      </c>
      <c r="N424" s="132">
        <v>11639</v>
      </c>
      <c r="O424" s="129">
        <f t="shared" si="71"/>
        <v>1.1742417733482258</v>
      </c>
      <c r="P424" s="129">
        <f t="shared" si="72"/>
        <v>1.004432898884608E-2</v>
      </c>
      <c r="Q424" s="4"/>
    </row>
    <row r="425" spans="1:28" ht="17.25" customHeight="1" x14ac:dyDescent="0.2">
      <c r="A425" s="122">
        <f t="shared" si="61"/>
        <v>423</v>
      </c>
      <c r="B425" s="123" t="s">
        <v>30</v>
      </c>
      <c r="C425" s="131" t="s">
        <v>84</v>
      </c>
      <c r="D425" s="125">
        <v>227.53</v>
      </c>
      <c r="E425" s="132">
        <v>2420</v>
      </c>
      <c r="F425" s="139">
        <f t="shared" si="69"/>
        <v>227.99933499999997</v>
      </c>
      <c r="G425" s="127">
        <v>25569.041962604166</v>
      </c>
      <c r="H425" s="127">
        <v>25569.041962604166</v>
      </c>
      <c r="I425" s="132">
        <v>106</v>
      </c>
      <c r="J425" s="132">
        <v>1511</v>
      </c>
      <c r="K425" s="144" t="s">
        <v>429</v>
      </c>
      <c r="L425" s="132">
        <v>20597</v>
      </c>
      <c r="M425" s="143">
        <f t="shared" si="70"/>
        <v>143.51654956833374</v>
      </c>
      <c r="N425" s="132">
        <v>16084</v>
      </c>
      <c r="O425" s="129">
        <f t="shared" si="71"/>
        <v>1.2805894056204925</v>
      </c>
      <c r="P425" s="129">
        <f t="shared" si="72"/>
        <v>8.9229389186976961E-3</v>
      </c>
      <c r="Q425" s="4"/>
    </row>
    <row r="426" spans="1:28" ht="17.25" customHeight="1" x14ac:dyDescent="0.2">
      <c r="A426" s="122">
        <f t="shared" si="61"/>
        <v>424</v>
      </c>
      <c r="B426" s="123" t="s">
        <v>30</v>
      </c>
      <c r="C426" s="131" t="s">
        <v>84</v>
      </c>
      <c r="D426" s="125">
        <v>228.54</v>
      </c>
      <c r="E426" s="132">
        <v>2420</v>
      </c>
      <c r="F426" s="139">
        <f t="shared" si="69"/>
        <v>229.00256799999997</v>
      </c>
      <c r="G426" s="127">
        <v>25569.041962604166</v>
      </c>
      <c r="H426" s="127">
        <v>25569.041962604166</v>
      </c>
      <c r="I426" s="132">
        <v>105</v>
      </c>
      <c r="J426" s="132">
        <v>1133</v>
      </c>
      <c r="K426" s="144" t="s">
        <v>429</v>
      </c>
      <c r="L426" s="132">
        <v>16016</v>
      </c>
      <c r="M426" s="143">
        <f t="shared" si="70"/>
        <v>126.554336156451</v>
      </c>
      <c r="N426" s="132">
        <v>11479</v>
      </c>
      <c r="O426" s="129">
        <f t="shared" si="71"/>
        <v>1.3952434881087203</v>
      </c>
      <c r="P426" s="129">
        <f t="shared" si="72"/>
        <v>1.1024857231156983E-2</v>
      </c>
      <c r="Q426" s="4"/>
    </row>
    <row r="427" spans="1:28" ht="17.25" customHeight="1" x14ac:dyDescent="0.2">
      <c r="A427" s="122">
        <f t="shared" si="61"/>
        <v>425</v>
      </c>
      <c r="B427" s="123" t="s">
        <v>30</v>
      </c>
      <c r="C427" s="131" t="s">
        <v>84</v>
      </c>
      <c r="D427" s="125">
        <v>229.54</v>
      </c>
      <c r="E427" s="132">
        <v>2420</v>
      </c>
      <c r="F427" s="139">
        <f t="shared" si="69"/>
        <v>229.99586799999997</v>
      </c>
      <c r="G427" s="127">
        <v>25569.041962604166</v>
      </c>
      <c r="H427" s="127">
        <v>25569.041962604166</v>
      </c>
      <c r="I427" s="132">
        <v>105</v>
      </c>
      <c r="J427" s="132">
        <v>882</v>
      </c>
      <c r="K427" s="144" t="s">
        <v>429</v>
      </c>
      <c r="L427" s="132">
        <v>12749</v>
      </c>
      <c r="M427" s="143">
        <f t="shared" si="70"/>
        <v>112.91146974510606</v>
      </c>
      <c r="N427" s="132">
        <v>8568</v>
      </c>
      <c r="O427" s="129">
        <f t="shared" si="71"/>
        <v>1.4879785247432307</v>
      </c>
      <c r="P427" s="129">
        <f t="shared" si="72"/>
        <v>1.3178276114041324E-2</v>
      </c>
      <c r="Q427" s="4"/>
    </row>
    <row r="428" spans="1:28" ht="17.25" customHeight="1" x14ac:dyDescent="0.2">
      <c r="A428" s="122">
        <f t="shared" si="61"/>
        <v>426</v>
      </c>
      <c r="B428" s="123" t="s">
        <v>30</v>
      </c>
      <c r="C428" s="131" t="s">
        <v>84</v>
      </c>
      <c r="D428" s="125">
        <v>230.55</v>
      </c>
      <c r="E428" s="132">
        <v>2420</v>
      </c>
      <c r="F428" s="139">
        <f t="shared" si="69"/>
        <v>230.999101</v>
      </c>
      <c r="G428" s="127">
        <v>25569.041962604166</v>
      </c>
      <c r="H428" s="127">
        <v>25569.041962604166</v>
      </c>
      <c r="I428" s="132">
        <v>104</v>
      </c>
      <c r="J428" s="132">
        <v>881</v>
      </c>
      <c r="K428" s="144" t="s">
        <v>429</v>
      </c>
      <c r="L428" s="132">
        <v>13504</v>
      </c>
      <c r="M428" s="143">
        <f t="shared" si="70"/>
        <v>116.2067123706716</v>
      </c>
      <c r="N428" s="132">
        <v>8724</v>
      </c>
      <c r="O428" s="129">
        <f t="shared" si="71"/>
        <v>1.5479138010087117</v>
      </c>
      <c r="P428" s="129">
        <f t="shared" si="72"/>
        <v>1.332034758948551E-2</v>
      </c>
      <c r="Q428" s="4"/>
    </row>
    <row r="429" spans="1:28" ht="17.25" customHeight="1" x14ac:dyDescent="0.2">
      <c r="A429" s="122">
        <f t="shared" si="61"/>
        <v>427</v>
      </c>
      <c r="B429" s="123" t="s">
        <v>30</v>
      </c>
      <c r="C429" s="131" t="s">
        <v>84</v>
      </c>
      <c r="D429" s="125">
        <v>231.56</v>
      </c>
      <c r="E429" s="132">
        <v>2420</v>
      </c>
      <c r="F429" s="139">
        <f t="shared" si="69"/>
        <v>232.00233399999999</v>
      </c>
      <c r="G429" s="127">
        <v>25569.041962604166</v>
      </c>
      <c r="H429" s="127">
        <v>25569.041962604166</v>
      </c>
      <c r="I429" s="132">
        <v>104</v>
      </c>
      <c r="J429" s="132">
        <v>756</v>
      </c>
      <c r="K429" s="144" t="s">
        <v>429</v>
      </c>
      <c r="L429" s="132">
        <v>12260</v>
      </c>
      <c r="M429" s="143">
        <f t="shared" si="70"/>
        <v>110.72488428533127</v>
      </c>
      <c r="N429" s="132">
        <v>7594</v>
      </c>
      <c r="O429" s="129">
        <f t="shared" si="71"/>
        <v>1.6144324466684223</v>
      </c>
      <c r="P429" s="129">
        <f t="shared" si="72"/>
        <v>1.4580574701781836E-2</v>
      </c>
      <c r="Q429" s="4"/>
    </row>
    <row r="430" spans="1:28" ht="17.25" customHeight="1" x14ac:dyDescent="0.2">
      <c r="A430" s="122">
        <f t="shared" si="61"/>
        <v>428</v>
      </c>
      <c r="B430" s="123" t="s">
        <v>30</v>
      </c>
      <c r="C430" s="131" t="s">
        <v>84</v>
      </c>
      <c r="D430" s="125">
        <v>232.56</v>
      </c>
      <c r="E430" s="132">
        <v>2420</v>
      </c>
      <c r="F430" s="139">
        <f t="shared" si="69"/>
        <v>232.995634</v>
      </c>
      <c r="G430" s="127">
        <v>25569.041962604166</v>
      </c>
      <c r="H430" s="127">
        <v>25569.041962604166</v>
      </c>
      <c r="I430" s="132">
        <v>104</v>
      </c>
      <c r="J430" s="132">
        <v>756</v>
      </c>
      <c r="K430" s="144" t="s">
        <v>429</v>
      </c>
      <c r="L430" s="132">
        <v>12253</v>
      </c>
      <c r="M430" s="143">
        <f t="shared" si="70"/>
        <v>110.69326989478628</v>
      </c>
      <c r="N430" s="132">
        <v>7419</v>
      </c>
      <c r="O430" s="129">
        <f t="shared" si="71"/>
        <v>1.6515702924922497</v>
      </c>
      <c r="P430" s="129">
        <f t="shared" si="72"/>
        <v>1.4920241258227022E-2</v>
      </c>
      <c r="Q430" s="4"/>
    </row>
    <row r="431" spans="1:28" ht="17.25" customHeight="1" x14ac:dyDescent="0.2">
      <c r="A431" s="122">
        <f t="shared" si="61"/>
        <v>429</v>
      </c>
      <c r="B431" s="123" t="s">
        <v>30</v>
      </c>
      <c r="C431" s="131" t="s">
        <v>84</v>
      </c>
      <c r="D431" s="125">
        <v>237.6</v>
      </c>
      <c r="E431" s="132">
        <v>2420</v>
      </c>
      <c r="F431" s="139">
        <f t="shared" si="69"/>
        <v>238.00186599999998</v>
      </c>
      <c r="G431" s="127">
        <v>25569.041962604166</v>
      </c>
      <c r="H431" s="127">
        <v>25569.041962604166</v>
      </c>
      <c r="I431" s="132">
        <v>104</v>
      </c>
      <c r="J431" s="132">
        <v>756</v>
      </c>
      <c r="K431" s="144" t="s">
        <v>429</v>
      </c>
      <c r="L431" s="132">
        <v>13449</v>
      </c>
      <c r="M431" s="143">
        <f t="shared" si="70"/>
        <v>115.96982366115765</v>
      </c>
      <c r="N431" s="132">
        <v>7831</v>
      </c>
      <c r="O431" s="129">
        <f t="shared" si="71"/>
        <v>1.7174051845230494</v>
      </c>
      <c r="P431" s="129">
        <f t="shared" si="72"/>
        <v>1.480906955192921E-2</v>
      </c>
      <c r="Q431" s="4"/>
    </row>
    <row r="432" spans="1:28" ht="17.25" customHeight="1" x14ac:dyDescent="0.2">
      <c r="A432" s="122">
        <f t="shared" ref="A432:A495" si="73">A431+1</f>
        <v>430</v>
      </c>
      <c r="B432" s="123" t="s">
        <v>30</v>
      </c>
      <c r="C432" s="131" t="s">
        <v>84</v>
      </c>
      <c r="D432" s="125">
        <v>242.63</v>
      </c>
      <c r="E432" s="132">
        <v>2420</v>
      </c>
      <c r="F432" s="139">
        <f t="shared" si="69"/>
        <v>242.99816499999997</v>
      </c>
      <c r="G432" s="127">
        <v>25569.041962604166</v>
      </c>
      <c r="H432" s="127">
        <v>25569.041962604166</v>
      </c>
      <c r="I432" s="132">
        <v>102</v>
      </c>
      <c r="J432" s="132">
        <v>630</v>
      </c>
      <c r="K432" s="144" t="s">
        <v>429</v>
      </c>
      <c r="L432" s="132">
        <v>11564</v>
      </c>
      <c r="M432" s="143">
        <f t="shared" si="70"/>
        <v>107.53604047016051</v>
      </c>
      <c r="N432" s="132">
        <v>6266</v>
      </c>
      <c r="O432" s="129">
        <f t="shared" si="71"/>
        <v>1.8455154803702523</v>
      </c>
      <c r="P432" s="129">
        <f t="shared" si="72"/>
        <v>1.7161832184832512E-2</v>
      </c>
      <c r="Q432" s="4"/>
    </row>
    <row r="433" spans="1:28" ht="17.25" customHeight="1" x14ac:dyDescent="0.2">
      <c r="A433" s="122">
        <f t="shared" si="73"/>
        <v>431</v>
      </c>
      <c r="B433" s="123" t="s">
        <v>30</v>
      </c>
      <c r="C433" s="131" t="s">
        <v>84</v>
      </c>
      <c r="D433" s="125">
        <v>247.67</v>
      </c>
      <c r="E433" s="132">
        <v>2420</v>
      </c>
      <c r="F433" s="139">
        <f t="shared" si="69"/>
        <v>248.00439699999995</v>
      </c>
      <c r="G433" s="127">
        <v>25569.041962604166</v>
      </c>
      <c r="H433" s="127">
        <v>25569.041962604166</v>
      </c>
      <c r="I433" s="132">
        <v>100</v>
      </c>
      <c r="J433" s="132">
        <v>630</v>
      </c>
      <c r="K433" s="144" t="s">
        <v>429</v>
      </c>
      <c r="L433" s="132">
        <v>12302</v>
      </c>
      <c r="M433" s="143">
        <f t="shared" si="70"/>
        <v>110.91438139393827</v>
      </c>
      <c r="N433" s="132">
        <v>6643</v>
      </c>
      <c r="O433" s="129">
        <f t="shared" si="71"/>
        <v>1.8518741532440162</v>
      </c>
      <c r="P433" s="129">
        <f t="shared" si="72"/>
        <v>1.6696429533936213E-2</v>
      </c>
      <c r="Q433" s="4"/>
    </row>
    <row r="434" spans="1:28" ht="17.25" customHeight="1" x14ac:dyDescent="0.2">
      <c r="A434" s="122">
        <f t="shared" si="73"/>
        <v>432</v>
      </c>
      <c r="B434" s="123" t="s">
        <v>30</v>
      </c>
      <c r="C434" s="131" t="s">
        <v>84</v>
      </c>
      <c r="D434" s="125">
        <v>252.7</v>
      </c>
      <c r="E434" s="132">
        <v>2420</v>
      </c>
      <c r="F434" s="139">
        <f t="shared" si="69"/>
        <v>253.00069599999998</v>
      </c>
      <c r="G434" s="127">
        <v>25569.041962604166</v>
      </c>
      <c r="H434" s="127">
        <v>25569.041962604166</v>
      </c>
      <c r="I434" s="132">
        <v>98</v>
      </c>
      <c r="J434" s="132">
        <v>756</v>
      </c>
      <c r="K434" s="144" t="s">
        <v>429</v>
      </c>
      <c r="L434" s="132">
        <v>13335</v>
      </c>
      <c r="M434" s="143">
        <f t="shared" si="70"/>
        <v>115.47727049077668</v>
      </c>
      <c r="N434" s="132">
        <v>7216</v>
      </c>
      <c r="O434" s="129">
        <f t="shared" si="71"/>
        <v>1.8479767184035476</v>
      </c>
      <c r="P434" s="129">
        <f t="shared" si="72"/>
        <v>1.600294768442027E-2</v>
      </c>
      <c r="Q434" s="4"/>
    </row>
    <row r="435" spans="1:28" ht="17.25" customHeight="1" x14ac:dyDescent="0.2">
      <c r="A435" s="122">
        <f t="shared" si="73"/>
        <v>433</v>
      </c>
      <c r="B435" s="123" t="s">
        <v>30</v>
      </c>
      <c r="C435" s="131" t="s">
        <v>84</v>
      </c>
      <c r="D435" s="125">
        <v>257.73</v>
      </c>
      <c r="E435" s="132">
        <v>2420</v>
      </c>
      <c r="F435" s="139">
        <f t="shared" si="69"/>
        <v>257.99699500000003</v>
      </c>
      <c r="G435" s="127">
        <v>25569.041962604166</v>
      </c>
      <c r="H435" s="127">
        <v>25569.041962604166</v>
      </c>
      <c r="I435" s="132">
        <v>96</v>
      </c>
      <c r="J435" s="132">
        <v>756</v>
      </c>
      <c r="K435" s="144" t="s">
        <v>429</v>
      </c>
      <c r="L435" s="132">
        <v>13548</v>
      </c>
      <c r="M435" s="143">
        <f t="shared" si="70"/>
        <v>116.39587621561169</v>
      </c>
      <c r="N435" s="132">
        <v>7248</v>
      </c>
      <c r="O435" s="129">
        <f t="shared" si="71"/>
        <v>1.869205298013245</v>
      </c>
      <c r="P435" s="129">
        <f t="shared" si="72"/>
        <v>1.6059033694206911E-2</v>
      </c>
      <c r="Q435" s="4"/>
    </row>
    <row r="436" spans="1:28" ht="17.25" customHeight="1" x14ac:dyDescent="0.2">
      <c r="A436" s="122">
        <f t="shared" si="73"/>
        <v>434</v>
      </c>
      <c r="B436" s="123" t="s">
        <v>30</v>
      </c>
      <c r="C436" s="131" t="s">
        <v>84</v>
      </c>
      <c r="D436" s="125">
        <v>262.77</v>
      </c>
      <c r="E436" s="132">
        <v>2420</v>
      </c>
      <c r="F436" s="139">
        <f t="shared" si="69"/>
        <v>263.00322699999998</v>
      </c>
      <c r="G436" s="127">
        <v>25569.041962604166</v>
      </c>
      <c r="H436" s="127">
        <v>25569.041962604166</v>
      </c>
      <c r="I436" s="132">
        <v>93</v>
      </c>
      <c r="J436" s="132">
        <v>756</v>
      </c>
      <c r="K436" s="144" t="s">
        <v>429</v>
      </c>
      <c r="L436" s="132">
        <v>13260</v>
      </c>
      <c r="M436" s="143">
        <f t="shared" si="70"/>
        <v>115.15207336387826</v>
      </c>
      <c r="N436" s="132">
        <v>6825</v>
      </c>
      <c r="O436" s="129">
        <f t="shared" si="71"/>
        <v>1.9428571428571428</v>
      </c>
      <c r="P436" s="129">
        <f t="shared" si="72"/>
        <v>1.6872098661374103E-2</v>
      </c>
      <c r="Q436" s="4"/>
    </row>
    <row r="437" spans="1:28" ht="17.25" customHeight="1" x14ac:dyDescent="0.2">
      <c r="A437" s="122">
        <f t="shared" si="73"/>
        <v>435</v>
      </c>
      <c r="B437" s="123" t="s">
        <v>30</v>
      </c>
      <c r="C437" s="131" t="s">
        <v>84</v>
      </c>
      <c r="D437" s="125">
        <v>267.8</v>
      </c>
      <c r="E437" s="132">
        <v>2420</v>
      </c>
      <c r="F437" s="139">
        <f t="shared" si="69"/>
        <v>267.999526</v>
      </c>
      <c r="G437" s="127">
        <v>25569.041962604166</v>
      </c>
      <c r="H437" s="127">
        <v>25569.041962604166</v>
      </c>
      <c r="I437" s="132">
        <v>91</v>
      </c>
      <c r="J437" s="132">
        <v>882</v>
      </c>
      <c r="K437" s="144" t="s">
        <v>429</v>
      </c>
      <c r="L437" s="132">
        <v>11981</v>
      </c>
      <c r="M437" s="143">
        <f t="shared" si="70"/>
        <v>109.45775440780794</v>
      </c>
      <c r="N437" s="132">
        <v>5991</v>
      </c>
      <c r="O437" s="129">
        <f t="shared" si="71"/>
        <v>1.99983308295777</v>
      </c>
      <c r="P437" s="129">
        <f t="shared" si="72"/>
        <v>1.8270364614890327E-2</v>
      </c>
      <c r="Q437" s="4"/>
    </row>
    <row r="438" spans="1:28" ht="17.25" customHeight="1" x14ac:dyDescent="0.2">
      <c r="A438" s="122">
        <f t="shared" si="73"/>
        <v>436</v>
      </c>
      <c r="B438" s="123" t="s">
        <v>30</v>
      </c>
      <c r="C438" s="131" t="s">
        <v>84</v>
      </c>
      <c r="D438" s="125">
        <v>272.83</v>
      </c>
      <c r="E438" s="132">
        <v>2420</v>
      </c>
      <c r="F438" s="139">
        <f t="shared" si="69"/>
        <v>272.99582499999997</v>
      </c>
      <c r="G438" s="127">
        <v>25569.041962604166</v>
      </c>
      <c r="H438" s="127">
        <v>25569.041962604166</v>
      </c>
      <c r="I438" s="132">
        <v>87</v>
      </c>
      <c r="J438" s="132">
        <v>17495</v>
      </c>
      <c r="K438" s="144" t="s">
        <v>429</v>
      </c>
      <c r="L438" s="132">
        <v>306390</v>
      </c>
      <c r="M438" s="143">
        <f t="shared" si="70"/>
        <v>553.52506718304994</v>
      </c>
      <c r="N438" s="132">
        <v>147308</v>
      </c>
      <c r="O438" s="129">
        <f t="shared" si="71"/>
        <v>2.0799277703858583</v>
      </c>
      <c r="P438" s="129">
        <f t="shared" si="72"/>
        <v>3.7576035733500554E-3</v>
      </c>
      <c r="Q438" s="4" t="s">
        <v>1465</v>
      </c>
    </row>
    <row r="439" spans="1:28" ht="17.25" customHeight="1" x14ac:dyDescent="0.2">
      <c r="A439" s="122">
        <f t="shared" si="73"/>
        <v>437</v>
      </c>
      <c r="B439" s="123" t="s">
        <v>30</v>
      </c>
      <c r="C439" s="131" t="s">
        <v>84</v>
      </c>
      <c r="D439" s="125">
        <v>277.87</v>
      </c>
      <c r="E439" s="132">
        <v>2420</v>
      </c>
      <c r="F439" s="139">
        <f t="shared" si="69"/>
        <v>278.00205699999998</v>
      </c>
      <c r="G439" s="127">
        <v>25569.041962604166</v>
      </c>
      <c r="H439" s="127">
        <v>25569.041962604166</v>
      </c>
      <c r="I439" s="132">
        <v>84</v>
      </c>
      <c r="J439" s="132">
        <v>882</v>
      </c>
      <c r="K439" s="144" t="s">
        <v>429</v>
      </c>
      <c r="L439" s="132">
        <v>14755</v>
      </c>
      <c r="M439" s="143">
        <f t="shared" si="70"/>
        <v>121.47016094498269</v>
      </c>
      <c r="N439" s="132">
        <v>6893</v>
      </c>
      <c r="O439" s="129">
        <f t="shared" si="71"/>
        <v>2.1405773973596403</v>
      </c>
      <c r="P439" s="129">
        <f t="shared" si="72"/>
        <v>1.7622248795151993E-2</v>
      </c>
      <c r="Q439" s="4"/>
    </row>
    <row r="440" spans="1:28" ht="17.25" customHeight="1" x14ac:dyDescent="0.2">
      <c r="A440" s="122">
        <f t="shared" si="73"/>
        <v>438</v>
      </c>
      <c r="B440" s="123" t="s">
        <v>30</v>
      </c>
      <c r="C440" s="131" t="s">
        <v>84</v>
      </c>
      <c r="D440" s="125">
        <v>282.89999999999998</v>
      </c>
      <c r="E440" s="132">
        <v>2420</v>
      </c>
      <c r="F440" s="139">
        <f t="shared" si="69"/>
        <v>282.99835599999994</v>
      </c>
      <c r="G440" s="127">
        <v>25569.041962604166</v>
      </c>
      <c r="H440" s="127">
        <v>25569.041962604166</v>
      </c>
      <c r="I440" s="132">
        <v>81</v>
      </c>
      <c r="J440" s="132">
        <v>756</v>
      </c>
      <c r="K440" s="144" t="s">
        <v>429</v>
      </c>
      <c r="L440" s="132">
        <v>12580</v>
      </c>
      <c r="M440" s="143">
        <f t="shared" si="70"/>
        <v>112.16059914247963</v>
      </c>
      <c r="N440" s="132">
        <v>5787</v>
      </c>
      <c r="O440" s="129">
        <f t="shared" si="71"/>
        <v>2.1738379125626404</v>
      </c>
      <c r="P440" s="129">
        <f t="shared" si="72"/>
        <v>1.9381475573264147E-2</v>
      </c>
      <c r="Q440" s="4"/>
    </row>
    <row r="441" spans="1:28" ht="17.25" customHeight="1" x14ac:dyDescent="0.2">
      <c r="A441" s="122">
        <f t="shared" si="73"/>
        <v>439</v>
      </c>
      <c r="B441" s="123" t="s">
        <v>30</v>
      </c>
      <c r="C441" s="131" t="s">
        <v>84</v>
      </c>
      <c r="D441" s="125">
        <v>287.94</v>
      </c>
      <c r="E441" s="132">
        <v>2420</v>
      </c>
      <c r="F441" s="139">
        <f t="shared" si="69"/>
        <v>288.00458799999996</v>
      </c>
      <c r="G441" s="127">
        <v>25569.041962604166</v>
      </c>
      <c r="H441" s="127">
        <v>25569.041962604166</v>
      </c>
      <c r="I441" s="132">
        <v>79</v>
      </c>
      <c r="J441" s="132">
        <v>882</v>
      </c>
      <c r="K441" s="144" t="s">
        <v>429</v>
      </c>
      <c r="L441" s="132">
        <v>13797</v>
      </c>
      <c r="M441" s="143">
        <f t="shared" si="70"/>
        <v>117.46063170271135</v>
      </c>
      <c r="N441" s="132">
        <v>6314</v>
      </c>
      <c r="O441" s="129">
        <f t="shared" si="71"/>
        <v>2.1851441241685143</v>
      </c>
      <c r="P441" s="129">
        <f t="shared" si="72"/>
        <v>1.8603204260803193E-2</v>
      </c>
      <c r="Q441" s="4"/>
    </row>
    <row r="442" spans="1:28" ht="17.25" customHeight="1" x14ac:dyDescent="0.2">
      <c r="A442" s="122">
        <f t="shared" si="73"/>
        <v>440</v>
      </c>
      <c r="B442" s="123" t="s">
        <v>30</v>
      </c>
      <c r="C442" s="131" t="s">
        <v>84</v>
      </c>
      <c r="D442" s="125">
        <v>292.97000000000003</v>
      </c>
      <c r="E442" s="132">
        <v>2420</v>
      </c>
      <c r="F442" s="139">
        <f t="shared" si="69"/>
        <v>293.00088700000003</v>
      </c>
      <c r="G442" s="127">
        <v>25569.041962604166</v>
      </c>
      <c r="H442" s="127">
        <v>25569.041962604166</v>
      </c>
      <c r="I442" s="132">
        <v>76</v>
      </c>
      <c r="J442" s="132">
        <v>756</v>
      </c>
      <c r="K442" s="144" t="s">
        <v>429</v>
      </c>
      <c r="L442" s="132">
        <v>13372</v>
      </c>
      <c r="M442" s="143">
        <f t="shared" si="70"/>
        <v>115.63736420379011</v>
      </c>
      <c r="N442" s="132">
        <v>5809</v>
      </c>
      <c r="O442" s="129">
        <f t="shared" si="71"/>
        <v>2.3019452573592702</v>
      </c>
      <c r="P442" s="129">
        <f t="shared" si="72"/>
        <v>1.9906587055222951E-2</v>
      </c>
      <c r="Q442" s="4"/>
    </row>
    <row r="443" spans="1:28" ht="17.25" customHeight="1" x14ac:dyDescent="0.2">
      <c r="A443" s="122">
        <f t="shared" si="73"/>
        <v>441</v>
      </c>
      <c r="B443" s="123" t="s">
        <v>30</v>
      </c>
      <c r="C443" s="131" t="s">
        <v>84</v>
      </c>
      <c r="D443" s="122">
        <v>298</v>
      </c>
      <c r="E443" s="132">
        <v>2420</v>
      </c>
      <c r="F443" s="139">
        <f t="shared" si="69"/>
        <v>297.997186</v>
      </c>
      <c r="G443" s="127">
        <v>25569.041962604166</v>
      </c>
      <c r="H443" s="127">
        <v>25569.041962604166</v>
      </c>
      <c r="I443" s="132">
        <v>73</v>
      </c>
      <c r="J443" s="132">
        <v>756</v>
      </c>
      <c r="K443" s="144" t="s">
        <v>429</v>
      </c>
      <c r="L443" s="132">
        <v>14852</v>
      </c>
      <c r="M443" s="143">
        <f t="shared" si="70"/>
        <v>121.86878189265698</v>
      </c>
      <c r="N443" s="132">
        <v>5598</v>
      </c>
      <c r="O443" s="129">
        <f t="shared" si="71"/>
        <v>2.6530903894247944</v>
      </c>
      <c r="P443" s="129">
        <f t="shared" si="72"/>
        <v>2.1770057501367807E-2</v>
      </c>
      <c r="Q443" s="4"/>
    </row>
    <row r="444" spans="1:28" ht="17.25" customHeight="1" x14ac:dyDescent="0.2">
      <c r="A444" s="122">
        <f t="shared" si="73"/>
        <v>442</v>
      </c>
      <c r="B444" s="123" t="s">
        <v>30</v>
      </c>
      <c r="C444" s="131" t="s">
        <v>84</v>
      </c>
      <c r="D444" s="125">
        <v>303.04000000000002</v>
      </c>
      <c r="E444" s="132">
        <v>2420</v>
      </c>
      <c r="F444" s="139">
        <f t="shared" ref="F444:F475" si="74">0.9933*(D444+E444/1000)-0.41</f>
        <v>303.00341800000001</v>
      </c>
      <c r="G444" s="127">
        <v>25569.041962604166</v>
      </c>
      <c r="H444" s="127">
        <v>25569.041962604166</v>
      </c>
      <c r="I444" s="132">
        <v>70</v>
      </c>
      <c r="J444" s="132">
        <v>1133</v>
      </c>
      <c r="K444" s="144" t="s">
        <v>429</v>
      </c>
      <c r="L444" s="132">
        <v>25821</v>
      </c>
      <c r="M444" s="143">
        <f t="shared" ref="M444:M475" si="75">SQRT(L444)</f>
        <v>160.68914089010497</v>
      </c>
      <c r="N444" s="132">
        <v>7974</v>
      </c>
      <c r="O444" s="129">
        <f t="shared" ref="O444:O475" si="76">L444/N444</f>
        <v>3.2381489841986455</v>
      </c>
      <c r="P444" s="129">
        <f t="shared" ref="P444:P475" si="77">M444/N444</f>
        <v>2.0151635426398917E-2</v>
      </c>
      <c r="Q444" s="4"/>
    </row>
    <row r="445" spans="1:28" ht="17.25" customHeight="1" x14ac:dyDescent="0.2">
      <c r="A445" s="122">
        <f t="shared" si="73"/>
        <v>443</v>
      </c>
      <c r="B445" s="123" t="s">
        <v>30</v>
      </c>
      <c r="C445" s="131" t="s">
        <v>84</v>
      </c>
      <c r="D445" s="125">
        <v>308.07</v>
      </c>
      <c r="E445" s="132">
        <v>2420</v>
      </c>
      <c r="F445" s="139">
        <f t="shared" si="74"/>
        <v>307.99971699999998</v>
      </c>
      <c r="G445" s="127">
        <v>25569.041962604166</v>
      </c>
      <c r="H445" s="127">
        <v>25569.041962604166</v>
      </c>
      <c r="I445" s="132">
        <v>68</v>
      </c>
      <c r="J445" s="132">
        <v>882</v>
      </c>
      <c r="K445" s="144" t="s">
        <v>429</v>
      </c>
      <c r="L445" s="132">
        <v>24580</v>
      </c>
      <c r="M445" s="143">
        <f t="shared" si="75"/>
        <v>156.78010077812809</v>
      </c>
      <c r="N445" s="132">
        <v>5762</v>
      </c>
      <c r="O445" s="129">
        <f t="shared" si="76"/>
        <v>4.2658799028115242</v>
      </c>
      <c r="P445" s="129">
        <f t="shared" si="77"/>
        <v>2.7209319815711227E-2</v>
      </c>
      <c r="Q445" s="4"/>
    </row>
    <row r="446" spans="1:28" ht="17.25" customHeight="1" x14ac:dyDescent="0.2">
      <c r="A446" s="122">
        <f t="shared" si="73"/>
        <v>444</v>
      </c>
      <c r="B446" s="123" t="s">
        <v>30</v>
      </c>
      <c r="C446" s="131" t="s">
        <v>84</v>
      </c>
      <c r="D446" s="125">
        <v>313.10000000000002</v>
      </c>
      <c r="E446" s="132">
        <v>2420</v>
      </c>
      <c r="F446" s="139">
        <f t="shared" si="74"/>
        <v>312.996016</v>
      </c>
      <c r="G446" s="127">
        <v>25569.041962604166</v>
      </c>
      <c r="H446" s="127">
        <v>25569.041962604166</v>
      </c>
      <c r="I446" s="132">
        <v>65</v>
      </c>
      <c r="J446" s="132">
        <v>881</v>
      </c>
      <c r="K446" s="144" t="s">
        <v>429</v>
      </c>
      <c r="L446" s="132">
        <v>34846</v>
      </c>
      <c r="M446" s="143">
        <f t="shared" si="75"/>
        <v>186.6708332868314</v>
      </c>
      <c r="N446" s="132">
        <v>5703</v>
      </c>
      <c r="O446" s="129">
        <f t="shared" si="76"/>
        <v>6.110117482027003</v>
      </c>
      <c r="P446" s="129">
        <f t="shared" si="77"/>
        <v>3.2732041607370053E-2</v>
      </c>
      <c r="Q446" s="4"/>
    </row>
    <row r="447" spans="1:28" ht="17.25" customHeight="1" x14ac:dyDescent="0.2">
      <c r="A447" s="183">
        <f t="shared" si="73"/>
        <v>445</v>
      </c>
      <c r="B447" s="184" t="s">
        <v>30</v>
      </c>
      <c r="C447" s="185" t="s">
        <v>84</v>
      </c>
      <c r="D447" s="186">
        <v>318.14</v>
      </c>
      <c r="E447" s="187">
        <v>2420</v>
      </c>
      <c r="F447" s="188">
        <f t="shared" si="74"/>
        <v>318.00224799999995</v>
      </c>
      <c r="G447" s="189">
        <v>25569.041962604166</v>
      </c>
      <c r="H447" s="189">
        <v>25569.041962604166</v>
      </c>
      <c r="I447" s="187">
        <v>62</v>
      </c>
      <c r="J447" s="187">
        <v>756</v>
      </c>
      <c r="K447" s="190" t="s">
        <v>429</v>
      </c>
      <c r="L447" s="187">
        <v>40416</v>
      </c>
      <c r="M447" s="191">
        <f t="shared" si="75"/>
        <v>201.037309970065</v>
      </c>
      <c r="N447" s="187">
        <v>4417</v>
      </c>
      <c r="O447" s="192">
        <f t="shared" si="76"/>
        <v>9.1501018791034632</v>
      </c>
      <c r="P447" s="192">
        <f t="shared" si="77"/>
        <v>4.5514446450093955E-2</v>
      </c>
      <c r="Q447" s="204"/>
      <c r="R447" s="34"/>
      <c r="S447" s="34"/>
      <c r="T447" s="34"/>
      <c r="U447" s="34"/>
      <c r="V447" s="34"/>
      <c r="W447" s="34"/>
      <c r="X447" s="34"/>
      <c r="Y447" s="34"/>
      <c r="Z447" s="34"/>
      <c r="AA447" s="34"/>
      <c r="AB447" s="34"/>
    </row>
    <row r="448" spans="1:28" ht="17.25" customHeight="1" x14ac:dyDescent="0.2">
      <c r="A448" s="183">
        <f t="shared" si="73"/>
        <v>446</v>
      </c>
      <c r="B448" s="184" t="s">
        <v>157</v>
      </c>
      <c r="C448" s="185" t="s">
        <v>84</v>
      </c>
      <c r="D448" s="186">
        <v>229.33</v>
      </c>
      <c r="E448" s="187">
        <v>2999</v>
      </c>
      <c r="F448" s="188">
        <f t="shared" si="74"/>
        <v>230.36239570000001</v>
      </c>
      <c r="G448" s="189">
        <v>25569.041962604166</v>
      </c>
      <c r="H448" s="189">
        <v>25569.041962604166</v>
      </c>
      <c r="I448" s="187">
        <v>150</v>
      </c>
      <c r="J448" s="187">
        <v>75390</v>
      </c>
      <c r="K448" s="190" t="s">
        <v>429</v>
      </c>
      <c r="L448" s="187">
        <v>1587495</v>
      </c>
      <c r="M448" s="191">
        <f t="shared" si="75"/>
        <v>1259.9583326443776</v>
      </c>
      <c r="N448" s="187">
        <v>1160130</v>
      </c>
      <c r="O448" s="192">
        <f t="shared" si="76"/>
        <v>1.3683768198391559</v>
      </c>
      <c r="P448" s="192">
        <f t="shared" si="77"/>
        <v>1.0860492640000496E-3</v>
      </c>
      <c r="Q448" s="204"/>
      <c r="R448" s="34"/>
      <c r="S448" s="34"/>
      <c r="T448" s="34"/>
      <c r="U448" s="34"/>
      <c r="V448" s="34"/>
      <c r="W448" s="34"/>
      <c r="X448" s="34"/>
      <c r="Y448" s="34"/>
      <c r="Z448" s="34"/>
      <c r="AA448" s="34"/>
      <c r="AB448" s="34"/>
    </row>
    <row r="449" spans="1:28" ht="17.25" customHeight="1" x14ac:dyDescent="0.2">
      <c r="A449" s="122">
        <f t="shared" si="73"/>
        <v>447</v>
      </c>
      <c r="B449" s="123" t="s">
        <v>310</v>
      </c>
      <c r="C449" s="124"/>
      <c r="D449" s="125"/>
      <c r="E449" s="126"/>
      <c r="F449" s="139">
        <f t="shared" si="74"/>
        <v>-0.41</v>
      </c>
      <c r="G449" s="127"/>
      <c r="H449" s="208" t="s">
        <v>1466</v>
      </c>
      <c r="I449" s="126"/>
      <c r="J449" s="126"/>
      <c r="K449" s="144" t="s">
        <v>429</v>
      </c>
      <c r="L449" s="126"/>
      <c r="M449" s="143">
        <f t="shared" si="75"/>
        <v>0</v>
      </c>
      <c r="N449" s="126"/>
      <c r="O449" s="148" t="e">
        <f t="shared" si="76"/>
        <v>#DIV/0!</v>
      </c>
      <c r="P449" s="129" t="e">
        <f t="shared" si="77"/>
        <v>#DIV/0!</v>
      </c>
      <c r="Q449" s="4"/>
    </row>
    <row r="450" spans="1:28" ht="17.25" customHeight="1" x14ac:dyDescent="0.2">
      <c r="A450" s="122">
        <f t="shared" si="73"/>
        <v>448</v>
      </c>
      <c r="B450" s="123" t="s">
        <v>310</v>
      </c>
      <c r="C450" s="124"/>
      <c r="D450" s="125"/>
      <c r="E450" s="126"/>
      <c r="F450" s="139">
        <f t="shared" si="74"/>
        <v>-0.41</v>
      </c>
      <c r="G450" s="127"/>
      <c r="H450" s="208" t="s">
        <v>1466</v>
      </c>
      <c r="I450" s="126"/>
      <c r="J450" s="126"/>
      <c r="K450" s="144" t="s">
        <v>429</v>
      </c>
      <c r="L450" s="126"/>
      <c r="M450" s="143">
        <f t="shared" si="75"/>
        <v>0</v>
      </c>
      <c r="N450" s="126"/>
      <c r="O450" s="148" t="e">
        <f t="shared" si="76"/>
        <v>#DIV/0!</v>
      </c>
      <c r="P450" s="129" t="e">
        <f t="shared" si="77"/>
        <v>#DIV/0!</v>
      </c>
      <c r="Q450" s="4"/>
    </row>
    <row r="451" spans="1:28" ht="17.25" customHeight="1" x14ac:dyDescent="0.2">
      <c r="A451" s="122">
        <f t="shared" si="73"/>
        <v>449</v>
      </c>
      <c r="B451" s="123" t="s">
        <v>310</v>
      </c>
      <c r="C451" s="124"/>
      <c r="D451" s="125"/>
      <c r="E451" s="126"/>
      <c r="F451" s="139">
        <f t="shared" si="74"/>
        <v>-0.41</v>
      </c>
      <c r="G451" s="127"/>
      <c r="H451" s="208" t="s">
        <v>1466</v>
      </c>
      <c r="I451" s="126"/>
      <c r="J451" s="126"/>
      <c r="K451" s="144" t="s">
        <v>429</v>
      </c>
      <c r="L451" s="126"/>
      <c r="M451" s="143">
        <f t="shared" si="75"/>
        <v>0</v>
      </c>
      <c r="N451" s="126"/>
      <c r="O451" s="148" t="e">
        <f t="shared" si="76"/>
        <v>#DIV/0!</v>
      </c>
      <c r="P451" s="129" t="e">
        <f t="shared" si="77"/>
        <v>#DIV/0!</v>
      </c>
      <c r="Q451" s="4"/>
    </row>
    <row r="452" spans="1:28" ht="17.25" customHeight="1" x14ac:dyDescent="0.2">
      <c r="A452" s="122">
        <f t="shared" si="73"/>
        <v>450</v>
      </c>
      <c r="B452" s="123" t="s">
        <v>310</v>
      </c>
      <c r="C452" s="124"/>
      <c r="D452" s="125"/>
      <c r="E452" s="126"/>
      <c r="F452" s="139">
        <f t="shared" si="74"/>
        <v>-0.41</v>
      </c>
      <c r="G452" s="127"/>
      <c r="H452" s="208" t="s">
        <v>1466</v>
      </c>
      <c r="I452" s="126"/>
      <c r="J452" s="126"/>
      <c r="K452" s="144" t="s">
        <v>429</v>
      </c>
      <c r="L452" s="126"/>
      <c r="M452" s="143">
        <f t="shared" si="75"/>
        <v>0</v>
      </c>
      <c r="N452" s="126"/>
      <c r="O452" s="148" t="e">
        <f t="shared" si="76"/>
        <v>#DIV/0!</v>
      </c>
      <c r="P452" s="129" t="e">
        <f t="shared" si="77"/>
        <v>#DIV/0!</v>
      </c>
      <c r="Q452" s="4"/>
    </row>
    <row r="453" spans="1:28" ht="17.25" customHeight="1" x14ac:dyDescent="0.2">
      <c r="A453" s="122">
        <f t="shared" si="73"/>
        <v>451</v>
      </c>
      <c r="B453" s="123" t="s">
        <v>310</v>
      </c>
      <c r="C453" s="124"/>
      <c r="D453" s="125"/>
      <c r="E453" s="126"/>
      <c r="F453" s="139">
        <f t="shared" si="74"/>
        <v>-0.41</v>
      </c>
      <c r="G453" s="127"/>
      <c r="H453" s="208" t="s">
        <v>1466</v>
      </c>
      <c r="I453" s="126"/>
      <c r="J453" s="126"/>
      <c r="K453" s="144" t="s">
        <v>429</v>
      </c>
      <c r="L453" s="126"/>
      <c r="M453" s="143">
        <f t="shared" si="75"/>
        <v>0</v>
      </c>
      <c r="N453" s="126"/>
      <c r="O453" s="148" t="e">
        <f t="shared" si="76"/>
        <v>#DIV/0!</v>
      </c>
      <c r="P453" s="129" t="e">
        <f t="shared" si="77"/>
        <v>#DIV/0!</v>
      </c>
      <c r="Q453" s="4"/>
    </row>
    <row r="454" spans="1:28" ht="17.25" customHeight="1" x14ac:dyDescent="0.2">
      <c r="A454" s="122">
        <f t="shared" si="73"/>
        <v>452</v>
      </c>
      <c r="B454" s="123" t="s">
        <v>310</v>
      </c>
      <c r="C454" s="124"/>
      <c r="D454" s="125"/>
      <c r="E454" s="126"/>
      <c r="F454" s="139">
        <f t="shared" si="74"/>
        <v>-0.41</v>
      </c>
      <c r="G454" s="127"/>
      <c r="H454" s="208" t="s">
        <v>1466</v>
      </c>
      <c r="I454" s="126"/>
      <c r="J454" s="126"/>
      <c r="K454" s="144" t="s">
        <v>429</v>
      </c>
      <c r="L454" s="126"/>
      <c r="M454" s="143">
        <f t="shared" si="75"/>
        <v>0</v>
      </c>
      <c r="N454" s="126"/>
      <c r="O454" s="148" t="e">
        <f t="shared" si="76"/>
        <v>#DIV/0!</v>
      </c>
      <c r="P454" s="129" t="e">
        <f t="shared" si="77"/>
        <v>#DIV/0!</v>
      </c>
      <c r="Q454" s="4"/>
    </row>
    <row r="455" spans="1:28" ht="17.25" customHeight="1" x14ac:dyDescent="0.2">
      <c r="A455" s="122">
        <f t="shared" si="73"/>
        <v>453</v>
      </c>
      <c r="B455" s="123" t="s">
        <v>310</v>
      </c>
      <c r="C455" s="124"/>
      <c r="D455" s="125"/>
      <c r="E455" s="126"/>
      <c r="F455" s="139">
        <f t="shared" si="74"/>
        <v>-0.41</v>
      </c>
      <c r="G455" s="127"/>
      <c r="H455" s="208" t="s">
        <v>1466</v>
      </c>
      <c r="I455" s="126"/>
      <c r="J455" s="126"/>
      <c r="K455" s="144" t="s">
        <v>429</v>
      </c>
      <c r="L455" s="126"/>
      <c r="M455" s="143">
        <f t="shared" si="75"/>
        <v>0</v>
      </c>
      <c r="N455" s="126"/>
      <c r="O455" s="148" t="e">
        <f t="shared" si="76"/>
        <v>#DIV/0!</v>
      </c>
      <c r="P455" s="129" t="e">
        <f t="shared" si="77"/>
        <v>#DIV/0!</v>
      </c>
      <c r="Q455" s="4"/>
    </row>
    <row r="456" spans="1:28" ht="17.25" customHeight="1" x14ac:dyDescent="0.2">
      <c r="A456" s="122">
        <f t="shared" si="73"/>
        <v>454</v>
      </c>
      <c r="B456" s="123" t="s">
        <v>310</v>
      </c>
      <c r="C456" s="124"/>
      <c r="D456" s="125"/>
      <c r="E456" s="126"/>
      <c r="F456" s="139">
        <f t="shared" si="74"/>
        <v>-0.41</v>
      </c>
      <c r="G456" s="127"/>
      <c r="H456" s="208" t="s">
        <v>1466</v>
      </c>
      <c r="I456" s="126"/>
      <c r="J456" s="126"/>
      <c r="K456" s="144" t="s">
        <v>429</v>
      </c>
      <c r="L456" s="126"/>
      <c r="M456" s="143">
        <f t="shared" si="75"/>
        <v>0</v>
      </c>
      <c r="N456" s="126"/>
      <c r="O456" s="148" t="e">
        <f t="shared" si="76"/>
        <v>#DIV/0!</v>
      </c>
      <c r="P456" s="129" t="e">
        <f t="shared" si="77"/>
        <v>#DIV/0!</v>
      </c>
      <c r="Q456" s="4"/>
    </row>
    <row r="457" spans="1:28" ht="17.25" customHeight="1" x14ac:dyDescent="0.2">
      <c r="A457" s="122">
        <f t="shared" si="73"/>
        <v>455</v>
      </c>
      <c r="B457" s="123" t="s">
        <v>310</v>
      </c>
      <c r="C457" s="124"/>
      <c r="D457" s="125"/>
      <c r="E457" s="126"/>
      <c r="F457" s="139">
        <f t="shared" si="74"/>
        <v>-0.41</v>
      </c>
      <c r="G457" s="127"/>
      <c r="H457" s="208" t="s">
        <v>1466</v>
      </c>
      <c r="I457" s="126"/>
      <c r="J457" s="126"/>
      <c r="K457" s="144" t="s">
        <v>429</v>
      </c>
      <c r="L457" s="126"/>
      <c r="M457" s="143">
        <f t="shared" si="75"/>
        <v>0</v>
      </c>
      <c r="N457" s="126"/>
      <c r="O457" s="148" t="e">
        <f t="shared" si="76"/>
        <v>#DIV/0!</v>
      </c>
      <c r="P457" s="129" t="e">
        <f t="shared" si="77"/>
        <v>#DIV/0!</v>
      </c>
      <c r="Q457" s="4"/>
    </row>
    <row r="458" spans="1:28" ht="17.25" customHeight="1" x14ac:dyDescent="0.2">
      <c r="A458" s="122">
        <f t="shared" si="73"/>
        <v>456</v>
      </c>
      <c r="B458" s="123" t="s">
        <v>310</v>
      </c>
      <c r="C458" s="124"/>
      <c r="D458" s="125"/>
      <c r="E458" s="126"/>
      <c r="F458" s="139">
        <f t="shared" si="74"/>
        <v>-0.41</v>
      </c>
      <c r="G458" s="127"/>
      <c r="H458" s="208" t="s">
        <v>1466</v>
      </c>
      <c r="I458" s="126"/>
      <c r="J458" s="126"/>
      <c r="K458" s="144" t="s">
        <v>429</v>
      </c>
      <c r="L458" s="126"/>
      <c r="M458" s="143">
        <f t="shared" si="75"/>
        <v>0</v>
      </c>
      <c r="N458" s="126"/>
      <c r="O458" s="148" t="e">
        <f t="shared" si="76"/>
        <v>#DIV/0!</v>
      </c>
      <c r="P458" s="129" t="e">
        <f t="shared" si="77"/>
        <v>#DIV/0!</v>
      </c>
      <c r="Q458" s="4"/>
    </row>
    <row r="459" spans="1:28" ht="17.25" customHeight="1" x14ac:dyDescent="0.2">
      <c r="A459" s="193">
        <f t="shared" si="73"/>
        <v>457</v>
      </c>
      <c r="B459" s="194" t="s">
        <v>123</v>
      </c>
      <c r="C459" s="195" t="s">
        <v>84</v>
      </c>
      <c r="D459" s="196"/>
      <c r="E459" s="200"/>
      <c r="F459" s="198">
        <f t="shared" si="74"/>
        <v>-0.41</v>
      </c>
      <c r="G459" s="199">
        <v>25569.041962604166</v>
      </c>
      <c r="H459" s="199">
        <v>25569.041962604166</v>
      </c>
      <c r="I459" s="200"/>
      <c r="J459" s="200"/>
      <c r="K459" s="209" t="s">
        <v>429</v>
      </c>
      <c r="L459" s="200"/>
      <c r="M459" s="202">
        <f t="shared" si="75"/>
        <v>0</v>
      </c>
      <c r="N459" s="200"/>
      <c r="O459" s="210" t="e">
        <f t="shared" si="76"/>
        <v>#DIV/0!</v>
      </c>
      <c r="P459" s="211" t="e">
        <f t="shared" si="77"/>
        <v>#DIV/0!</v>
      </c>
      <c r="Q459" s="212" t="s">
        <v>1467</v>
      </c>
      <c r="R459" s="213"/>
      <c r="S459" s="213"/>
      <c r="T459" s="213"/>
      <c r="U459" s="213"/>
      <c r="V459" s="213"/>
      <c r="W459" s="213"/>
      <c r="X459" s="213"/>
      <c r="Y459" s="213"/>
      <c r="Z459" s="213"/>
      <c r="AA459" s="213"/>
      <c r="AB459" s="213"/>
    </row>
    <row r="460" spans="1:28" ht="17.25" customHeight="1" x14ac:dyDescent="0.2">
      <c r="A460" s="183">
        <f t="shared" si="73"/>
        <v>458</v>
      </c>
      <c r="B460" s="184" t="s">
        <v>310</v>
      </c>
      <c r="C460" s="185" t="s">
        <v>84</v>
      </c>
      <c r="D460" s="186">
        <v>148.9</v>
      </c>
      <c r="E460" s="187">
        <v>2520</v>
      </c>
      <c r="F460" s="188">
        <f t="shared" si="74"/>
        <v>149.995486</v>
      </c>
      <c r="G460" s="189">
        <v>25569.041962604166</v>
      </c>
      <c r="H460" s="189">
        <v>25569.041962604166</v>
      </c>
      <c r="I460" s="187">
        <v>165</v>
      </c>
      <c r="J460" s="206"/>
      <c r="K460" s="190" t="s">
        <v>429</v>
      </c>
      <c r="L460" s="206"/>
      <c r="M460" s="202">
        <f t="shared" si="75"/>
        <v>0</v>
      </c>
      <c r="N460" s="206"/>
      <c r="O460" s="210" t="e">
        <f t="shared" si="76"/>
        <v>#DIV/0!</v>
      </c>
      <c r="P460" s="211" t="e">
        <f t="shared" si="77"/>
        <v>#DIV/0!</v>
      </c>
      <c r="Q460" s="34" t="s">
        <v>1468</v>
      </c>
      <c r="R460" s="34"/>
      <c r="S460" s="34"/>
      <c r="T460" s="34"/>
      <c r="U460" s="34"/>
      <c r="V460" s="34"/>
      <c r="W460" s="34"/>
      <c r="X460" s="34"/>
      <c r="Y460" s="34"/>
      <c r="Z460" s="34"/>
      <c r="AA460" s="34"/>
      <c r="AB460" s="34"/>
    </row>
    <row r="461" spans="1:28" ht="17.25" customHeight="1" x14ac:dyDescent="0.2">
      <c r="A461" s="183">
        <f t="shared" si="73"/>
        <v>459</v>
      </c>
      <c r="B461" s="184" t="s">
        <v>310</v>
      </c>
      <c r="C461" s="185" t="s">
        <v>84</v>
      </c>
      <c r="D461" s="186">
        <v>148.9</v>
      </c>
      <c r="E461" s="187">
        <v>2520</v>
      </c>
      <c r="F461" s="188">
        <f t="shared" si="74"/>
        <v>149.995486</v>
      </c>
      <c r="G461" s="189">
        <v>25569.041962604166</v>
      </c>
      <c r="H461" s="189">
        <v>25569.041962604166</v>
      </c>
      <c r="I461" s="187">
        <v>165</v>
      </c>
      <c r="J461" s="206"/>
      <c r="K461" s="190" t="s">
        <v>429</v>
      </c>
      <c r="L461" s="206"/>
      <c r="M461" s="202">
        <f t="shared" si="75"/>
        <v>0</v>
      </c>
      <c r="N461" s="206"/>
      <c r="O461" s="210" t="e">
        <f t="shared" si="76"/>
        <v>#DIV/0!</v>
      </c>
      <c r="P461" s="211" t="e">
        <f t="shared" si="77"/>
        <v>#DIV/0!</v>
      </c>
      <c r="Q461" s="204" t="s">
        <v>1469</v>
      </c>
      <c r="R461" s="34"/>
      <c r="S461" s="34"/>
      <c r="T461" s="34"/>
      <c r="U461" s="34"/>
      <c r="V461" s="34"/>
      <c r="W461" s="34"/>
      <c r="X461" s="34"/>
      <c r="Y461" s="34"/>
      <c r="Z461" s="34"/>
      <c r="AA461" s="34"/>
      <c r="AB461" s="34"/>
    </row>
    <row r="462" spans="1:28" ht="17.25" customHeight="1" x14ac:dyDescent="0.2">
      <c r="A462" s="183">
        <f t="shared" si="73"/>
        <v>460</v>
      </c>
      <c r="B462" s="184" t="s">
        <v>157</v>
      </c>
      <c r="C462" s="185" t="s">
        <v>84</v>
      </c>
      <c r="D462" s="186">
        <v>148.9</v>
      </c>
      <c r="E462" s="187">
        <v>2520</v>
      </c>
      <c r="F462" s="188">
        <f t="shared" si="74"/>
        <v>149.995486</v>
      </c>
      <c r="G462" s="189">
        <v>25569.041962604166</v>
      </c>
      <c r="H462" s="189">
        <v>25569.041962604166</v>
      </c>
      <c r="I462" s="187">
        <v>165</v>
      </c>
      <c r="J462" s="187">
        <v>526077</v>
      </c>
      <c r="K462" s="190" t="s">
        <v>429</v>
      </c>
      <c r="L462" s="187">
        <v>896</v>
      </c>
      <c r="M462" s="202">
        <f t="shared" si="75"/>
        <v>29.933259094191531</v>
      </c>
      <c r="N462" s="187">
        <v>5480640</v>
      </c>
      <c r="O462" s="203">
        <f t="shared" si="76"/>
        <v>1.6348455654814037E-4</v>
      </c>
      <c r="P462" s="203">
        <f t="shared" si="77"/>
        <v>5.461635702069746E-6</v>
      </c>
      <c r="Q462" s="204"/>
      <c r="R462" s="34"/>
      <c r="S462" s="34"/>
      <c r="T462" s="34"/>
      <c r="U462" s="34"/>
      <c r="V462" s="34"/>
      <c r="W462" s="34"/>
      <c r="X462" s="34"/>
      <c r="Y462" s="34"/>
      <c r="Z462" s="34"/>
      <c r="AA462" s="34"/>
      <c r="AB462" s="34"/>
    </row>
    <row r="463" spans="1:28" ht="17.25" customHeight="1" x14ac:dyDescent="0.2">
      <c r="A463" s="122">
        <f t="shared" si="73"/>
        <v>461</v>
      </c>
      <c r="B463" s="123" t="s">
        <v>31</v>
      </c>
      <c r="C463" s="131" t="s">
        <v>84</v>
      </c>
      <c r="D463" s="125">
        <v>222.4</v>
      </c>
      <c r="E463" s="132">
        <v>2520</v>
      </c>
      <c r="F463" s="139">
        <f t="shared" si="74"/>
        <v>223.00303600000001</v>
      </c>
      <c r="G463" s="127">
        <v>25569.041962604166</v>
      </c>
      <c r="H463" s="127">
        <v>25569.041962604166</v>
      </c>
      <c r="I463" s="132">
        <v>101</v>
      </c>
      <c r="J463" s="132">
        <v>2498</v>
      </c>
      <c r="K463" s="144" t="s">
        <v>429</v>
      </c>
      <c r="L463" s="132">
        <v>2877</v>
      </c>
      <c r="M463" s="143">
        <f t="shared" si="75"/>
        <v>53.637673327615545</v>
      </c>
      <c r="N463" s="132">
        <v>25273</v>
      </c>
      <c r="O463" s="129">
        <f t="shared" si="76"/>
        <v>0.11383690104063625</v>
      </c>
      <c r="P463" s="129">
        <f t="shared" si="77"/>
        <v>2.1223310777357474E-3</v>
      </c>
      <c r="Q463" s="4"/>
    </row>
    <row r="464" spans="1:28" ht="17.25" customHeight="1" x14ac:dyDescent="0.2">
      <c r="A464" s="122">
        <f t="shared" si="73"/>
        <v>462</v>
      </c>
      <c r="B464" s="123" t="s">
        <v>31</v>
      </c>
      <c r="C464" s="131" t="s">
        <v>84</v>
      </c>
      <c r="D464" s="125">
        <v>223.4</v>
      </c>
      <c r="E464" s="132">
        <v>2520</v>
      </c>
      <c r="F464" s="139">
        <f t="shared" si="74"/>
        <v>223.99633600000001</v>
      </c>
      <c r="G464" s="127">
        <v>25569.041962604166</v>
      </c>
      <c r="H464" s="127">
        <v>25569.041962604166</v>
      </c>
      <c r="I464" s="132">
        <v>101</v>
      </c>
      <c r="J464" s="132">
        <v>1859</v>
      </c>
      <c r="K464" s="144" t="s">
        <v>429</v>
      </c>
      <c r="L464" s="132">
        <v>4056</v>
      </c>
      <c r="M464" s="143">
        <f t="shared" si="75"/>
        <v>63.686733312362634</v>
      </c>
      <c r="N464" s="132">
        <v>18396</v>
      </c>
      <c r="O464" s="129">
        <f t="shared" si="76"/>
        <v>0.22048271363339855</v>
      </c>
      <c r="P464" s="129">
        <f t="shared" si="77"/>
        <v>3.4619881122180166E-3</v>
      </c>
      <c r="Q464" s="4"/>
    </row>
    <row r="465" spans="1:17" ht="17.25" customHeight="1" x14ac:dyDescent="0.2">
      <c r="A465" s="122">
        <f t="shared" si="73"/>
        <v>463</v>
      </c>
      <c r="B465" s="123" t="s">
        <v>31</v>
      </c>
      <c r="C465" s="131" t="s">
        <v>84</v>
      </c>
      <c r="D465" s="125">
        <v>224.41</v>
      </c>
      <c r="E465" s="132">
        <v>2520</v>
      </c>
      <c r="F465" s="139">
        <f t="shared" si="74"/>
        <v>224.99956900000001</v>
      </c>
      <c r="G465" s="127">
        <v>25569.041962604166</v>
      </c>
      <c r="H465" s="127">
        <v>25569.041962604166</v>
      </c>
      <c r="I465" s="132">
        <v>99</v>
      </c>
      <c r="J465" s="132">
        <v>1873</v>
      </c>
      <c r="K465" s="144" t="s">
        <v>429</v>
      </c>
      <c r="L465" s="132">
        <v>14487</v>
      </c>
      <c r="M465" s="143">
        <f t="shared" si="75"/>
        <v>120.36195412172403</v>
      </c>
      <c r="N465" s="132">
        <v>18428</v>
      </c>
      <c r="O465" s="129">
        <f t="shared" si="76"/>
        <v>0.78614065552420231</v>
      </c>
      <c r="P465" s="129">
        <f t="shared" si="77"/>
        <v>6.5314713545541582E-3</v>
      </c>
      <c r="Q465" s="4"/>
    </row>
    <row r="466" spans="1:17" ht="17.25" customHeight="1" x14ac:dyDescent="0.2">
      <c r="A466" s="122">
        <f t="shared" si="73"/>
        <v>464</v>
      </c>
      <c r="B466" s="123" t="s">
        <v>31</v>
      </c>
      <c r="C466" s="131" t="s">
        <v>84</v>
      </c>
      <c r="D466" s="125">
        <v>225.42</v>
      </c>
      <c r="E466" s="132">
        <v>2520</v>
      </c>
      <c r="F466" s="139">
        <f t="shared" si="74"/>
        <v>226.002802</v>
      </c>
      <c r="G466" s="127">
        <v>25569.041962604166</v>
      </c>
      <c r="H466" s="127">
        <v>25569.041962604166</v>
      </c>
      <c r="I466" s="132">
        <v>99</v>
      </c>
      <c r="J466" s="132">
        <v>1865</v>
      </c>
      <c r="K466" s="144" t="s">
        <v>429</v>
      </c>
      <c r="L466" s="132">
        <v>22328</v>
      </c>
      <c r="M466" s="143">
        <f t="shared" si="75"/>
        <v>149.4255667548228</v>
      </c>
      <c r="N466" s="132">
        <v>18111</v>
      </c>
      <c r="O466" s="129">
        <f t="shared" si="76"/>
        <v>1.2328419192755784</v>
      </c>
      <c r="P466" s="129">
        <f t="shared" si="77"/>
        <v>8.2505420327327484E-3</v>
      </c>
      <c r="Q466" s="4"/>
    </row>
    <row r="467" spans="1:17" ht="17.25" customHeight="1" x14ac:dyDescent="0.2">
      <c r="A467" s="122">
        <f t="shared" si="73"/>
        <v>465</v>
      </c>
      <c r="B467" s="123" t="s">
        <v>31</v>
      </c>
      <c r="C467" s="131" t="s">
        <v>84</v>
      </c>
      <c r="D467" s="125">
        <v>226.42</v>
      </c>
      <c r="E467" s="132">
        <v>2520</v>
      </c>
      <c r="F467" s="139">
        <f t="shared" si="74"/>
        <v>226.99610199999998</v>
      </c>
      <c r="G467" s="127">
        <v>25569.041962604166</v>
      </c>
      <c r="H467" s="127">
        <v>25569.041962604166</v>
      </c>
      <c r="I467" s="132">
        <v>99</v>
      </c>
      <c r="J467" s="132">
        <v>2118</v>
      </c>
      <c r="K467" s="144" t="s">
        <v>429</v>
      </c>
      <c r="L467" s="132">
        <v>26798</v>
      </c>
      <c r="M467" s="143">
        <f t="shared" si="75"/>
        <v>163.7009468512629</v>
      </c>
      <c r="N467" s="132">
        <v>20525</v>
      </c>
      <c r="O467" s="129">
        <f t="shared" si="76"/>
        <v>1.3056272838002436</v>
      </c>
      <c r="P467" s="129">
        <f t="shared" si="77"/>
        <v>7.9756855956766327E-3</v>
      </c>
      <c r="Q467" s="4"/>
    </row>
    <row r="468" spans="1:17" ht="17.25" customHeight="1" x14ac:dyDescent="0.2">
      <c r="A468" s="122">
        <f t="shared" si="73"/>
        <v>466</v>
      </c>
      <c r="B468" s="123" t="s">
        <v>31</v>
      </c>
      <c r="C468" s="131" t="s">
        <v>84</v>
      </c>
      <c r="D468" s="125">
        <v>227.43</v>
      </c>
      <c r="E468" s="132">
        <v>2520</v>
      </c>
      <c r="F468" s="139">
        <f t="shared" si="74"/>
        <v>227.999335</v>
      </c>
      <c r="G468" s="127">
        <v>25569.041962604166</v>
      </c>
      <c r="H468" s="127">
        <v>25569.041962604166</v>
      </c>
      <c r="I468" s="132">
        <v>99</v>
      </c>
      <c r="J468" s="132">
        <v>1746</v>
      </c>
      <c r="K468" s="144" t="s">
        <v>429</v>
      </c>
      <c r="L468" s="132">
        <v>23365</v>
      </c>
      <c r="M468" s="143">
        <f t="shared" si="75"/>
        <v>152.85614151874958</v>
      </c>
      <c r="N468" s="132">
        <v>16939</v>
      </c>
      <c r="O468" s="129">
        <f t="shared" si="76"/>
        <v>1.3793612373811914</v>
      </c>
      <c r="P468" s="129">
        <f t="shared" si="77"/>
        <v>9.0239176762943255E-3</v>
      </c>
      <c r="Q468" s="4"/>
    </row>
    <row r="469" spans="1:17" ht="17.25" customHeight="1" x14ac:dyDescent="0.2">
      <c r="A469" s="122">
        <f t="shared" si="73"/>
        <v>467</v>
      </c>
      <c r="B469" s="123" t="s">
        <v>31</v>
      </c>
      <c r="C469" s="131" t="s">
        <v>84</v>
      </c>
      <c r="D469" s="125">
        <v>228.44</v>
      </c>
      <c r="E469" s="132">
        <v>2520</v>
      </c>
      <c r="F469" s="139">
        <f t="shared" si="74"/>
        <v>229.002568</v>
      </c>
      <c r="G469" s="127">
        <v>25569.041962604166</v>
      </c>
      <c r="H469" s="127">
        <v>25569.041962604166</v>
      </c>
      <c r="I469" s="132">
        <v>99</v>
      </c>
      <c r="J469" s="132">
        <v>1250</v>
      </c>
      <c r="K469" s="144" t="s">
        <v>429</v>
      </c>
      <c r="L469" s="132">
        <v>16934</v>
      </c>
      <c r="M469" s="143">
        <f t="shared" si="75"/>
        <v>130.13070352534024</v>
      </c>
      <c r="N469" s="132">
        <v>11960</v>
      </c>
      <c r="O469" s="129">
        <f t="shared" si="76"/>
        <v>1.4158862876254181</v>
      </c>
      <c r="P469" s="129">
        <f t="shared" si="77"/>
        <v>1.0880493605797679E-2</v>
      </c>
      <c r="Q469" s="4"/>
    </row>
    <row r="470" spans="1:17" ht="17.25" customHeight="1" x14ac:dyDescent="0.2">
      <c r="A470" s="122">
        <f t="shared" si="73"/>
        <v>468</v>
      </c>
      <c r="B470" s="123" t="s">
        <v>31</v>
      </c>
      <c r="C470" s="131" t="s">
        <v>84</v>
      </c>
      <c r="D470" s="125">
        <v>229.44</v>
      </c>
      <c r="E470" s="132">
        <v>2520</v>
      </c>
      <c r="F470" s="139">
        <f t="shared" si="74"/>
        <v>229.995868</v>
      </c>
      <c r="G470" s="127">
        <v>25569.041962604166</v>
      </c>
      <c r="H470" s="127">
        <v>25569.041962604166</v>
      </c>
      <c r="I470" s="132">
        <v>98</v>
      </c>
      <c r="J470" s="132">
        <v>1367</v>
      </c>
      <c r="K470" s="144" t="s">
        <v>429</v>
      </c>
      <c r="L470" s="132">
        <v>18401</v>
      </c>
      <c r="M470" s="143">
        <f t="shared" si="75"/>
        <v>135.65028566132841</v>
      </c>
      <c r="N470" s="132">
        <v>12413</v>
      </c>
      <c r="O470" s="129">
        <f t="shared" si="76"/>
        <v>1.4823974865060823</v>
      </c>
      <c r="P470" s="129">
        <f t="shared" si="77"/>
        <v>1.0928082305754323E-2</v>
      </c>
      <c r="Q470" s="4"/>
    </row>
    <row r="471" spans="1:17" ht="17.25" customHeight="1" x14ac:dyDescent="0.2">
      <c r="A471" s="122">
        <f t="shared" si="73"/>
        <v>469</v>
      </c>
      <c r="B471" s="123" t="s">
        <v>31</v>
      </c>
      <c r="C471" s="131" t="s">
        <v>84</v>
      </c>
      <c r="D471" s="125">
        <v>230.45</v>
      </c>
      <c r="E471" s="132">
        <v>2520</v>
      </c>
      <c r="F471" s="139">
        <f t="shared" si="74"/>
        <v>230.999101</v>
      </c>
      <c r="G471" s="127">
        <v>25569.041962604166</v>
      </c>
      <c r="H471" s="127">
        <v>25569.041962604166</v>
      </c>
      <c r="I471" s="132">
        <v>98</v>
      </c>
      <c r="J471" s="132">
        <v>1253</v>
      </c>
      <c r="K471" s="144" t="s">
        <v>429</v>
      </c>
      <c r="L471" s="132">
        <v>18811</v>
      </c>
      <c r="M471" s="143">
        <f t="shared" si="75"/>
        <v>137.15319901482428</v>
      </c>
      <c r="N471" s="132">
        <v>12081</v>
      </c>
      <c r="O471" s="129">
        <f t="shared" si="76"/>
        <v>1.5570730899759955</v>
      </c>
      <c r="P471" s="129">
        <f t="shared" si="77"/>
        <v>1.13528018388233E-2</v>
      </c>
      <c r="Q471" s="4"/>
    </row>
    <row r="472" spans="1:17" ht="17.25" customHeight="1" x14ac:dyDescent="0.2">
      <c r="A472" s="122">
        <f t="shared" si="73"/>
        <v>470</v>
      </c>
      <c r="B472" s="123" t="s">
        <v>31</v>
      </c>
      <c r="C472" s="131" t="s">
        <v>84</v>
      </c>
      <c r="D472" s="125">
        <v>231.46</v>
      </c>
      <c r="E472" s="132">
        <v>2520</v>
      </c>
      <c r="F472" s="139">
        <f t="shared" si="74"/>
        <v>232.00233400000002</v>
      </c>
      <c r="G472" s="127">
        <v>25569.041962604166</v>
      </c>
      <c r="H472" s="127">
        <v>25569.041962604166</v>
      </c>
      <c r="I472" s="132">
        <v>98</v>
      </c>
      <c r="J472" s="132">
        <v>1245</v>
      </c>
      <c r="K472" s="144" t="s">
        <v>429</v>
      </c>
      <c r="L472" s="132">
        <v>19000</v>
      </c>
      <c r="M472" s="143">
        <f t="shared" si="75"/>
        <v>137.84048752090223</v>
      </c>
      <c r="N472" s="132">
        <v>11799</v>
      </c>
      <c r="O472" s="129">
        <f t="shared" si="76"/>
        <v>1.6103059581320451</v>
      </c>
      <c r="P472" s="129">
        <f t="shared" si="77"/>
        <v>1.1682387280354456E-2</v>
      </c>
      <c r="Q472" s="4"/>
    </row>
    <row r="473" spans="1:17" ht="17.25" customHeight="1" x14ac:dyDescent="0.2">
      <c r="A473" s="122">
        <f t="shared" si="73"/>
        <v>471</v>
      </c>
      <c r="B473" s="123" t="s">
        <v>31</v>
      </c>
      <c r="C473" s="131" t="s">
        <v>84</v>
      </c>
      <c r="D473" s="125">
        <v>232.46</v>
      </c>
      <c r="E473" s="132">
        <v>2520</v>
      </c>
      <c r="F473" s="139">
        <f t="shared" si="74"/>
        <v>232.99563400000002</v>
      </c>
      <c r="G473" s="127">
        <v>25569.041962604166</v>
      </c>
      <c r="H473" s="127">
        <v>25569.041962604166</v>
      </c>
      <c r="I473" s="132">
        <v>97</v>
      </c>
      <c r="J473" s="132">
        <v>1242</v>
      </c>
      <c r="K473" s="144" t="s">
        <v>429</v>
      </c>
      <c r="L473" s="132">
        <v>19311</v>
      </c>
      <c r="M473" s="143">
        <f t="shared" si="75"/>
        <v>138.96402412135308</v>
      </c>
      <c r="N473" s="132">
        <v>11735</v>
      </c>
      <c r="O473" s="129">
        <f t="shared" si="76"/>
        <v>1.6455901150404773</v>
      </c>
      <c r="P473" s="129">
        <f t="shared" si="77"/>
        <v>1.1841842703140442E-2</v>
      </c>
      <c r="Q473" s="4"/>
    </row>
    <row r="474" spans="1:17" ht="17.25" customHeight="1" x14ac:dyDescent="0.2">
      <c r="A474" s="122">
        <f t="shared" si="73"/>
        <v>472</v>
      </c>
      <c r="B474" s="123" t="s">
        <v>31</v>
      </c>
      <c r="C474" s="131" t="s">
        <v>84</v>
      </c>
      <c r="D474" s="125">
        <v>237.5</v>
      </c>
      <c r="E474" s="132">
        <v>2520</v>
      </c>
      <c r="F474" s="139">
        <f t="shared" si="74"/>
        <v>238.00186600000001</v>
      </c>
      <c r="G474" s="127">
        <v>25569.041962604166</v>
      </c>
      <c r="H474" s="127">
        <v>25569.041962604166</v>
      </c>
      <c r="I474" s="132">
        <v>97</v>
      </c>
      <c r="J474" s="132">
        <v>1246</v>
      </c>
      <c r="K474" s="144" t="s">
        <v>429</v>
      </c>
      <c r="L474" s="132">
        <v>20946</v>
      </c>
      <c r="M474" s="143">
        <f t="shared" si="75"/>
        <v>144.72732983096179</v>
      </c>
      <c r="N474" s="132">
        <v>12179</v>
      </c>
      <c r="O474" s="129">
        <f t="shared" si="76"/>
        <v>1.7198456359307004</v>
      </c>
      <c r="P474" s="129">
        <f t="shared" si="77"/>
        <v>1.1883350835943985E-2</v>
      </c>
      <c r="Q474" s="4"/>
    </row>
    <row r="475" spans="1:17" ht="17.25" customHeight="1" x14ac:dyDescent="0.2">
      <c r="A475" s="122">
        <f t="shared" si="73"/>
        <v>473</v>
      </c>
      <c r="B475" s="123" t="s">
        <v>31</v>
      </c>
      <c r="C475" s="131" t="s">
        <v>84</v>
      </c>
      <c r="D475" s="125">
        <v>242.53</v>
      </c>
      <c r="E475" s="132">
        <v>2520</v>
      </c>
      <c r="F475" s="139">
        <f t="shared" si="74"/>
        <v>242.998165</v>
      </c>
      <c r="G475" s="127">
        <v>25569.041962604166</v>
      </c>
      <c r="H475" s="127">
        <v>25569.041962604166</v>
      </c>
      <c r="I475" s="132">
        <v>97</v>
      </c>
      <c r="J475" s="132">
        <v>1004</v>
      </c>
      <c r="K475" s="144" t="s">
        <v>429</v>
      </c>
      <c r="L475" s="132">
        <v>16501</v>
      </c>
      <c r="M475" s="143">
        <f t="shared" si="75"/>
        <v>128.4562182223967</v>
      </c>
      <c r="N475" s="132">
        <v>9125</v>
      </c>
      <c r="O475" s="129">
        <f t="shared" si="76"/>
        <v>1.8083287671232877</v>
      </c>
      <c r="P475" s="129">
        <f t="shared" si="77"/>
        <v>1.4077393777796899E-2</v>
      </c>
      <c r="Q475" s="4"/>
    </row>
    <row r="476" spans="1:17" ht="17.25" customHeight="1" x14ac:dyDescent="0.2">
      <c r="A476" s="122">
        <f t="shared" si="73"/>
        <v>474</v>
      </c>
      <c r="B476" s="123" t="s">
        <v>31</v>
      </c>
      <c r="C476" s="131" t="s">
        <v>84</v>
      </c>
      <c r="D476" s="125">
        <v>247.57</v>
      </c>
      <c r="E476" s="132">
        <v>2520</v>
      </c>
      <c r="F476" s="139">
        <f t="shared" ref="F476:F507" si="78">0.9933*(D476+E476/1000)-0.41</f>
        <v>248.00439699999998</v>
      </c>
      <c r="G476" s="127">
        <v>25569.041962604166</v>
      </c>
      <c r="H476" s="127">
        <v>25569.041962604166</v>
      </c>
      <c r="I476" s="132">
        <v>95</v>
      </c>
      <c r="J476" s="132">
        <v>877</v>
      </c>
      <c r="K476" s="144" t="s">
        <v>429</v>
      </c>
      <c r="L476" s="132">
        <v>14478</v>
      </c>
      <c r="M476" s="143">
        <f t="shared" ref="M476:M507" si="79">SQRT(L476)</f>
        <v>120.32456108376212</v>
      </c>
      <c r="N476" s="132">
        <v>7937</v>
      </c>
      <c r="O476" s="129">
        <f t="shared" ref="O476:O507" si="80">L476/N476</f>
        <v>1.8241149048758978</v>
      </c>
      <c r="P476" s="129">
        <f t="shared" ref="P476:P507" si="81">M476/N476</f>
        <v>1.5159954779357707E-2</v>
      </c>
      <c r="Q476" s="4"/>
    </row>
    <row r="477" spans="1:17" ht="17.25" customHeight="1" x14ac:dyDescent="0.2">
      <c r="A477" s="122">
        <f t="shared" si="73"/>
        <v>475</v>
      </c>
      <c r="B477" s="123" t="s">
        <v>31</v>
      </c>
      <c r="C477" s="131" t="s">
        <v>84</v>
      </c>
      <c r="D477" s="125">
        <v>252.6</v>
      </c>
      <c r="E477" s="132">
        <v>2520</v>
      </c>
      <c r="F477" s="139">
        <f t="shared" si="78"/>
        <v>253.000696</v>
      </c>
      <c r="G477" s="127">
        <v>25569.041962604166</v>
      </c>
      <c r="H477" s="127">
        <v>25569.041962604166</v>
      </c>
      <c r="I477" s="132">
        <v>93</v>
      </c>
      <c r="J477" s="132">
        <v>867</v>
      </c>
      <c r="K477" s="144" t="s">
        <v>429</v>
      </c>
      <c r="L477" s="132">
        <v>14459</v>
      </c>
      <c r="M477" s="143">
        <f t="shared" si="79"/>
        <v>120.24558203942463</v>
      </c>
      <c r="N477" s="132">
        <v>7817</v>
      </c>
      <c r="O477" s="129">
        <f t="shared" si="80"/>
        <v>1.849686580529615</v>
      </c>
      <c r="P477" s="129">
        <f t="shared" si="81"/>
        <v>1.5382574138342668E-2</v>
      </c>
      <c r="Q477" s="4"/>
    </row>
    <row r="478" spans="1:17" ht="17.25" customHeight="1" x14ac:dyDescent="0.2">
      <c r="A478" s="122">
        <f t="shared" si="73"/>
        <v>476</v>
      </c>
      <c r="B478" s="123" t="s">
        <v>31</v>
      </c>
      <c r="C478" s="131" t="s">
        <v>84</v>
      </c>
      <c r="D478" s="125">
        <v>257.63</v>
      </c>
      <c r="E478" s="132">
        <v>2520</v>
      </c>
      <c r="F478" s="139">
        <f t="shared" si="78"/>
        <v>257.99699499999997</v>
      </c>
      <c r="G478" s="127">
        <v>25569.041962604166</v>
      </c>
      <c r="H478" s="127">
        <v>25569.041962604166</v>
      </c>
      <c r="I478" s="132">
        <v>91</v>
      </c>
      <c r="J478" s="132">
        <v>866</v>
      </c>
      <c r="K478" s="144" t="s">
        <v>429</v>
      </c>
      <c r="L478" s="132">
        <v>14172</v>
      </c>
      <c r="M478" s="143">
        <f t="shared" si="79"/>
        <v>119.04620951546504</v>
      </c>
      <c r="N478" s="132">
        <v>7493</v>
      </c>
      <c r="O478" s="129">
        <f t="shared" si="80"/>
        <v>1.8913652742559723</v>
      </c>
      <c r="P478" s="129">
        <f t="shared" si="81"/>
        <v>1.5887656414715741E-2</v>
      </c>
      <c r="Q478" s="4"/>
    </row>
    <row r="479" spans="1:17" ht="17.25" customHeight="1" x14ac:dyDescent="0.2">
      <c r="A479" s="122">
        <f t="shared" si="73"/>
        <v>477</v>
      </c>
      <c r="B479" s="123" t="s">
        <v>31</v>
      </c>
      <c r="C479" s="131" t="s">
        <v>84</v>
      </c>
      <c r="D479" s="125">
        <v>262.67</v>
      </c>
      <c r="E479" s="132">
        <v>2520</v>
      </c>
      <c r="F479" s="139">
        <f t="shared" si="78"/>
        <v>263.00322699999998</v>
      </c>
      <c r="G479" s="127">
        <v>25569.041962604166</v>
      </c>
      <c r="H479" s="127">
        <v>25569.041962604166</v>
      </c>
      <c r="I479" s="132">
        <v>89</v>
      </c>
      <c r="J479" s="132">
        <v>874</v>
      </c>
      <c r="K479" s="144" t="s">
        <v>429</v>
      </c>
      <c r="L479" s="132">
        <v>13679</v>
      </c>
      <c r="M479" s="143">
        <f t="shared" si="79"/>
        <v>116.957257149781</v>
      </c>
      <c r="N479" s="132">
        <v>7281</v>
      </c>
      <c r="O479" s="129">
        <f t="shared" si="80"/>
        <v>1.8787254498008514</v>
      </c>
      <c r="P479" s="129">
        <f t="shared" si="81"/>
        <v>1.6063350796563795E-2</v>
      </c>
      <c r="Q479" s="4"/>
    </row>
    <row r="480" spans="1:17" ht="17.25" customHeight="1" x14ac:dyDescent="0.2">
      <c r="A480" s="122">
        <f t="shared" si="73"/>
        <v>478</v>
      </c>
      <c r="B480" s="123" t="s">
        <v>31</v>
      </c>
      <c r="C480" s="131" t="s">
        <v>84</v>
      </c>
      <c r="D480" s="125">
        <v>267.7</v>
      </c>
      <c r="E480" s="132">
        <v>2520</v>
      </c>
      <c r="F480" s="139">
        <f t="shared" si="78"/>
        <v>267.99952599999995</v>
      </c>
      <c r="G480" s="127">
        <v>25569.041962604166</v>
      </c>
      <c r="H480" s="127">
        <v>25569.041962604166</v>
      </c>
      <c r="I480" s="132">
        <v>86</v>
      </c>
      <c r="J480" s="132">
        <v>1124</v>
      </c>
      <c r="K480" s="144" t="s">
        <v>429</v>
      </c>
      <c r="L480" s="132">
        <v>18282</v>
      </c>
      <c r="M480" s="143">
        <f t="shared" si="79"/>
        <v>135.21094630243513</v>
      </c>
      <c r="N480" s="132">
        <v>9046</v>
      </c>
      <c r="O480" s="129">
        <f t="shared" si="80"/>
        <v>2.0210037585673226</v>
      </c>
      <c r="P480" s="129">
        <f t="shared" si="81"/>
        <v>1.4947042483134549E-2</v>
      </c>
      <c r="Q480" s="4"/>
    </row>
    <row r="481" spans="1:17" ht="17.25" customHeight="1" x14ac:dyDescent="0.2">
      <c r="A481" s="122">
        <f t="shared" si="73"/>
        <v>479</v>
      </c>
      <c r="B481" s="123" t="s">
        <v>31</v>
      </c>
      <c r="C481" s="131" t="s">
        <v>84</v>
      </c>
      <c r="D481" s="125">
        <v>272.73</v>
      </c>
      <c r="E481" s="132">
        <v>2520</v>
      </c>
      <c r="F481" s="139">
        <f t="shared" si="78"/>
        <v>272.99582499999997</v>
      </c>
      <c r="G481" s="127">
        <v>25569.041962604166</v>
      </c>
      <c r="H481" s="127">
        <v>25569.041962604166</v>
      </c>
      <c r="I481" s="132">
        <v>83</v>
      </c>
      <c r="J481" s="132">
        <v>866</v>
      </c>
      <c r="K481" s="144" t="s">
        <v>429</v>
      </c>
      <c r="L481" s="132">
        <v>13615</v>
      </c>
      <c r="M481" s="143">
        <f t="shared" si="79"/>
        <v>116.68333214302719</v>
      </c>
      <c r="N481" s="132">
        <v>6678</v>
      </c>
      <c r="O481" s="129">
        <f t="shared" si="80"/>
        <v>2.0387840670859538</v>
      </c>
      <c r="P481" s="129">
        <f t="shared" si="81"/>
        <v>1.7472796068138244E-2</v>
      </c>
      <c r="Q481" s="4"/>
    </row>
    <row r="482" spans="1:17" ht="17.25" customHeight="1" x14ac:dyDescent="0.2">
      <c r="A482" s="122">
        <f t="shared" si="73"/>
        <v>480</v>
      </c>
      <c r="B482" s="123" t="s">
        <v>31</v>
      </c>
      <c r="C482" s="131" t="s">
        <v>84</v>
      </c>
      <c r="D482" s="125">
        <v>277.77</v>
      </c>
      <c r="E482" s="132">
        <v>2520</v>
      </c>
      <c r="F482" s="139">
        <f t="shared" si="78"/>
        <v>278.00205699999992</v>
      </c>
      <c r="G482" s="127">
        <v>25569.041962604166</v>
      </c>
      <c r="H482" s="127">
        <v>25569.041962604166</v>
      </c>
      <c r="I482" s="132">
        <v>81</v>
      </c>
      <c r="J482" s="132">
        <v>873</v>
      </c>
      <c r="K482" s="144" t="s">
        <v>429</v>
      </c>
      <c r="L482" s="132">
        <v>14287</v>
      </c>
      <c r="M482" s="143">
        <f t="shared" si="79"/>
        <v>119.52823934116992</v>
      </c>
      <c r="N482" s="132">
        <v>6801</v>
      </c>
      <c r="O482" s="129">
        <f t="shared" si="80"/>
        <v>2.1007204822820174</v>
      </c>
      <c r="P482" s="129">
        <f t="shared" si="81"/>
        <v>1.7575097682865744E-2</v>
      </c>
      <c r="Q482" s="4"/>
    </row>
    <row r="483" spans="1:17" ht="17.25" customHeight="1" x14ac:dyDescent="0.2">
      <c r="A483" s="122">
        <f t="shared" si="73"/>
        <v>481</v>
      </c>
      <c r="B483" s="123" t="s">
        <v>31</v>
      </c>
      <c r="C483" s="131" t="s">
        <v>84</v>
      </c>
      <c r="D483" s="125">
        <v>282.8</v>
      </c>
      <c r="E483" s="132">
        <v>2520</v>
      </c>
      <c r="F483" s="139">
        <f t="shared" si="78"/>
        <v>282.99835599999994</v>
      </c>
      <c r="G483" s="127">
        <v>25569.041962604166</v>
      </c>
      <c r="H483" s="127">
        <v>25569.041962604166</v>
      </c>
      <c r="I483" s="132">
        <v>78</v>
      </c>
      <c r="J483" s="132">
        <v>875</v>
      </c>
      <c r="K483" s="144" t="s">
        <v>429</v>
      </c>
      <c r="L483" s="132">
        <v>14274</v>
      </c>
      <c r="M483" s="143">
        <f t="shared" si="79"/>
        <v>119.47384651043926</v>
      </c>
      <c r="N483" s="132">
        <v>6658</v>
      </c>
      <c r="O483" s="129">
        <f t="shared" si="80"/>
        <v>2.1438870531691196</v>
      </c>
      <c r="P483" s="129">
        <f t="shared" si="81"/>
        <v>1.7944404702679374E-2</v>
      </c>
      <c r="Q483" s="4"/>
    </row>
    <row r="484" spans="1:17" ht="17.25" customHeight="1" x14ac:dyDescent="0.2">
      <c r="A484" s="122">
        <f t="shared" si="73"/>
        <v>482</v>
      </c>
      <c r="B484" s="123" t="s">
        <v>31</v>
      </c>
      <c r="C484" s="131" t="s">
        <v>84</v>
      </c>
      <c r="D484" s="125">
        <v>287.83999999999997</v>
      </c>
      <c r="E484" s="132">
        <v>2520</v>
      </c>
      <c r="F484" s="139">
        <f t="shared" si="78"/>
        <v>288.0045879999999</v>
      </c>
      <c r="G484" s="127">
        <v>25569.041962604166</v>
      </c>
      <c r="H484" s="127">
        <v>25569.041962604166</v>
      </c>
      <c r="I484" s="132">
        <v>76</v>
      </c>
      <c r="J484" s="132">
        <v>871</v>
      </c>
      <c r="K484" s="144" t="s">
        <v>429</v>
      </c>
      <c r="L484" s="132">
        <v>13901</v>
      </c>
      <c r="M484" s="143">
        <f t="shared" si="79"/>
        <v>117.90250209389112</v>
      </c>
      <c r="N484" s="132">
        <v>6344</v>
      </c>
      <c r="O484" s="129">
        <f t="shared" si="80"/>
        <v>2.1912042875157631</v>
      </c>
      <c r="P484" s="129">
        <f t="shared" si="81"/>
        <v>1.8584883684409068E-2</v>
      </c>
      <c r="Q484" s="4"/>
    </row>
    <row r="485" spans="1:17" ht="17.25" customHeight="1" x14ac:dyDescent="0.2">
      <c r="A485" s="122">
        <f t="shared" si="73"/>
        <v>483</v>
      </c>
      <c r="B485" s="123" t="s">
        <v>31</v>
      </c>
      <c r="C485" s="131" t="s">
        <v>84</v>
      </c>
      <c r="D485" s="125">
        <v>292.87</v>
      </c>
      <c r="E485" s="132">
        <v>2520</v>
      </c>
      <c r="F485" s="139">
        <f t="shared" si="78"/>
        <v>293.00088699999998</v>
      </c>
      <c r="G485" s="127">
        <v>25569.041962604166</v>
      </c>
      <c r="H485" s="127">
        <v>25569.041962604166</v>
      </c>
      <c r="I485" s="132">
        <v>73</v>
      </c>
      <c r="J485" s="132">
        <v>748</v>
      </c>
      <c r="K485" s="144" t="s">
        <v>429</v>
      </c>
      <c r="L485" s="132">
        <v>12419</v>
      </c>
      <c r="M485" s="143">
        <f t="shared" si="79"/>
        <v>111.44056711987785</v>
      </c>
      <c r="N485" s="132">
        <v>5366</v>
      </c>
      <c r="O485" s="129">
        <f t="shared" si="80"/>
        <v>2.3143868803578083</v>
      </c>
      <c r="P485" s="129">
        <f t="shared" si="81"/>
        <v>2.0767902929533705E-2</v>
      </c>
      <c r="Q485" s="4"/>
    </row>
    <row r="486" spans="1:17" ht="17.25" customHeight="1" x14ac:dyDescent="0.2">
      <c r="A486" s="122">
        <f t="shared" si="73"/>
        <v>484</v>
      </c>
      <c r="B486" s="123" t="s">
        <v>31</v>
      </c>
      <c r="C486" s="131" t="s">
        <v>84</v>
      </c>
      <c r="D486" s="125">
        <v>297.89999999999998</v>
      </c>
      <c r="E486" s="132">
        <v>2520</v>
      </c>
      <c r="F486" s="139">
        <f t="shared" si="78"/>
        <v>297.99718599999994</v>
      </c>
      <c r="G486" s="127">
        <v>25569.041962604166</v>
      </c>
      <c r="H486" s="127">
        <v>25569.041962604166</v>
      </c>
      <c r="I486" s="132">
        <v>71</v>
      </c>
      <c r="J486" s="132">
        <v>742</v>
      </c>
      <c r="K486" s="144" t="s">
        <v>429</v>
      </c>
      <c r="L486" s="132">
        <v>13196</v>
      </c>
      <c r="M486" s="143">
        <f t="shared" si="79"/>
        <v>114.87384384619503</v>
      </c>
      <c r="N486" s="132">
        <v>5028</v>
      </c>
      <c r="O486" s="129">
        <f t="shared" si="80"/>
        <v>2.6245027844073192</v>
      </c>
      <c r="P486" s="129">
        <f t="shared" si="81"/>
        <v>2.284682654061158E-2</v>
      </c>
      <c r="Q486" s="4"/>
    </row>
    <row r="487" spans="1:17" ht="17.25" customHeight="1" x14ac:dyDescent="0.2">
      <c r="A487" s="122">
        <f t="shared" si="73"/>
        <v>485</v>
      </c>
      <c r="B487" s="123" t="s">
        <v>31</v>
      </c>
      <c r="C487" s="131" t="s">
        <v>84</v>
      </c>
      <c r="D487" s="125">
        <v>302.94</v>
      </c>
      <c r="E487" s="132">
        <v>2520</v>
      </c>
      <c r="F487" s="139">
        <f t="shared" si="78"/>
        <v>303.00341799999995</v>
      </c>
      <c r="G487" s="127">
        <v>25569.041962604166</v>
      </c>
      <c r="H487" s="127">
        <v>25569.041962604166</v>
      </c>
      <c r="I487" s="132">
        <v>68</v>
      </c>
      <c r="J487" s="132">
        <v>753</v>
      </c>
      <c r="K487" s="144" t="s">
        <v>429</v>
      </c>
      <c r="L487" s="132">
        <v>16584</v>
      </c>
      <c r="M487" s="143">
        <f t="shared" si="79"/>
        <v>128.77888025604199</v>
      </c>
      <c r="N487" s="132">
        <v>5152</v>
      </c>
      <c r="O487" s="129">
        <f t="shared" si="80"/>
        <v>3.218944099378882</v>
      </c>
      <c r="P487" s="129">
        <f t="shared" si="81"/>
        <v>2.4995900670815602E-2</v>
      </c>
      <c r="Q487" s="4"/>
    </row>
    <row r="488" spans="1:17" ht="17.25" customHeight="1" x14ac:dyDescent="0.2">
      <c r="A488" s="122">
        <f t="shared" si="73"/>
        <v>486</v>
      </c>
      <c r="B488" s="123" t="s">
        <v>31</v>
      </c>
      <c r="C488" s="131" t="s">
        <v>84</v>
      </c>
      <c r="D488" s="125">
        <v>307.97000000000003</v>
      </c>
      <c r="E488" s="132">
        <v>2520</v>
      </c>
      <c r="F488" s="139">
        <f t="shared" si="78"/>
        <v>307.99971699999998</v>
      </c>
      <c r="G488" s="127">
        <v>25569.041962604166</v>
      </c>
      <c r="H488" s="127">
        <v>25569.041962604166</v>
      </c>
      <c r="I488" s="132">
        <v>66</v>
      </c>
      <c r="J488" s="132">
        <v>749</v>
      </c>
      <c r="K488" s="144" t="s">
        <v>429</v>
      </c>
      <c r="L488" s="132">
        <v>21996</v>
      </c>
      <c r="M488" s="143">
        <f t="shared" si="79"/>
        <v>148.31048513169929</v>
      </c>
      <c r="N488" s="132">
        <v>5036</v>
      </c>
      <c r="O488" s="129">
        <f t="shared" si="80"/>
        <v>4.3677521842732325</v>
      </c>
      <c r="P488" s="129">
        <f t="shared" si="81"/>
        <v>2.9450056618685324E-2</v>
      </c>
      <c r="Q488" s="4"/>
    </row>
    <row r="489" spans="1:17" ht="17.25" customHeight="1" x14ac:dyDescent="0.2">
      <c r="A489" s="122">
        <f t="shared" si="73"/>
        <v>487</v>
      </c>
      <c r="B489" s="123" t="s">
        <v>31</v>
      </c>
      <c r="C489" s="131" t="s">
        <v>84</v>
      </c>
      <c r="D489" s="122">
        <v>313</v>
      </c>
      <c r="E489" s="132">
        <v>2520</v>
      </c>
      <c r="F489" s="139">
        <f t="shared" si="78"/>
        <v>312.99601599999994</v>
      </c>
      <c r="G489" s="127">
        <v>25569.041962604166</v>
      </c>
      <c r="H489" s="127">
        <v>25569.041962604166</v>
      </c>
      <c r="I489" s="132">
        <v>64</v>
      </c>
      <c r="J489" s="132">
        <v>744</v>
      </c>
      <c r="K489" s="144" t="s">
        <v>429</v>
      </c>
      <c r="L489" s="132">
        <v>28463</v>
      </c>
      <c r="M489" s="143">
        <f t="shared" si="79"/>
        <v>168.70981002893697</v>
      </c>
      <c r="N489" s="132">
        <v>4604</v>
      </c>
      <c r="O489" s="129">
        <f t="shared" si="80"/>
        <v>6.1822328410078189</v>
      </c>
      <c r="P489" s="129">
        <f t="shared" si="81"/>
        <v>3.6644181153114026E-2</v>
      </c>
      <c r="Q489" s="4"/>
    </row>
    <row r="490" spans="1:17" ht="17.25" customHeight="1" x14ac:dyDescent="0.2">
      <c r="A490" s="122">
        <f t="shared" si="73"/>
        <v>488</v>
      </c>
      <c r="B490" s="123" t="s">
        <v>31</v>
      </c>
      <c r="C490" s="131" t="s">
        <v>84</v>
      </c>
      <c r="D490" s="125">
        <v>318.04000000000002</v>
      </c>
      <c r="E490" s="132">
        <v>2520</v>
      </c>
      <c r="F490" s="139">
        <f t="shared" si="78"/>
        <v>318.00224799999995</v>
      </c>
      <c r="G490" s="127">
        <v>25569.041962604166</v>
      </c>
      <c r="H490" s="127">
        <v>25569.041962604166</v>
      </c>
      <c r="I490" s="132">
        <v>62</v>
      </c>
      <c r="J490" s="132">
        <v>1617</v>
      </c>
      <c r="K490" s="144" t="s">
        <v>429</v>
      </c>
      <c r="L490" s="132">
        <v>85365</v>
      </c>
      <c r="M490" s="143">
        <f t="shared" si="79"/>
        <v>292.17289401996209</v>
      </c>
      <c r="N490" s="132">
        <v>9317</v>
      </c>
      <c r="O490" s="129">
        <f t="shared" si="80"/>
        <v>9.1622839969947414</v>
      </c>
      <c r="P490" s="129">
        <f t="shared" si="81"/>
        <v>3.13591170999208E-2</v>
      </c>
      <c r="Q490" s="4"/>
    </row>
    <row r="491" spans="1:17" ht="17.25" customHeight="1" x14ac:dyDescent="0.2">
      <c r="A491" s="122">
        <f t="shared" si="73"/>
        <v>489</v>
      </c>
      <c r="B491" s="123" t="s">
        <v>31</v>
      </c>
      <c r="C491" s="131" t="s">
        <v>84</v>
      </c>
      <c r="D491" s="125">
        <v>323.07</v>
      </c>
      <c r="E491" s="132">
        <v>2520</v>
      </c>
      <c r="F491" s="139">
        <f t="shared" si="78"/>
        <v>322.99854699999992</v>
      </c>
      <c r="G491" s="127">
        <v>25569.041962604166</v>
      </c>
      <c r="H491" s="127">
        <v>25569.041962604166</v>
      </c>
      <c r="I491" s="132">
        <v>57</v>
      </c>
      <c r="J491" s="132">
        <v>754</v>
      </c>
      <c r="K491" s="144" t="s">
        <v>429</v>
      </c>
      <c r="L491" s="132">
        <v>62834</v>
      </c>
      <c r="M491" s="143">
        <f t="shared" si="79"/>
        <v>250.6671099286861</v>
      </c>
      <c r="N491" s="132">
        <v>4380</v>
      </c>
      <c r="O491" s="129">
        <f t="shared" si="80"/>
        <v>14.345662100456622</v>
      </c>
      <c r="P491" s="129">
        <f t="shared" si="81"/>
        <v>5.7229933773672623E-2</v>
      </c>
      <c r="Q491" s="4"/>
    </row>
    <row r="492" spans="1:17" ht="17.25" customHeight="1" x14ac:dyDescent="0.2">
      <c r="A492" s="122">
        <f t="shared" si="73"/>
        <v>490</v>
      </c>
      <c r="B492" s="123" t="s">
        <v>31</v>
      </c>
      <c r="C492" s="131" t="s">
        <v>84</v>
      </c>
      <c r="D492" s="125">
        <v>328.11</v>
      </c>
      <c r="E492" s="132">
        <v>2520</v>
      </c>
      <c r="F492" s="139">
        <f t="shared" si="78"/>
        <v>328.00477899999998</v>
      </c>
      <c r="G492" s="127">
        <v>25569.041962604166</v>
      </c>
      <c r="H492" s="127">
        <v>25569.041962604166</v>
      </c>
      <c r="I492" s="132">
        <v>55</v>
      </c>
      <c r="J492" s="132">
        <v>747</v>
      </c>
      <c r="K492" s="144" t="s">
        <v>429</v>
      </c>
      <c r="L492" s="132">
        <v>103302</v>
      </c>
      <c r="M492" s="143">
        <f t="shared" si="79"/>
        <v>321.40628494166072</v>
      </c>
      <c r="N492" s="132">
        <v>4089</v>
      </c>
      <c r="O492" s="129">
        <f t="shared" si="80"/>
        <v>25.263389581804841</v>
      </c>
      <c r="P492" s="129">
        <f t="shared" si="81"/>
        <v>7.8602662005786431E-2</v>
      </c>
      <c r="Q492" s="4"/>
    </row>
    <row r="493" spans="1:17" ht="17.25" customHeight="1" x14ac:dyDescent="0.2">
      <c r="A493" s="122">
        <f t="shared" si="73"/>
        <v>491</v>
      </c>
      <c r="B493" s="123" t="s">
        <v>31</v>
      </c>
      <c r="C493" s="131" t="s">
        <v>84</v>
      </c>
      <c r="D493" s="125">
        <v>328.11</v>
      </c>
      <c r="E493" s="132">
        <v>2520</v>
      </c>
      <c r="F493" s="139">
        <f t="shared" si="78"/>
        <v>328.00477899999998</v>
      </c>
      <c r="G493" s="127">
        <v>25569.041962604166</v>
      </c>
      <c r="H493" s="127">
        <v>25569.041962604166</v>
      </c>
      <c r="I493" s="132">
        <v>10</v>
      </c>
      <c r="J493" s="132">
        <v>870</v>
      </c>
      <c r="K493" s="144" t="s">
        <v>429</v>
      </c>
      <c r="L493" s="132">
        <v>20671</v>
      </c>
      <c r="M493" s="143">
        <f t="shared" si="79"/>
        <v>143.77412840980813</v>
      </c>
      <c r="N493" s="132">
        <v>864</v>
      </c>
      <c r="O493" s="129">
        <f t="shared" si="80"/>
        <v>23.924768518518519</v>
      </c>
      <c r="P493" s="129">
        <f t="shared" si="81"/>
        <v>0.1664052412150557</v>
      </c>
      <c r="Q493" s="4" t="s">
        <v>1462</v>
      </c>
    </row>
    <row r="494" spans="1:17" ht="17.25" customHeight="1" x14ac:dyDescent="0.2">
      <c r="A494" s="122">
        <f t="shared" si="73"/>
        <v>492</v>
      </c>
      <c r="B494" s="123" t="s">
        <v>31</v>
      </c>
      <c r="C494" s="131" t="s">
        <v>84</v>
      </c>
      <c r="D494" s="125">
        <v>333.14</v>
      </c>
      <c r="E494" s="132">
        <v>2520</v>
      </c>
      <c r="F494" s="139">
        <f t="shared" si="78"/>
        <v>333.00107799999995</v>
      </c>
      <c r="G494" s="127">
        <v>25569.041962604166</v>
      </c>
      <c r="H494" s="127">
        <v>25569.041962604166</v>
      </c>
      <c r="I494" s="132">
        <v>10</v>
      </c>
      <c r="J494" s="132">
        <v>995</v>
      </c>
      <c r="K494" s="144" t="s">
        <v>429</v>
      </c>
      <c r="L494" s="132">
        <v>52566</v>
      </c>
      <c r="M494" s="143">
        <f t="shared" si="79"/>
        <v>229.27276331915223</v>
      </c>
      <c r="N494" s="132">
        <v>1040</v>
      </c>
      <c r="O494" s="129">
        <f t="shared" si="80"/>
        <v>50.544230769230772</v>
      </c>
      <c r="P494" s="129">
        <f t="shared" si="81"/>
        <v>0.22045458011456945</v>
      </c>
      <c r="Q494" s="4"/>
    </row>
    <row r="495" spans="1:17" ht="17.25" customHeight="1" x14ac:dyDescent="0.2">
      <c r="A495" s="122">
        <f t="shared" si="73"/>
        <v>493</v>
      </c>
      <c r="B495" s="123" t="s">
        <v>31</v>
      </c>
      <c r="C495" s="131" t="s">
        <v>84</v>
      </c>
      <c r="D495" s="125">
        <v>338.17</v>
      </c>
      <c r="E495" s="132">
        <v>2520</v>
      </c>
      <c r="F495" s="139">
        <f t="shared" si="78"/>
        <v>337.99737699999997</v>
      </c>
      <c r="G495" s="127">
        <v>25569.041962604166</v>
      </c>
      <c r="H495" s="127">
        <v>25569.041962604166</v>
      </c>
      <c r="I495" s="132">
        <v>10</v>
      </c>
      <c r="J495" s="132">
        <v>1006</v>
      </c>
      <c r="K495" s="144" t="s">
        <v>429</v>
      </c>
      <c r="L495" s="132">
        <v>140885</v>
      </c>
      <c r="M495" s="143">
        <f t="shared" si="79"/>
        <v>375.34650657758891</v>
      </c>
      <c r="N495" s="132">
        <v>880</v>
      </c>
      <c r="O495" s="129">
        <f t="shared" si="80"/>
        <v>160.09659090909091</v>
      </c>
      <c r="P495" s="129">
        <f t="shared" si="81"/>
        <v>0.4265301211108965</v>
      </c>
      <c r="Q495" s="4"/>
    </row>
    <row r="496" spans="1:17" ht="17.25" customHeight="1" x14ac:dyDescent="0.2">
      <c r="A496" s="122">
        <f t="shared" ref="A496:A551" si="82">A495+1</f>
        <v>494</v>
      </c>
      <c r="B496" s="123" t="s">
        <v>31</v>
      </c>
      <c r="C496" s="131" t="s">
        <v>84</v>
      </c>
      <c r="D496" s="125">
        <v>340.41</v>
      </c>
      <c r="E496" s="132">
        <v>279</v>
      </c>
      <c r="F496" s="139">
        <f t="shared" si="78"/>
        <v>337.99638369999997</v>
      </c>
      <c r="G496" s="127">
        <v>25569.041962604166</v>
      </c>
      <c r="H496" s="127">
        <v>25569.041962604166</v>
      </c>
      <c r="I496" s="171">
        <v>25569.041962604166</v>
      </c>
      <c r="J496" s="132">
        <v>1622</v>
      </c>
      <c r="K496" s="144" t="s">
        <v>429</v>
      </c>
      <c r="L496" s="132">
        <v>11895</v>
      </c>
      <c r="M496" s="143">
        <f t="shared" si="79"/>
        <v>109.0642012761291</v>
      </c>
      <c r="N496" s="129">
        <v>66.75</v>
      </c>
      <c r="O496" s="129">
        <f t="shared" si="80"/>
        <v>178.20224719101122</v>
      </c>
      <c r="P496" s="129">
        <f t="shared" si="81"/>
        <v>1.6339206183689752</v>
      </c>
      <c r="Q496" s="4" t="s">
        <v>1462</v>
      </c>
    </row>
    <row r="497" spans="1:28" ht="17.25" customHeight="1" x14ac:dyDescent="0.2">
      <c r="A497" s="122">
        <f t="shared" si="82"/>
        <v>495</v>
      </c>
      <c r="B497" s="123" t="s">
        <v>9</v>
      </c>
      <c r="C497" s="131" t="s">
        <v>84</v>
      </c>
      <c r="D497" s="125">
        <v>345.45</v>
      </c>
      <c r="E497" s="132">
        <v>279</v>
      </c>
      <c r="F497" s="139">
        <f t="shared" si="78"/>
        <v>343.00261569999992</v>
      </c>
      <c r="G497" s="127">
        <v>25569.041962604166</v>
      </c>
      <c r="H497" s="127">
        <v>25569.041962604166</v>
      </c>
      <c r="I497" s="129">
        <v>0.48</v>
      </c>
      <c r="J497" s="132">
        <v>1500</v>
      </c>
      <c r="K497" s="144" t="s">
        <v>429</v>
      </c>
      <c r="L497" s="132">
        <v>95201</v>
      </c>
      <c r="M497" s="143">
        <f t="shared" si="79"/>
        <v>308.54659291588359</v>
      </c>
      <c r="N497" s="129">
        <v>128.29</v>
      </c>
      <c r="O497" s="129">
        <f t="shared" si="80"/>
        <v>742.0765453269936</v>
      </c>
      <c r="P497" s="129">
        <f t="shared" si="81"/>
        <v>2.4050712675647645</v>
      </c>
      <c r="Q497" s="4" t="s">
        <v>1470</v>
      </c>
    </row>
    <row r="498" spans="1:28" ht="17.25" customHeight="1" x14ac:dyDescent="0.2">
      <c r="A498" s="122">
        <f t="shared" si="82"/>
        <v>496</v>
      </c>
      <c r="B498" s="123" t="s">
        <v>31</v>
      </c>
      <c r="C498" s="131" t="s">
        <v>84</v>
      </c>
      <c r="D498" s="125">
        <v>350.48</v>
      </c>
      <c r="E498" s="132">
        <v>279</v>
      </c>
      <c r="F498" s="139">
        <f t="shared" si="78"/>
        <v>347.9989147</v>
      </c>
      <c r="G498" s="127">
        <v>25569.041962604166</v>
      </c>
      <c r="H498" s="127">
        <v>25569.041962604166</v>
      </c>
      <c r="I498" s="129">
        <v>0.44</v>
      </c>
      <c r="J498" s="132">
        <v>1493</v>
      </c>
      <c r="K498" s="144" t="s">
        <v>429</v>
      </c>
      <c r="L498" s="132">
        <v>128442</v>
      </c>
      <c r="M498" s="143">
        <f t="shared" si="79"/>
        <v>358.38805783675326</v>
      </c>
      <c r="N498" s="129">
        <v>67.040000000000006</v>
      </c>
      <c r="O498" s="129">
        <f t="shared" si="80"/>
        <v>1915.9009546539378</v>
      </c>
      <c r="P498" s="129">
        <f t="shared" si="81"/>
        <v>5.3458839176126673</v>
      </c>
      <c r="Q498" s="4"/>
    </row>
    <row r="499" spans="1:28" ht="17.25" customHeight="1" x14ac:dyDescent="0.2">
      <c r="A499" s="122">
        <f t="shared" si="82"/>
        <v>497</v>
      </c>
      <c r="B499" s="123" t="s">
        <v>31</v>
      </c>
      <c r="C499" s="131" t="s">
        <v>84</v>
      </c>
      <c r="D499" s="125">
        <v>355.51</v>
      </c>
      <c r="E499" s="132">
        <v>279</v>
      </c>
      <c r="F499" s="139">
        <f t="shared" si="78"/>
        <v>352.99521369999997</v>
      </c>
      <c r="G499" s="127">
        <v>25569.041962604166</v>
      </c>
      <c r="H499" s="127">
        <v>25569.041962604166</v>
      </c>
      <c r="I499" s="129">
        <v>0.48</v>
      </c>
      <c r="J499" s="132">
        <v>1498</v>
      </c>
      <c r="K499" s="144" t="s">
        <v>429</v>
      </c>
      <c r="L499" s="132">
        <v>140379</v>
      </c>
      <c r="M499" s="143">
        <f t="shared" si="79"/>
        <v>374.67185642906247</v>
      </c>
      <c r="N499" s="129">
        <v>71.34</v>
      </c>
      <c r="O499" s="129">
        <f t="shared" si="80"/>
        <v>1967.7460050462573</v>
      </c>
      <c r="P499" s="129">
        <f t="shared" si="81"/>
        <v>5.2519183687841666</v>
      </c>
      <c r="Q499" s="4"/>
    </row>
    <row r="500" spans="1:28" ht="17.25" customHeight="1" x14ac:dyDescent="0.2">
      <c r="A500" s="122">
        <f t="shared" si="82"/>
        <v>498</v>
      </c>
      <c r="B500" s="123" t="s">
        <v>9</v>
      </c>
      <c r="C500" s="131" t="s">
        <v>84</v>
      </c>
      <c r="D500" s="125">
        <v>360.55</v>
      </c>
      <c r="E500" s="132">
        <v>279</v>
      </c>
      <c r="F500" s="139">
        <f t="shared" si="78"/>
        <v>358.00144569999998</v>
      </c>
      <c r="G500" s="127">
        <v>25569.041962604166</v>
      </c>
      <c r="H500" s="127">
        <v>25569.041962604166</v>
      </c>
      <c r="I500" s="129">
        <v>0.48</v>
      </c>
      <c r="J500" s="132">
        <v>1241</v>
      </c>
      <c r="K500" s="144" t="s">
        <v>429</v>
      </c>
      <c r="L500" s="132">
        <v>117866</v>
      </c>
      <c r="M500" s="143">
        <f t="shared" si="79"/>
        <v>343.31618080131324</v>
      </c>
      <c r="N500" s="129">
        <v>263.7</v>
      </c>
      <c r="O500" s="129">
        <f t="shared" si="80"/>
        <v>446.97004171406905</v>
      </c>
      <c r="P500" s="129">
        <f t="shared" si="81"/>
        <v>1.3019195328074071</v>
      </c>
      <c r="Q500" s="4" t="s">
        <v>1471</v>
      </c>
    </row>
    <row r="501" spans="1:28" ht="17.25" customHeight="1" x14ac:dyDescent="0.2">
      <c r="A501" s="122">
        <f t="shared" si="82"/>
        <v>499</v>
      </c>
      <c r="B501" s="123" t="s">
        <v>9</v>
      </c>
      <c r="C501" s="131" t="s">
        <v>84</v>
      </c>
      <c r="D501" s="125">
        <v>345.45</v>
      </c>
      <c r="E501" s="132">
        <v>279</v>
      </c>
      <c r="F501" s="139">
        <f t="shared" si="78"/>
        <v>343.00261569999992</v>
      </c>
      <c r="G501" s="127">
        <v>25569.041962604166</v>
      </c>
      <c r="H501" s="127">
        <v>25569.041962604166</v>
      </c>
      <c r="I501" s="129">
        <v>0.48</v>
      </c>
      <c r="J501" s="132">
        <v>1245</v>
      </c>
      <c r="K501" s="144" t="s">
        <v>429</v>
      </c>
      <c r="L501" s="132">
        <v>97334</v>
      </c>
      <c r="M501" s="143">
        <f t="shared" si="79"/>
        <v>311.98397394738083</v>
      </c>
      <c r="N501" s="129">
        <v>124.74</v>
      </c>
      <c r="O501" s="129">
        <f t="shared" si="80"/>
        <v>780.29501362834696</v>
      </c>
      <c r="P501" s="129">
        <f t="shared" si="81"/>
        <v>2.5010740255521955</v>
      </c>
      <c r="Q501" s="4" t="s">
        <v>1472</v>
      </c>
    </row>
    <row r="502" spans="1:28" ht="17.25" customHeight="1" x14ac:dyDescent="0.2">
      <c r="A502" s="183">
        <f t="shared" si="82"/>
        <v>500</v>
      </c>
      <c r="B502" s="184" t="s">
        <v>31</v>
      </c>
      <c r="C502" s="185" t="s">
        <v>84</v>
      </c>
      <c r="D502" s="186">
        <v>345.45</v>
      </c>
      <c r="E502" s="187">
        <v>279</v>
      </c>
      <c r="F502" s="188">
        <f t="shared" si="78"/>
        <v>343.00261569999992</v>
      </c>
      <c r="G502" s="189">
        <v>25569.041962604166</v>
      </c>
      <c r="H502" s="189">
        <v>25569.041962604166</v>
      </c>
      <c r="I502" s="192">
        <v>0.47</v>
      </c>
      <c r="J502" s="187">
        <v>1623</v>
      </c>
      <c r="K502" s="190" t="s">
        <v>429</v>
      </c>
      <c r="L502" s="187">
        <v>97466</v>
      </c>
      <c r="M502" s="191">
        <f t="shared" si="79"/>
        <v>312.19545160043572</v>
      </c>
      <c r="N502" s="192">
        <v>69.599999999999994</v>
      </c>
      <c r="O502" s="192">
        <f t="shared" si="80"/>
        <v>1400.3735632183909</v>
      </c>
      <c r="P502" s="192">
        <f t="shared" si="81"/>
        <v>4.4855668333395942</v>
      </c>
      <c r="Q502" s="204"/>
      <c r="R502" s="34"/>
      <c r="S502" s="34"/>
      <c r="T502" s="34"/>
      <c r="U502" s="34"/>
      <c r="V502" s="34"/>
      <c r="W502" s="34"/>
      <c r="X502" s="34"/>
      <c r="Y502" s="34"/>
      <c r="Z502" s="34"/>
      <c r="AA502" s="34"/>
      <c r="AB502" s="34"/>
    </row>
    <row r="503" spans="1:28" ht="17.25" customHeight="1" x14ac:dyDescent="0.2">
      <c r="A503" s="183">
        <f t="shared" si="82"/>
        <v>501</v>
      </c>
      <c r="B503" s="184" t="s">
        <v>157</v>
      </c>
      <c r="C503" s="185" t="s">
        <v>84</v>
      </c>
      <c r="D503" s="186">
        <v>148.44</v>
      </c>
      <c r="E503" s="187">
        <v>2980</v>
      </c>
      <c r="F503" s="188">
        <f t="shared" si="78"/>
        <v>149.99548599999997</v>
      </c>
      <c r="G503" s="189">
        <v>25569.041962604166</v>
      </c>
      <c r="H503" s="189">
        <v>25569.041962604166</v>
      </c>
      <c r="I503" s="187">
        <v>146</v>
      </c>
      <c r="J503" s="187">
        <v>754909</v>
      </c>
      <c r="K503" s="190" t="s">
        <v>429</v>
      </c>
      <c r="L503" s="206"/>
      <c r="M503" s="191">
        <f t="shared" si="79"/>
        <v>0</v>
      </c>
      <c r="N503" s="206"/>
      <c r="O503" s="214" t="e">
        <f t="shared" si="80"/>
        <v>#DIV/0!</v>
      </c>
      <c r="P503" s="192" t="e">
        <f t="shared" si="81"/>
        <v>#DIV/0!</v>
      </c>
      <c r="Q503" s="204"/>
      <c r="R503" s="34"/>
      <c r="S503" s="34"/>
      <c r="T503" s="34"/>
      <c r="U503" s="34"/>
      <c r="V503" s="34"/>
      <c r="W503" s="34"/>
      <c r="X503" s="34"/>
      <c r="Y503" s="34"/>
      <c r="Z503" s="34"/>
      <c r="AA503" s="34"/>
      <c r="AB503" s="34"/>
    </row>
    <row r="504" spans="1:28" ht="17.25" customHeight="1" x14ac:dyDescent="0.2">
      <c r="A504" s="122">
        <f t="shared" si="82"/>
        <v>502</v>
      </c>
      <c r="B504" s="123" t="s">
        <v>32</v>
      </c>
      <c r="C504" s="131" t="s">
        <v>84</v>
      </c>
      <c r="D504" s="125">
        <v>222.02</v>
      </c>
      <c r="E504" s="132">
        <v>2900</v>
      </c>
      <c r="F504" s="139">
        <f t="shared" si="78"/>
        <v>223.00303600000001</v>
      </c>
      <c r="G504" s="127">
        <v>25569.041962604166</v>
      </c>
      <c r="H504" s="127">
        <v>25569.041962604166</v>
      </c>
      <c r="I504" s="132">
        <v>57</v>
      </c>
      <c r="J504" s="132">
        <v>2505</v>
      </c>
      <c r="K504" s="144" t="s">
        <v>429</v>
      </c>
      <c r="L504" s="132">
        <v>1592</v>
      </c>
      <c r="M504" s="143">
        <f t="shared" si="79"/>
        <v>39.899874686520008</v>
      </c>
      <c r="N504" s="132">
        <v>13763</v>
      </c>
      <c r="O504" s="129">
        <f t="shared" si="80"/>
        <v>0.11567245513332849</v>
      </c>
      <c r="P504" s="129">
        <f t="shared" si="81"/>
        <v>2.8990681309685393E-3</v>
      </c>
      <c r="Q504" s="4"/>
    </row>
    <row r="505" spans="1:28" ht="17.25" customHeight="1" x14ac:dyDescent="0.2">
      <c r="A505" s="122">
        <f t="shared" si="82"/>
        <v>503</v>
      </c>
      <c r="B505" s="123" t="s">
        <v>32</v>
      </c>
      <c r="C505" s="131" t="s">
        <v>84</v>
      </c>
      <c r="D505" s="125">
        <v>223.02</v>
      </c>
      <c r="E505" s="132">
        <v>2900</v>
      </c>
      <c r="F505" s="139">
        <f t="shared" si="78"/>
        <v>223.99633600000001</v>
      </c>
      <c r="G505" s="127">
        <v>25569.041962604166</v>
      </c>
      <c r="H505" s="127">
        <v>25569.041962604166</v>
      </c>
      <c r="I505" s="132">
        <v>55</v>
      </c>
      <c r="J505" s="132">
        <v>1877</v>
      </c>
      <c r="K505" s="144" t="s">
        <v>429</v>
      </c>
      <c r="L505" s="132">
        <v>2180</v>
      </c>
      <c r="M505" s="143">
        <f t="shared" si="79"/>
        <v>46.690470119715009</v>
      </c>
      <c r="N505" s="132">
        <v>9965</v>
      </c>
      <c r="O505" s="129">
        <f t="shared" si="80"/>
        <v>0.21876567987957851</v>
      </c>
      <c r="P505" s="129">
        <f t="shared" si="81"/>
        <v>4.6854460732277982E-3</v>
      </c>
      <c r="Q505" s="4"/>
    </row>
    <row r="506" spans="1:28" ht="17.25" customHeight="1" x14ac:dyDescent="0.2">
      <c r="A506" s="122">
        <f t="shared" si="82"/>
        <v>504</v>
      </c>
      <c r="B506" s="123" t="s">
        <v>32</v>
      </c>
      <c r="C506" s="131" t="s">
        <v>84</v>
      </c>
      <c r="D506" s="125">
        <v>224.03</v>
      </c>
      <c r="E506" s="132">
        <v>2900</v>
      </c>
      <c r="F506" s="139">
        <f t="shared" si="78"/>
        <v>224.99956900000001</v>
      </c>
      <c r="G506" s="127">
        <v>25569.041962604166</v>
      </c>
      <c r="H506" s="127">
        <v>25569.041962604166</v>
      </c>
      <c r="I506" s="132">
        <v>54</v>
      </c>
      <c r="J506" s="132">
        <v>1379</v>
      </c>
      <c r="K506" s="144" t="s">
        <v>429</v>
      </c>
      <c r="L506" s="132">
        <v>5492</v>
      </c>
      <c r="M506" s="143">
        <f t="shared" si="79"/>
        <v>74.108029254595621</v>
      </c>
      <c r="N506" s="132">
        <v>7098</v>
      </c>
      <c r="O506" s="129">
        <f t="shared" si="80"/>
        <v>0.77373908143138914</v>
      </c>
      <c r="P506" s="129">
        <f t="shared" si="81"/>
        <v>1.0440691639137169E-2</v>
      </c>
      <c r="Q506" s="4"/>
    </row>
    <row r="507" spans="1:28" ht="17.25" customHeight="1" x14ac:dyDescent="0.2">
      <c r="A507" s="122">
        <f t="shared" si="82"/>
        <v>505</v>
      </c>
      <c r="B507" s="123" t="s">
        <v>32</v>
      </c>
      <c r="C507" s="131" t="s">
        <v>84</v>
      </c>
      <c r="D507" s="125">
        <v>225.04</v>
      </c>
      <c r="E507" s="132">
        <v>2900</v>
      </c>
      <c r="F507" s="139">
        <f t="shared" si="78"/>
        <v>226.002802</v>
      </c>
      <c r="G507" s="127">
        <v>25569.041962604166</v>
      </c>
      <c r="H507" s="127">
        <v>25569.041962604166</v>
      </c>
      <c r="I507" s="132">
        <v>53</v>
      </c>
      <c r="J507" s="132">
        <v>1375</v>
      </c>
      <c r="K507" s="144" t="s">
        <v>429</v>
      </c>
      <c r="L507" s="132">
        <v>8684</v>
      </c>
      <c r="M507" s="143">
        <f t="shared" si="79"/>
        <v>93.187982057773951</v>
      </c>
      <c r="N507" s="132">
        <v>6848</v>
      </c>
      <c r="O507" s="129">
        <f t="shared" si="80"/>
        <v>1.268107476635514</v>
      </c>
      <c r="P507" s="129">
        <f t="shared" si="81"/>
        <v>1.3608058127595496E-2</v>
      </c>
      <c r="Q507" s="4"/>
    </row>
    <row r="508" spans="1:28" ht="17.25" customHeight="1" x14ac:dyDescent="0.2">
      <c r="A508" s="122">
        <f t="shared" si="82"/>
        <v>506</v>
      </c>
      <c r="B508" s="123" t="s">
        <v>32</v>
      </c>
      <c r="C508" s="131" t="s">
        <v>84</v>
      </c>
      <c r="D508" s="125">
        <v>226.04</v>
      </c>
      <c r="E508" s="132">
        <v>2900</v>
      </c>
      <c r="F508" s="139">
        <f t="shared" ref="F508:F539" si="83">0.9933*(D508+E508/1000)-0.41</f>
        <v>226.99610199999998</v>
      </c>
      <c r="G508" s="127">
        <v>25569.041962604166</v>
      </c>
      <c r="H508" s="127">
        <v>25569.041962604166</v>
      </c>
      <c r="I508" s="132">
        <v>52</v>
      </c>
      <c r="J508" s="132">
        <v>1624</v>
      </c>
      <c r="K508" s="144" t="s">
        <v>429</v>
      </c>
      <c r="L508" s="132">
        <v>10738</v>
      </c>
      <c r="M508" s="143">
        <f t="shared" ref="M508:M539" si="84">SQRT(L508)</f>
        <v>103.62432146943111</v>
      </c>
      <c r="N508" s="132">
        <v>7926</v>
      </c>
      <c r="O508" s="129">
        <f t="shared" ref="O508:O539" si="85">L508/N508</f>
        <v>1.3547817310118597</v>
      </c>
      <c r="P508" s="129">
        <f t="shared" ref="P508:P539" si="86">M508/N508</f>
        <v>1.3073974447316566E-2</v>
      </c>
      <c r="Q508" s="4"/>
    </row>
    <row r="509" spans="1:28" ht="17.25" customHeight="1" x14ac:dyDescent="0.2">
      <c r="A509" s="122">
        <f t="shared" si="82"/>
        <v>507</v>
      </c>
      <c r="B509" s="123" t="s">
        <v>32</v>
      </c>
      <c r="C509" s="131" t="s">
        <v>84</v>
      </c>
      <c r="D509" s="125">
        <v>227.05</v>
      </c>
      <c r="E509" s="132">
        <v>2900</v>
      </c>
      <c r="F509" s="139">
        <f t="shared" si="83"/>
        <v>227.999335</v>
      </c>
      <c r="G509" s="127">
        <v>25569.041962604166</v>
      </c>
      <c r="H509" s="127">
        <v>25569.041962604166</v>
      </c>
      <c r="I509" s="132">
        <v>52</v>
      </c>
      <c r="J509" s="132">
        <v>1371</v>
      </c>
      <c r="K509" s="144" t="s">
        <v>429</v>
      </c>
      <c r="L509" s="132">
        <v>9333</v>
      </c>
      <c r="M509" s="143">
        <f t="shared" si="84"/>
        <v>96.607453128627711</v>
      </c>
      <c r="N509" s="132">
        <v>6812</v>
      </c>
      <c r="O509" s="129">
        <f t="shared" si="85"/>
        <v>1.3700822078684673</v>
      </c>
      <c r="P509" s="129">
        <f t="shared" si="86"/>
        <v>1.4181951428160262E-2</v>
      </c>
      <c r="Q509" s="4"/>
    </row>
    <row r="510" spans="1:28" ht="17.25" customHeight="1" x14ac:dyDescent="0.2">
      <c r="A510" s="122">
        <f t="shared" si="82"/>
        <v>508</v>
      </c>
      <c r="B510" s="123" t="s">
        <v>32</v>
      </c>
      <c r="C510" s="131" t="s">
        <v>84</v>
      </c>
      <c r="D510" s="125">
        <v>228.06</v>
      </c>
      <c r="E510" s="132">
        <v>2900</v>
      </c>
      <c r="F510" s="139">
        <f t="shared" si="83"/>
        <v>229.002568</v>
      </c>
      <c r="G510" s="127">
        <v>25569.041962604166</v>
      </c>
      <c r="H510" s="127">
        <v>25569.041962604166</v>
      </c>
      <c r="I510" s="132">
        <v>52</v>
      </c>
      <c r="J510" s="132">
        <v>2127</v>
      </c>
      <c r="K510" s="144" t="s">
        <v>429</v>
      </c>
      <c r="L510" s="132">
        <v>12972</v>
      </c>
      <c r="M510" s="143">
        <f t="shared" si="84"/>
        <v>113.89468819923079</v>
      </c>
      <c r="N510" s="132">
        <v>9040</v>
      </c>
      <c r="O510" s="129">
        <f t="shared" si="85"/>
        <v>1.4349557522123895</v>
      </c>
      <c r="P510" s="129">
        <f t="shared" si="86"/>
        <v>1.2598969933543229E-2</v>
      </c>
      <c r="Q510" s="4"/>
    </row>
    <row r="511" spans="1:28" ht="17.25" customHeight="1" x14ac:dyDescent="0.2">
      <c r="A511" s="122">
        <f t="shared" si="82"/>
        <v>509</v>
      </c>
      <c r="B511" s="123" t="s">
        <v>32</v>
      </c>
      <c r="C511" s="131" t="s">
        <v>84</v>
      </c>
      <c r="D511" s="125">
        <v>229.06</v>
      </c>
      <c r="E511" s="132">
        <v>2900</v>
      </c>
      <c r="F511" s="139">
        <f t="shared" si="83"/>
        <v>229.995868</v>
      </c>
      <c r="G511" s="127">
        <v>25569.041962604166</v>
      </c>
      <c r="H511" s="127">
        <v>25569.041962604166</v>
      </c>
      <c r="I511" s="132">
        <v>51</v>
      </c>
      <c r="J511" s="132">
        <v>1248</v>
      </c>
      <c r="K511" s="144" t="s">
        <v>429</v>
      </c>
      <c r="L511" s="132">
        <v>9281</v>
      </c>
      <c r="M511" s="143">
        <f t="shared" si="84"/>
        <v>96.337946833010719</v>
      </c>
      <c r="N511" s="132">
        <v>6178</v>
      </c>
      <c r="O511" s="129">
        <f t="shared" si="85"/>
        <v>1.502266105535772</v>
      </c>
      <c r="P511" s="129">
        <f t="shared" si="86"/>
        <v>1.5593711044514522E-2</v>
      </c>
      <c r="Q511" s="4"/>
    </row>
    <row r="512" spans="1:28" ht="17.25" customHeight="1" x14ac:dyDescent="0.2">
      <c r="A512" s="122">
        <f t="shared" si="82"/>
        <v>510</v>
      </c>
      <c r="B512" s="123" t="s">
        <v>32</v>
      </c>
      <c r="C512" s="131" t="s">
        <v>84</v>
      </c>
      <c r="D512" s="125">
        <v>230.07</v>
      </c>
      <c r="E512" s="132">
        <v>2900</v>
      </c>
      <c r="F512" s="139">
        <f t="shared" si="83"/>
        <v>230.999101</v>
      </c>
      <c r="G512" s="127">
        <v>25569.041962604166</v>
      </c>
      <c r="H512" s="127">
        <v>25569.041962604166</v>
      </c>
      <c r="I512" s="132">
        <v>50</v>
      </c>
      <c r="J512" s="132">
        <v>1251</v>
      </c>
      <c r="K512" s="144" t="s">
        <v>429</v>
      </c>
      <c r="L512" s="132">
        <v>9514</v>
      </c>
      <c r="M512" s="143">
        <f t="shared" si="84"/>
        <v>97.53973549277238</v>
      </c>
      <c r="N512" s="132">
        <v>6099</v>
      </c>
      <c r="O512" s="129">
        <f t="shared" si="85"/>
        <v>1.559927857025742</v>
      </c>
      <c r="P512" s="129">
        <f t="shared" si="86"/>
        <v>1.5992742333623935E-2</v>
      </c>
      <c r="Q512" s="4"/>
    </row>
    <row r="513" spans="1:17" ht="17.25" customHeight="1" x14ac:dyDescent="0.2">
      <c r="A513" s="122">
        <f t="shared" si="82"/>
        <v>511</v>
      </c>
      <c r="B513" s="123" t="s">
        <v>32</v>
      </c>
      <c r="C513" s="131" t="s">
        <v>84</v>
      </c>
      <c r="D513" s="125">
        <v>231.08</v>
      </c>
      <c r="E513" s="132">
        <v>2900</v>
      </c>
      <c r="F513" s="139">
        <f t="shared" si="83"/>
        <v>232.00233400000002</v>
      </c>
      <c r="G513" s="127">
        <v>25569.041962604166</v>
      </c>
      <c r="H513" s="127">
        <v>25569.041962604166</v>
      </c>
      <c r="I513" s="132">
        <v>50</v>
      </c>
      <c r="J513" s="132">
        <v>1255</v>
      </c>
      <c r="K513" s="144" t="s">
        <v>429</v>
      </c>
      <c r="L513" s="132">
        <v>9585</v>
      </c>
      <c r="M513" s="143">
        <f t="shared" si="84"/>
        <v>97.903013232484327</v>
      </c>
      <c r="N513" s="132">
        <v>6058</v>
      </c>
      <c r="O513" s="129">
        <f t="shared" si="85"/>
        <v>1.5822053482997689</v>
      </c>
      <c r="P513" s="129">
        <f t="shared" si="86"/>
        <v>1.6160946390307747E-2</v>
      </c>
      <c r="Q513" s="4"/>
    </row>
    <row r="514" spans="1:17" ht="17.25" customHeight="1" x14ac:dyDescent="0.2">
      <c r="A514" s="122">
        <f t="shared" si="82"/>
        <v>512</v>
      </c>
      <c r="B514" s="123" t="s">
        <v>32</v>
      </c>
      <c r="C514" s="131" t="s">
        <v>84</v>
      </c>
      <c r="D514" s="125">
        <v>232.08</v>
      </c>
      <c r="E514" s="132">
        <v>2900</v>
      </c>
      <c r="F514" s="139">
        <f t="shared" si="83"/>
        <v>232.99563400000002</v>
      </c>
      <c r="G514" s="127">
        <v>25569.041962604166</v>
      </c>
      <c r="H514" s="127">
        <v>25569.041962604166</v>
      </c>
      <c r="I514" s="132">
        <v>50</v>
      </c>
      <c r="J514" s="132">
        <v>1253</v>
      </c>
      <c r="K514" s="144" t="s">
        <v>429</v>
      </c>
      <c r="L514" s="132">
        <v>9744</v>
      </c>
      <c r="M514" s="143">
        <f t="shared" si="84"/>
        <v>98.711701434024533</v>
      </c>
      <c r="N514" s="132">
        <v>6022</v>
      </c>
      <c r="O514" s="129">
        <f t="shared" si="85"/>
        <v>1.6180670873463965</v>
      </c>
      <c r="P514" s="129">
        <f t="shared" si="86"/>
        <v>1.6391846800734727E-2</v>
      </c>
      <c r="Q514" s="4"/>
    </row>
    <row r="515" spans="1:17" ht="17.25" customHeight="1" x14ac:dyDescent="0.2">
      <c r="A515" s="122">
        <f t="shared" si="82"/>
        <v>513</v>
      </c>
      <c r="B515" s="123" t="s">
        <v>32</v>
      </c>
      <c r="C515" s="131" t="s">
        <v>84</v>
      </c>
      <c r="D515" s="125">
        <v>237.12</v>
      </c>
      <c r="E515" s="132">
        <v>2900</v>
      </c>
      <c r="F515" s="139">
        <f t="shared" si="83"/>
        <v>238.00186600000001</v>
      </c>
      <c r="G515" s="127">
        <v>25569.041962604166</v>
      </c>
      <c r="H515" s="127">
        <v>25569.041962604166</v>
      </c>
      <c r="I515" s="132">
        <v>50</v>
      </c>
      <c r="J515" s="132">
        <v>1251</v>
      </c>
      <c r="K515" s="144" t="s">
        <v>429</v>
      </c>
      <c r="L515" s="132">
        <v>10479</v>
      </c>
      <c r="M515" s="143">
        <f t="shared" si="84"/>
        <v>102.36698686588367</v>
      </c>
      <c r="N515" s="132">
        <v>6009</v>
      </c>
      <c r="O515" s="129">
        <f t="shared" si="85"/>
        <v>1.7438841737393909</v>
      </c>
      <c r="P515" s="129">
        <f t="shared" si="86"/>
        <v>1.7035611061055694E-2</v>
      </c>
      <c r="Q515" s="4"/>
    </row>
    <row r="516" spans="1:17" ht="17.25" customHeight="1" x14ac:dyDescent="0.2">
      <c r="A516" s="122">
        <f t="shared" si="82"/>
        <v>514</v>
      </c>
      <c r="B516" s="123" t="s">
        <v>32</v>
      </c>
      <c r="C516" s="131" t="s">
        <v>84</v>
      </c>
      <c r="D516" s="125">
        <v>242.15</v>
      </c>
      <c r="E516" s="132">
        <v>2900</v>
      </c>
      <c r="F516" s="139">
        <f t="shared" si="83"/>
        <v>242.998165</v>
      </c>
      <c r="G516" s="127">
        <v>25569.041962604166</v>
      </c>
      <c r="H516" s="127">
        <v>25569.041962604166</v>
      </c>
      <c r="I516" s="132">
        <v>49</v>
      </c>
      <c r="J516" s="132">
        <v>1253</v>
      </c>
      <c r="K516" s="144" t="s">
        <v>429</v>
      </c>
      <c r="L516" s="132">
        <v>11274</v>
      </c>
      <c r="M516" s="143">
        <f t="shared" si="84"/>
        <v>106.17909398747005</v>
      </c>
      <c r="N516" s="132">
        <v>6215</v>
      </c>
      <c r="O516" s="129">
        <f t="shared" si="85"/>
        <v>1.8139983909895414</v>
      </c>
      <c r="P516" s="129">
        <f t="shared" si="86"/>
        <v>1.7084327270711193E-2</v>
      </c>
      <c r="Q516" s="4"/>
    </row>
    <row r="517" spans="1:17" ht="17.25" customHeight="1" x14ac:dyDescent="0.2">
      <c r="A517" s="122">
        <f t="shared" si="82"/>
        <v>515</v>
      </c>
      <c r="B517" s="123" t="s">
        <v>32</v>
      </c>
      <c r="C517" s="131" t="s">
        <v>84</v>
      </c>
      <c r="D517" s="125">
        <v>247.19</v>
      </c>
      <c r="E517" s="132">
        <v>2900</v>
      </c>
      <c r="F517" s="139">
        <f t="shared" si="83"/>
        <v>248.00439699999998</v>
      </c>
      <c r="G517" s="127">
        <v>25569.041962604166</v>
      </c>
      <c r="H517" s="127">
        <v>25569.041962604166</v>
      </c>
      <c r="I517" s="132">
        <v>49</v>
      </c>
      <c r="J517" s="132">
        <v>1256</v>
      </c>
      <c r="K517" s="144" t="s">
        <v>429</v>
      </c>
      <c r="L517" s="132">
        <v>10530</v>
      </c>
      <c r="M517" s="143">
        <f t="shared" si="84"/>
        <v>102.61578825892242</v>
      </c>
      <c r="N517" s="132">
        <v>5860</v>
      </c>
      <c r="O517" s="129">
        <f t="shared" si="85"/>
        <v>1.7969283276450512</v>
      </c>
      <c r="P517" s="129">
        <f t="shared" si="86"/>
        <v>1.7511226665345124E-2</v>
      </c>
      <c r="Q517" s="4"/>
    </row>
    <row r="518" spans="1:17" ht="17.25" customHeight="1" x14ac:dyDescent="0.2">
      <c r="A518" s="122">
        <f t="shared" si="82"/>
        <v>516</v>
      </c>
      <c r="B518" s="123" t="s">
        <v>32</v>
      </c>
      <c r="C518" s="131" t="s">
        <v>84</v>
      </c>
      <c r="D518" s="125">
        <v>252.22</v>
      </c>
      <c r="E518" s="132">
        <v>2900</v>
      </c>
      <c r="F518" s="139">
        <f t="shared" si="83"/>
        <v>253.000696</v>
      </c>
      <c r="G518" s="127">
        <v>25569.041962604166</v>
      </c>
      <c r="H518" s="127">
        <v>25569.041962604166</v>
      </c>
      <c r="I518" s="132">
        <v>47</v>
      </c>
      <c r="J518" s="132">
        <v>1250</v>
      </c>
      <c r="K518" s="144" t="s">
        <v>429</v>
      </c>
      <c r="L518" s="132">
        <v>10196</v>
      </c>
      <c r="M518" s="143">
        <f t="shared" si="84"/>
        <v>100.9752444909147</v>
      </c>
      <c r="N518" s="132">
        <v>5561</v>
      </c>
      <c r="O518" s="129">
        <f t="shared" si="85"/>
        <v>1.8334831864772523</v>
      </c>
      <c r="P518" s="129">
        <f t="shared" si="86"/>
        <v>1.8157749413938988E-2</v>
      </c>
      <c r="Q518" s="4"/>
    </row>
    <row r="519" spans="1:17" ht="17.25" customHeight="1" x14ac:dyDescent="0.2">
      <c r="A519" s="122">
        <f t="shared" si="82"/>
        <v>517</v>
      </c>
      <c r="B519" s="123" t="s">
        <v>32</v>
      </c>
      <c r="C519" s="131" t="s">
        <v>84</v>
      </c>
      <c r="D519" s="125">
        <v>257.25</v>
      </c>
      <c r="E519" s="132">
        <v>2900</v>
      </c>
      <c r="F519" s="139">
        <f t="shared" si="83"/>
        <v>257.99699499999997</v>
      </c>
      <c r="G519" s="127">
        <v>25569.041962604166</v>
      </c>
      <c r="H519" s="127">
        <v>25569.041962604166</v>
      </c>
      <c r="I519" s="132">
        <v>46</v>
      </c>
      <c r="J519" s="132">
        <v>1246</v>
      </c>
      <c r="K519" s="144" t="s">
        <v>429</v>
      </c>
      <c r="L519" s="132">
        <v>10203</v>
      </c>
      <c r="M519" s="143">
        <f t="shared" si="84"/>
        <v>101.0099005048515</v>
      </c>
      <c r="N519" s="132">
        <v>5553</v>
      </c>
      <c r="O519" s="129">
        <f t="shared" si="85"/>
        <v>1.8373851971907078</v>
      </c>
      <c r="P519" s="129">
        <f t="shared" si="86"/>
        <v>1.8190149559670719E-2</v>
      </c>
      <c r="Q519" s="4"/>
    </row>
    <row r="520" spans="1:17" ht="17.25" customHeight="1" x14ac:dyDescent="0.2">
      <c r="A520" s="122">
        <f t="shared" si="82"/>
        <v>518</v>
      </c>
      <c r="B520" s="123" t="s">
        <v>32</v>
      </c>
      <c r="C520" s="131" t="s">
        <v>84</v>
      </c>
      <c r="D520" s="125">
        <v>262.29000000000002</v>
      </c>
      <c r="E520" s="132">
        <v>2900</v>
      </c>
      <c r="F520" s="139">
        <f t="shared" si="83"/>
        <v>263.00322699999998</v>
      </c>
      <c r="G520" s="127">
        <v>25569.041962604166</v>
      </c>
      <c r="H520" s="127">
        <v>25569.041962604166</v>
      </c>
      <c r="I520" s="132">
        <v>44</v>
      </c>
      <c r="J520" s="132">
        <v>1252</v>
      </c>
      <c r="K520" s="144" t="s">
        <v>429</v>
      </c>
      <c r="L520" s="132">
        <v>10015</v>
      </c>
      <c r="M520" s="143">
        <f t="shared" si="84"/>
        <v>100.07497189607399</v>
      </c>
      <c r="N520" s="132">
        <v>5367</v>
      </c>
      <c r="O520" s="129">
        <f t="shared" si="85"/>
        <v>1.8660331656418856</v>
      </c>
      <c r="P520" s="129">
        <f t="shared" si="86"/>
        <v>1.8646352132676354E-2</v>
      </c>
      <c r="Q520" s="4"/>
    </row>
    <row r="521" spans="1:17" ht="17.25" customHeight="1" x14ac:dyDescent="0.2">
      <c r="A521" s="122">
        <f t="shared" si="82"/>
        <v>519</v>
      </c>
      <c r="B521" s="123" t="s">
        <v>32</v>
      </c>
      <c r="C521" s="131" t="s">
        <v>84</v>
      </c>
      <c r="D521" s="125">
        <v>267.32</v>
      </c>
      <c r="E521" s="132">
        <v>2900</v>
      </c>
      <c r="F521" s="139">
        <f t="shared" si="83"/>
        <v>267.99952599999995</v>
      </c>
      <c r="G521" s="127">
        <v>25569.041962604166</v>
      </c>
      <c r="H521" s="127">
        <v>25569.041962604166</v>
      </c>
      <c r="I521" s="132">
        <v>44</v>
      </c>
      <c r="J521" s="132">
        <v>1250</v>
      </c>
      <c r="K521" s="144" t="s">
        <v>429</v>
      </c>
      <c r="L521" s="132">
        <v>10191</v>
      </c>
      <c r="M521" s="143">
        <f t="shared" si="84"/>
        <v>100.9504829111778</v>
      </c>
      <c r="N521" s="132">
        <v>5270</v>
      </c>
      <c r="O521" s="129">
        <f t="shared" si="85"/>
        <v>1.933776091081594</v>
      </c>
      <c r="P521" s="129">
        <f t="shared" si="86"/>
        <v>1.9155689356959736E-2</v>
      </c>
      <c r="Q521" s="4"/>
    </row>
    <row r="522" spans="1:17" ht="17.25" customHeight="1" x14ac:dyDescent="0.2">
      <c r="A522" s="122">
        <f t="shared" si="82"/>
        <v>520</v>
      </c>
      <c r="B522" s="123" t="s">
        <v>32</v>
      </c>
      <c r="C522" s="131" t="s">
        <v>84</v>
      </c>
      <c r="D522" s="125">
        <v>272.35000000000002</v>
      </c>
      <c r="E522" s="132">
        <v>2900</v>
      </c>
      <c r="F522" s="139">
        <f t="shared" si="83"/>
        <v>272.99582499999997</v>
      </c>
      <c r="G522" s="127">
        <v>25569.041962604166</v>
      </c>
      <c r="H522" s="127">
        <v>25569.041962604166</v>
      </c>
      <c r="I522" s="132">
        <v>43</v>
      </c>
      <c r="J522" s="132">
        <v>1250</v>
      </c>
      <c r="K522" s="144" t="s">
        <v>429</v>
      </c>
      <c r="L522" s="132">
        <v>10678</v>
      </c>
      <c r="M522" s="143">
        <f t="shared" si="84"/>
        <v>103.33440859655606</v>
      </c>
      <c r="N522" s="132">
        <v>5371</v>
      </c>
      <c r="O522" s="129">
        <f t="shared" si="85"/>
        <v>1.9880841556507167</v>
      </c>
      <c r="P522" s="129">
        <f t="shared" si="86"/>
        <v>1.9239323886903009E-2</v>
      </c>
      <c r="Q522" s="4"/>
    </row>
    <row r="523" spans="1:17" ht="17.25" customHeight="1" x14ac:dyDescent="0.2">
      <c r="A523" s="122">
        <f t="shared" si="82"/>
        <v>521</v>
      </c>
      <c r="B523" s="123" t="s">
        <v>32</v>
      </c>
      <c r="C523" s="131" t="s">
        <v>84</v>
      </c>
      <c r="D523" s="125">
        <v>277.39</v>
      </c>
      <c r="E523" s="132">
        <v>2900</v>
      </c>
      <c r="F523" s="139">
        <f t="shared" si="83"/>
        <v>278.00205699999992</v>
      </c>
      <c r="G523" s="127">
        <v>25569.041962604166</v>
      </c>
      <c r="H523" s="127">
        <v>25569.041962604166</v>
      </c>
      <c r="I523" s="132">
        <v>41</v>
      </c>
      <c r="J523" s="132">
        <v>1252</v>
      </c>
      <c r="K523" s="144" t="s">
        <v>429</v>
      </c>
      <c r="L523" s="132">
        <v>10255</v>
      </c>
      <c r="M523" s="143">
        <f t="shared" si="84"/>
        <v>101.26697388586271</v>
      </c>
      <c r="N523" s="132">
        <v>4935</v>
      </c>
      <c r="O523" s="129">
        <f t="shared" si="85"/>
        <v>2.0780141843971629</v>
      </c>
      <c r="P523" s="129">
        <f t="shared" si="86"/>
        <v>2.0520156815777651E-2</v>
      </c>
      <c r="Q523" s="4"/>
    </row>
    <row r="524" spans="1:17" ht="17.25" customHeight="1" x14ac:dyDescent="0.2">
      <c r="A524" s="122">
        <f t="shared" si="82"/>
        <v>522</v>
      </c>
      <c r="B524" s="123" t="s">
        <v>32</v>
      </c>
      <c r="C524" s="131" t="s">
        <v>84</v>
      </c>
      <c r="D524" s="125">
        <v>282.42</v>
      </c>
      <c r="E524" s="132">
        <v>2900</v>
      </c>
      <c r="F524" s="139">
        <f t="shared" si="83"/>
        <v>282.99835599999994</v>
      </c>
      <c r="G524" s="127">
        <v>25569.041962604166</v>
      </c>
      <c r="H524" s="127">
        <v>25569.041962604166</v>
      </c>
      <c r="I524" s="132">
        <v>40</v>
      </c>
      <c r="J524" s="132">
        <v>1244</v>
      </c>
      <c r="K524" s="144" t="s">
        <v>429</v>
      </c>
      <c r="L524" s="132">
        <v>9840</v>
      </c>
      <c r="M524" s="143">
        <f t="shared" si="84"/>
        <v>99.196774141097961</v>
      </c>
      <c r="N524" s="132">
        <v>4727</v>
      </c>
      <c r="O524" s="129">
        <f t="shared" si="85"/>
        <v>2.0816585572244555</v>
      </c>
      <c r="P524" s="129">
        <f t="shared" si="86"/>
        <v>2.0985143672751842E-2</v>
      </c>
      <c r="Q524" s="4"/>
    </row>
    <row r="525" spans="1:17" ht="17.25" customHeight="1" x14ac:dyDescent="0.2">
      <c r="A525" s="122">
        <f t="shared" si="82"/>
        <v>523</v>
      </c>
      <c r="B525" s="123" t="s">
        <v>32</v>
      </c>
      <c r="C525" s="131" t="s">
        <v>84</v>
      </c>
      <c r="D525" s="125">
        <v>287.45999999999998</v>
      </c>
      <c r="E525" s="132">
        <v>2900</v>
      </c>
      <c r="F525" s="139">
        <f t="shared" si="83"/>
        <v>288.0045879999999</v>
      </c>
      <c r="G525" s="127">
        <v>25569.041962604166</v>
      </c>
      <c r="H525" s="127">
        <v>25569.041962604166</v>
      </c>
      <c r="I525" s="132">
        <v>39</v>
      </c>
      <c r="J525" s="132">
        <v>1252</v>
      </c>
      <c r="K525" s="144" t="s">
        <v>429</v>
      </c>
      <c r="L525" s="132">
        <v>10209</v>
      </c>
      <c r="M525" s="143">
        <f t="shared" si="84"/>
        <v>101.03959619871806</v>
      </c>
      <c r="N525" s="132">
        <v>4718</v>
      </c>
      <c r="O525" s="129">
        <f t="shared" si="85"/>
        <v>2.1638406104281476</v>
      </c>
      <c r="P525" s="129">
        <f t="shared" si="86"/>
        <v>2.1415768588113195E-2</v>
      </c>
      <c r="Q525" s="4"/>
    </row>
    <row r="526" spans="1:17" ht="17.25" customHeight="1" x14ac:dyDescent="0.2">
      <c r="A526" s="122">
        <f t="shared" si="82"/>
        <v>524</v>
      </c>
      <c r="B526" s="123" t="s">
        <v>32</v>
      </c>
      <c r="C526" s="131" t="s">
        <v>84</v>
      </c>
      <c r="D526" s="125">
        <v>292.49</v>
      </c>
      <c r="E526" s="132">
        <v>2900</v>
      </c>
      <c r="F526" s="139">
        <f t="shared" si="83"/>
        <v>293.00088699999998</v>
      </c>
      <c r="G526" s="127">
        <v>25569.041962604166</v>
      </c>
      <c r="H526" s="127">
        <v>25569.041962604166</v>
      </c>
      <c r="I526" s="132">
        <v>38</v>
      </c>
      <c r="J526" s="132">
        <v>1250</v>
      </c>
      <c r="K526" s="144" t="s">
        <v>429</v>
      </c>
      <c r="L526" s="132">
        <v>10139</v>
      </c>
      <c r="M526" s="143">
        <f t="shared" si="84"/>
        <v>100.69260151570224</v>
      </c>
      <c r="N526" s="132">
        <v>4484</v>
      </c>
      <c r="O526" s="129">
        <f t="shared" si="85"/>
        <v>2.2611507582515613</v>
      </c>
      <c r="P526" s="129">
        <f t="shared" si="86"/>
        <v>2.2455977144447421E-2</v>
      </c>
      <c r="Q526" s="4"/>
    </row>
    <row r="527" spans="1:17" ht="17.25" customHeight="1" x14ac:dyDescent="0.2">
      <c r="A527" s="122">
        <f t="shared" si="82"/>
        <v>525</v>
      </c>
      <c r="B527" s="123" t="s">
        <v>32</v>
      </c>
      <c r="C527" s="131" t="s">
        <v>84</v>
      </c>
      <c r="D527" s="125">
        <v>297.52</v>
      </c>
      <c r="E527" s="132">
        <v>2900</v>
      </c>
      <c r="F527" s="139">
        <f t="shared" si="83"/>
        <v>297.99718599999994</v>
      </c>
      <c r="G527" s="127">
        <v>25569.041962604166</v>
      </c>
      <c r="H527" s="127">
        <v>25569.041962604166</v>
      </c>
      <c r="I527" s="132">
        <v>35</v>
      </c>
      <c r="J527" s="132">
        <v>1249</v>
      </c>
      <c r="K527" s="144" t="s">
        <v>429</v>
      </c>
      <c r="L527" s="132">
        <v>10924</v>
      </c>
      <c r="M527" s="143">
        <f t="shared" si="84"/>
        <v>104.51794104363135</v>
      </c>
      <c r="N527" s="132">
        <v>4263</v>
      </c>
      <c r="O527" s="129">
        <f t="shared" si="85"/>
        <v>2.5625146610368286</v>
      </c>
      <c r="P527" s="129">
        <f t="shared" si="86"/>
        <v>2.4517462126115729E-2</v>
      </c>
      <c r="Q527" s="4"/>
    </row>
    <row r="528" spans="1:17" ht="17.25" customHeight="1" x14ac:dyDescent="0.2">
      <c r="A528" s="122">
        <f t="shared" si="82"/>
        <v>526</v>
      </c>
      <c r="B528" s="123" t="s">
        <v>32</v>
      </c>
      <c r="C528" s="131" t="s">
        <v>84</v>
      </c>
      <c r="D528" s="125">
        <v>302.56</v>
      </c>
      <c r="E528" s="132">
        <v>2900</v>
      </c>
      <c r="F528" s="139">
        <f t="shared" si="83"/>
        <v>303.00341799999995</v>
      </c>
      <c r="G528" s="127">
        <v>25569.041962604166</v>
      </c>
      <c r="H528" s="127">
        <v>25569.041962604166</v>
      </c>
      <c r="I528" s="132">
        <v>34</v>
      </c>
      <c r="J528" s="132">
        <v>1001</v>
      </c>
      <c r="K528" s="144" t="s">
        <v>429</v>
      </c>
      <c r="L528" s="132">
        <v>10608</v>
      </c>
      <c r="M528" s="143">
        <f t="shared" si="84"/>
        <v>102.99514551666987</v>
      </c>
      <c r="N528" s="132">
        <v>3320</v>
      </c>
      <c r="O528" s="129">
        <f t="shared" si="85"/>
        <v>3.1951807228915663</v>
      </c>
      <c r="P528" s="129">
        <f t="shared" si="86"/>
        <v>3.1022634191768032E-2</v>
      </c>
      <c r="Q528" s="4"/>
    </row>
    <row r="529" spans="1:28" ht="17.25" customHeight="1" x14ac:dyDescent="0.2">
      <c r="A529" s="122">
        <f t="shared" si="82"/>
        <v>527</v>
      </c>
      <c r="B529" s="123" t="s">
        <v>32</v>
      </c>
      <c r="C529" s="131" t="s">
        <v>84</v>
      </c>
      <c r="D529" s="125">
        <v>307.58999999999997</v>
      </c>
      <c r="E529" s="132">
        <v>2900</v>
      </c>
      <c r="F529" s="139">
        <f t="shared" si="83"/>
        <v>307.99971699999992</v>
      </c>
      <c r="G529" s="127">
        <v>25569.041962604166</v>
      </c>
      <c r="H529" s="127">
        <v>25569.041962604166</v>
      </c>
      <c r="I529" s="132">
        <v>32</v>
      </c>
      <c r="J529" s="132">
        <v>992</v>
      </c>
      <c r="K529" s="144" t="s">
        <v>429</v>
      </c>
      <c r="L529" s="132">
        <v>13908</v>
      </c>
      <c r="M529" s="143">
        <f t="shared" si="84"/>
        <v>117.93218390244455</v>
      </c>
      <c r="N529" s="132">
        <v>3177</v>
      </c>
      <c r="O529" s="129">
        <f t="shared" si="85"/>
        <v>4.3777148253068932</v>
      </c>
      <c r="P529" s="129">
        <f t="shared" si="86"/>
        <v>3.7120611867310215E-2</v>
      </c>
      <c r="Q529" s="4"/>
    </row>
    <row r="530" spans="1:28" ht="17.25" customHeight="1" x14ac:dyDescent="0.2">
      <c r="A530" s="122">
        <f t="shared" si="82"/>
        <v>528</v>
      </c>
      <c r="B530" s="123" t="s">
        <v>9</v>
      </c>
      <c r="C530" s="131" t="s">
        <v>84</v>
      </c>
      <c r="D530" s="125">
        <v>312.62</v>
      </c>
      <c r="E530" s="132">
        <v>2900</v>
      </c>
      <c r="F530" s="139">
        <f t="shared" si="83"/>
        <v>312.99601599999994</v>
      </c>
      <c r="G530" s="127">
        <v>25569.041962604166</v>
      </c>
      <c r="H530" s="127">
        <v>25569.041962604166</v>
      </c>
      <c r="I530" s="132">
        <v>31</v>
      </c>
      <c r="J530" s="132">
        <v>1006</v>
      </c>
      <c r="K530" s="144" t="s">
        <v>429</v>
      </c>
      <c r="L530" s="132">
        <v>18137</v>
      </c>
      <c r="M530" s="143">
        <f t="shared" si="84"/>
        <v>134.67367968537877</v>
      </c>
      <c r="N530" s="132">
        <v>2905</v>
      </c>
      <c r="O530" s="129">
        <f t="shared" si="85"/>
        <v>6.2433734939759038</v>
      </c>
      <c r="P530" s="129">
        <f t="shared" si="86"/>
        <v>4.6359270115448804E-2</v>
      </c>
      <c r="Q530" s="4"/>
    </row>
    <row r="531" spans="1:28" ht="17.25" customHeight="1" x14ac:dyDescent="0.2">
      <c r="A531" s="122">
        <f t="shared" si="82"/>
        <v>529</v>
      </c>
      <c r="B531" s="123" t="s">
        <v>9</v>
      </c>
      <c r="C531" s="131" t="s">
        <v>84</v>
      </c>
      <c r="D531" s="125">
        <v>314.95</v>
      </c>
      <c r="E531" s="132">
        <v>575</v>
      </c>
      <c r="F531" s="139">
        <f t="shared" si="83"/>
        <v>313.00098249999996</v>
      </c>
      <c r="G531" s="127">
        <v>25569.041962604166</v>
      </c>
      <c r="H531" s="127">
        <v>25569.041962604166</v>
      </c>
      <c r="I531" s="129">
        <v>2.4</v>
      </c>
      <c r="J531" s="132">
        <v>1747</v>
      </c>
      <c r="K531" s="144" t="s">
        <v>429</v>
      </c>
      <c r="L531" s="132">
        <v>3449</v>
      </c>
      <c r="M531" s="143">
        <f t="shared" si="84"/>
        <v>58.728187440104094</v>
      </c>
      <c r="N531" s="132">
        <v>374</v>
      </c>
      <c r="O531" s="129">
        <f t="shared" si="85"/>
        <v>9.2219251336898402</v>
      </c>
      <c r="P531" s="129">
        <f t="shared" si="86"/>
        <v>0.15702723914466335</v>
      </c>
      <c r="Q531" s="4" t="s">
        <v>1462</v>
      </c>
    </row>
    <row r="532" spans="1:28" ht="17.25" customHeight="1" x14ac:dyDescent="0.2">
      <c r="A532" s="183">
        <f t="shared" si="82"/>
        <v>530</v>
      </c>
      <c r="B532" s="184" t="s">
        <v>32</v>
      </c>
      <c r="C532" s="185" t="s">
        <v>84</v>
      </c>
      <c r="D532" s="186">
        <v>314.95</v>
      </c>
      <c r="E532" s="187">
        <v>575</v>
      </c>
      <c r="F532" s="188">
        <f t="shared" si="83"/>
        <v>313.00098249999996</v>
      </c>
      <c r="G532" s="189">
        <v>25569.041962604166</v>
      </c>
      <c r="H532" s="189">
        <v>25569.041962604166</v>
      </c>
      <c r="I532" s="192">
        <v>3.5</v>
      </c>
      <c r="J532" s="187">
        <v>1747</v>
      </c>
      <c r="K532" s="190" t="s">
        <v>429</v>
      </c>
      <c r="L532" s="187">
        <v>4655</v>
      </c>
      <c r="M532" s="191">
        <f t="shared" si="84"/>
        <v>68.227560413662744</v>
      </c>
      <c r="N532" s="187">
        <v>561</v>
      </c>
      <c r="O532" s="192">
        <f t="shared" si="85"/>
        <v>8.2976827094474146</v>
      </c>
      <c r="P532" s="192">
        <f t="shared" si="86"/>
        <v>0.12161775474806193</v>
      </c>
      <c r="Q532" s="204" t="s">
        <v>1473</v>
      </c>
      <c r="R532" s="34"/>
      <c r="S532" s="34"/>
      <c r="T532" s="34"/>
      <c r="U532" s="34"/>
      <c r="V532" s="34"/>
      <c r="W532" s="34"/>
      <c r="X532" s="34"/>
      <c r="Y532" s="34"/>
      <c r="Z532" s="34"/>
      <c r="AA532" s="34"/>
      <c r="AB532" s="34"/>
    </row>
    <row r="533" spans="1:28" ht="17.25" customHeight="1" x14ac:dyDescent="0.2">
      <c r="A533" s="183">
        <f t="shared" si="82"/>
        <v>531</v>
      </c>
      <c r="B533" s="184" t="s">
        <v>157</v>
      </c>
      <c r="C533" s="185" t="s">
        <v>84</v>
      </c>
      <c r="D533" s="186">
        <v>249.67</v>
      </c>
      <c r="E533" s="187">
        <v>2893</v>
      </c>
      <c r="F533" s="188">
        <f t="shared" si="83"/>
        <v>250.46082789999997</v>
      </c>
      <c r="G533" s="189">
        <v>25569.041962604166</v>
      </c>
      <c r="H533" s="189">
        <v>25569.041962604166</v>
      </c>
      <c r="I533" s="187">
        <v>78</v>
      </c>
      <c r="J533" s="187">
        <v>725652</v>
      </c>
      <c r="K533" s="190" t="s">
        <v>429</v>
      </c>
      <c r="L533" s="206"/>
      <c r="M533" s="191">
        <f t="shared" si="84"/>
        <v>0</v>
      </c>
      <c r="N533" s="206"/>
      <c r="O533" s="214" t="e">
        <f t="shared" si="85"/>
        <v>#DIV/0!</v>
      </c>
      <c r="P533" s="192" t="e">
        <f t="shared" si="86"/>
        <v>#DIV/0!</v>
      </c>
      <c r="Q533" s="204"/>
      <c r="R533" s="34"/>
      <c r="S533" s="34"/>
      <c r="T533" s="34"/>
      <c r="U533" s="34"/>
      <c r="V533" s="34"/>
      <c r="W533" s="34"/>
      <c r="X533" s="34"/>
      <c r="Y533" s="34"/>
      <c r="Z533" s="34"/>
      <c r="AA533" s="34"/>
      <c r="AB533" s="34"/>
    </row>
    <row r="534" spans="1:28" ht="17.25" customHeight="1" x14ac:dyDescent="0.2">
      <c r="A534" s="122">
        <f t="shared" si="82"/>
        <v>532</v>
      </c>
      <c r="B534" s="123" t="s">
        <v>33</v>
      </c>
      <c r="C534" s="131" t="s">
        <v>84</v>
      </c>
      <c r="D534" s="125">
        <v>225.05</v>
      </c>
      <c r="E534" s="132">
        <v>2886</v>
      </c>
      <c r="F534" s="139">
        <f t="shared" si="83"/>
        <v>225.99882880000001</v>
      </c>
      <c r="G534" s="127">
        <v>25569.041962604166</v>
      </c>
      <c r="H534" s="127">
        <v>25569.041962604166</v>
      </c>
      <c r="I534" s="132">
        <v>67</v>
      </c>
      <c r="J534" s="132">
        <v>1247</v>
      </c>
      <c r="K534" s="144" t="s">
        <v>429</v>
      </c>
      <c r="L534" s="132">
        <v>11239</v>
      </c>
      <c r="M534" s="143">
        <f t="shared" si="84"/>
        <v>106.01414999895061</v>
      </c>
      <c r="N534" s="132">
        <v>8697</v>
      </c>
      <c r="O534" s="129">
        <f t="shared" si="85"/>
        <v>1.2922846958721399</v>
      </c>
      <c r="P534" s="129">
        <f t="shared" si="86"/>
        <v>1.2189737840514041E-2</v>
      </c>
      <c r="Q534" s="4"/>
    </row>
    <row r="535" spans="1:28" ht="17.25" customHeight="1" x14ac:dyDescent="0.2">
      <c r="A535" s="122">
        <f t="shared" si="82"/>
        <v>533</v>
      </c>
      <c r="B535" s="123" t="s">
        <v>33</v>
      </c>
      <c r="C535" s="131" t="s">
        <v>84</v>
      </c>
      <c r="D535" s="125">
        <v>232.1</v>
      </c>
      <c r="E535" s="132">
        <v>2886</v>
      </c>
      <c r="F535" s="139">
        <f t="shared" si="83"/>
        <v>233.00159379999999</v>
      </c>
      <c r="G535" s="127">
        <v>25569.041962604166</v>
      </c>
      <c r="H535" s="127">
        <v>25569.041962604166</v>
      </c>
      <c r="I535" s="132">
        <v>67</v>
      </c>
      <c r="J535" s="132">
        <v>1000</v>
      </c>
      <c r="K535" s="144" t="s">
        <v>429</v>
      </c>
      <c r="L535" s="132">
        <v>10675</v>
      </c>
      <c r="M535" s="143">
        <f t="shared" si="84"/>
        <v>103.31989159885913</v>
      </c>
      <c r="N535" s="132">
        <v>6432</v>
      </c>
      <c r="O535" s="129">
        <f t="shared" si="85"/>
        <v>1.6596703980099503</v>
      </c>
      <c r="P535" s="129">
        <f t="shared" si="86"/>
        <v>1.6063415982409689E-2</v>
      </c>
      <c r="Q535" s="4"/>
    </row>
    <row r="536" spans="1:28" ht="17.25" customHeight="1" x14ac:dyDescent="0.2">
      <c r="A536" s="122">
        <f t="shared" si="82"/>
        <v>534</v>
      </c>
      <c r="B536" s="123" t="s">
        <v>33</v>
      </c>
      <c r="C536" s="131" t="s">
        <v>84</v>
      </c>
      <c r="D536" s="125">
        <v>252.23</v>
      </c>
      <c r="E536" s="132">
        <v>2886</v>
      </c>
      <c r="F536" s="139">
        <f t="shared" si="83"/>
        <v>252.99672279999999</v>
      </c>
      <c r="G536" s="127">
        <v>25569.041962604166</v>
      </c>
      <c r="H536" s="127">
        <v>25569.041962604166</v>
      </c>
      <c r="I536" s="132">
        <v>62</v>
      </c>
      <c r="J536" s="132">
        <v>1001</v>
      </c>
      <c r="K536" s="144" t="s">
        <v>429</v>
      </c>
      <c r="L536" s="132">
        <v>10843</v>
      </c>
      <c r="M536" s="143">
        <f t="shared" si="84"/>
        <v>104.12972678346948</v>
      </c>
      <c r="N536" s="132">
        <v>5879</v>
      </c>
      <c r="O536" s="129">
        <f t="shared" si="85"/>
        <v>1.8443612859329819</v>
      </c>
      <c r="P536" s="129">
        <f t="shared" si="86"/>
        <v>1.7712149478392496E-2</v>
      </c>
      <c r="Q536" s="4"/>
    </row>
    <row r="537" spans="1:28" ht="17.25" customHeight="1" x14ac:dyDescent="0.2">
      <c r="A537" s="122">
        <f t="shared" si="82"/>
        <v>535</v>
      </c>
      <c r="B537" s="123" t="s">
        <v>33</v>
      </c>
      <c r="C537" s="131" t="s">
        <v>84</v>
      </c>
      <c r="D537" s="125">
        <v>272.37</v>
      </c>
      <c r="E537" s="132">
        <v>2886</v>
      </c>
      <c r="F537" s="139">
        <f t="shared" si="83"/>
        <v>273.0017848</v>
      </c>
      <c r="G537" s="127">
        <v>25569.041962604166</v>
      </c>
      <c r="H537" s="127">
        <v>25569.041962604166</v>
      </c>
      <c r="I537" s="132">
        <v>52</v>
      </c>
      <c r="J537" s="132">
        <v>1122</v>
      </c>
      <c r="K537" s="144" t="s">
        <v>429</v>
      </c>
      <c r="L537" s="132">
        <v>11469</v>
      </c>
      <c r="M537" s="143">
        <f t="shared" si="84"/>
        <v>107.09341716464182</v>
      </c>
      <c r="N537" s="132">
        <v>5563</v>
      </c>
      <c r="O537" s="129">
        <f t="shared" si="85"/>
        <v>2.0616573791119901</v>
      </c>
      <c r="P537" s="129">
        <f t="shared" si="86"/>
        <v>1.9251018724544638E-2</v>
      </c>
      <c r="Q537" s="4"/>
    </row>
    <row r="538" spans="1:28" ht="17.25" customHeight="1" x14ac:dyDescent="0.2">
      <c r="A538" s="122">
        <f t="shared" si="82"/>
        <v>536</v>
      </c>
      <c r="B538" s="123" t="s">
        <v>33</v>
      </c>
      <c r="C538" s="131" t="s">
        <v>84</v>
      </c>
      <c r="D538" s="125">
        <v>292.5</v>
      </c>
      <c r="E538" s="132">
        <v>2886</v>
      </c>
      <c r="F538" s="139">
        <f t="shared" si="83"/>
        <v>292.99691380000002</v>
      </c>
      <c r="G538" s="127">
        <v>25569.041962604166</v>
      </c>
      <c r="H538" s="127">
        <v>25569.041962604166</v>
      </c>
      <c r="I538" s="132">
        <v>44</v>
      </c>
      <c r="J538" s="132">
        <v>1004</v>
      </c>
      <c r="K538" s="144" t="s">
        <v>429</v>
      </c>
      <c r="L538" s="132">
        <v>10035</v>
      </c>
      <c r="M538" s="143">
        <f t="shared" si="84"/>
        <v>100.174847142384</v>
      </c>
      <c r="N538" s="132">
        <v>4350</v>
      </c>
      <c r="O538" s="129">
        <f t="shared" si="85"/>
        <v>2.306896551724138</v>
      </c>
      <c r="P538" s="129">
        <f t="shared" si="86"/>
        <v>2.302870049250207E-2</v>
      </c>
      <c r="Q538" s="4"/>
    </row>
    <row r="539" spans="1:28" ht="17.25" customHeight="1" x14ac:dyDescent="0.2">
      <c r="A539" s="183">
        <f t="shared" si="82"/>
        <v>537</v>
      </c>
      <c r="B539" s="184" t="s">
        <v>33</v>
      </c>
      <c r="C539" s="185" t="s">
        <v>84</v>
      </c>
      <c r="D539" s="186">
        <v>223.04</v>
      </c>
      <c r="E539" s="187">
        <v>2886</v>
      </c>
      <c r="F539" s="188">
        <f t="shared" si="83"/>
        <v>224.00229579999998</v>
      </c>
      <c r="G539" s="189">
        <v>25569.041962604166</v>
      </c>
      <c r="H539" s="189">
        <v>25569.041962604166</v>
      </c>
      <c r="I539" s="187">
        <v>44</v>
      </c>
      <c r="J539" s="187">
        <v>1497</v>
      </c>
      <c r="K539" s="190" t="s">
        <v>429</v>
      </c>
      <c r="L539" s="187">
        <v>2478</v>
      </c>
      <c r="M539" s="191">
        <f t="shared" si="84"/>
        <v>49.779513858614571</v>
      </c>
      <c r="N539" s="187">
        <v>10471</v>
      </c>
      <c r="O539" s="192">
        <f t="shared" si="85"/>
        <v>0.23665361474548754</v>
      </c>
      <c r="P539" s="192">
        <f t="shared" si="86"/>
        <v>4.7540362772050971E-3</v>
      </c>
      <c r="Q539" s="204"/>
      <c r="R539" s="34"/>
      <c r="S539" s="34"/>
      <c r="T539" s="34"/>
      <c r="U539" s="34"/>
      <c r="V539" s="34"/>
      <c r="W539" s="34"/>
      <c r="X539" s="34"/>
      <c r="Y539" s="34"/>
      <c r="Z539" s="34"/>
      <c r="AA539" s="34"/>
      <c r="AB539" s="34"/>
    </row>
    <row r="540" spans="1:28" ht="17.25" customHeight="1" x14ac:dyDescent="0.2">
      <c r="A540" s="122">
        <f t="shared" si="82"/>
        <v>538</v>
      </c>
      <c r="B540" s="123" t="s">
        <v>9</v>
      </c>
      <c r="C540" s="131" t="s">
        <v>62</v>
      </c>
      <c r="D540" s="125">
        <v>333.3</v>
      </c>
      <c r="E540" s="132">
        <v>3368</v>
      </c>
      <c r="F540" s="139">
        <f t="shared" ref="F540:F551" si="87">0.9933*(D540+E540/1000)-0.41</f>
        <v>334.00232439999996</v>
      </c>
      <c r="G540" s="127">
        <v>25569.041962604166</v>
      </c>
      <c r="H540" s="127">
        <v>25569.041962604166</v>
      </c>
      <c r="I540" s="132">
        <v>88</v>
      </c>
      <c r="J540" s="132">
        <v>998</v>
      </c>
      <c r="K540" s="144" t="s">
        <v>429</v>
      </c>
      <c r="L540" s="132">
        <v>3054</v>
      </c>
      <c r="M540" s="143">
        <f t="shared" ref="M540:M551" si="88">SQRT(L540)</f>
        <v>55.263007518592396</v>
      </c>
      <c r="N540" s="132">
        <v>8908</v>
      </c>
      <c r="O540" s="129">
        <f t="shared" ref="O540:O551" si="89">L540/N540</f>
        <v>0.34283789851818591</v>
      </c>
      <c r="P540" s="129">
        <f t="shared" ref="P540:P551" si="90">M540/N540</f>
        <v>6.203750282733767E-3</v>
      </c>
      <c r="Q540" s="4"/>
    </row>
    <row r="541" spans="1:28" ht="17.25" customHeight="1" x14ac:dyDescent="0.2">
      <c r="A541" s="122">
        <f t="shared" si="82"/>
        <v>539</v>
      </c>
      <c r="B541" s="123" t="s">
        <v>9</v>
      </c>
      <c r="C541" s="131" t="s">
        <v>62</v>
      </c>
      <c r="D541" s="125">
        <v>335.31</v>
      </c>
      <c r="E541" s="132">
        <v>3368</v>
      </c>
      <c r="F541" s="139">
        <f t="shared" si="87"/>
        <v>335.99885739999996</v>
      </c>
      <c r="G541" s="127">
        <v>25569.041962604166</v>
      </c>
      <c r="H541" s="127">
        <v>25569.041962604166</v>
      </c>
      <c r="I541" s="132">
        <v>89</v>
      </c>
      <c r="J541" s="132">
        <v>747</v>
      </c>
      <c r="K541" s="144" t="s">
        <v>429</v>
      </c>
      <c r="L541" s="132">
        <v>2863</v>
      </c>
      <c r="M541" s="143">
        <f t="shared" si="88"/>
        <v>53.507008886686982</v>
      </c>
      <c r="N541" s="132">
        <v>4809</v>
      </c>
      <c r="O541" s="129">
        <f t="shared" si="89"/>
        <v>0.59534206695778746</v>
      </c>
      <c r="P541" s="129">
        <f t="shared" si="90"/>
        <v>1.1126431459074024E-2</v>
      </c>
      <c r="Q541" s="4"/>
    </row>
    <row r="542" spans="1:28" ht="17.25" customHeight="1" x14ac:dyDescent="0.2">
      <c r="A542" s="122">
        <f t="shared" si="82"/>
        <v>540</v>
      </c>
      <c r="B542" s="123" t="s">
        <v>9</v>
      </c>
      <c r="C542" s="131" t="s">
        <v>62</v>
      </c>
      <c r="D542" s="125">
        <v>337.32</v>
      </c>
      <c r="E542" s="132">
        <v>3368</v>
      </c>
      <c r="F542" s="139">
        <f t="shared" si="87"/>
        <v>337.99539039999996</v>
      </c>
      <c r="G542" s="127">
        <v>25569.041962604166</v>
      </c>
      <c r="H542" s="127">
        <v>25569.041962604166</v>
      </c>
      <c r="I542" s="132">
        <v>88</v>
      </c>
      <c r="J542" s="132">
        <v>499</v>
      </c>
      <c r="K542" s="144" t="s">
        <v>429</v>
      </c>
      <c r="L542" s="132">
        <v>6065</v>
      </c>
      <c r="M542" s="143">
        <f t="shared" si="88"/>
        <v>77.878109889750149</v>
      </c>
      <c r="N542" s="132">
        <v>4417</v>
      </c>
      <c r="O542" s="129">
        <f t="shared" si="89"/>
        <v>1.3731039166855332</v>
      </c>
      <c r="P542" s="129">
        <f t="shared" si="90"/>
        <v>1.7631448922288916E-2</v>
      </c>
      <c r="Q542" s="4"/>
    </row>
    <row r="543" spans="1:28" ht="17.25" customHeight="1" x14ac:dyDescent="0.2">
      <c r="A543" s="122">
        <f t="shared" si="82"/>
        <v>541</v>
      </c>
      <c r="B543" s="123" t="s">
        <v>9</v>
      </c>
      <c r="C543" s="131" t="s">
        <v>62</v>
      </c>
      <c r="D543" s="125">
        <v>339.34</v>
      </c>
      <c r="E543" s="132">
        <v>3368</v>
      </c>
      <c r="F543" s="139">
        <f t="shared" si="87"/>
        <v>340.00185639999995</v>
      </c>
      <c r="G543" s="127">
        <v>25569.041962604166</v>
      </c>
      <c r="H543" s="127">
        <v>25569.041962604166</v>
      </c>
      <c r="I543" s="132">
        <v>88</v>
      </c>
      <c r="J543" s="132">
        <v>622</v>
      </c>
      <c r="K543" s="144" t="s">
        <v>429</v>
      </c>
      <c r="L543" s="132">
        <v>25915</v>
      </c>
      <c r="M543" s="143">
        <f t="shared" si="88"/>
        <v>160.98136538121423</v>
      </c>
      <c r="N543" s="132">
        <v>4689</v>
      </c>
      <c r="O543" s="129">
        <f t="shared" si="89"/>
        <v>5.5267647686073786</v>
      </c>
      <c r="P543" s="129">
        <f t="shared" si="90"/>
        <v>3.4331705135682282E-2</v>
      </c>
      <c r="Q543" s="4"/>
    </row>
    <row r="544" spans="1:28" ht="17.25" customHeight="1" x14ac:dyDescent="0.2">
      <c r="A544" s="122">
        <f t="shared" si="82"/>
        <v>542</v>
      </c>
      <c r="B544" s="123" t="s">
        <v>9</v>
      </c>
      <c r="C544" s="131" t="s">
        <v>62</v>
      </c>
      <c r="D544" s="125">
        <v>340.34</v>
      </c>
      <c r="E544" s="132">
        <v>3368</v>
      </c>
      <c r="F544" s="139">
        <f t="shared" si="87"/>
        <v>340.99515639999993</v>
      </c>
      <c r="G544" s="127">
        <v>25569.041962604166</v>
      </c>
      <c r="H544" s="127">
        <v>25569.041962604166</v>
      </c>
      <c r="I544" s="132">
        <v>88</v>
      </c>
      <c r="J544" s="132">
        <v>622</v>
      </c>
      <c r="K544" s="144" t="s">
        <v>429</v>
      </c>
      <c r="L544" s="132">
        <v>56126</v>
      </c>
      <c r="M544" s="143">
        <f t="shared" si="88"/>
        <v>236.90926533168769</v>
      </c>
      <c r="N544" s="132">
        <v>5489</v>
      </c>
      <c r="O544" s="129">
        <f t="shared" si="89"/>
        <v>10.225177627983239</v>
      </c>
      <c r="P544" s="129">
        <f t="shared" si="90"/>
        <v>4.3160733345179031E-2</v>
      </c>
      <c r="Q544" s="4"/>
    </row>
    <row r="545" spans="1:28" ht="17.25" customHeight="1" x14ac:dyDescent="0.2">
      <c r="A545" s="122">
        <f t="shared" si="82"/>
        <v>543</v>
      </c>
      <c r="B545" s="123" t="s">
        <v>9</v>
      </c>
      <c r="C545" s="131" t="s">
        <v>62</v>
      </c>
      <c r="D545" s="125">
        <v>341.35</v>
      </c>
      <c r="E545" s="132">
        <v>3368</v>
      </c>
      <c r="F545" s="139">
        <f t="shared" si="87"/>
        <v>341.99838939999995</v>
      </c>
      <c r="G545" s="127">
        <v>25569.041962604166</v>
      </c>
      <c r="H545" s="127">
        <v>25569.041962604166</v>
      </c>
      <c r="I545" s="132">
        <v>87</v>
      </c>
      <c r="J545" s="132">
        <v>879</v>
      </c>
      <c r="K545" s="144" t="s">
        <v>429</v>
      </c>
      <c r="L545" s="132">
        <v>64575</v>
      </c>
      <c r="M545" s="143">
        <f t="shared" si="88"/>
        <v>254.11611519146123</v>
      </c>
      <c r="N545" s="132">
        <v>7002</v>
      </c>
      <c r="O545" s="129">
        <f t="shared" si="89"/>
        <v>9.2223650385604117</v>
      </c>
      <c r="P545" s="129">
        <f t="shared" si="90"/>
        <v>3.6291933046481178E-2</v>
      </c>
      <c r="Q545" s="4"/>
    </row>
    <row r="546" spans="1:28" ht="17.25" customHeight="1" x14ac:dyDescent="0.2">
      <c r="A546" s="122">
        <f t="shared" si="82"/>
        <v>544</v>
      </c>
      <c r="B546" s="123" t="s">
        <v>9</v>
      </c>
      <c r="C546" s="131" t="s">
        <v>62</v>
      </c>
      <c r="D546" s="125">
        <v>342.36</v>
      </c>
      <c r="E546" s="132">
        <v>3368</v>
      </c>
      <c r="F546" s="139">
        <f t="shared" si="87"/>
        <v>343.00162239999997</v>
      </c>
      <c r="G546" s="127">
        <v>25569.041962604166</v>
      </c>
      <c r="H546" s="127">
        <v>25569.041962604166</v>
      </c>
      <c r="I546" s="132">
        <v>86</v>
      </c>
      <c r="J546" s="132">
        <v>620</v>
      </c>
      <c r="K546" s="144" t="s">
        <v>429</v>
      </c>
      <c r="L546" s="132">
        <v>31073</v>
      </c>
      <c r="M546" s="143">
        <f t="shared" si="88"/>
        <v>176.27535278648571</v>
      </c>
      <c r="N546" s="132">
        <v>5334</v>
      </c>
      <c r="O546" s="129">
        <f t="shared" si="89"/>
        <v>5.8254593175853016</v>
      </c>
      <c r="P546" s="129">
        <f t="shared" si="90"/>
        <v>3.304749771025229E-2</v>
      </c>
      <c r="Q546" s="4"/>
    </row>
    <row r="547" spans="1:28" ht="17.25" customHeight="1" x14ac:dyDescent="0.2">
      <c r="A547" s="122">
        <f t="shared" si="82"/>
        <v>545</v>
      </c>
      <c r="B547" s="123" t="s">
        <v>9</v>
      </c>
      <c r="C547" s="131" t="s">
        <v>62</v>
      </c>
      <c r="D547" s="125">
        <v>343.37</v>
      </c>
      <c r="E547" s="132">
        <v>3368</v>
      </c>
      <c r="F547" s="139">
        <f t="shared" si="87"/>
        <v>344.00485539999994</v>
      </c>
      <c r="G547" s="127">
        <v>25569.041962604166</v>
      </c>
      <c r="H547" s="127">
        <v>25569.041962604166</v>
      </c>
      <c r="I547" s="132">
        <v>87</v>
      </c>
      <c r="J547" s="132">
        <v>739</v>
      </c>
      <c r="K547" s="144" t="s">
        <v>429</v>
      </c>
      <c r="L547" s="132">
        <v>24673</v>
      </c>
      <c r="M547" s="143">
        <f t="shared" si="88"/>
        <v>157.07641452490569</v>
      </c>
      <c r="N547" s="132">
        <v>6031</v>
      </c>
      <c r="O547" s="129">
        <f t="shared" si="89"/>
        <v>4.0910296799867352</v>
      </c>
      <c r="P547" s="129">
        <f t="shared" si="90"/>
        <v>2.6044837427442496E-2</v>
      </c>
      <c r="Q547" s="4"/>
    </row>
    <row r="548" spans="1:28" ht="17.25" customHeight="1" x14ac:dyDescent="0.2">
      <c r="A548" s="122">
        <f t="shared" si="82"/>
        <v>546</v>
      </c>
      <c r="B548" s="123" t="s">
        <v>9</v>
      </c>
      <c r="C548" s="131" t="s">
        <v>62</v>
      </c>
      <c r="D548" s="125">
        <v>344.37</v>
      </c>
      <c r="E548" s="132">
        <v>3368</v>
      </c>
      <c r="F548" s="139">
        <f t="shared" si="87"/>
        <v>344.99815539999997</v>
      </c>
      <c r="G548" s="127">
        <v>25569.041962604166</v>
      </c>
      <c r="H548" s="127">
        <v>25569.041962604166</v>
      </c>
      <c r="I548" s="132">
        <v>87</v>
      </c>
      <c r="J548" s="132">
        <v>620</v>
      </c>
      <c r="K548" s="144" t="s">
        <v>429</v>
      </c>
      <c r="L548" s="132">
        <v>15640</v>
      </c>
      <c r="M548" s="143">
        <f t="shared" si="88"/>
        <v>125.05998560690786</v>
      </c>
      <c r="N548" s="132">
        <v>5085</v>
      </c>
      <c r="O548" s="129">
        <f t="shared" si="89"/>
        <v>3.0757128810226155</v>
      </c>
      <c r="P548" s="129">
        <f t="shared" si="90"/>
        <v>2.4593900807651496E-2</v>
      </c>
      <c r="Q548" s="4"/>
    </row>
    <row r="549" spans="1:28" ht="17.25" customHeight="1" x14ac:dyDescent="0.2">
      <c r="A549" s="122">
        <f t="shared" si="82"/>
        <v>547</v>
      </c>
      <c r="B549" s="123" t="s">
        <v>9</v>
      </c>
      <c r="C549" s="131" t="s">
        <v>62</v>
      </c>
      <c r="D549" s="125">
        <v>346.39</v>
      </c>
      <c r="E549" s="132">
        <v>3368</v>
      </c>
      <c r="F549" s="139">
        <f t="shared" si="87"/>
        <v>347.00462139999996</v>
      </c>
      <c r="G549" s="127">
        <v>25569.041962604166</v>
      </c>
      <c r="H549" s="127">
        <v>25569.041962604166</v>
      </c>
      <c r="I549" s="132">
        <v>86</v>
      </c>
      <c r="J549" s="132">
        <v>866</v>
      </c>
      <c r="K549" s="144" t="s">
        <v>429</v>
      </c>
      <c r="L549" s="132">
        <v>15268</v>
      </c>
      <c r="M549" s="143">
        <f t="shared" si="88"/>
        <v>123.5637487291479</v>
      </c>
      <c r="N549" s="132">
        <v>6829</v>
      </c>
      <c r="O549" s="129">
        <f t="shared" si="89"/>
        <v>2.2357592619710061</v>
      </c>
      <c r="P549" s="129">
        <f t="shared" si="90"/>
        <v>1.8093974041462572E-2</v>
      </c>
      <c r="Q549" s="4"/>
    </row>
    <row r="550" spans="1:28" ht="17.25" customHeight="1" x14ac:dyDescent="0.2">
      <c r="A550" s="122">
        <f t="shared" si="82"/>
        <v>548</v>
      </c>
      <c r="B550" s="123" t="s">
        <v>9</v>
      </c>
      <c r="C550" s="131" t="s">
        <v>62</v>
      </c>
      <c r="D550" s="125">
        <v>356.45</v>
      </c>
      <c r="E550" s="132">
        <v>3368</v>
      </c>
      <c r="F550" s="139">
        <f t="shared" si="87"/>
        <v>356.99721939999995</v>
      </c>
      <c r="G550" s="127">
        <v>25569.041962604166</v>
      </c>
      <c r="H550" s="127">
        <v>25569.041962604166</v>
      </c>
      <c r="I550" s="132">
        <v>85</v>
      </c>
      <c r="J550" s="132">
        <v>753</v>
      </c>
      <c r="K550" s="144" t="s">
        <v>429</v>
      </c>
      <c r="L550" s="132">
        <v>8777</v>
      </c>
      <c r="M550" s="143">
        <f t="shared" si="88"/>
        <v>93.685644578024863</v>
      </c>
      <c r="N550" s="132">
        <v>6630</v>
      </c>
      <c r="O550" s="129">
        <f t="shared" si="89"/>
        <v>1.3238310708898944</v>
      </c>
      <c r="P550" s="129">
        <f t="shared" si="90"/>
        <v>1.4130564793065591E-2</v>
      </c>
      <c r="Q550" s="4"/>
    </row>
    <row r="551" spans="1:28" ht="17.25" customHeight="1" x14ac:dyDescent="0.2">
      <c r="A551" s="122">
        <f t="shared" si="82"/>
        <v>549</v>
      </c>
      <c r="B551" s="184" t="s">
        <v>9</v>
      </c>
      <c r="C551" s="185" t="s">
        <v>62</v>
      </c>
      <c r="D551" s="186">
        <v>366.52</v>
      </c>
      <c r="E551" s="187">
        <v>3368</v>
      </c>
      <c r="F551" s="188">
        <f t="shared" si="87"/>
        <v>366.99975039999993</v>
      </c>
      <c r="G551" s="189">
        <v>25569.041962604166</v>
      </c>
      <c r="H551" s="189">
        <v>25569.041962604166</v>
      </c>
      <c r="I551" s="187">
        <v>82</v>
      </c>
      <c r="J551" s="187">
        <v>748</v>
      </c>
      <c r="K551" s="190" t="s">
        <v>429</v>
      </c>
      <c r="L551" s="187">
        <v>5968</v>
      </c>
      <c r="M551" s="191">
        <f t="shared" si="88"/>
        <v>77.252831663311866</v>
      </c>
      <c r="N551" s="187">
        <v>5537</v>
      </c>
      <c r="O551" s="192">
        <f t="shared" si="89"/>
        <v>1.0778399855517429</v>
      </c>
      <c r="P551" s="192">
        <f t="shared" si="90"/>
        <v>1.3952109745947601E-2</v>
      </c>
      <c r="Q551" s="204"/>
      <c r="R551" s="34"/>
      <c r="S551" s="34"/>
      <c r="T551" s="34"/>
      <c r="U551" s="34"/>
      <c r="V551" s="34"/>
      <c r="W551" s="34"/>
      <c r="X551" s="34"/>
      <c r="Y551" s="34"/>
      <c r="Z551" s="34"/>
      <c r="AA551" s="34"/>
      <c r="AB551" s="34"/>
    </row>
    <row r="552" spans="1:28" ht="17.25" customHeight="1" x14ac:dyDescent="0.2">
      <c r="Q552" s="4"/>
    </row>
    <row r="553" spans="1:28" ht="17.25" customHeight="1" x14ac:dyDescent="0.2">
      <c r="Q553" s="4"/>
    </row>
    <row r="554" spans="1:28" ht="17.25" customHeight="1" x14ac:dyDescent="0.2">
      <c r="Q554" s="4"/>
    </row>
    <row r="555" spans="1:28" ht="17.25" customHeight="1" x14ac:dyDescent="0.2">
      <c r="Q555" s="4"/>
    </row>
    <row r="556" spans="1:28" ht="17.25" customHeight="1" x14ac:dyDescent="0.2">
      <c r="Q556" s="4"/>
    </row>
    <row r="557" spans="1:28" ht="17.25" customHeight="1" x14ac:dyDescent="0.2">
      <c r="Q557" s="4"/>
    </row>
    <row r="558" spans="1:28" ht="17.25" customHeight="1" x14ac:dyDescent="0.2">
      <c r="Q558" s="4"/>
    </row>
    <row r="559" spans="1:28" ht="17.25" customHeight="1" x14ac:dyDescent="0.2">
      <c r="Q559" s="4"/>
    </row>
    <row r="560" spans="1:28" ht="17.25" customHeight="1" x14ac:dyDescent="0.2">
      <c r="Q560" s="4"/>
    </row>
    <row r="561" spans="17:17" ht="17.25" customHeight="1" x14ac:dyDescent="0.2">
      <c r="Q561" s="4"/>
    </row>
    <row r="562" spans="17:17" ht="17.25" customHeight="1" x14ac:dyDescent="0.2">
      <c r="Q562" s="4"/>
    </row>
    <row r="563" spans="17:17" ht="17.25" customHeight="1" x14ac:dyDescent="0.2">
      <c r="Q563" s="4"/>
    </row>
    <row r="564" spans="17:17" ht="17.25" customHeight="1" x14ac:dyDescent="0.2">
      <c r="Q564" s="4"/>
    </row>
    <row r="565" spans="17:17" ht="17.25" customHeight="1" x14ac:dyDescent="0.2">
      <c r="Q565" s="4"/>
    </row>
    <row r="566" spans="17:17" ht="17.25" customHeight="1" x14ac:dyDescent="0.2">
      <c r="Q566" s="4"/>
    </row>
    <row r="567" spans="17:17" ht="17.25" customHeight="1" x14ac:dyDescent="0.2">
      <c r="Q567" s="4"/>
    </row>
    <row r="568" spans="17:17" ht="17.25" customHeight="1" x14ac:dyDescent="0.2">
      <c r="Q568" s="4"/>
    </row>
    <row r="569" spans="17:17" ht="17.25" customHeight="1" x14ac:dyDescent="0.2">
      <c r="Q569" s="4"/>
    </row>
    <row r="570" spans="17:17" ht="17.25" customHeight="1" x14ac:dyDescent="0.2">
      <c r="Q570" s="4"/>
    </row>
    <row r="571" spans="17:17" ht="17.25" customHeight="1" x14ac:dyDescent="0.2">
      <c r="Q571" s="4"/>
    </row>
    <row r="572" spans="17:17" ht="17.25" customHeight="1" x14ac:dyDescent="0.2">
      <c r="Q572" s="4"/>
    </row>
    <row r="573" spans="17:17" ht="17.25" customHeight="1" x14ac:dyDescent="0.2">
      <c r="Q573" s="4"/>
    </row>
    <row r="574" spans="17:17" ht="17.25" customHeight="1" x14ac:dyDescent="0.2">
      <c r="Q574" s="4"/>
    </row>
    <row r="575" spans="17:17" ht="17.25" customHeight="1" x14ac:dyDescent="0.2">
      <c r="Q575" s="4"/>
    </row>
    <row r="576" spans="17:17" ht="17.25" customHeight="1" x14ac:dyDescent="0.2">
      <c r="Q576" s="4"/>
    </row>
    <row r="577" spans="17:17" ht="17.25" customHeight="1" x14ac:dyDescent="0.2">
      <c r="Q577" s="4"/>
    </row>
    <row r="578" spans="17:17" ht="17.25" customHeight="1" x14ac:dyDescent="0.2">
      <c r="Q578" s="4"/>
    </row>
    <row r="579" spans="17:17" ht="17.25" customHeight="1" x14ac:dyDescent="0.2">
      <c r="Q579" s="4"/>
    </row>
    <row r="580" spans="17:17" ht="17.25" customHeight="1" x14ac:dyDescent="0.2">
      <c r="Q580" s="4"/>
    </row>
    <row r="581" spans="17:17" ht="17.25" customHeight="1" x14ac:dyDescent="0.2">
      <c r="Q581" s="4"/>
    </row>
    <row r="582" spans="17:17" ht="17.25" customHeight="1" x14ac:dyDescent="0.2">
      <c r="Q582" s="4"/>
    </row>
    <row r="583" spans="17:17" ht="17.25" customHeight="1" x14ac:dyDescent="0.2">
      <c r="Q583" s="4"/>
    </row>
    <row r="584" spans="17:17" ht="17.25" customHeight="1" x14ac:dyDescent="0.2">
      <c r="Q584" s="4"/>
    </row>
    <row r="585" spans="17:17" ht="17.25" customHeight="1" x14ac:dyDescent="0.2">
      <c r="Q585" s="4"/>
    </row>
    <row r="586" spans="17:17" ht="17.25" customHeight="1" x14ac:dyDescent="0.2">
      <c r="Q586" s="4"/>
    </row>
    <row r="587" spans="17:17" ht="17.25" customHeight="1" x14ac:dyDescent="0.2">
      <c r="Q587" s="4"/>
    </row>
    <row r="588" spans="17:17" ht="17.25" customHeight="1" x14ac:dyDescent="0.2">
      <c r="Q588" s="4"/>
    </row>
    <row r="589" spans="17:17" ht="17.25" customHeight="1" x14ac:dyDescent="0.2">
      <c r="Q589" s="4"/>
    </row>
    <row r="590" spans="17:17" ht="17.25" customHeight="1" x14ac:dyDescent="0.2">
      <c r="Q590" s="4"/>
    </row>
    <row r="591" spans="17:17" ht="17.25" customHeight="1" x14ac:dyDescent="0.2">
      <c r="Q591" s="4"/>
    </row>
    <row r="592" spans="17:17" ht="17.25" customHeight="1" x14ac:dyDescent="0.2">
      <c r="Q592" s="4"/>
    </row>
    <row r="593" spans="17:17" ht="17.25" customHeight="1" x14ac:dyDescent="0.2">
      <c r="Q593" s="4"/>
    </row>
    <row r="594" spans="17:17" ht="17.25" customHeight="1" x14ac:dyDescent="0.2">
      <c r="Q594" s="4"/>
    </row>
    <row r="595" spans="17:17" ht="17.25" customHeight="1" x14ac:dyDescent="0.2">
      <c r="Q595" s="4"/>
    </row>
    <row r="596" spans="17:17" ht="17.25" customHeight="1" x14ac:dyDescent="0.2">
      <c r="Q596" s="4"/>
    </row>
    <row r="597" spans="17:17" ht="17.25" customHeight="1" x14ac:dyDescent="0.2">
      <c r="Q597" s="4"/>
    </row>
    <row r="598" spans="17:17" ht="17.25" customHeight="1" x14ac:dyDescent="0.2">
      <c r="Q598" s="4"/>
    </row>
    <row r="599" spans="17:17" ht="17.25" customHeight="1" x14ac:dyDescent="0.2">
      <c r="Q599" s="4"/>
    </row>
    <row r="600" spans="17:17" ht="17.25" customHeight="1" x14ac:dyDescent="0.2">
      <c r="Q600" s="4"/>
    </row>
    <row r="601" spans="17:17" ht="17.25" customHeight="1" x14ac:dyDescent="0.2">
      <c r="Q601" s="4"/>
    </row>
    <row r="602" spans="17:17" ht="17.25" customHeight="1" x14ac:dyDescent="0.2">
      <c r="Q602" s="4"/>
    </row>
    <row r="603" spans="17:17" ht="17.25" customHeight="1" x14ac:dyDescent="0.2">
      <c r="Q603" s="4"/>
    </row>
    <row r="604" spans="17:17" ht="17.25" customHeight="1" x14ac:dyDescent="0.2">
      <c r="Q604" s="4"/>
    </row>
    <row r="605" spans="17:17" ht="17.25" customHeight="1" x14ac:dyDescent="0.2">
      <c r="Q605" s="4"/>
    </row>
    <row r="606" spans="17:17" ht="17.25" customHeight="1" x14ac:dyDescent="0.2">
      <c r="Q606" s="4"/>
    </row>
    <row r="607" spans="17:17" ht="17.25" customHeight="1" x14ac:dyDescent="0.2">
      <c r="Q607" s="4"/>
    </row>
    <row r="608" spans="17:17" ht="17.25" customHeight="1" x14ac:dyDescent="0.2">
      <c r="Q608" s="4"/>
    </row>
    <row r="609" spans="17:17" ht="17.25" customHeight="1" x14ac:dyDescent="0.2">
      <c r="Q609" s="4"/>
    </row>
    <row r="610" spans="17:17" ht="17.25" customHeight="1" x14ac:dyDescent="0.2">
      <c r="Q610" s="4"/>
    </row>
    <row r="611" spans="17:17" ht="17.25" customHeight="1" x14ac:dyDescent="0.2">
      <c r="Q611" s="4"/>
    </row>
    <row r="612" spans="17:17" ht="17.25" customHeight="1" x14ac:dyDescent="0.2">
      <c r="Q612" s="4"/>
    </row>
    <row r="613" spans="17:17" ht="17.25" customHeight="1" x14ac:dyDescent="0.2">
      <c r="Q613" s="4"/>
    </row>
    <row r="614" spans="17:17" ht="17.25" customHeight="1" x14ac:dyDescent="0.2">
      <c r="Q614" s="4"/>
    </row>
    <row r="615" spans="17:17" ht="17.25" customHeight="1" x14ac:dyDescent="0.2">
      <c r="Q615" s="4"/>
    </row>
    <row r="616" spans="17:17" ht="17.25" customHeight="1" x14ac:dyDescent="0.2">
      <c r="Q616" s="4"/>
    </row>
    <row r="617" spans="17:17" ht="17.25" customHeight="1" x14ac:dyDescent="0.2">
      <c r="Q617" s="4"/>
    </row>
    <row r="618" spans="17:17" ht="17.25" customHeight="1" x14ac:dyDescent="0.2">
      <c r="Q618" s="4"/>
    </row>
    <row r="619" spans="17:17" ht="17.25" customHeight="1" x14ac:dyDescent="0.2">
      <c r="Q619" s="4"/>
    </row>
    <row r="620" spans="17:17" ht="17.25" customHeight="1" x14ac:dyDescent="0.2">
      <c r="Q620" s="4"/>
    </row>
    <row r="621" spans="17:17" ht="17.25" customHeight="1" x14ac:dyDescent="0.2">
      <c r="Q621" s="4"/>
    </row>
    <row r="622" spans="17:17" ht="17.25" customHeight="1" x14ac:dyDescent="0.2">
      <c r="Q622" s="4"/>
    </row>
    <row r="623" spans="17:17" ht="17.25" customHeight="1" x14ac:dyDescent="0.2">
      <c r="Q623" s="4"/>
    </row>
    <row r="624" spans="17:17" ht="17.25" customHeight="1" x14ac:dyDescent="0.2">
      <c r="Q624" s="4"/>
    </row>
    <row r="625" spans="17:17" ht="17.25" customHeight="1" x14ac:dyDescent="0.2">
      <c r="Q625" s="4"/>
    </row>
    <row r="626" spans="17:17" ht="17.25" customHeight="1" x14ac:dyDescent="0.2">
      <c r="Q626" s="4"/>
    </row>
    <row r="627" spans="17:17" ht="17.25" customHeight="1" x14ac:dyDescent="0.2">
      <c r="Q627" s="4"/>
    </row>
    <row r="628" spans="17:17" ht="17.25" customHeight="1" x14ac:dyDescent="0.2">
      <c r="Q628" s="4"/>
    </row>
    <row r="629" spans="17:17" ht="17.25" customHeight="1" x14ac:dyDescent="0.2">
      <c r="Q629" s="4"/>
    </row>
    <row r="630" spans="17:17" ht="17.25" customHeight="1" x14ac:dyDescent="0.2">
      <c r="Q630" s="4"/>
    </row>
    <row r="631" spans="17:17" ht="17.25" customHeight="1" x14ac:dyDescent="0.2">
      <c r="Q631" s="4"/>
    </row>
    <row r="632" spans="17:17" ht="17.25" customHeight="1" x14ac:dyDescent="0.2">
      <c r="Q632" s="4"/>
    </row>
    <row r="633" spans="17:17" ht="17.25" customHeight="1" x14ac:dyDescent="0.2">
      <c r="Q633" s="4"/>
    </row>
    <row r="634" spans="17:17" ht="17.25" customHeight="1" x14ac:dyDescent="0.2">
      <c r="Q634" s="4"/>
    </row>
    <row r="635" spans="17:17" ht="17.25" customHeight="1" x14ac:dyDescent="0.2">
      <c r="Q635" s="4"/>
    </row>
    <row r="636" spans="17:17" ht="17.25" customHeight="1" x14ac:dyDescent="0.2">
      <c r="Q636" s="4"/>
    </row>
    <row r="637" spans="17:17" ht="17.25" customHeight="1" x14ac:dyDescent="0.2">
      <c r="Q637" s="4"/>
    </row>
    <row r="638" spans="17:17" ht="17.25" customHeight="1" x14ac:dyDescent="0.2">
      <c r="Q638" s="4"/>
    </row>
    <row r="639" spans="17:17" ht="17.25" customHeight="1" x14ac:dyDescent="0.2">
      <c r="Q639" s="4"/>
    </row>
    <row r="640" spans="17:17" ht="17.25" customHeight="1" x14ac:dyDescent="0.2">
      <c r="Q640" s="4"/>
    </row>
    <row r="641" spans="17:17" ht="17.25" customHeight="1" x14ac:dyDescent="0.2">
      <c r="Q641" s="4"/>
    </row>
    <row r="642" spans="17:17" ht="17.25" customHeight="1" x14ac:dyDescent="0.2">
      <c r="Q642" s="4"/>
    </row>
    <row r="643" spans="17:17" ht="17.25" customHeight="1" x14ac:dyDescent="0.2">
      <c r="Q643" s="4"/>
    </row>
    <row r="644" spans="17:17" ht="17.25" customHeight="1" x14ac:dyDescent="0.2">
      <c r="Q644" s="4"/>
    </row>
    <row r="645" spans="17:17" ht="17.25" customHeight="1" x14ac:dyDescent="0.2">
      <c r="Q645" s="4"/>
    </row>
    <row r="646" spans="17:17" ht="17.25" customHeight="1" x14ac:dyDescent="0.2">
      <c r="Q646" s="4"/>
    </row>
    <row r="647" spans="17:17" ht="17.25" customHeight="1" x14ac:dyDescent="0.2">
      <c r="Q647" s="4"/>
    </row>
    <row r="648" spans="17:17" ht="17.25" customHeight="1" x14ac:dyDescent="0.2">
      <c r="Q648" s="4"/>
    </row>
    <row r="649" spans="17:17" ht="17.25" customHeight="1" x14ac:dyDescent="0.2">
      <c r="Q649" s="4"/>
    </row>
    <row r="650" spans="17:17" ht="17.25" customHeight="1" x14ac:dyDescent="0.2">
      <c r="Q650" s="4"/>
    </row>
    <row r="651" spans="17:17" ht="17.25" customHeight="1" x14ac:dyDescent="0.2">
      <c r="Q651" s="4"/>
    </row>
    <row r="652" spans="17:17" ht="17.25" customHeight="1" x14ac:dyDescent="0.2">
      <c r="Q652" s="4"/>
    </row>
    <row r="653" spans="17:17" ht="17.25" customHeight="1" x14ac:dyDescent="0.2">
      <c r="Q653" s="4"/>
    </row>
    <row r="654" spans="17:17" ht="17.25" customHeight="1" x14ac:dyDescent="0.2">
      <c r="Q654" s="4"/>
    </row>
    <row r="655" spans="17:17" ht="17.25" customHeight="1" x14ac:dyDescent="0.2">
      <c r="Q655" s="4"/>
    </row>
    <row r="656" spans="17:17" ht="17.25" customHeight="1" x14ac:dyDescent="0.2">
      <c r="Q656" s="4"/>
    </row>
    <row r="657" spans="17:17" ht="17.25" customHeight="1" x14ac:dyDescent="0.2">
      <c r="Q657" s="4"/>
    </row>
    <row r="658" spans="17:17" ht="17.25" customHeight="1" x14ac:dyDescent="0.2">
      <c r="Q658" s="4"/>
    </row>
    <row r="659" spans="17:17" ht="17.25" customHeight="1" x14ac:dyDescent="0.2">
      <c r="Q659" s="4"/>
    </row>
    <row r="660" spans="17:17" ht="17.25" customHeight="1" x14ac:dyDescent="0.2">
      <c r="Q660" s="4"/>
    </row>
    <row r="661" spans="17:17" ht="17.25" customHeight="1" x14ac:dyDescent="0.2">
      <c r="Q661" s="4"/>
    </row>
    <row r="662" spans="17:17" ht="17.25" customHeight="1" x14ac:dyDescent="0.2">
      <c r="Q662" s="4"/>
    </row>
    <row r="663" spans="17:17" ht="17.25" customHeight="1" x14ac:dyDescent="0.2">
      <c r="Q663" s="4"/>
    </row>
    <row r="664" spans="17:17" ht="17.25" customHeight="1" x14ac:dyDescent="0.2">
      <c r="Q664" s="4"/>
    </row>
    <row r="665" spans="17:17" ht="17.25" customHeight="1" x14ac:dyDescent="0.2">
      <c r="Q665" s="4"/>
    </row>
    <row r="666" spans="17:17" ht="17.25" customHeight="1" x14ac:dyDescent="0.2">
      <c r="Q666" s="4"/>
    </row>
    <row r="667" spans="17:17" ht="17.25" customHeight="1" x14ac:dyDescent="0.2">
      <c r="Q667" s="4"/>
    </row>
    <row r="668" spans="17:17" ht="17.25" customHeight="1" x14ac:dyDescent="0.2">
      <c r="Q668" s="4"/>
    </row>
    <row r="669" spans="17:17" ht="17.25" customHeight="1" x14ac:dyDescent="0.2">
      <c r="Q669" s="4"/>
    </row>
    <row r="670" spans="17:17" ht="17.25" customHeight="1" x14ac:dyDescent="0.2">
      <c r="Q670" s="4"/>
    </row>
    <row r="671" spans="17:17" ht="17.25" customHeight="1" x14ac:dyDescent="0.2">
      <c r="Q671" s="4"/>
    </row>
    <row r="672" spans="17:17" ht="17.25" customHeight="1" x14ac:dyDescent="0.2">
      <c r="Q672" s="4"/>
    </row>
    <row r="673" spans="17:17" ht="17.25" customHeight="1" x14ac:dyDescent="0.2">
      <c r="Q673" s="4"/>
    </row>
    <row r="674" spans="17:17" ht="17.25" customHeight="1" x14ac:dyDescent="0.2">
      <c r="Q674" s="4"/>
    </row>
    <row r="675" spans="17:17" ht="17.25" customHeight="1" x14ac:dyDescent="0.2">
      <c r="Q675" s="4"/>
    </row>
    <row r="676" spans="17:17" ht="17.25" customHeight="1" x14ac:dyDescent="0.2">
      <c r="Q676" s="4"/>
    </row>
    <row r="677" spans="17:17" ht="17.25" customHeight="1" x14ac:dyDescent="0.2">
      <c r="Q677" s="4"/>
    </row>
    <row r="678" spans="17:17" ht="17.25" customHeight="1" x14ac:dyDescent="0.2">
      <c r="Q678" s="4"/>
    </row>
    <row r="679" spans="17:17" ht="17.25" customHeight="1" x14ac:dyDescent="0.2">
      <c r="Q679" s="4"/>
    </row>
    <row r="680" spans="17:17" ht="17.25" customHeight="1" x14ac:dyDescent="0.2">
      <c r="Q680" s="4"/>
    </row>
    <row r="681" spans="17:17" ht="17.25" customHeight="1" x14ac:dyDescent="0.2">
      <c r="Q681" s="4"/>
    </row>
    <row r="682" spans="17:17" ht="17.25" customHeight="1" x14ac:dyDescent="0.2">
      <c r="Q682" s="4"/>
    </row>
    <row r="683" spans="17:17" ht="17.25" customHeight="1" x14ac:dyDescent="0.2">
      <c r="Q683" s="4"/>
    </row>
    <row r="684" spans="17:17" ht="17.25" customHeight="1" x14ac:dyDescent="0.2">
      <c r="Q684" s="4"/>
    </row>
    <row r="685" spans="17:17" ht="17.25" customHeight="1" x14ac:dyDescent="0.2">
      <c r="Q685" s="4"/>
    </row>
    <row r="686" spans="17:17" ht="17.25" customHeight="1" x14ac:dyDescent="0.2">
      <c r="Q686" s="4"/>
    </row>
    <row r="687" spans="17:17" ht="17.25" customHeight="1" x14ac:dyDescent="0.2">
      <c r="Q687" s="4"/>
    </row>
    <row r="688" spans="17:17" ht="17.25" customHeight="1" x14ac:dyDescent="0.2">
      <c r="Q688" s="4"/>
    </row>
    <row r="689" spans="17:17" ht="17.25" customHeight="1" x14ac:dyDescent="0.2">
      <c r="Q689" s="4"/>
    </row>
    <row r="690" spans="17:17" ht="17.25" customHeight="1" x14ac:dyDescent="0.2">
      <c r="Q690" s="4"/>
    </row>
    <row r="691" spans="17:17" ht="17.25" customHeight="1" x14ac:dyDescent="0.2">
      <c r="Q691" s="4"/>
    </row>
    <row r="692" spans="17:17" ht="17.25" customHeight="1" x14ac:dyDescent="0.2">
      <c r="Q692" s="4"/>
    </row>
    <row r="693" spans="17:17" ht="17.25" customHeight="1" x14ac:dyDescent="0.2">
      <c r="Q693" s="4"/>
    </row>
    <row r="694" spans="17:17" ht="17.25" customHeight="1" x14ac:dyDescent="0.2">
      <c r="Q694" s="4"/>
    </row>
    <row r="695" spans="17:17" ht="17.25" customHeight="1" x14ac:dyDescent="0.2">
      <c r="Q695" s="4"/>
    </row>
    <row r="696" spans="17:17" ht="17.25" customHeight="1" x14ac:dyDescent="0.2">
      <c r="Q696" s="4"/>
    </row>
    <row r="697" spans="17:17" ht="17.25" customHeight="1" x14ac:dyDescent="0.2">
      <c r="Q697" s="4"/>
    </row>
    <row r="698" spans="17:17" ht="17.25" customHeight="1" x14ac:dyDescent="0.2">
      <c r="Q698" s="4"/>
    </row>
    <row r="699" spans="17:17" ht="17.25" customHeight="1" x14ac:dyDescent="0.2">
      <c r="Q699" s="4"/>
    </row>
    <row r="700" spans="17:17" ht="17.25" customHeight="1" x14ac:dyDescent="0.2">
      <c r="Q700" s="4"/>
    </row>
    <row r="701" spans="17:17" ht="17.25" customHeight="1" x14ac:dyDescent="0.2">
      <c r="Q701" s="4"/>
    </row>
    <row r="702" spans="17:17" ht="17.25" customHeight="1" x14ac:dyDescent="0.2">
      <c r="Q702" s="4"/>
    </row>
    <row r="703" spans="17:17" ht="17.25" customHeight="1" x14ac:dyDescent="0.2">
      <c r="Q703" s="4"/>
    </row>
    <row r="704" spans="17:17" ht="17.25" customHeight="1" x14ac:dyDescent="0.2">
      <c r="Q704" s="4"/>
    </row>
    <row r="705" spans="17:17" ht="17.25" customHeight="1" x14ac:dyDescent="0.2">
      <c r="Q705" s="4"/>
    </row>
    <row r="706" spans="17:17" ht="17.25" customHeight="1" x14ac:dyDescent="0.2">
      <c r="Q706" s="4"/>
    </row>
    <row r="707" spans="17:17" ht="17.25" customHeight="1" x14ac:dyDescent="0.2">
      <c r="Q707" s="4"/>
    </row>
    <row r="708" spans="17:17" ht="17.25" customHeight="1" x14ac:dyDescent="0.2">
      <c r="Q708" s="4"/>
    </row>
    <row r="709" spans="17:17" ht="17.25" customHeight="1" x14ac:dyDescent="0.2">
      <c r="Q709" s="4"/>
    </row>
    <row r="710" spans="17:17" ht="17.25" customHeight="1" x14ac:dyDescent="0.2">
      <c r="Q710" s="4"/>
    </row>
    <row r="711" spans="17:17" ht="17.25" customHeight="1" x14ac:dyDescent="0.2">
      <c r="Q711" s="4"/>
    </row>
    <row r="712" spans="17:17" ht="17.25" customHeight="1" x14ac:dyDescent="0.2">
      <c r="Q712" s="4"/>
    </row>
    <row r="713" spans="17:17" ht="17.25" customHeight="1" x14ac:dyDescent="0.2">
      <c r="Q713" s="4"/>
    </row>
    <row r="714" spans="17:17" ht="17.25" customHeight="1" x14ac:dyDescent="0.2">
      <c r="Q714" s="4"/>
    </row>
    <row r="715" spans="17:17" ht="17.25" customHeight="1" x14ac:dyDescent="0.2">
      <c r="Q715" s="4"/>
    </row>
    <row r="716" spans="17:17" ht="17.25" customHeight="1" x14ac:dyDescent="0.2">
      <c r="Q716" s="4"/>
    </row>
    <row r="717" spans="17:17" ht="17.25" customHeight="1" x14ac:dyDescent="0.2">
      <c r="Q717" s="4"/>
    </row>
    <row r="718" spans="17:17" ht="17.25" customHeight="1" x14ac:dyDescent="0.2">
      <c r="Q718" s="4"/>
    </row>
    <row r="719" spans="17:17" ht="17.25" customHeight="1" x14ac:dyDescent="0.2">
      <c r="Q719" s="4"/>
    </row>
    <row r="720" spans="17:17" ht="17.25" customHeight="1" x14ac:dyDescent="0.2">
      <c r="Q720" s="4"/>
    </row>
    <row r="721" spans="17:17" ht="17.25" customHeight="1" x14ac:dyDescent="0.2">
      <c r="Q721" s="4"/>
    </row>
    <row r="722" spans="17:17" ht="17.25" customHeight="1" x14ac:dyDescent="0.2">
      <c r="Q722" s="4"/>
    </row>
    <row r="723" spans="17:17" ht="17.25" customHeight="1" x14ac:dyDescent="0.2">
      <c r="Q723" s="4"/>
    </row>
    <row r="724" spans="17:17" ht="17.25" customHeight="1" x14ac:dyDescent="0.2">
      <c r="Q724" s="4"/>
    </row>
    <row r="725" spans="17:17" ht="17.25" customHeight="1" x14ac:dyDescent="0.2">
      <c r="Q725" s="4"/>
    </row>
    <row r="726" spans="17:17" ht="17.25" customHeight="1" x14ac:dyDescent="0.2">
      <c r="Q726" s="4"/>
    </row>
    <row r="727" spans="17:17" ht="17.25" customHeight="1" x14ac:dyDescent="0.2">
      <c r="Q727" s="4"/>
    </row>
    <row r="728" spans="17:17" ht="17.25" customHeight="1" x14ac:dyDescent="0.2">
      <c r="Q728" s="4"/>
    </row>
    <row r="729" spans="17:17" ht="17.25" customHeight="1" x14ac:dyDescent="0.2">
      <c r="Q729" s="4"/>
    </row>
    <row r="730" spans="17:17" ht="17.25" customHeight="1" x14ac:dyDescent="0.2">
      <c r="Q730" s="4"/>
    </row>
    <row r="731" spans="17:17" ht="17.25" customHeight="1" x14ac:dyDescent="0.2">
      <c r="Q731" s="4"/>
    </row>
    <row r="732" spans="17:17" ht="17.25" customHeight="1" x14ac:dyDescent="0.2">
      <c r="Q732" s="4"/>
    </row>
    <row r="733" spans="17:17" ht="17.25" customHeight="1" x14ac:dyDescent="0.2">
      <c r="Q733" s="4"/>
    </row>
    <row r="734" spans="17:17" ht="17.25" customHeight="1" x14ac:dyDescent="0.2">
      <c r="Q734" s="4"/>
    </row>
    <row r="735" spans="17:17" ht="17.25" customHeight="1" x14ac:dyDescent="0.2">
      <c r="Q735" s="4"/>
    </row>
    <row r="736" spans="17:17" ht="17.25" customHeight="1" x14ac:dyDescent="0.2">
      <c r="Q736" s="4"/>
    </row>
    <row r="737" spans="17:17" ht="17.25" customHeight="1" x14ac:dyDescent="0.2">
      <c r="Q737" s="4"/>
    </row>
    <row r="738" spans="17:17" ht="17.25" customHeight="1" x14ac:dyDescent="0.2">
      <c r="Q738" s="4"/>
    </row>
    <row r="739" spans="17:17" ht="17.25" customHeight="1" x14ac:dyDescent="0.2">
      <c r="Q739" s="4"/>
    </row>
    <row r="740" spans="17:17" ht="17.25" customHeight="1" x14ac:dyDescent="0.2">
      <c r="Q740" s="4"/>
    </row>
    <row r="741" spans="17:17" ht="17.25" customHeight="1" x14ac:dyDescent="0.2">
      <c r="Q741" s="4"/>
    </row>
    <row r="742" spans="17:17" ht="17.25" customHeight="1" x14ac:dyDescent="0.2">
      <c r="Q742" s="4"/>
    </row>
    <row r="743" spans="17:17" ht="17.25" customHeight="1" x14ac:dyDescent="0.2">
      <c r="Q743" s="4"/>
    </row>
    <row r="744" spans="17:17" ht="17.25" customHeight="1" x14ac:dyDescent="0.2">
      <c r="Q744" s="4"/>
    </row>
    <row r="745" spans="17:17" ht="17.25" customHeight="1" x14ac:dyDescent="0.2">
      <c r="Q745" s="4"/>
    </row>
    <row r="746" spans="17:17" ht="17.25" customHeight="1" x14ac:dyDescent="0.2">
      <c r="Q746" s="4"/>
    </row>
    <row r="747" spans="17:17" ht="17.25" customHeight="1" x14ac:dyDescent="0.2">
      <c r="Q747" s="4"/>
    </row>
    <row r="748" spans="17:17" ht="17.25" customHeight="1" x14ac:dyDescent="0.2">
      <c r="Q748" s="4"/>
    </row>
    <row r="749" spans="17:17" ht="17.25" customHeight="1" x14ac:dyDescent="0.2">
      <c r="Q749" s="4"/>
    </row>
    <row r="750" spans="17:17" ht="17.25" customHeight="1" x14ac:dyDescent="0.2">
      <c r="Q750" s="4"/>
    </row>
    <row r="751" spans="17:17" ht="17.25" customHeight="1" x14ac:dyDescent="0.2">
      <c r="Q751" s="4"/>
    </row>
    <row r="752" spans="17:17" ht="17.25" customHeight="1" x14ac:dyDescent="0.2">
      <c r="Q752" s="4"/>
    </row>
    <row r="753" spans="17:17" ht="17.25" customHeight="1" x14ac:dyDescent="0.2">
      <c r="Q753" s="4"/>
    </row>
    <row r="754" spans="17:17" ht="17.25" customHeight="1" x14ac:dyDescent="0.2">
      <c r="Q754" s="4"/>
    </row>
    <row r="755" spans="17:17" ht="17.25" customHeight="1" x14ac:dyDescent="0.2">
      <c r="Q755" s="4"/>
    </row>
    <row r="756" spans="17:17" ht="17.25" customHeight="1" x14ac:dyDescent="0.2">
      <c r="Q756" s="4"/>
    </row>
    <row r="757" spans="17:17" ht="17.25" customHeight="1" x14ac:dyDescent="0.2">
      <c r="Q757" s="4"/>
    </row>
    <row r="758" spans="17:17" ht="17.25" customHeight="1" x14ac:dyDescent="0.2">
      <c r="Q758" s="4"/>
    </row>
    <row r="759" spans="17:17" ht="17.25" customHeight="1" x14ac:dyDescent="0.2">
      <c r="Q759" s="4"/>
    </row>
    <row r="760" spans="17:17" ht="17.25" customHeight="1" x14ac:dyDescent="0.2">
      <c r="Q760" s="4"/>
    </row>
    <row r="761" spans="17:17" ht="17.25" customHeight="1" x14ac:dyDescent="0.2">
      <c r="Q761" s="4"/>
    </row>
    <row r="762" spans="17:17" ht="17.25" customHeight="1" x14ac:dyDescent="0.2">
      <c r="Q762" s="4"/>
    </row>
    <row r="763" spans="17:17" ht="17.25" customHeight="1" x14ac:dyDescent="0.2">
      <c r="Q763" s="4"/>
    </row>
    <row r="764" spans="17:17" ht="17.25" customHeight="1" x14ac:dyDescent="0.2">
      <c r="Q764" s="4"/>
    </row>
    <row r="765" spans="17:17" ht="17.25" customHeight="1" x14ac:dyDescent="0.2">
      <c r="Q765" s="4"/>
    </row>
    <row r="766" spans="17:17" ht="17.25" customHeight="1" x14ac:dyDescent="0.2">
      <c r="Q766" s="4"/>
    </row>
    <row r="767" spans="17:17" ht="17.25" customHeight="1" x14ac:dyDescent="0.2">
      <c r="Q767" s="4"/>
    </row>
    <row r="768" spans="17:17" ht="17.25" customHeight="1" x14ac:dyDescent="0.2">
      <c r="Q768" s="4"/>
    </row>
    <row r="769" spans="17:17" ht="17.25" customHeight="1" x14ac:dyDescent="0.2">
      <c r="Q769" s="4"/>
    </row>
    <row r="770" spans="17:17" ht="17.25" customHeight="1" x14ac:dyDescent="0.2">
      <c r="Q770" s="4"/>
    </row>
    <row r="771" spans="17:17" ht="17.25" customHeight="1" x14ac:dyDescent="0.2">
      <c r="Q771" s="4"/>
    </row>
    <row r="772" spans="17:17" ht="17.25" customHeight="1" x14ac:dyDescent="0.2">
      <c r="Q772" s="4"/>
    </row>
    <row r="773" spans="17:17" ht="17.25" customHeight="1" x14ac:dyDescent="0.2">
      <c r="Q773" s="4"/>
    </row>
    <row r="774" spans="17:17" ht="17.25" customHeight="1" x14ac:dyDescent="0.2">
      <c r="Q774" s="4"/>
    </row>
    <row r="775" spans="17:17" ht="17.25" customHeight="1" x14ac:dyDescent="0.2">
      <c r="Q775" s="4"/>
    </row>
    <row r="776" spans="17:17" ht="17.25" customHeight="1" x14ac:dyDescent="0.2">
      <c r="Q776" s="4"/>
    </row>
    <row r="777" spans="17:17" ht="17.25" customHeight="1" x14ac:dyDescent="0.2">
      <c r="Q777" s="4"/>
    </row>
    <row r="778" spans="17:17" ht="17.25" customHeight="1" x14ac:dyDescent="0.2">
      <c r="Q778" s="4"/>
    </row>
    <row r="779" spans="17:17" ht="17.25" customHeight="1" x14ac:dyDescent="0.2">
      <c r="Q779" s="4"/>
    </row>
    <row r="780" spans="17:17" ht="17.25" customHeight="1" x14ac:dyDescent="0.2">
      <c r="Q780" s="4"/>
    </row>
    <row r="781" spans="17:17" ht="17.25" customHeight="1" x14ac:dyDescent="0.2">
      <c r="Q781" s="4"/>
    </row>
    <row r="782" spans="17:17" ht="17.25" customHeight="1" x14ac:dyDescent="0.2">
      <c r="Q782" s="4"/>
    </row>
    <row r="783" spans="17:17" ht="17.25" customHeight="1" x14ac:dyDescent="0.2">
      <c r="Q783" s="4"/>
    </row>
    <row r="784" spans="17:17" ht="17.25" customHeight="1" x14ac:dyDescent="0.2">
      <c r="Q784" s="4"/>
    </row>
    <row r="785" spans="17:17" ht="17.25" customHeight="1" x14ac:dyDescent="0.2">
      <c r="Q785" s="4"/>
    </row>
    <row r="786" spans="17:17" ht="17.25" customHeight="1" x14ac:dyDescent="0.2">
      <c r="Q786" s="4"/>
    </row>
    <row r="787" spans="17:17" ht="17.25" customHeight="1" x14ac:dyDescent="0.2">
      <c r="Q787" s="4"/>
    </row>
    <row r="788" spans="17:17" ht="17.25" customHeight="1" x14ac:dyDescent="0.2">
      <c r="Q788" s="4"/>
    </row>
    <row r="789" spans="17:17" ht="17.25" customHeight="1" x14ac:dyDescent="0.2">
      <c r="Q789" s="4"/>
    </row>
    <row r="790" spans="17:17" ht="17.25" customHeight="1" x14ac:dyDescent="0.2">
      <c r="Q790" s="4"/>
    </row>
    <row r="791" spans="17:17" ht="17.25" customHeight="1" x14ac:dyDescent="0.2">
      <c r="Q791" s="4"/>
    </row>
    <row r="792" spans="17:17" ht="17.25" customHeight="1" x14ac:dyDescent="0.2">
      <c r="Q792" s="4"/>
    </row>
    <row r="793" spans="17:17" ht="17.25" customHeight="1" x14ac:dyDescent="0.2">
      <c r="Q793" s="4"/>
    </row>
    <row r="794" spans="17:17" ht="17.25" customHeight="1" x14ac:dyDescent="0.2">
      <c r="Q794" s="4"/>
    </row>
    <row r="795" spans="17:17" ht="17.25" customHeight="1" x14ac:dyDescent="0.2">
      <c r="Q795" s="4"/>
    </row>
    <row r="796" spans="17:17" ht="17.25" customHeight="1" x14ac:dyDescent="0.2">
      <c r="Q796" s="4"/>
    </row>
    <row r="797" spans="17:17" ht="17.25" customHeight="1" x14ac:dyDescent="0.2">
      <c r="Q797" s="4"/>
    </row>
    <row r="798" spans="17:17" ht="17.25" customHeight="1" x14ac:dyDescent="0.2">
      <c r="Q798" s="4"/>
    </row>
    <row r="799" spans="17:17" ht="17.25" customHeight="1" x14ac:dyDescent="0.2">
      <c r="Q799" s="4"/>
    </row>
    <row r="800" spans="17:17" ht="17.25" customHeight="1" x14ac:dyDescent="0.2">
      <c r="Q800" s="4"/>
    </row>
    <row r="801" spans="17:17" ht="17.25" customHeight="1" x14ac:dyDescent="0.2">
      <c r="Q801" s="4"/>
    </row>
    <row r="802" spans="17:17" ht="17.25" customHeight="1" x14ac:dyDescent="0.2">
      <c r="Q802" s="4"/>
    </row>
    <row r="803" spans="17:17" ht="17.25" customHeight="1" x14ac:dyDescent="0.2">
      <c r="Q803" s="4"/>
    </row>
    <row r="804" spans="17:17" ht="17.25" customHeight="1" x14ac:dyDescent="0.2">
      <c r="Q804" s="4"/>
    </row>
    <row r="805" spans="17:17" ht="17.25" customHeight="1" x14ac:dyDescent="0.2">
      <c r="Q805" s="4"/>
    </row>
    <row r="806" spans="17:17" ht="17.25" customHeight="1" x14ac:dyDescent="0.2">
      <c r="Q806" s="4"/>
    </row>
    <row r="807" spans="17:17" ht="17.25" customHeight="1" x14ac:dyDescent="0.2">
      <c r="Q807" s="4"/>
    </row>
    <row r="808" spans="17:17" ht="17.25" customHeight="1" x14ac:dyDescent="0.2">
      <c r="Q808" s="4"/>
    </row>
    <row r="809" spans="17:17" ht="17.25" customHeight="1" x14ac:dyDescent="0.2">
      <c r="Q809" s="4"/>
    </row>
    <row r="810" spans="17:17" ht="17.25" customHeight="1" x14ac:dyDescent="0.2">
      <c r="Q810" s="4"/>
    </row>
    <row r="811" spans="17:17" ht="17.25" customHeight="1" x14ac:dyDescent="0.2">
      <c r="Q811" s="4"/>
    </row>
    <row r="812" spans="17:17" ht="17.25" customHeight="1" x14ac:dyDescent="0.2">
      <c r="Q812" s="4"/>
    </row>
    <row r="813" spans="17:17" ht="17.25" customHeight="1" x14ac:dyDescent="0.2">
      <c r="Q813" s="4"/>
    </row>
    <row r="814" spans="17:17" ht="17.25" customHeight="1" x14ac:dyDescent="0.2">
      <c r="Q814" s="4"/>
    </row>
    <row r="815" spans="17:17" ht="17.25" customHeight="1" x14ac:dyDescent="0.2">
      <c r="Q815" s="4"/>
    </row>
    <row r="816" spans="17:17" ht="17.25" customHeight="1" x14ac:dyDescent="0.2">
      <c r="Q816" s="4"/>
    </row>
    <row r="817" spans="17:17" ht="17.25" customHeight="1" x14ac:dyDescent="0.2">
      <c r="Q817" s="4"/>
    </row>
    <row r="818" spans="17:17" ht="17.25" customHeight="1" x14ac:dyDescent="0.2">
      <c r="Q818" s="4"/>
    </row>
    <row r="819" spans="17:17" ht="17.25" customHeight="1" x14ac:dyDescent="0.2">
      <c r="Q819" s="4"/>
    </row>
    <row r="820" spans="17:17" ht="17.25" customHeight="1" x14ac:dyDescent="0.2">
      <c r="Q820" s="4"/>
    </row>
    <row r="821" spans="17:17" ht="17.25" customHeight="1" x14ac:dyDescent="0.2">
      <c r="Q821" s="4"/>
    </row>
    <row r="822" spans="17:17" ht="17.25" customHeight="1" x14ac:dyDescent="0.2">
      <c r="Q822" s="4"/>
    </row>
    <row r="823" spans="17:17" ht="17.25" customHeight="1" x14ac:dyDescent="0.2">
      <c r="Q823" s="4"/>
    </row>
    <row r="824" spans="17:17" ht="17.25" customHeight="1" x14ac:dyDescent="0.2">
      <c r="Q824" s="4"/>
    </row>
    <row r="825" spans="17:17" ht="17.25" customHeight="1" x14ac:dyDescent="0.2">
      <c r="Q825" s="4"/>
    </row>
    <row r="826" spans="17:17" ht="17.25" customHeight="1" x14ac:dyDescent="0.2">
      <c r="Q826" s="4"/>
    </row>
    <row r="827" spans="17:17" ht="17.25" customHeight="1" x14ac:dyDescent="0.2">
      <c r="Q827" s="4"/>
    </row>
    <row r="828" spans="17:17" ht="17.25" customHeight="1" x14ac:dyDescent="0.2">
      <c r="Q828" s="4"/>
    </row>
    <row r="829" spans="17:17" ht="17.25" customHeight="1" x14ac:dyDescent="0.2">
      <c r="Q829" s="4"/>
    </row>
    <row r="830" spans="17:17" ht="17.25" customHeight="1" x14ac:dyDescent="0.2">
      <c r="Q830" s="4"/>
    </row>
    <row r="831" spans="17:17" ht="17.25" customHeight="1" x14ac:dyDescent="0.2">
      <c r="Q831" s="4"/>
    </row>
    <row r="832" spans="17:17" ht="17.25" customHeight="1" x14ac:dyDescent="0.2">
      <c r="Q832" s="4"/>
    </row>
    <row r="833" spans="17:17" ht="17.25" customHeight="1" x14ac:dyDescent="0.2">
      <c r="Q833" s="4"/>
    </row>
    <row r="834" spans="17:17" ht="17.25" customHeight="1" x14ac:dyDescent="0.2">
      <c r="Q834" s="4"/>
    </row>
    <row r="835" spans="17:17" ht="17.25" customHeight="1" x14ac:dyDescent="0.2">
      <c r="Q835" s="4"/>
    </row>
    <row r="836" spans="17:17" ht="17.25" customHeight="1" x14ac:dyDescent="0.2">
      <c r="Q836" s="4"/>
    </row>
    <row r="837" spans="17:17" ht="17.25" customHeight="1" x14ac:dyDescent="0.2">
      <c r="Q837" s="4"/>
    </row>
    <row r="838" spans="17:17" ht="17.25" customHeight="1" x14ac:dyDescent="0.2">
      <c r="Q838" s="4"/>
    </row>
    <row r="839" spans="17:17" ht="17.25" customHeight="1" x14ac:dyDescent="0.2">
      <c r="Q839" s="4"/>
    </row>
    <row r="840" spans="17:17" ht="17.25" customHeight="1" x14ac:dyDescent="0.2">
      <c r="Q840" s="4"/>
    </row>
    <row r="841" spans="17:17" ht="17.25" customHeight="1" x14ac:dyDescent="0.2">
      <c r="Q841" s="4"/>
    </row>
    <row r="842" spans="17:17" ht="17.25" customHeight="1" x14ac:dyDescent="0.2">
      <c r="Q842" s="4"/>
    </row>
    <row r="843" spans="17:17" ht="17.25" customHeight="1" x14ac:dyDescent="0.2">
      <c r="Q843" s="4"/>
    </row>
    <row r="844" spans="17:17" ht="17.25" customHeight="1" x14ac:dyDescent="0.2">
      <c r="Q844" s="4"/>
    </row>
    <row r="845" spans="17:17" ht="17.25" customHeight="1" x14ac:dyDescent="0.2">
      <c r="Q845" s="4"/>
    </row>
    <row r="846" spans="17:17" ht="17.25" customHeight="1" x14ac:dyDescent="0.2">
      <c r="Q846" s="4"/>
    </row>
    <row r="847" spans="17:17" ht="17.25" customHeight="1" x14ac:dyDescent="0.2">
      <c r="Q847" s="4"/>
    </row>
    <row r="848" spans="17:17" ht="17.25" customHeight="1" x14ac:dyDescent="0.2">
      <c r="Q848" s="4"/>
    </row>
    <row r="849" spans="17:17" ht="17.25" customHeight="1" x14ac:dyDescent="0.2">
      <c r="Q849" s="4"/>
    </row>
    <row r="850" spans="17:17" ht="17.25" customHeight="1" x14ac:dyDescent="0.2">
      <c r="Q850" s="4"/>
    </row>
    <row r="851" spans="17:17" ht="17.25" customHeight="1" x14ac:dyDescent="0.2">
      <c r="Q851" s="4"/>
    </row>
    <row r="852" spans="17:17" ht="17.25" customHeight="1" x14ac:dyDescent="0.2">
      <c r="Q852" s="4"/>
    </row>
    <row r="853" spans="17:17" ht="17.25" customHeight="1" x14ac:dyDescent="0.2">
      <c r="Q853" s="4"/>
    </row>
    <row r="854" spans="17:17" ht="17.25" customHeight="1" x14ac:dyDescent="0.2">
      <c r="Q854" s="4"/>
    </row>
    <row r="855" spans="17:17" ht="17.25" customHeight="1" x14ac:dyDescent="0.2">
      <c r="Q855" s="4"/>
    </row>
    <row r="856" spans="17:17" ht="17.25" customHeight="1" x14ac:dyDescent="0.2">
      <c r="Q856" s="4"/>
    </row>
    <row r="857" spans="17:17" ht="17.25" customHeight="1" x14ac:dyDescent="0.2">
      <c r="Q857" s="4"/>
    </row>
    <row r="858" spans="17:17" ht="17.25" customHeight="1" x14ac:dyDescent="0.2">
      <c r="Q858" s="4"/>
    </row>
    <row r="859" spans="17:17" ht="17.25" customHeight="1" x14ac:dyDescent="0.2">
      <c r="Q859" s="4"/>
    </row>
    <row r="860" spans="17:17" ht="17.25" customHeight="1" x14ac:dyDescent="0.2">
      <c r="Q860" s="4"/>
    </row>
    <row r="861" spans="17:17" ht="17.25" customHeight="1" x14ac:dyDescent="0.2">
      <c r="Q861" s="4"/>
    </row>
    <row r="862" spans="17:17" ht="17.25" customHeight="1" x14ac:dyDescent="0.2">
      <c r="Q862" s="4"/>
    </row>
    <row r="863" spans="17:17" ht="17.25" customHeight="1" x14ac:dyDescent="0.2">
      <c r="Q863" s="4"/>
    </row>
    <row r="864" spans="17:17" ht="17.25" customHeight="1" x14ac:dyDescent="0.2">
      <c r="Q864" s="4"/>
    </row>
    <row r="865" spans="17:17" ht="17.25" customHeight="1" x14ac:dyDescent="0.2">
      <c r="Q865" s="4"/>
    </row>
    <row r="866" spans="17:17" ht="17.25" customHeight="1" x14ac:dyDescent="0.2">
      <c r="Q866" s="4"/>
    </row>
    <row r="867" spans="17:17" ht="17.25" customHeight="1" x14ac:dyDescent="0.2">
      <c r="Q867" s="4"/>
    </row>
    <row r="868" spans="17:17" ht="17.25" customHeight="1" x14ac:dyDescent="0.2">
      <c r="Q868" s="4"/>
    </row>
    <row r="869" spans="17:17" ht="17.25" customHeight="1" x14ac:dyDescent="0.2">
      <c r="Q869" s="4"/>
    </row>
    <row r="870" spans="17:17" ht="17.25" customHeight="1" x14ac:dyDescent="0.2">
      <c r="Q870" s="4"/>
    </row>
    <row r="871" spans="17:17" ht="17.25" customHeight="1" x14ac:dyDescent="0.2">
      <c r="Q871" s="4"/>
    </row>
    <row r="872" spans="17:17" ht="17.25" customHeight="1" x14ac:dyDescent="0.2">
      <c r="Q872" s="4"/>
    </row>
    <row r="873" spans="17:17" ht="17.25" customHeight="1" x14ac:dyDescent="0.2">
      <c r="Q873" s="4"/>
    </row>
    <row r="874" spans="17:17" ht="17.25" customHeight="1" x14ac:dyDescent="0.2">
      <c r="Q874" s="4"/>
    </row>
    <row r="875" spans="17:17" ht="17.25" customHeight="1" x14ac:dyDescent="0.2">
      <c r="Q875" s="4"/>
    </row>
    <row r="876" spans="17:17" ht="17.25" customHeight="1" x14ac:dyDescent="0.2">
      <c r="Q876" s="4"/>
    </row>
    <row r="877" spans="17:17" ht="17.25" customHeight="1" x14ac:dyDescent="0.2">
      <c r="Q877" s="4"/>
    </row>
    <row r="878" spans="17:17" ht="17.25" customHeight="1" x14ac:dyDescent="0.2">
      <c r="Q878" s="4"/>
    </row>
    <row r="879" spans="17:17" ht="17.25" customHeight="1" x14ac:dyDescent="0.2">
      <c r="Q879" s="4"/>
    </row>
    <row r="880" spans="17:17" ht="17.25" customHeight="1" x14ac:dyDescent="0.2">
      <c r="Q880" s="4"/>
    </row>
    <row r="881" spans="17:17" ht="17.25" customHeight="1" x14ac:dyDescent="0.2">
      <c r="Q881" s="4"/>
    </row>
    <row r="882" spans="17:17" ht="17.25" customHeight="1" x14ac:dyDescent="0.2">
      <c r="Q882" s="4"/>
    </row>
    <row r="883" spans="17:17" ht="17.25" customHeight="1" x14ac:dyDescent="0.2">
      <c r="Q883" s="4"/>
    </row>
    <row r="884" spans="17:17" ht="17.25" customHeight="1" x14ac:dyDescent="0.2">
      <c r="Q884" s="4"/>
    </row>
    <row r="885" spans="17:17" ht="17.25" customHeight="1" x14ac:dyDescent="0.2">
      <c r="Q885" s="4"/>
    </row>
    <row r="886" spans="17:17" ht="17.25" customHeight="1" x14ac:dyDescent="0.2">
      <c r="Q886" s="4"/>
    </row>
    <row r="887" spans="17:17" ht="17.25" customHeight="1" x14ac:dyDescent="0.2">
      <c r="Q887" s="4"/>
    </row>
    <row r="888" spans="17:17" ht="17.25" customHeight="1" x14ac:dyDescent="0.2">
      <c r="Q888" s="4"/>
    </row>
    <row r="889" spans="17:17" ht="17.25" customHeight="1" x14ac:dyDescent="0.2">
      <c r="Q889" s="4"/>
    </row>
    <row r="890" spans="17:17" ht="17.25" customHeight="1" x14ac:dyDescent="0.2">
      <c r="Q890" s="4"/>
    </row>
    <row r="891" spans="17:17" ht="17.25" customHeight="1" x14ac:dyDescent="0.2">
      <c r="Q891" s="4"/>
    </row>
    <row r="892" spans="17:17" ht="17.25" customHeight="1" x14ac:dyDescent="0.2">
      <c r="Q892" s="4"/>
    </row>
    <row r="893" spans="17:17" ht="17.25" customHeight="1" x14ac:dyDescent="0.2">
      <c r="Q893" s="4"/>
    </row>
    <row r="894" spans="17:17" ht="17.25" customHeight="1" x14ac:dyDescent="0.2">
      <c r="Q894" s="4"/>
    </row>
    <row r="895" spans="17:17" ht="17.25" customHeight="1" x14ac:dyDescent="0.2">
      <c r="Q895" s="4"/>
    </row>
    <row r="896" spans="17:17" ht="17.25" customHeight="1" x14ac:dyDescent="0.2">
      <c r="Q896" s="4"/>
    </row>
    <row r="897" spans="17:17" ht="17.25" customHeight="1" x14ac:dyDescent="0.2">
      <c r="Q897" s="4"/>
    </row>
    <row r="898" spans="17:17" ht="17.25" customHeight="1" x14ac:dyDescent="0.2">
      <c r="Q898" s="4"/>
    </row>
    <row r="899" spans="17:17" ht="17.25" customHeight="1" x14ac:dyDescent="0.2">
      <c r="Q899" s="4"/>
    </row>
    <row r="900" spans="17:17" ht="17.25" customHeight="1" x14ac:dyDescent="0.2">
      <c r="Q900" s="4"/>
    </row>
    <row r="901" spans="17:17" ht="17.25" customHeight="1" x14ac:dyDescent="0.2">
      <c r="Q901" s="4"/>
    </row>
    <row r="902" spans="17:17" ht="17.25" customHeight="1" x14ac:dyDescent="0.2">
      <c r="Q902" s="4"/>
    </row>
    <row r="903" spans="17:17" ht="17.25" customHeight="1" x14ac:dyDescent="0.2">
      <c r="Q903" s="4"/>
    </row>
    <row r="904" spans="17:17" ht="17.25" customHeight="1" x14ac:dyDescent="0.2">
      <c r="Q904" s="4"/>
    </row>
    <row r="905" spans="17:17" ht="17.25" customHeight="1" x14ac:dyDescent="0.2">
      <c r="Q905" s="4"/>
    </row>
    <row r="906" spans="17:17" ht="17.25" customHeight="1" x14ac:dyDescent="0.2">
      <c r="Q906" s="4"/>
    </row>
    <row r="907" spans="17:17" ht="17.25" customHeight="1" x14ac:dyDescent="0.2">
      <c r="Q907" s="4"/>
    </row>
    <row r="908" spans="17:17" ht="17.25" customHeight="1" x14ac:dyDescent="0.2">
      <c r="Q908" s="4"/>
    </row>
    <row r="909" spans="17:17" ht="17.25" customHeight="1" x14ac:dyDescent="0.2">
      <c r="Q909" s="4"/>
    </row>
    <row r="910" spans="17:17" ht="17.25" customHeight="1" x14ac:dyDescent="0.2">
      <c r="Q910" s="4"/>
    </row>
    <row r="911" spans="17:17" ht="17.25" customHeight="1" x14ac:dyDescent="0.2">
      <c r="Q911" s="4"/>
    </row>
    <row r="912" spans="17:17" ht="17.25" customHeight="1" x14ac:dyDescent="0.2">
      <c r="Q912" s="4"/>
    </row>
    <row r="913" spans="17:17" ht="17.25" customHeight="1" x14ac:dyDescent="0.2">
      <c r="Q913" s="4"/>
    </row>
    <row r="914" spans="17:17" ht="17.25" customHeight="1" x14ac:dyDescent="0.2">
      <c r="Q914" s="4"/>
    </row>
    <row r="915" spans="17:17" ht="17.25" customHeight="1" x14ac:dyDescent="0.2">
      <c r="Q915" s="4"/>
    </row>
    <row r="916" spans="17:17" ht="17.25" customHeight="1" x14ac:dyDescent="0.2">
      <c r="Q916" s="4"/>
    </row>
    <row r="917" spans="17:17" ht="17.25" customHeight="1" x14ac:dyDescent="0.2">
      <c r="Q917" s="4"/>
    </row>
    <row r="918" spans="17:17" ht="17.25" customHeight="1" x14ac:dyDescent="0.2">
      <c r="Q918" s="4"/>
    </row>
    <row r="919" spans="17:17" ht="17.25" customHeight="1" x14ac:dyDescent="0.2">
      <c r="Q919" s="4"/>
    </row>
    <row r="920" spans="17:17" ht="17.25" customHeight="1" x14ac:dyDescent="0.2">
      <c r="Q920" s="4"/>
    </row>
    <row r="921" spans="17:17" ht="17.25" customHeight="1" x14ac:dyDescent="0.2">
      <c r="Q921" s="4"/>
    </row>
    <row r="922" spans="17:17" ht="17.25" customHeight="1" x14ac:dyDescent="0.2">
      <c r="Q922" s="4"/>
    </row>
    <row r="923" spans="17:17" ht="17.25" customHeight="1" x14ac:dyDescent="0.2">
      <c r="Q923" s="4"/>
    </row>
    <row r="924" spans="17:17" ht="17.25" customHeight="1" x14ac:dyDescent="0.2">
      <c r="Q924" s="4"/>
    </row>
    <row r="925" spans="17:17" ht="17.25" customHeight="1" x14ac:dyDescent="0.2">
      <c r="Q925" s="4"/>
    </row>
    <row r="926" spans="17:17" ht="17.25" customHeight="1" x14ac:dyDescent="0.2">
      <c r="Q926" s="4"/>
    </row>
    <row r="927" spans="17:17" ht="17.25" customHeight="1" x14ac:dyDescent="0.2">
      <c r="Q927" s="4"/>
    </row>
    <row r="928" spans="17:17" ht="17.25" customHeight="1" x14ac:dyDescent="0.2">
      <c r="Q928" s="4"/>
    </row>
    <row r="929" spans="17:17" ht="17.25" customHeight="1" x14ac:dyDescent="0.2">
      <c r="Q929" s="4"/>
    </row>
    <row r="930" spans="17:17" ht="17.25" customHeight="1" x14ac:dyDescent="0.2">
      <c r="Q930" s="4"/>
    </row>
    <row r="931" spans="17:17" ht="17.25" customHeight="1" x14ac:dyDescent="0.2">
      <c r="Q931" s="4"/>
    </row>
    <row r="932" spans="17:17" ht="17.25" customHeight="1" x14ac:dyDescent="0.2">
      <c r="Q932" s="4"/>
    </row>
    <row r="933" spans="17:17" ht="17.25" customHeight="1" x14ac:dyDescent="0.2">
      <c r="Q933" s="4"/>
    </row>
    <row r="934" spans="17:17" ht="17.25" customHeight="1" x14ac:dyDescent="0.2">
      <c r="Q934" s="4"/>
    </row>
    <row r="935" spans="17:17" ht="17.25" customHeight="1" x14ac:dyDescent="0.2">
      <c r="Q935" s="4"/>
    </row>
    <row r="936" spans="17:17" ht="17.25" customHeight="1" x14ac:dyDescent="0.2">
      <c r="Q936" s="4"/>
    </row>
    <row r="937" spans="17:17" ht="17.25" customHeight="1" x14ac:dyDescent="0.2">
      <c r="Q937" s="4"/>
    </row>
    <row r="938" spans="17:17" ht="17.25" customHeight="1" x14ac:dyDescent="0.2">
      <c r="Q938" s="4"/>
    </row>
    <row r="939" spans="17:17" ht="17.25" customHeight="1" x14ac:dyDescent="0.2">
      <c r="Q939" s="4"/>
    </row>
    <row r="940" spans="17:17" ht="17.25" customHeight="1" x14ac:dyDescent="0.2">
      <c r="Q940" s="4"/>
    </row>
    <row r="941" spans="17:17" ht="17.25" customHeight="1" x14ac:dyDescent="0.2">
      <c r="Q941" s="4"/>
    </row>
    <row r="942" spans="17:17" ht="17.25" customHeight="1" x14ac:dyDescent="0.2">
      <c r="Q942" s="4"/>
    </row>
    <row r="943" spans="17:17" ht="17.25" customHeight="1" x14ac:dyDescent="0.2">
      <c r="Q943" s="4"/>
    </row>
    <row r="944" spans="17:17" ht="17.25" customHeight="1" x14ac:dyDescent="0.2">
      <c r="Q944" s="4"/>
    </row>
    <row r="945" spans="17:17" ht="17.25" customHeight="1" x14ac:dyDescent="0.2">
      <c r="Q945" s="4"/>
    </row>
    <row r="946" spans="17:17" ht="17.25" customHeight="1" x14ac:dyDescent="0.2">
      <c r="Q946" s="4"/>
    </row>
    <row r="947" spans="17:17" ht="17.25" customHeight="1" x14ac:dyDescent="0.2">
      <c r="Q947" s="4"/>
    </row>
    <row r="948" spans="17:17" ht="17.25" customHeight="1" x14ac:dyDescent="0.2">
      <c r="Q948" s="4"/>
    </row>
    <row r="949" spans="17:17" ht="17.25" customHeight="1" x14ac:dyDescent="0.2">
      <c r="Q949" s="4"/>
    </row>
    <row r="950" spans="17:17" ht="17.25" customHeight="1" x14ac:dyDescent="0.2">
      <c r="Q950" s="4"/>
    </row>
    <row r="951" spans="17:17" ht="17.25" customHeight="1" x14ac:dyDescent="0.2">
      <c r="Q951" s="4"/>
    </row>
    <row r="952" spans="17:17" ht="17.25" customHeight="1" x14ac:dyDescent="0.2">
      <c r="Q952" s="4"/>
    </row>
    <row r="953" spans="17:17" ht="17.25" customHeight="1" x14ac:dyDescent="0.2">
      <c r="Q953" s="4"/>
    </row>
    <row r="954" spans="17:17" ht="17.25" customHeight="1" x14ac:dyDescent="0.2">
      <c r="Q954" s="4"/>
    </row>
    <row r="955" spans="17:17" ht="17.25" customHeight="1" x14ac:dyDescent="0.2">
      <c r="Q955" s="4"/>
    </row>
    <row r="956" spans="17:17" ht="17.25" customHeight="1" x14ac:dyDescent="0.2">
      <c r="Q956" s="4"/>
    </row>
    <row r="957" spans="17:17" ht="17.25" customHeight="1" x14ac:dyDescent="0.2">
      <c r="Q957" s="4"/>
    </row>
    <row r="958" spans="17:17" ht="17.25" customHeight="1" x14ac:dyDescent="0.2">
      <c r="Q958" s="4"/>
    </row>
    <row r="959" spans="17:17" ht="17.25" customHeight="1" x14ac:dyDescent="0.2">
      <c r="Q959" s="4"/>
    </row>
    <row r="960" spans="17:17" ht="17.25" customHeight="1" x14ac:dyDescent="0.2">
      <c r="Q960" s="4"/>
    </row>
    <row r="961" spans="17:17" ht="17.25" customHeight="1" x14ac:dyDescent="0.2">
      <c r="Q961" s="4"/>
    </row>
    <row r="962" spans="17:17" ht="17.25" customHeight="1" x14ac:dyDescent="0.2">
      <c r="Q962" s="4"/>
    </row>
    <row r="963" spans="17:17" ht="17.25" customHeight="1" x14ac:dyDescent="0.2">
      <c r="Q963" s="4"/>
    </row>
    <row r="964" spans="17:17" ht="17.25" customHeight="1" x14ac:dyDescent="0.2">
      <c r="Q964" s="4"/>
    </row>
    <row r="965" spans="17:17" ht="17.25" customHeight="1" x14ac:dyDescent="0.2">
      <c r="Q965" s="4"/>
    </row>
    <row r="966" spans="17:17" ht="17.25" customHeight="1" x14ac:dyDescent="0.2">
      <c r="Q966" s="4"/>
    </row>
    <row r="967" spans="17:17" ht="17.25" customHeight="1" x14ac:dyDescent="0.2">
      <c r="Q967" s="4"/>
    </row>
    <row r="968" spans="17:17" ht="17.25" customHeight="1" x14ac:dyDescent="0.2">
      <c r="Q968" s="4"/>
    </row>
    <row r="969" spans="17:17" ht="17.25" customHeight="1" x14ac:dyDescent="0.2">
      <c r="Q969" s="4"/>
    </row>
    <row r="970" spans="17:17" ht="17.25" customHeight="1" x14ac:dyDescent="0.2">
      <c r="Q970" s="4"/>
    </row>
    <row r="971" spans="17:17" ht="17.25" customHeight="1" x14ac:dyDescent="0.2">
      <c r="Q971" s="4"/>
    </row>
    <row r="972" spans="17:17" ht="17.25" customHeight="1" x14ac:dyDescent="0.2">
      <c r="Q972" s="4"/>
    </row>
    <row r="973" spans="17:17" ht="17.25" customHeight="1" x14ac:dyDescent="0.2">
      <c r="Q973" s="4"/>
    </row>
    <row r="974" spans="17:17" ht="17.25" customHeight="1" x14ac:dyDescent="0.2">
      <c r="Q974" s="4"/>
    </row>
    <row r="975" spans="17:17" ht="17.25" customHeight="1" x14ac:dyDescent="0.2">
      <c r="Q975" s="4"/>
    </row>
    <row r="976" spans="17:17" ht="17.25" customHeight="1" x14ac:dyDescent="0.2">
      <c r="Q976" s="4"/>
    </row>
    <row r="977" spans="17:17" ht="17.25" customHeight="1" x14ac:dyDescent="0.2">
      <c r="Q977" s="4"/>
    </row>
    <row r="978" spans="17:17" ht="17.25" customHeight="1" x14ac:dyDescent="0.2">
      <c r="Q978" s="4"/>
    </row>
    <row r="979" spans="17:17" ht="17.25" customHeight="1" x14ac:dyDescent="0.2">
      <c r="Q979" s="4"/>
    </row>
    <row r="980" spans="17:17" ht="17.25" customHeight="1" x14ac:dyDescent="0.2">
      <c r="Q980" s="4"/>
    </row>
    <row r="981" spans="17:17" ht="17.25" customHeight="1" x14ac:dyDescent="0.2">
      <c r="Q981" s="4"/>
    </row>
    <row r="982" spans="17:17" ht="17.25" customHeight="1" x14ac:dyDescent="0.2">
      <c r="Q982" s="4"/>
    </row>
    <row r="983" spans="17:17" ht="17.25" customHeight="1" x14ac:dyDescent="0.2">
      <c r="Q983" s="4"/>
    </row>
    <row r="984" spans="17:17" ht="17.25" customHeight="1" x14ac:dyDescent="0.2">
      <c r="Q984" s="4"/>
    </row>
    <row r="985" spans="17:17" ht="17.25" customHeight="1" x14ac:dyDescent="0.2">
      <c r="Q985" s="4"/>
    </row>
    <row r="986" spans="17:17" ht="17.25" customHeight="1" x14ac:dyDescent="0.2">
      <c r="Q986" s="4"/>
    </row>
    <row r="987" spans="17:17" ht="17.25" customHeight="1" x14ac:dyDescent="0.2">
      <c r="Q987" s="4"/>
    </row>
    <row r="988" spans="17:17" ht="17.25" customHeight="1" x14ac:dyDescent="0.2">
      <c r="Q988" s="4"/>
    </row>
    <row r="989" spans="17:17" ht="17.25" customHeight="1" x14ac:dyDescent="0.2">
      <c r="Q989" s="4"/>
    </row>
    <row r="990" spans="17:17" ht="17.25" customHeight="1" x14ac:dyDescent="0.2">
      <c r="Q990" s="4"/>
    </row>
    <row r="991" spans="17:17" ht="17.25" customHeight="1" x14ac:dyDescent="0.2">
      <c r="Q991" s="4"/>
    </row>
    <row r="992" spans="17:17" ht="17.25" customHeight="1" x14ac:dyDescent="0.2">
      <c r="Q992" s="4"/>
    </row>
    <row r="993" spans="17:17" ht="17.25" customHeight="1" x14ac:dyDescent="0.2">
      <c r="Q993" s="4"/>
    </row>
    <row r="994" spans="17:17" ht="17.25" customHeight="1" x14ac:dyDescent="0.2">
      <c r="Q994" s="4"/>
    </row>
    <row r="995" spans="17:17" ht="17.25" customHeight="1" x14ac:dyDescent="0.2">
      <c r="Q995" s="4"/>
    </row>
    <row r="996" spans="17:17" ht="17.25" customHeight="1" x14ac:dyDescent="0.2">
      <c r="Q996" s="4"/>
    </row>
    <row r="997" spans="17:17" ht="17.25" customHeight="1" x14ac:dyDescent="0.2">
      <c r="Q997" s="4"/>
    </row>
    <row r="998" spans="17:17" ht="17.25" customHeight="1" x14ac:dyDescent="0.2">
      <c r="Q998" s="4"/>
    </row>
    <row r="999" spans="17:17" ht="17.25" customHeight="1" x14ac:dyDescent="0.2">
      <c r="Q999" s="4"/>
    </row>
    <row r="1000" spans="17:17" ht="17.25" customHeight="1" x14ac:dyDescent="0.2">
      <c r="Q1000" s="4"/>
    </row>
    <row r="1001" spans="17:17" ht="17.25" customHeight="1" x14ac:dyDescent="0.2">
      <c r="Q1001" s="4"/>
    </row>
    <row r="1002" spans="17:17" ht="17.25" customHeight="1" x14ac:dyDescent="0.2">
      <c r="Q1002" s="4"/>
    </row>
    <row r="1003" spans="17:17" ht="17.25" customHeight="1" x14ac:dyDescent="0.2">
      <c r="Q100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heetViews>
  <sheetFormatPr baseColWidth="10" defaultColWidth="8.83203125" defaultRowHeight="15" x14ac:dyDescent="0.2"/>
  <cols>
    <col min="1" max="1" width="18.83203125" style="42" bestFit="1" customWidth="1"/>
    <col min="2" max="2" width="16.5" style="14" bestFit="1" customWidth="1"/>
    <col min="3" max="3" width="15.33203125" style="14" bestFit="1" customWidth="1"/>
    <col min="4" max="4" width="13.6640625" style="81" bestFit="1" customWidth="1"/>
    <col min="5" max="5" width="11.83203125" style="42" bestFit="1" customWidth="1"/>
    <col min="6" max="6" width="11.83203125" style="81" bestFit="1" customWidth="1"/>
    <col min="7" max="7" width="17.5" style="14" bestFit="1" customWidth="1"/>
    <col min="8" max="8" width="18.6640625" style="14" bestFit="1" customWidth="1"/>
    <col min="9" max="9" width="11.83203125" style="81" bestFit="1" customWidth="1"/>
    <col min="10" max="10" width="11.83203125" style="42" bestFit="1" customWidth="1"/>
    <col min="11" max="11" width="16.83203125" style="14" bestFit="1" customWidth="1"/>
    <col min="12" max="12" width="20.5" style="42" bestFit="1" customWidth="1"/>
    <col min="13" max="13" width="18.5" style="81" bestFit="1" customWidth="1"/>
    <col min="14" max="14" width="11.83203125" style="81" bestFit="1" customWidth="1"/>
    <col min="15" max="15" width="11.83203125" style="84" bestFit="1" customWidth="1"/>
    <col min="16" max="16" width="16" style="84" bestFit="1" customWidth="1"/>
    <col min="17" max="17" width="70.83203125" style="14" bestFit="1" customWidth="1"/>
    <col min="18" max="26" width="11.83203125" style="14" bestFit="1" customWidth="1"/>
  </cols>
  <sheetData>
    <row r="1" spans="1:26" ht="20.25" customHeight="1" x14ac:dyDescent="0.2">
      <c r="A1" s="47" t="s">
        <v>0</v>
      </c>
      <c r="B1" s="48" t="s">
        <v>108</v>
      </c>
      <c r="C1" s="48" t="s">
        <v>1</v>
      </c>
      <c r="D1" s="49" t="s">
        <v>109</v>
      </c>
      <c r="E1" s="47" t="s">
        <v>110</v>
      </c>
      <c r="F1" s="49" t="s">
        <v>3</v>
      </c>
      <c r="G1" s="48" t="s">
        <v>111</v>
      </c>
      <c r="H1" s="48" t="s">
        <v>112</v>
      </c>
      <c r="I1" s="49" t="s">
        <v>113</v>
      </c>
      <c r="J1" s="47" t="s">
        <v>114</v>
      </c>
      <c r="K1" s="48" t="s">
        <v>115</v>
      </c>
      <c r="L1" s="47" t="s">
        <v>116</v>
      </c>
      <c r="M1" s="49" t="s">
        <v>117</v>
      </c>
      <c r="N1" s="49" t="s">
        <v>4</v>
      </c>
      <c r="O1" s="51" t="s">
        <v>7</v>
      </c>
      <c r="P1" s="51" t="s">
        <v>118</v>
      </c>
      <c r="Q1" s="48" t="s">
        <v>119</v>
      </c>
      <c r="R1" s="63"/>
      <c r="S1" s="63"/>
      <c r="T1" s="63"/>
      <c r="U1" s="63"/>
      <c r="V1" s="63"/>
      <c r="W1" s="63"/>
      <c r="X1" s="63"/>
      <c r="Y1" s="63"/>
      <c r="Z1" s="63"/>
    </row>
    <row r="2" spans="1:26" ht="18.75" customHeight="1" x14ac:dyDescent="0.2">
      <c r="A2" s="94">
        <v>551</v>
      </c>
      <c r="B2" s="95" t="s">
        <v>120</v>
      </c>
      <c r="C2" s="95"/>
      <c r="D2" s="96"/>
      <c r="E2" s="97"/>
      <c r="F2" s="96"/>
      <c r="G2" s="98" t="s">
        <v>416</v>
      </c>
      <c r="H2" s="98" t="s">
        <v>417</v>
      </c>
      <c r="I2" s="99"/>
      <c r="J2" s="97"/>
      <c r="K2" s="98"/>
      <c r="L2" s="97"/>
      <c r="M2" s="100"/>
      <c r="N2" s="99"/>
      <c r="O2" s="101"/>
      <c r="P2" s="101"/>
      <c r="Q2" s="89" t="s">
        <v>418</v>
      </c>
      <c r="R2" s="63"/>
      <c r="S2" s="63"/>
      <c r="T2" s="63"/>
      <c r="U2" s="63"/>
      <c r="V2" s="63"/>
      <c r="W2" s="63"/>
      <c r="X2" s="63"/>
      <c r="Y2" s="63"/>
      <c r="Z2" s="63"/>
    </row>
    <row r="3" spans="1:26" ht="18.75" customHeight="1" x14ac:dyDescent="0.2">
      <c r="A3" s="94">
        <v>552</v>
      </c>
      <c r="B3" s="95" t="s">
        <v>120</v>
      </c>
      <c r="C3" s="95"/>
      <c r="D3" s="96"/>
      <c r="E3" s="97"/>
      <c r="F3" s="96"/>
      <c r="G3" s="98" t="s">
        <v>419</v>
      </c>
      <c r="H3" s="98" t="s">
        <v>420</v>
      </c>
      <c r="I3" s="99"/>
      <c r="J3" s="97"/>
      <c r="K3" s="98"/>
      <c r="L3" s="97"/>
      <c r="M3" s="100"/>
      <c r="N3" s="99"/>
      <c r="O3" s="101"/>
      <c r="P3" s="101"/>
      <c r="Q3" s="89" t="s">
        <v>421</v>
      </c>
      <c r="R3" s="63"/>
      <c r="S3" s="63"/>
      <c r="T3" s="63"/>
      <c r="U3" s="63"/>
      <c r="V3" s="63"/>
      <c r="W3" s="63"/>
      <c r="X3" s="63"/>
      <c r="Y3" s="63"/>
      <c r="Z3" s="63"/>
    </row>
    <row r="4" spans="1:26" ht="18.75" customHeight="1" x14ac:dyDescent="0.2">
      <c r="A4" s="94">
        <v>553</v>
      </c>
      <c r="B4" s="95" t="s">
        <v>120</v>
      </c>
      <c r="C4" s="95"/>
      <c r="D4" s="96"/>
      <c r="E4" s="97"/>
      <c r="F4" s="96"/>
      <c r="G4" s="98" t="s">
        <v>422</v>
      </c>
      <c r="H4" s="98" t="s">
        <v>423</v>
      </c>
      <c r="I4" s="99"/>
      <c r="J4" s="97"/>
      <c r="K4" s="98"/>
      <c r="L4" s="97"/>
      <c r="M4" s="100"/>
      <c r="N4" s="99"/>
      <c r="O4" s="101"/>
      <c r="P4" s="101"/>
      <c r="Q4" s="89" t="s">
        <v>424</v>
      </c>
      <c r="R4" s="63"/>
      <c r="S4" s="63"/>
      <c r="T4" s="63"/>
      <c r="U4" s="63"/>
      <c r="V4" s="63"/>
      <c r="W4" s="63"/>
      <c r="X4" s="63"/>
      <c r="Y4" s="63"/>
      <c r="Z4" s="63"/>
    </row>
    <row r="5" spans="1:26" ht="18.75" customHeight="1" x14ac:dyDescent="0.2">
      <c r="A5" s="94">
        <v>554</v>
      </c>
      <c r="B5" s="95" t="s">
        <v>120</v>
      </c>
      <c r="C5" s="95"/>
      <c r="D5" s="96"/>
      <c r="E5" s="97"/>
      <c r="F5" s="96"/>
      <c r="G5" s="98" t="s">
        <v>425</v>
      </c>
      <c r="H5" s="98"/>
      <c r="I5" s="99"/>
      <c r="J5" s="97"/>
      <c r="K5" s="98"/>
      <c r="L5" s="97"/>
      <c r="M5" s="100"/>
      <c r="N5" s="99"/>
      <c r="O5" s="101"/>
      <c r="P5" s="101"/>
      <c r="Q5" s="89"/>
      <c r="R5" s="63"/>
      <c r="S5" s="63"/>
      <c r="T5" s="63"/>
      <c r="U5" s="63"/>
      <c r="V5" s="63"/>
      <c r="W5" s="63"/>
      <c r="X5" s="63"/>
      <c r="Y5" s="63"/>
      <c r="Z5" s="63"/>
    </row>
    <row r="6" spans="1:26" ht="18.75" customHeight="1" x14ac:dyDescent="0.2">
      <c r="A6" s="94">
        <v>555</v>
      </c>
      <c r="B6" s="95" t="s">
        <v>310</v>
      </c>
      <c r="C6" s="95" t="s">
        <v>91</v>
      </c>
      <c r="D6" s="96">
        <v>349.26</v>
      </c>
      <c r="E6" s="102">
        <v>1457</v>
      </c>
      <c r="F6" s="96">
        <f t="shared" ref="F6:F37" si="0">0.9933*(D6 + E6/1000)-0.41</f>
        <v>347.95719609999992</v>
      </c>
      <c r="G6" s="98" t="s">
        <v>426</v>
      </c>
      <c r="H6" s="98" t="s">
        <v>427</v>
      </c>
      <c r="I6" s="99"/>
      <c r="J6" s="97"/>
      <c r="K6" s="98"/>
      <c r="L6" s="97"/>
      <c r="M6" s="100"/>
      <c r="N6" s="99"/>
      <c r="O6" s="101"/>
      <c r="P6" s="101"/>
      <c r="Q6" s="89"/>
      <c r="R6" s="63"/>
      <c r="S6" s="63"/>
      <c r="T6" s="63"/>
      <c r="U6" s="63"/>
      <c r="V6" s="63"/>
      <c r="W6" s="63"/>
      <c r="X6" s="63"/>
      <c r="Y6" s="63"/>
      <c r="Z6" s="63"/>
    </row>
    <row r="7" spans="1:26" ht="18.75" customHeight="1" x14ac:dyDescent="0.2">
      <c r="A7" s="94">
        <v>556</v>
      </c>
      <c r="B7" s="95" t="s">
        <v>29</v>
      </c>
      <c r="C7" s="95" t="s">
        <v>91</v>
      </c>
      <c r="D7" s="96">
        <v>349.26</v>
      </c>
      <c r="E7" s="102">
        <v>1457</v>
      </c>
      <c r="F7" s="96">
        <f t="shared" si="0"/>
        <v>347.95719609999992</v>
      </c>
      <c r="G7" s="98" t="s">
        <v>427</v>
      </c>
      <c r="H7" s="98" t="s">
        <v>428</v>
      </c>
      <c r="I7" s="100">
        <v>35.5</v>
      </c>
      <c r="J7" s="102">
        <v>7112</v>
      </c>
      <c r="K7" s="98" t="s">
        <v>429</v>
      </c>
      <c r="L7" s="94">
        <v>338612</v>
      </c>
      <c r="M7" s="100">
        <f t="shared" ref="M7:M38" si="1">SQRT(L7)</f>
        <v>581.90377211356861</v>
      </c>
      <c r="N7" s="100">
        <v>24721.16</v>
      </c>
      <c r="O7" s="101">
        <f t="shared" ref="O7:O38" si="2">L7/N7</f>
        <v>13.697253688742761</v>
      </c>
      <c r="P7" s="101">
        <f t="shared" ref="P7:P27" si="3">M7/N7</f>
        <v>2.3538692040080991E-2</v>
      </c>
      <c r="Q7" s="89"/>
      <c r="R7" s="63"/>
      <c r="S7" s="63"/>
      <c r="T7" s="63"/>
      <c r="U7" s="63"/>
      <c r="V7" s="63"/>
      <c r="W7" s="63"/>
      <c r="X7" s="63"/>
      <c r="Y7" s="63"/>
      <c r="Z7" s="63"/>
    </row>
    <row r="8" spans="1:26" ht="18.75" customHeight="1" x14ac:dyDescent="0.2">
      <c r="A8" s="94">
        <v>557</v>
      </c>
      <c r="B8" s="95" t="s">
        <v>29</v>
      </c>
      <c r="C8" s="95" t="s">
        <v>91</v>
      </c>
      <c r="D8" s="96">
        <v>347.27</v>
      </c>
      <c r="E8" s="102">
        <v>1457</v>
      </c>
      <c r="F8" s="96">
        <f t="shared" si="0"/>
        <v>345.98052909999996</v>
      </c>
      <c r="G8" s="98" t="s">
        <v>430</v>
      </c>
      <c r="H8" s="98" t="s">
        <v>431</v>
      </c>
      <c r="I8" s="102">
        <v>38</v>
      </c>
      <c r="J8" s="102">
        <v>2794</v>
      </c>
      <c r="K8" s="98" t="s">
        <v>429</v>
      </c>
      <c r="L8" s="102">
        <v>154658</v>
      </c>
      <c r="M8" s="100">
        <f t="shared" si="1"/>
        <v>393.26581341377744</v>
      </c>
      <c r="N8" s="100">
        <v>10897.44</v>
      </c>
      <c r="O8" s="101">
        <f t="shared" si="2"/>
        <v>14.192140539429444</v>
      </c>
      <c r="P8" s="101">
        <f t="shared" si="3"/>
        <v>3.6087908115463578E-2</v>
      </c>
      <c r="Q8" s="89"/>
      <c r="R8" s="63"/>
      <c r="S8" s="63"/>
      <c r="T8" s="63"/>
      <c r="U8" s="63"/>
      <c r="V8" s="63"/>
      <c r="W8" s="63"/>
      <c r="X8" s="63"/>
      <c r="Y8" s="63"/>
      <c r="Z8" s="63"/>
    </row>
    <row r="9" spans="1:26" ht="18.75" customHeight="1" x14ac:dyDescent="0.2">
      <c r="A9" s="94">
        <v>558</v>
      </c>
      <c r="B9" s="95" t="s">
        <v>29</v>
      </c>
      <c r="C9" s="95" t="s">
        <v>91</v>
      </c>
      <c r="D9" s="96">
        <v>345.29300000000001</v>
      </c>
      <c r="E9" s="102">
        <v>1457</v>
      </c>
      <c r="F9" s="96">
        <f t="shared" si="0"/>
        <v>344.01677499999994</v>
      </c>
      <c r="G9" s="98" t="s">
        <v>432</v>
      </c>
      <c r="H9" s="98" t="s">
        <v>433</v>
      </c>
      <c r="I9" s="100">
        <v>39.700000000000003</v>
      </c>
      <c r="J9" s="102">
        <v>2032</v>
      </c>
      <c r="K9" s="98" t="s">
        <v>429</v>
      </c>
      <c r="L9" s="102">
        <v>96544</v>
      </c>
      <c r="M9" s="100">
        <f t="shared" si="1"/>
        <v>310.71530377501523</v>
      </c>
      <c r="N9" s="100">
        <v>7703.54</v>
      </c>
      <c r="O9" s="101">
        <f t="shared" si="2"/>
        <v>12.532420160082248</v>
      </c>
      <c r="P9" s="101">
        <f t="shared" si="3"/>
        <v>4.0334093647208323E-2</v>
      </c>
      <c r="Q9" s="89"/>
      <c r="R9" s="63"/>
      <c r="S9" s="63"/>
      <c r="T9" s="63"/>
      <c r="U9" s="63"/>
      <c r="V9" s="63"/>
      <c r="W9" s="63"/>
      <c r="X9" s="63"/>
      <c r="Y9" s="63"/>
      <c r="Z9" s="63"/>
    </row>
    <row r="10" spans="1:26" ht="18.75" customHeight="1" x14ac:dyDescent="0.2">
      <c r="A10" s="94">
        <v>559</v>
      </c>
      <c r="B10" s="95" t="s">
        <v>29</v>
      </c>
      <c r="C10" s="95" t="s">
        <v>91</v>
      </c>
      <c r="D10" s="96">
        <v>343.30500000000001</v>
      </c>
      <c r="E10" s="102">
        <v>1457</v>
      </c>
      <c r="F10" s="96">
        <f t="shared" si="0"/>
        <v>342.04209459999998</v>
      </c>
      <c r="G10" s="98" t="s">
        <v>434</v>
      </c>
      <c r="H10" s="98" t="s">
        <v>435</v>
      </c>
      <c r="I10" s="100">
        <v>38.4</v>
      </c>
      <c r="J10" s="102">
        <v>2032</v>
      </c>
      <c r="K10" s="98" t="s">
        <v>429</v>
      </c>
      <c r="L10" s="102">
        <v>64209</v>
      </c>
      <c r="M10" s="100">
        <f t="shared" si="1"/>
        <v>253.39494864736352</v>
      </c>
      <c r="N10" s="100">
        <v>25468.23</v>
      </c>
      <c r="O10" s="101">
        <f t="shared" si="2"/>
        <v>2.5211410451374126</v>
      </c>
      <c r="P10" s="101">
        <f t="shared" si="3"/>
        <v>9.9494526571875432E-3</v>
      </c>
      <c r="Q10" s="89" t="s">
        <v>436</v>
      </c>
      <c r="R10" s="63"/>
      <c r="S10" s="63"/>
      <c r="T10" s="63"/>
      <c r="U10" s="63"/>
      <c r="V10" s="63"/>
      <c r="W10" s="63"/>
      <c r="X10" s="63"/>
      <c r="Y10" s="63"/>
      <c r="Z10" s="63"/>
    </row>
    <row r="11" spans="1:26" ht="18.75" customHeight="1" x14ac:dyDescent="0.2">
      <c r="A11" s="94">
        <v>560</v>
      </c>
      <c r="B11" s="95" t="s">
        <v>29</v>
      </c>
      <c r="C11" s="95" t="s">
        <v>91</v>
      </c>
      <c r="D11" s="96">
        <v>341.31</v>
      </c>
      <c r="E11" s="102">
        <v>1457</v>
      </c>
      <c r="F11" s="96">
        <f t="shared" si="0"/>
        <v>340.06046109999994</v>
      </c>
      <c r="G11" s="98" t="s">
        <v>437</v>
      </c>
      <c r="H11" s="98" t="s">
        <v>438</v>
      </c>
      <c r="I11" s="100">
        <v>38.4</v>
      </c>
      <c r="J11" s="102">
        <v>6223</v>
      </c>
      <c r="K11" s="98" t="s">
        <v>429</v>
      </c>
      <c r="L11" s="102">
        <v>73528</v>
      </c>
      <c r="M11" s="100">
        <f t="shared" si="1"/>
        <v>271.16046909533105</v>
      </c>
      <c r="N11" s="100">
        <v>25760.33</v>
      </c>
      <c r="O11" s="101">
        <f t="shared" si="2"/>
        <v>2.8543112607641281</v>
      </c>
      <c r="P11" s="101">
        <f t="shared" si="3"/>
        <v>1.0526280878208122E-2</v>
      </c>
      <c r="Q11" s="89"/>
      <c r="R11" s="63"/>
      <c r="S11" s="63"/>
      <c r="T11" s="63"/>
      <c r="U11" s="63"/>
      <c r="V11" s="63"/>
      <c r="W11" s="63"/>
      <c r="X11" s="63"/>
      <c r="Y11" s="63"/>
      <c r="Z11" s="63"/>
    </row>
    <row r="12" spans="1:26" ht="18.75" customHeight="1" x14ac:dyDescent="0.2">
      <c r="A12" s="94">
        <v>561</v>
      </c>
      <c r="B12" s="95" t="s">
        <v>29</v>
      </c>
      <c r="C12" s="95" t="s">
        <v>91</v>
      </c>
      <c r="D12" s="96">
        <v>344.29899999999998</v>
      </c>
      <c r="E12" s="102">
        <v>1457</v>
      </c>
      <c r="F12" s="96">
        <f t="shared" si="0"/>
        <v>343.02943479999993</v>
      </c>
      <c r="G12" s="98" t="s">
        <v>439</v>
      </c>
      <c r="H12" s="98" t="s">
        <v>440</v>
      </c>
      <c r="I12" s="100">
        <v>40.200000000000003</v>
      </c>
      <c r="J12" s="102">
        <v>1905</v>
      </c>
      <c r="K12" s="98" t="s">
        <v>429</v>
      </c>
      <c r="L12" s="102">
        <v>80989</v>
      </c>
      <c r="M12" s="100">
        <f t="shared" si="1"/>
        <v>284.58566372886742</v>
      </c>
      <c r="N12" s="100">
        <v>7658.38</v>
      </c>
      <c r="O12" s="101">
        <f t="shared" si="2"/>
        <v>10.575213034610453</v>
      </c>
      <c r="P12" s="101">
        <f t="shared" si="3"/>
        <v>3.7160034332178273E-2</v>
      </c>
      <c r="Q12" s="89"/>
      <c r="R12" s="63"/>
      <c r="S12" s="63"/>
      <c r="T12" s="63"/>
      <c r="U12" s="63"/>
      <c r="V12" s="63"/>
      <c r="W12" s="63"/>
      <c r="X12" s="63"/>
      <c r="Y12" s="63"/>
      <c r="Z12" s="63"/>
    </row>
    <row r="13" spans="1:26" ht="18.75" customHeight="1" x14ac:dyDescent="0.2">
      <c r="A13" s="94">
        <v>562</v>
      </c>
      <c r="B13" s="95" t="s">
        <v>29</v>
      </c>
      <c r="C13" s="95" t="s">
        <v>91</v>
      </c>
      <c r="D13" s="96">
        <v>346.29300000000001</v>
      </c>
      <c r="E13" s="102">
        <v>1457</v>
      </c>
      <c r="F13" s="96">
        <f t="shared" si="0"/>
        <v>345.01007499999997</v>
      </c>
      <c r="G13" s="98" t="s">
        <v>441</v>
      </c>
      <c r="H13" s="98" t="s">
        <v>442</v>
      </c>
      <c r="I13" s="100">
        <v>41.2</v>
      </c>
      <c r="J13" s="102">
        <v>1143</v>
      </c>
      <c r="K13" s="98" t="s">
        <v>429</v>
      </c>
      <c r="L13" s="102">
        <v>66415</v>
      </c>
      <c r="M13" s="100">
        <f t="shared" si="1"/>
        <v>257.71107853563456</v>
      </c>
      <c r="N13" s="100">
        <v>4920.43</v>
      </c>
      <c r="O13" s="101">
        <f t="shared" si="2"/>
        <v>13.497804053710752</v>
      </c>
      <c r="P13" s="101">
        <f t="shared" si="3"/>
        <v>5.2375722962349741E-2</v>
      </c>
      <c r="Q13" s="89"/>
      <c r="R13" s="63"/>
      <c r="S13" s="63"/>
      <c r="T13" s="63"/>
      <c r="U13" s="63"/>
      <c r="V13" s="63"/>
      <c r="W13" s="63"/>
      <c r="X13" s="63"/>
      <c r="Y13" s="63"/>
      <c r="Z13" s="63"/>
    </row>
    <row r="14" spans="1:26" ht="18.75" customHeight="1" x14ac:dyDescent="0.2">
      <c r="A14" s="94">
        <v>563</v>
      </c>
      <c r="B14" s="95" t="s">
        <v>29</v>
      </c>
      <c r="C14" s="95" t="s">
        <v>91</v>
      </c>
      <c r="D14" s="96">
        <v>343.80200000000002</v>
      </c>
      <c r="E14" s="102">
        <v>1457</v>
      </c>
      <c r="F14" s="96">
        <f t="shared" si="0"/>
        <v>342.53576469999996</v>
      </c>
      <c r="G14" s="98" t="s">
        <v>443</v>
      </c>
      <c r="H14" s="98" t="s">
        <v>444</v>
      </c>
      <c r="I14" s="100">
        <v>42.4</v>
      </c>
      <c r="J14" s="102">
        <v>1016</v>
      </c>
      <c r="K14" s="98" t="s">
        <v>429</v>
      </c>
      <c r="L14" s="102">
        <v>41401</v>
      </c>
      <c r="M14" s="100">
        <f t="shared" si="1"/>
        <v>203.47235684485497</v>
      </c>
      <c r="N14" s="100">
        <v>4316.8999999999996</v>
      </c>
      <c r="O14" s="101">
        <f t="shared" si="2"/>
        <v>9.5904468484329044</v>
      </c>
      <c r="P14" s="101">
        <f t="shared" si="3"/>
        <v>4.7133905544454353E-2</v>
      </c>
      <c r="Q14" s="89"/>
      <c r="R14" s="63"/>
      <c r="S14" s="63"/>
      <c r="T14" s="63"/>
      <c r="U14" s="63"/>
      <c r="V14" s="63"/>
      <c r="W14" s="63"/>
      <c r="X14" s="63"/>
      <c r="Y14" s="63"/>
      <c r="Z14" s="63"/>
    </row>
    <row r="15" spans="1:26" ht="18.75" customHeight="1" x14ac:dyDescent="0.2">
      <c r="A15" s="94">
        <v>564</v>
      </c>
      <c r="B15" s="95" t="s">
        <v>29</v>
      </c>
      <c r="C15" s="95" t="s">
        <v>91</v>
      </c>
      <c r="D15" s="96">
        <v>343.51400000000001</v>
      </c>
      <c r="E15" s="102">
        <v>1457</v>
      </c>
      <c r="F15" s="96">
        <f t="shared" si="0"/>
        <v>342.24969429999999</v>
      </c>
      <c r="G15" s="98" t="s">
        <v>445</v>
      </c>
      <c r="H15" s="98" t="s">
        <v>446</v>
      </c>
      <c r="I15" s="100">
        <v>41.2</v>
      </c>
      <c r="J15" s="102">
        <v>1524</v>
      </c>
      <c r="K15" s="98" t="s">
        <v>429</v>
      </c>
      <c r="L15" s="102">
        <v>49834</v>
      </c>
      <c r="M15" s="100">
        <f t="shared" si="1"/>
        <v>223.23530186778254</v>
      </c>
      <c r="N15" s="100">
        <v>5720.79</v>
      </c>
      <c r="O15" s="101">
        <f t="shared" si="2"/>
        <v>8.7110346647928001</v>
      </c>
      <c r="P15" s="101">
        <f t="shared" si="3"/>
        <v>3.902176130705419E-2</v>
      </c>
      <c r="Q15" s="89"/>
      <c r="R15" s="63"/>
      <c r="S15" s="63"/>
      <c r="T15" s="63"/>
      <c r="U15" s="63"/>
      <c r="V15" s="63"/>
      <c r="W15" s="63"/>
      <c r="X15" s="63"/>
      <c r="Y15" s="63"/>
      <c r="Z15" s="63"/>
    </row>
    <row r="16" spans="1:26" ht="18.75" customHeight="1" x14ac:dyDescent="0.2">
      <c r="A16" s="94">
        <v>565</v>
      </c>
      <c r="B16" s="95" t="s">
        <v>29</v>
      </c>
      <c r="C16" s="95" t="s">
        <v>91</v>
      </c>
      <c r="D16" s="96">
        <v>343.399</v>
      </c>
      <c r="E16" s="102">
        <v>1457</v>
      </c>
      <c r="F16" s="96">
        <f t="shared" si="0"/>
        <v>342.13546479999997</v>
      </c>
      <c r="G16" s="98" t="s">
        <v>447</v>
      </c>
      <c r="H16" s="98" t="s">
        <v>448</v>
      </c>
      <c r="I16" s="102">
        <v>35</v>
      </c>
      <c r="J16" s="102">
        <v>1270</v>
      </c>
      <c r="K16" s="98" t="s">
        <v>429</v>
      </c>
      <c r="L16" s="102">
        <v>36536</v>
      </c>
      <c r="M16" s="100">
        <f t="shared" si="1"/>
        <v>191.14392483152585</v>
      </c>
      <c r="N16" s="100">
        <v>4371.83</v>
      </c>
      <c r="O16" s="101">
        <f t="shared" si="2"/>
        <v>8.3571410599222755</v>
      </c>
      <c r="P16" s="101">
        <f t="shared" si="3"/>
        <v>4.3721719470227766E-2</v>
      </c>
      <c r="Q16" s="89" t="s">
        <v>449</v>
      </c>
      <c r="R16" s="63"/>
      <c r="S16" s="63"/>
      <c r="T16" s="63"/>
      <c r="U16" s="63"/>
      <c r="V16" s="63"/>
      <c r="W16" s="63"/>
      <c r="X16" s="63"/>
      <c r="Y16" s="63"/>
      <c r="Z16" s="63"/>
    </row>
    <row r="17" spans="1:26" ht="18.75" customHeight="1" x14ac:dyDescent="0.2">
      <c r="A17" s="94">
        <v>566</v>
      </c>
      <c r="B17" s="95" t="s">
        <v>29</v>
      </c>
      <c r="C17" s="95" t="s">
        <v>91</v>
      </c>
      <c r="D17" s="96">
        <v>343.30500000000001</v>
      </c>
      <c r="E17" s="102">
        <v>1457</v>
      </c>
      <c r="F17" s="96">
        <f t="shared" si="0"/>
        <v>342.04209459999998</v>
      </c>
      <c r="G17" s="98" t="s">
        <v>450</v>
      </c>
      <c r="H17" s="98" t="s">
        <v>451</v>
      </c>
      <c r="I17" s="100">
        <v>39.5</v>
      </c>
      <c r="J17" s="102">
        <v>1016</v>
      </c>
      <c r="K17" s="98" t="s">
        <v>429</v>
      </c>
      <c r="L17" s="102">
        <v>33726</v>
      </c>
      <c r="M17" s="100">
        <f t="shared" si="1"/>
        <v>183.64639936573764</v>
      </c>
      <c r="N17" s="100">
        <v>4085.12</v>
      </c>
      <c r="O17" s="101">
        <f t="shared" si="2"/>
        <v>8.2558162306125649</v>
      </c>
      <c r="P17" s="101">
        <f t="shared" si="3"/>
        <v>4.4954958328210101E-2</v>
      </c>
      <c r="Q17" s="89"/>
      <c r="R17" s="63"/>
      <c r="S17" s="63"/>
      <c r="T17" s="63"/>
      <c r="U17" s="63"/>
      <c r="V17" s="63"/>
      <c r="W17" s="63"/>
      <c r="X17" s="63"/>
      <c r="Y17" s="63"/>
      <c r="Z17" s="63"/>
    </row>
    <row r="18" spans="1:26" ht="18.75" customHeight="1" x14ac:dyDescent="0.2">
      <c r="A18" s="94">
        <v>567</v>
      </c>
      <c r="B18" s="95" t="s">
        <v>29</v>
      </c>
      <c r="C18" s="95" t="s">
        <v>91</v>
      </c>
      <c r="D18" s="96">
        <v>342.80900000000003</v>
      </c>
      <c r="E18" s="102">
        <v>1457</v>
      </c>
      <c r="F18" s="96">
        <f t="shared" si="0"/>
        <v>341.54941779999996</v>
      </c>
      <c r="G18" s="98" t="s">
        <v>452</v>
      </c>
      <c r="H18" s="98" t="s">
        <v>453</v>
      </c>
      <c r="I18" s="100">
        <v>39.5</v>
      </c>
      <c r="J18" s="102">
        <v>1397</v>
      </c>
      <c r="K18" s="98" t="s">
        <v>429</v>
      </c>
      <c r="L18" s="102">
        <v>34481</v>
      </c>
      <c r="M18" s="100">
        <f t="shared" si="1"/>
        <v>185.69060288555261</v>
      </c>
      <c r="N18" s="100">
        <v>5051.33</v>
      </c>
      <c r="O18" s="101">
        <f t="shared" si="2"/>
        <v>6.8261230210657393</v>
      </c>
      <c r="P18" s="101">
        <f t="shared" si="3"/>
        <v>3.6760734872905279E-2</v>
      </c>
      <c r="Q18" s="89"/>
      <c r="R18" s="63"/>
      <c r="S18" s="63"/>
      <c r="T18" s="63"/>
      <c r="U18" s="63"/>
      <c r="V18" s="63"/>
      <c r="W18" s="63"/>
      <c r="X18" s="63"/>
      <c r="Y18" s="63"/>
      <c r="Z18" s="63"/>
    </row>
    <row r="19" spans="1:26" ht="18.75" customHeight="1" x14ac:dyDescent="0.2">
      <c r="A19" s="94">
        <v>568</v>
      </c>
      <c r="B19" s="95" t="s">
        <v>120</v>
      </c>
      <c r="C19" s="95" t="s">
        <v>91</v>
      </c>
      <c r="D19" s="96"/>
      <c r="E19" s="97"/>
      <c r="F19" s="96">
        <f t="shared" si="0"/>
        <v>-0.41</v>
      </c>
      <c r="G19" s="98"/>
      <c r="H19" s="98"/>
      <c r="I19" s="99"/>
      <c r="J19" s="97"/>
      <c r="K19" s="98" t="s">
        <v>429</v>
      </c>
      <c r="L19" s="97"/>
      <c r="M19" s="100">
        <f t="shared" si="1"/>
        <v>0</v>
      </c>
      <c r="N19" s="99"/>
      <c r="O19" s="103" t="e">
        <f t="shared" si="2"/>
        <v>#DIV/0!</v>
      </c>
      <c r="P19" s="101" t="e">
        <f t="shared" si="3"/>
        <v>#DIV/0!</v>
      </c>
      <c r="Q19" s="89"/>
      <c r="R19" s="63"/>
      <c r="S19" s="63"/>
      <c r="T19" s="63"/>
      <c r="U19" s="63"/>
      <c r="V19" s="63"/>
      <c r="W19" s="63"/>
      <c r="X19" s="63"/>
      <c r="Y19" s="63"/>
      <c r="Z19" s="63"/>
    </row>
    <row r="20" spans="1:26" ht="18.75" customHeight="1" x14ac:dyDescent="0.2">
      <c r="A20" s="94">
        <v>569</v>
      </c>
      <c r="B20" s="95" t="s">
        <v>29</v>
      </c>
      <c r="C20" s="95" t="s">
        <v>91</v>
      </c>
      <c r="D20" s="96">
        <v>341.30500000000001</v>
      </c>
      <c r="E20" s="102">
        <v>1457</v>
      </c>
      <c r="F20" s="96">
        <f t="shared" si="0"/>
        <v>340.05549459999997</v>
      </c>
      <c r="G20" s="98" t="s">
        <v>454</v>
      </c>
      <c r="H20" s="98" t="s">
        <v>455</v>
      </c>
      <c r="I20" s="100">
        <v>39.9</v>
      </c>
      <c r="J20" s="102">
        <v>1905</v>
      </c>
      <c r="K20" s="98" t="s">
        <v>429</v>
      </c>
      <c r="L20" s="102">
        <v>22061</v>
      </c>
      <c r="M20" s="100">
        <f t="shared" si="1"/>
        <v>148.52945835759317</v>
      </c>
      <c r="N20" s="100">
        <v>7689.17</v>
      </c>
      <c r="O20" s="101">
        <f t="shared" si="2"/>
        <v>2.8691003060148232</v>
      </c>
      <c r="P20" s="101">
        <f t="shared" si="3"/>
        <v>1.9316708872036015E-2</v>
      </c>
      <c r="Q20" s="89"/>
      <c r="R20" s="63"/>
      <c r="S20" s="63"/>
      <c r="T20" s="63"/>
      <c r="U20" s="63"/>
      <c r="V20" s="63"/>
      <c r="W20" s="63"/>
      <c r="X20" s="63"/>
      <c r="Y20" s="63"/>
      <c r="Z20" s="63"/>
    </row>
    <row r="21" spans="1:26" ht="18.75" customHeight="1" x14ac:dyDescent="0.2">
      <c r="A21" s="94">
        <v>570</v>
      </c>
      <c r="B21" s="95" t="s">
        <v>29</v>
      </c>
      <c r="C21" s="95" t="s">
        <v>91</v>
      </c>
      <c r="D21" s="96">
        <v>339.32400000000001</v>
      </c>
      <c r="E21" s="102">
        <v>1457</v>
      </c>
      <c r="F21" s="96">
        <f t="shared" si="0"/>
        <v>338.0877673</v>
      </c>
      <c r="G21" s="98" t="s">
        <v>456</v>
      </c>
      <c r="H21" s="98" t="s">
        <v>445</v>
      </c>
      <c r="I21" s="102">
        <v>40</v>
      </c>
      <c r="J21" s="102">
        <v>1905</v>
      </c>
      <c r="K21" s="98" t="s">
        <v>429</v>
      </c>
      <c r="L21" s="102">
        <v>8138</v>
      </c>
      <c r="M21" s="100">
        <f t="shared" si="1"/>
        <v>90.210864090751286</v>
      </c>
      <c r="N21" s="100">
        <v>7367.29</v>
      </c>
      <c r="O21" s="101">
        <f t="shared" si="2"/>
        <v>1.1046124151485825</v>
      </c>
      <c r="P21" s="101">
        <f t="shared" si="3"/>
        <v>1.2244782557867449E-2</v>
      </c>
      <c r="Q21" s="89"/>
      <c r="R21" s="63"/>
      <c r="S21" s="63"/>
      <c r="T21" s="63"/>
      <c r="U21" s="63"/>
      <c r="V21" s="63"/>
      <c r="W21" s="63"/>
      <c r="X21" s="63"/>
      <c r="Y21" s="63"/>
      <c r="Z21" s="63"/>
    </row>
    <row r="22" spans="1:26" ht="18.75" customHeight="1" x14ac:dyDescent="0.2">
      <c r="A22" s="94">
        <v>571</v>
      </c>
      <c r="B22" s="95" t="s">
        <v>29</v>
      </c>
      <c r="C22" s="95" t="s">
        <v>91</v>
      </c>
      <c r="D22" s="96">
        <v>349.29399999999998</v>
      </c>
      <c r="E22" s="102">
        <v>1457</v>
      </c>
      <c r="F22" s="96">
        <f t="shared" si="0"/>
        <v>347.99096829999996</v>
      </c>
      <c r="G22" s="98" t="s">
        <v>457</v>
      </c>
      <c r="H22" s="98" t="s">
        <v>458</v>
      </c>
      <c r="I22" s="100">
        <v>35.6</v>
      </c>
      <c r="J22" s="102">
        <v>1651</v>
      </c>
      <c r="K22" s="98" t="s">
        <v>429</v>
      </c>
      <c r="L22" s="102">
        <v>78818</v>
      </c>
      <c r="M22" s="100">
        <f t="shared" si="1"/>
        <v>280.74543629416314</v>
      </c>
      <c r="N22" s="100">
        <v>5613.16</v>
      </c>
      <c r="O22" s="101">
        <f t="shared" si="2"/>
        <v>14.041644991413037</v>
      </c>
      <c r="P22" s="101">
        <f t="shared" si="3"/>
        <v>5.0015577017965489E-2</v>
      </c>
      <c r="Q22" s="89"/>
      <c r="R22" s="63"/>
      <c r="S22" s="63"/>
      <c r="T22" s="63"/>
      <c r="U22" s="63"/>
      <c r="V22" s="63"/>
      <c r="W22" s="63"/>
      <c r="X22" s="63"/>
      <c r="Y22" s="63"/>
      <c r="Z22" s="63"/>
    </row>
    <row r="23" spans="1:26" ht="18.75" customHeight="1" x14ac:dyDescent="0.2">
      <c r="A23" s="94">
        <v>572</v>
      </c>
      <c r="B23" s="95" t="s">
        <v>29</v>
      </c>
      <c r="C23" s="95" t="s">
        <v>91</v>
      </c>
      <c r="D23" s="96">
        <v>351.82</v>
      </c>
      <c r="E23" s="102">
        <v>1457</v>
      </c>
      <c r="F23" s="96">
        <f t="shared" si="0"/>
        <v>350.50004409999997</v>
      </c>
      <c r="G23" s="98" t="s">
        <v>445</v>
      </c>
      <c r="H23" s="98" t="s">
        <v>459</v>
      </c>
      <c r="I23" s="99"/>
      <c r="J23" s="102">
        <v>762</v>
      </c>
      <c r="K23" s="98" t="s">
        <v>429</v>
      </c>
      <c r="L23" s="102">
        <v>31361</v>
      </c>
      <c r="M23" s="100">
        <f t="shared" si="1"/>
        <v>177.09037240911772</v>
      </c>
      <c r="N23" s="100">
        <v>2498.13</v>
      </c>
      <c r="O23" s="101">
        <f t="shared" si="2"/>
        <v>12.553790235095851</v>
      </c>
      <c r="P23" s="101">
        <f t="shared" si="3"/>
        <v>7.088917406584834E-2</v>
      </c>
      <c r="Q23" s="89"/>
      <c r="R23" s="63"/>
      <c r="S23" s="63"/>
      <c r="T23" s="63"/>
      <c r="U23" s="63"/>
      <c r="V23" s="63"/>
      <c r="W23" s="63"/>
      <c r="X23" s="63"/>
      <c r="Y23" s="63"/>
      <c r="Z23" s="63"/>
    </row>
    <row r="24" spans="1:26" ht="18.75" customHeight="1" x14ac:dyDescent="0.2">
      <c r="A24" s="94">
        <v>573</v>
      </c>
      <c r="B24" s="95" t="s">
        <v>29</v>
      </c>
      <c r="C24" s="95" t="s">
        <v>91</v>
      </c>
      <c r="D24" s="96">
        <v>353.27600000000001</v>
      </c>
      <c r="E24" s="102">
        <v>1457</v>
      </c>
      <c r="F24" s="96">
        <f t="shared" si="0"/>
        <v>351.94628889999996</v>
      </c>
      <c r="G24" s="98" t="s">
        <v>460</v>
      </c>
      <c r="H24" s="98" t="s">
        <v>461</v>
      </c>
      <c r="I24" s="100">
        <v>34.799999999999997</v>
      </c>
      <c r="J24" s="102">
        <v>1016</v>
      </c>
      <c r="K24" s="98" t="s">
        <v>429</v>
      </c>
      <c r="L24" s="102">
        <v>38323</v>
      </c>
      <c r="M24" s="100">
        <f t="shared" si="1"/>
        <v>195.76261134343298</v>
      </c>
      <c r="N24" s="100">
        <v>3714.32</v>
      </c>
      <c r="O24" s="101">
        <f t="shared" si="2"/>
        <v>10.317635529518189</v>
      </c>
      <c r="P24" s="101">
        <f t="shared" si="3"/>
        <v>5.2704831932475653E-2</v>
      </c>
      <c r="Q24" s="89"/>
      <c r="R24" s="63"/>
      <c r="S24" s="63"/>
      <c r="T24" s="63"/>
      <c r="U24" s="63"/>
      <c r="V24" s="63"/>
      <c r="W24" s="63"/>
      <c r="X24" s="63"/>
      <c r="Y24" s="63"/>
      <c r="Z24" s="63"/>
    </row>
    <row r="25" spans="1:26" ht="18.75" customHeight="1" x14ac:dyDescent="0.2">
      <c r="A25" s="94">
        <v>574</v>
      </c>
      <c r="B25" s="95" t="s">
        <v>29</v>
      </c>
      <c r="C25" s="95" t="s">
        <v>91</v>
      </c>
      <c r="D25" s="96">
        <v>355.27</v>
      </c>
      <c r="E25" s="102">
        <v>1457</v>
      </c>
      <c r="F25" s="96">
        <f t="shared" si="0"/>
        <v>353.92692909999994</v>
      </c>
      <c r="G25" s="98" t="s">
        <v>462</v>
      </c>
      <c r="H25" s="98" t="s">
        <v>463</v>
      </c>
      <c r="I25" s="100">
        <v>38.5</v>
      </c>
      <c r="J25" s="102">
        <v>1016</v>
      </c>
      <c r="K25" s="98" t="s">
        <v>429</v>
      </c>
      <c r="L25" s="102">
        <v>26693</v>
      </c>
      <c r="M25" s="100">
        <f t="shared" si="1"/>
        <v>163.37992532744039</v>
      </c>
      <c r="N25" s="100">
        <v>3519.72</v>
      </c>
      <c r="O25" s="101">
        <f t="shared" si="2"/>
        <v>7.583841896514496</v>
      </c>
      <c r="P25" s="101">
        <f t="shared" si="3"/>
        <v>4.6418443889695883E-2</v>
      </c>
      <c r="Q25" s="89"/>
      <c r="R25" s="63"/>
      <c r="S25" s="63"/>
      <c r="T25" s="63"/>
      <c r="U25" s="63"/>
      <c r="V25" s="63"/>
      <c r="W25" s="63"/>
      <c r="X25" s="63"/>
      <c r="Y25" s="63"/>
      <c r="Z25" s="63"/>
    </row>
    <row r="26" spans="1:26" ht="18.75" customHeight="1" x14ac:dyDescent="0.2">
      <c r="A26" s="94">
        <v>575</v>
      </c>
      <c r="B26" s="95" t="s">
        <v>29</v>
      </c>
      <c r="C26" s="95" t="s">
        <v>91</v>
      </c>
      <c r="D26" s="96">
        <v>357.26400000000001</v>
      </c>
      <c r="E26" s="102">
        <v>1457</v>
      </c>
      <c r="F26" s="96">
        <f t="shared" si="0"/>
        <v>355.90756929999998</v>
      </c>
      <c r="G26" s="98" t="s">
        <v>464</v>
      </c>
      <c r="H26" s="98" t="s">
        <v>465</v>
      </c>
      <c r="I26" s="100">
        <v>37.5</v>
      </c>
      <c r="J26" s="102">
        <v>1016</v>
      </c>
      <c r="K26" s="98" t="s">
        <v>429</v>
      </c>
      <c r="L26" s="102">
        <v>20498</v>
      </c>
      <c r="M26" s="100">
        <f t="shared" si="1"/>
        <v>143.17122615944868</v>
      </c>
      <c r="N26" s="100">
        <v>3943.7</v>
      </c>
      <c r="O26" s="101">
        <f t="shared" si="2"/>
        <v>5.1976570225929963</v>
      </c>
      <c r="P26" s="101">
        <f t="shared" si="3"/>
        <v>3.6303782275388261E-2</v>
      </c>
      <c r="Q26" s="89"/>
      <c r="R26" s="63"/>
      <c r="S26" s="63"/>
      <c r="T26" s="63"/>
      <c r="U26" s="63"/>
      <c r="V26" s="63"/>
      <c r="W26" s="63"/>
      <c r="X26" s="63"/>
      <c r="Y26" s="63"/>
      <c r="Z26" s="63"/>
    </row>
    <row r="27" spans="1:26" ht="18.75" customHeight="1" x14ac:dyDescent="0.2">
      <c r="A27" s="94">
        <v>576</v>
      </c>
      <c r="B27" s="95" t="s">
        <v>29</v>
      </c>
      <c r="C27" s="95" t="s">
        <v>91</v>
      </c>
      <c r="D27" s="96">
        <v>359.25099999999998</v>
      </c>
      <c r="E27" s="102">
        <v>1457</v>
      </c>
      <c r="F27" s="96">
        <f t="shared" si="0"/>
        <v>357.88125639999993</v>
      </c>
      <c r="G27" s="98" t="s">
        <v>466</v>
      </c>
      <c r="H27" s="98" t="s">
        <v>467</v>
      </c>
      <c r="I27" s="100">
        <v>35.5</v>
      </c>
      <c r="J27" s="102">
        <v>1016</v>
      </c>
      <c r="K27" s="98" t="s">
        <v>429</v>
      </c>
      <c r="L27" s="102">
        <v>12334</v>
      </c>
      <c r="M27" s="100">
        <f t="shared" si="1"/>
        <v>111.05854312028409</v>
      </c>
      <c r="N27" s="100">
        <v>3656.71</v>
      </c>
      <c r="O27" s="101">
        <f t="shared" si="2"/>
        <v>3.3729773484908563</v>
      </c>
      <c r="P27" s="101">
        <f t="shared" si="3"/>
        <v>3.0371165096571531E-2</v>
      </c>
      <c r="Q27" s="89"/>
      <c r="R27" s="63"/>
      <c r="S27" s="63"/>
      <c r="T27" s="63"/>
      <c r="U27" s="63"/>
      <c r="V27" s="63"/>
      <c r="W27" s="63"/>
      <c r="X27" s="63"/>
      <c r="Y27" s="63"/>
      <c r="Z27" s="63"/>
    </row>
    <row r="28" spans="1:26" ht="18.75" customHeight="1" x14ac:dyDescent="0.2">
      <c r="A28" s="94">
        <v>577</v>
      </c>
      <c r="B28" s="95" t="s">
        <v>29</v>
      </c>
      <c r="C28" s="95" t="s">
        <v>91</v>
      </c>
      <c r="D28" s="96">
        <v>362.23899999999998</v>
      </c>
      <c r="E28" s="102">
        <v>1457</v>
      </c>
      <c r="F28" s="96">
        <f t="shared" si="0"/>
        <v>360.84923679999991</v>
      </c>
      <c r="G28" s="98" t="s">
        <v>468</v>
      </c>
      <c r="H28" s="98" t="s">
        <v>469</v>
      </c>
      <c r="I28" s="100">
        <v>38.5</v>
      </c>
      <c r="J28" s="102">
        <v>1270</v>
      </c>
      <c r="K28" s="98" t="s">
        <v>429</v>
      </c>
      <c r="L28" s="102">
        <v>8113</v>
      </c>
      <c r="M28" s="100">
        <f t="shared" si="1"/>
        <v>90.072193267400792</v>
      </c>
      <c r="N28" s="100">
        <v>4636.82</v>
      </c>
      <c r="O28" s="101">
        <f t="shared" si="2"/>
        <v>1.7496905206585549</v>
      </c>
      <c r="P28" s="101"/>
      <c r="Q28" s="89"/>
      <c r="R28" s="63"/>
      <c r="S28" s="63"/>
      <c r="T28" s="63"/>
      <c r="U28" s="63"/>
      <c r="V28" s="63"/>
      <c r="W28" s="63"/>
      <c r="X28" s="63"/>
      <c r="Y28" s="63"/>
      <c r="Z28" s="63"/>
    </row>
    <row r="29" spans="1:26" ht="18.75" customHeight="1" x14ac:dyDescent="0.2">
      <c r="A29" s="94">
        <v>578</v>
      </c>
      <c r="B29" s="95" t="s">
        <v>29</v>
      </c>
      <c r="C29" s="95" t="s">
        <v>91</v>
      </c>
      <c r="D29" s="96">
        <v>367.221</v>
      </c>
      <c r="E29" s="102">
        <v>1457</v>
      </c>
      <c r="F29" s="96">
        <f t="shared" si="0"/>
        <v>365.79785739999994</v>
      </c>
      <c r="G29" s="98" t="s">
        <v>470</v>
      </c>
      <c r="H29" s="98" t="s">
        <v>471</v>
      </c>
      <c r="I29" s="100">
        <v>34.200000000000003</v>
      </c>
      <c r="J29" s="102">
        <v>5080</v>
      </c>
      <c r="K29" s="98" t="s">
        <v>429</v>
      </c>
      <c r="L29" s="102">
        <v>11315</v>
      </c>
      <c r="M29" s="100">
        <f t="shared" si="1"/>
        <v>106.37198879404295</v>
      </c>
      <c r="N29" s="100">
        <v>16273.48</v>
      </c>
      <c r="O29" s="101">
        <f t="shared" si="2"/>
        <v>0.69530303290998607</v>
      </c>
      <c r="P29" s="101"/>
      <c r="Q29" s="89"/>
      <c r="R29" s="63"/>
      <c r="S29" s="63"/>
      <c r="T29" s="63"/>
      <c r="U29" s="63"/>
      <c r="V29" s="63"/>
      <c r="W29" s="63"/>
      <c r="X29" s="63"/>
      <c r="Y29" s="63"/>
      <c r="Z29" s="63"/>
    </row>
    <row r="30" spans="1:26" ht="18.75" customHeight="1" x14ac:dyDescent="0.2">
      <c r="A30" s="94">
        <v>579</v>
      </c>
      <c r="B30" s="95" t="s">
        <v>157</v>
      </c>
      <c r="C30" s="95" t="s">
        <v>91</v>
      </c>
      <c r="D30" s="96">
        <v>219.72800000000001</v>
      </c>
      <c r="E30" s="102">
        <v>2615</v>
      </c>
      <c r="F30" s="96">
        <f t="shared" si="0"/>
        <v>220.44330190000002</v>
      </c>
      <c r="G30" s="98" t="s">
        <v>472</v>
      </c>
      <c r="H30" s="98" t="s">
        <v>473</v>
      </c>
      <c r="I30" s="100">
        <v>238.6</v>
      </c>
      <c r="J30" s="102">
        <v>139159</v>
      </c>
      <c r="K30" s="98" t="s">
        <v>429</v>
      </c>
      <c r="L30" s="102">
        <v>129943</v>
      </c>
      <c r="M30" s="100">
        <f t="shared" si="1"/>
        <v>360.47607410201306</v>
      </c>
      <c r="N30" s="100">
        <v>2959842.76</v>
      </c>
      <c r="O30" s="101">
        <f t="shared" si="2"/>
        <v>4.3901994307292191E-2</v>
      </c>
      <c r="P30" s="101"/>
      <c r="Q30" s="89" t="s">
        <v>474</v>
      </c>
      <c r="R30" s="63"/>
      <c r="S30" s="63"/>
      <c r="T30" s="63"/>
      <c r="U30" s="63"/>
      <c r="V30" s="63"/>
      <c r="W30" s="63"/>
      <c r="X30" s="63"/>
      <c r="Y30" s="63"/>
      <c r="Z30" s="63"/>
    </row>
    <row r="31" spans="1:26" ht="18.75" customHeight="1" x14ac:dyDescent="0.2">
      <c r="A31" s="94">
        <v>580</v>
      </c>
      <c r="B31" s="95" t="s">
        <v>157</v>
      </c>
      <c r="C31" s="95" t="s">
        <v>91</v>
      </c>
      <c r="D31" s="96">
        <v>219.72800000000001</v>
      </c>
      <c r="E31" s="102">
        <v>2467</v>
      </c>
      <c r="F31" s="96">
        <f t="shared" si="0"/>
        <v>220.29629350000002</v>
      </c>
      <c r="G31" s="98" t="s">
        <v>475</v>
      </c>
      <c r="H31" s="98"/>
      <c r="I31" s="99"/>
      <c r="J31" s="97"/>
      <c r="K31" s="98"/>
      <c r="L31" s="97"/>
      <c r="M31" s="100">
        <f t="shared" si="1"/>
        <v>0</v>
      </c>
      <c r="N31" s="99"/>
      <c r="O31" s="103" t="e">
        <f t="shared" si="2"/>
        <v>#DIV/0!</v>
      </c>
      <c r="P31" s="101"/>
      <c r="Q31" s="89" t="s">
        <v>476</v>
      </c>
      <c r="R31" s="63"/>
      <c r="S31" s="63"/>
      <c r="T31" s="63"/>
      <c r="U31" s="63"/>
      <c r="V31" s="63"/>
      <c r="W31" s="63"/>
      <c r="X31" s="63"/>
      <c r="Y31" s="63"/>
      <c r="Z31" s="63"/>
    </row>
    <row r="32" spans="1:26" ht="17.25" customHeight="1" x14ac:dyDescent="0.2">
      <c r="A32" s="94">
        <v>581</v>
      </c>
      <c r="B32" s="95" t="s">
        <v>157</v>
      </c>
      <c r="C32" s="95" t="s">
        <v>91</v>
      </c>
      <c r="D32" s="96">
        <v>219.84200000000001</v>
      </c>
      <c r="E32" s="102">
        <v>2467</v>
      </c>
      <c r="F32" s="96">
        <f t="shared" si="0"/>
        <v>220.40952970000001</v>
      </c>
      <c r="G32" s="98" t="s">
        <v>477</v>
      </c>
      <c r="H32" s="98" t="s">
        <v>478</v>
      </c>
      <c r="I32" s="102">
        <v>271</v>
      </c>
      <c r="J32" s="102">
        <v>566363</v>
      </c>
      <c r="K32" s="98" t="s">
        <v>429</v>
      </c>
      <c r="L32" s="102">
        <v>560808</v>
      </c>
      <c r="M32" s="100">
        <f t="shared" si="1"/>
        <v>748.87115046581948</v>
      </c>
      <c r="N32" s="100">
        <v>14003262.18</v>
      </c>
      <c r="O32" s="101">
        <f t="shared" si="2"/>
        <v>4.0048382497684554E-2</v>
      </c>
      <c r="P32" s="101"/>
      <c r="Q32" s="89" t="s">
        <v>479</v>
      </c>
      <c r="R32" s="63"/>
      <c r="S32" s="63"/>
      <c r="T32" s="63"/>
      <c r="U32" s="63"/>
      <c r="V32" s="63"/>
      <c r="W32" s="63"/>
      <c r="X32" s="63"/>
      <c r="Y32" s="63"/>
      <c r="Z32" s="63"/>
    </row>
    <row r="33" spans="1:26" ht="17.25" customHeight="1" x14ac:dyDescent="0.2">
      <c r="A33" s="94">
        <v>582</v>
      </c>
      <c r="B33" s="95" t="s">
        <v>30</v>
      </c>
      <c r="C33" s="95" t="s">
        <v>91</v>
      </c>
      <c r="D33" s="96">
        <v>339.32400000000001</v>
      </c>
      <c r="E33" s="102">
        <v>1457</v>
      </c>
      <c r="F33" s="96">
        <f t="shared" si="0"/>
        <v>338.0877673</v>
      </c>
      <c r="G33" s="98" t="s">
        <v>480</v>
      </c>
      <c r="H33" s="98" t="s">
        <v>481</v>
      </c>
      <c r="I33" s="99"/>
      <c r="J33" s="102">
        <v>1259</v>
      </c>
      <c r="K33" s="98" t="s">
        <v>429</v>
      </c>
      <c r="L33" s="102">
        <v>5447</v>
      </c>
      <c r="M33" s="100">
        <f t="shared" si="1"/>
        <v>73.803793940420164</v>
      </c>
      <c r="N33" s="100">
        <v>5482.12</v>
      </c>
      <c r="O33" s="101">
        <f t="shared" si="2"/>
        <v>0.99359371921811268</v>
      </c>
      <c r="P33" s="101"/>
      <c r="Q33" s="89" t="s">
        <v>482</v>
      </c>
      <c r="R33" s="63"/>
      <c r="S33" s="63"/>
      <c r="T33" s="63"/>
      <c r="U33" s="63"/>
      <c r="V33" s="63"/>
      <c r="W33" s="63"/>
      <c r="X33" s="63"/>
      <c r="Y33" s="63"/>
      <c r="Z33" s="63"/>
    </row>
    <row r="34" spans="1:26" ht="17.25" customHeight="1" x14ac:dyDescent="0.2">
      <c r="A34" s="94">
        <v>583</v>
      </c>
      <c r="B34" s="95" t="s">
        <v>30</v>
      </c>
      <c r="C34" s="95" t="s">
        <v>91</v>
      </c>
      <c r="D34" s="96">
        <v>341.31799999999998</v>
      </c>
      <c r="E34" s="102">
        <v>1457</v>
      </c>
      <c r="F34" s="96">
        <f t="shared" si="0"/>
        <v>340.06840749999992</v>
      </c>
      <c r="G34" s="98" t="s">
        <v>483</v>
      </c>
      <c r="H34" s="98" t="s">
        <v>484</v>
      </c>
      <c r="I34" s="102">
        <v>41</v>
      </c>
      <c r="J34" s="102">
        <v>1636</v>
      </c>
      <c r="K34" s="98" t="s">
        <v>429</v>
      </c>
      <c r="L34" s="102">
        <v>17369</v>
      </c>
      <c r="M34" s="100">
        <f t="shared" si="1"/>
        <v>131.79150200221559</v>
      </c>
      <c r="N34" s="100">
        <v>6685.12</v>
      </c>
      <c r="O34" s="101">
        <f t="shared" si="2"/>
        <v>2.5981582978316022</v>
      </c>
      <c r="P34" s="101"/>
      <c r="Q34" s="89"/>
      <c r="R34" s="63"/>
      <c r="S34" s="63"/>
      <c r="T34" s="63"/>
      <c r="U34" s="63"/>
      <c r="V34" s="63"/>
      <c r="W34" s="63"/>
      <c r="X34" s="63"/>
      <c r="Y34" s="63"/>
      <c r="Z34" s="63"/>
    </row>
    <row r="35" spans="1:26" ht="17.25" customHeight="1" x14ac:dyDescent="0.2">
      <c r="A35" s="94">
        <v>584</v>
      </c>
      <c r="B35" s="95" t="s">
        <v>30</v>
      </c>
      <c r="C35" s="95" t="s">
        <v>91</v>
      </c>
      <c r="D35" s="96">
        <v>341.815</v>
      </c>
      <c r="E35" s="102">
        <v>1457</v>
      </c>
      <c r="F35" s="96">
        <f t="shared" si="0"/>
        <v>340.56207759999995</v>
      </c>
      <c r="G35" s="98" t="s">
        <v>485</v>
      </c>
      <c r="H35" s="98" t="s">
        <v>486</v>
      </c>
      <c r="I35" s="102">
        <v>40</v>
      </c>
      <c r="J35" s="102">
        <v>1385</v>
      </c>
      <c r="K35" s="98" t="s">
        <v>429</v>
      </c>
      <c r="L35" s="102">
        <v>19708</v>
      </c>
      <c r="M35" s="100">
        <f t="shared" si="1"/>
        <v>140.38518440348327</v>
      </c>
      <c r="N35" s="100">
        <v>5518.97</v>
      </c>
      <c r="O35" s="101">
        <f t="shared" si="2"/>
        <v>3.5709561747934848</v>
      </c>
      <c r="P35" s="101"/>
      <c r="Q35" s="89"/>
      <c r="R35" s="63"/>
      <c r="S35" s="63"/>
      <c r="T35" s="63"/>
      <c r="U35" s="63"/>
      <c r="V35" s="63"/>
      <c r="W35" s="63"/>
      <c r="X35" s="63"/>
      <c r="Y35" s="63"/>
      <c r="Z35" s="63"/>
    </row>
    <row r="36" spans="1:26" ht="17.25" customHeight="1" x14ac:dyDescent="0.2">
      <c r="A36" s="94">
        <v>585</v>
      </c>
      <c r="B36" s="95" t="s">
        <v>30</v>
      </c>
      <c r="C36" s="95" t="s">
        <v>91</v>
      </c>
      <c r="D36" s="96">
        <v>342.31200000000001</v>
      </c>
      <c r="E36" s="102">
        <v>1457</v>
      </c>
      <c r="F36" s="96">
        <f t="shared" si="0"/>
        <v>341.05574769999998</v>
      </c>
      <c r="G36" s="98" t="s">
        <v>487</v>
      </c>
      <c r="H36" s="98" t="s">
        <v>488</v>
      </c>
      <c r="I36" s="102">
        <v>41</v>
      </c>
      <c r="J36" s="102">
        <v>1007</v>
      </c>
      <c r="K36" s="98" t="s">
        <v>429</v>
      </c>
      <c r="L36" s="102">
        <v>20259</v>
      </c>
      <c r="M36" s="100">
        <f t="shared" si="1"/>
        <v>142.33411397131749</v>
      </c>
      <c r="N36" s="100">
        <v>4182.53</v>
      </c>
      <c r="O36" s="101">
        <f t="shared" si="2"/>
        <v>4.843718993049662</v>
      </c>
      <c r="P36" s="101"/>
      <c r="Q36" s="89"/>
      <c r="R36" s="63"/>
      <c r="S36" s="63"/>
      <c r="T36" s="63"/>
      <c r="U36" s="63"/>
      <c r="V36" s="63"/>
      <c r="W36" s="63"/>
      <c r="X36" s="63"/>
      <c r="Y36" s="63"/>
      <c r="Z36" s="63"/>
    </row>
    <row r="37" spans="1:26" ht="17.25" customHeight="1" x14ac:dyDescent="0.2">
      <c r="A37" s="94">
        <v>586</v>
      </c>
      <c r="B37" s="95" t="s">
        <v>30</v>
      </c>
      <c r="C37" s="95" t="s">
        <v>91</v>
      </c>
      <c r="D37" s="96">
        <v>342.815</v>
      </c>
      <c r="E37" s="102">
        <v>1457</v>
      </c>
      <c r="F37" s="96">
        <f t="shared" si="0"/>
        <v>341.55537759999993</v>
      </c>
      <c r="G37" s="98" t="s">
        <v>489</v>
      </c>
      <c r="H37" s="98" t="s">
        <v>490</v>
      </c>
      <c r="I37" s="102">
        <v>40</v>
      </c>
      <c r="J37" s="102">
        <v>1133</v>
      </c>
      <c r="K37" s="98" t="s">
        <v>429</v>
      </c>
      <c r="L37" s="102">
        <v>27211</v>
      </c>
      <c r="M37" s="100">
        <f t="shared" si="1"/>
        <v>164.95757030218408</v>
      </c>
      <c r="N37" s="100">
        <v>4391.57</v>
      </c>
      <c r="O37" s="101">
        <f t="shared" si="2"/>
        <v>6.196189517644032</v>
      </c>
      <c r="P37" s="101"/>
      <c r="Q37" s="89"/>
      <c r="R37" s="63"/>
      <c r="S37" s="63"/>
      <c r="T37" s="63"/>
      <c r="U37" s="63"/>
      <c r="V37" s="63"/>
      <c r="W37" s="63"/>
      <c r="X37" s="63"/>
      <c r="Y37" s="63"/>
      <c r="Z37" s="63"/>
    </row>
    <row r="38" spans="1:26" ht="17.25" customHeight="1" x14ac:dyDescent="0.2">
      <c r="A38" s="94">
        <v>587</v>
      </c>
      <c r="B38" s="95" t="s">
        <v>30</v>
      </c>
      <c r="C38" s="95" t="s">
        <v>91</v>
      </c>
      <c r="D38" s="96">
        <v>343.31200000000001</v>
      </c>
      <c r="E38" s="102">
        <v>1457</v>
      </c>
      <c r="F38" s="96">
        <f t="shared" ref="F38:F69" si="4">0.9933*(D38 + E38/1000)-0.41</f>
        <v>342.04904769999996</v>
      </c>
      <c r="G38" s="98"/>
      <c r="H38" s="98" t="s">
        <v>491</v>
      </c>
      <c r="I38" s="102">
        <v>40</v>
      </c>
      <c r="J38" s="102">
        <v>1259</v>
      </c>
      <c r="K38" s="98" t="s">
        <v>429</v>
      </c>
      <c r="L38" s="102">
        <v>40285</v>
      </c>
      <c r="M38" s="100">
        <f t="shared" si="1"/>
        <v>200.7112353606544</v>
      </c>
      <c r="N38" s="100">
        <v>5321.52</v>
      </c>
      <c r="O38" s="101">
        <f t="shared" si="2"/>
        <v>7.5702055051940045</v>
      </c>
      <c r="P38" s="101"/>
      <c r="Q38" s="89"/>
      <c r="R38" s="63"/>
      <c r="S38" s="63"/>
      <c r="T38" s="63"/>
      <c r="U38" s="63"/>
      <c r="V38" s="63"/>
      <c r="W38" s="63"/>
      <c r="X38" s="63"/>
      <c r="Y38" s="63"/>
      <c r="Z38" s="63"/>
    </row>
    <row r="39" spans="1:26" ht="17.25" customHeight="1" x14ac:dyDescent="0.2">
      <c r="A39" s="94">
        <v>588</v>
      </c>
      <c r="B39" s="95" t="s">
        <v>30</v>
      </c>
      <c r="C39" s="95" t="s">
        <v>91</v>
      </c>
      <c r="D39" s="96">
        <v>343.80900000000003</v>
      </c>
      <c r="E39" s="102">
        <v>1457</v>
      </c>
      <c r="F39" s="96">
        <f t="shared" si="4"/>
        <v>342.54271779999999</v>
      </c>
      <c r="G39" s="98" t="s">
        <v>492</v>
      </c>
      <c r="H39" s="98" t="s">
        <v>493</v>
      </c>
      <c r="I39" s="102">
        <v>40</v>
      </c>
      <c r="J39" s="102">
        <v>1385</v>
      </c>
      <c r="K39" s="98" t="s">
        <v>429</v>
      </c>
      <c r="L39" s="102">
        <v>49909</v>
      </c>
      <c r="M39" s="100">
        <f t="shared" ref="M39:M70" si="5">SQRT(L39)</f>
        <v>223.40322289528413</v>
      </c>
      <c r="N39" s="100">
        <v>5689.02</v>
      </c>
      <c r="O39" s="101">
        <f t="shared" ref="O39:O70" si="6">L39/N39</f>
        <v>8.7728642191449495</v>
      </c>
      <c r="P39" s="101"/>
      <c r="Q39" s="89"/>
      <c r="R39" s="63"/>
      <c r="S39" s="63"/>
      <c r="T39" s="63"/>
      <c r="U39" s="63"/>
      <c r="V39" s="63"/>
      <c r="W39" s="63"/>
      <c r="X39" s="63"/>
      <c r="Y39" s="63"/>
      <c r="Z39" s="63"/>
    </row>
    <row r="40" spans="1:26" ht="17.25" customHeight="1" x14ac:dyDescent="0.2">
      <c r="A40" s="94">
        <v>589</v>
      </c>
      <c r="B40" s="95" t="s">
        <v>30</v>
      </c>
      <c r="C40" s="95" t="s">
        <v>91</v>
      </c>
      <c r="D40" s="96">
        <v>344.31299999999999</v>
      </c>
      <c r="E40" s="102">
        <v>1457</v>
      </c>
      <c r="F40" s="96">
        <f t="shared" si="4"/>
        <v>343.04334099999994</v>
      </c>
      <c r="G40" s="98" t="s">
        <v>494</v>
      </c>
      <c r="H40" s="98" t="s">
        <v>495</v>
      </c>
      <c r="I40" s="102">
        <v>40</v>
      </c>
      <c r="J40" s="102">
        <v>1133</v>
      </c>
      <c r="K40" s="98" t="s">
        <v>429</v>
      </c>
      <c r="L40" s="102">
        <v>43274</v>
      </c>
      <c r="M40" s="100">
        <f t="shared" si="5"/>
        <v>208.02403707264216</v>
      </c>
      <c r="N40" s="100">
        <v>4452.72</v>
      </c>
      <c r="O40" s="101">
        <f t="shared" si="6"/>
        <v>9.7185540523545146</v>
      </c>
      <c r="P40" s="101"/>
      <c r="Q40" s="89"/>
      <c r="R40" s="63"/>
      <c r="S40" s="63"/>
      <c r="T40" s="63"/>
      <c r="U40" s="63"/>
      <c r="V40" s="63"/>
      <c r="W40" s="63"/>
      <c r="X40" s="63"/>
      <c r="Y40" s="63"/>
      <c r="Z40" s="63"/>
    </row>
    <row r="41" spans="1:26" ht="17.25" customHeight="1" x14ac:dyDescent="0.2">
      <c r="A41" s="94">
        <v>590</v>
      </c>
      <c r="B41" s="95" t="s">
        <v>30</v>
      </c>
      <c r="C41" s="95" t="s">
        <v>91</v>
      </c>
      <c r="D41" s="96">
        <v>344.80900000000003</v>
      </c>
      <c r="E41" s="102">
        <v>1457</v>
      </c>
      <c r="F41" s="96">
        <f t="shared" si="4"/>
        <v>343.53601779999997</v>
      </c>
      <c r="G41" s="98" t="s">
        <v>496</v>
      </c>
      <c r="H41" s="98" t="s">
        <v>497</v>
      </c>
      <c r="I41" s="102">
        <v>40</v>
      </c>
      <c r="J41" s="102">
        <v>1259</v>
      </c>
      <c r="K41" s="98" t="s">
        <v>429</v>
      </c>
      <c r="L41" s="102">
        <v>45966</v>
      </c>
      <c r="M41" s="100">
        <f t="shared" si="5"/>
        <v>214.39682833474939</v>
      </c>
      <c r="N41" s="100">
        <v>4452.72</v>
      </c>
      <c r="O41" s="101">
        <f t="shared" si="6"/>
        <v>10.323128335040154</v>
      </c>
      <c r="P41" s="101"/>
      <c r="Q41" s="89"/>
      <c r="R41" s="63"/>
      <c r="S41" s="63"/>
      <c r="T41" s="63"/>
      <c r="U41" s="63"/>
      <c r="V41" s="63"/>
      <c r="W41" s="63"/>
      <c r="X41" s="63"/>
      <c r="Y41" s="63"/>
      <c r="Z41" s="63"/>
    </row>
    <row r="42" spans="1:26" ht="17.25" customHeight="1" x14ac:dyDescent="0.2">
      <c r="A42" s="94">
        <v>591</v>
      </c>
      <c r="B42" s="95" t="s">
        <v>30</v>
      </c>
      <c r="C42" s="95" t="s">
        <v>91</v>
      </c>
      <c r="D42" s="96">
        <v>345.30599999999998</v>
      </c>
      <c r="E42" s="102">
        <v>1457</v>
      </c>
      <c r="F42" s="96">
        <f t="shared" si="4"/>
        <v>344.02968789999994</v>
      </c>
      <c r="G42" s="98" t="s">
        <v>498</v>
      </c>
      <c r="H42" s="98" t="s">
        <v>499</v>
      </c>
      <c r="I42" s="102">
        <v>40</v>
      </c>
      <c r="J42" s="102">
        <v>1133</v>
      </c>
      <c r="K42" s="98" t="s">
        <v>429</v>
      </c>
      <c r="L42" s="102">
        <v>53156</v>
      </c>
      <c r="M42" s="100">
        <f t="shared" si="5"/>
        <v>230.5558500667463</v>
      </c>
      <c r="N42" s="100">
        <v>4599.7700000000004</v>
      </c>
      <c r="O42" s="101">
        <f t="shared" si="6"/>
        <v>11.556229985412314</v>
      </c>
      <c r="P42" s="101"/>
      <c r="Q42" s="89"/>
      <c r="R42" s="63"/>
      <c r="S42" s="63"/>
      <c r="T42" s="63"/>
      <c r="U42" s="63"/>
      <c r="V42" s="63"/>
      <c r="W42" s="63"/>
      <c r="X42" s="63"/>
      <c r="Y42" s="63"/>
      <c r="Z42" s="63"/>
    </row>
    <row r="43" spans="1:26" ht="17.25" customHeight="1" x14ac:dyDescent="0.2">
      <c r="A43" s="94">
        <v>592</v>
      </c>
      <c r="B43" s="95" t="s">
        <v>30</v>
      </c>
      <c r="C43" s="95" t="s">
        <v>91</v>
      </c>
      <c r="D43" s="96">
        <v>345.81</v>
      </c>
      <c r="E43" s="102">
        <v>1457</v>
      </c>
      <c r="F43" s="96">
        <f t="shared" si="4"/>
        <v>344.53031109999995</v>
      </c>
      <c r="G43" s="98" t="s">
        <v>500</v>
      </c>
      <c r="H43" s="98" t="s">
        <v>501</v>
      </c>
      <c r="I43" s="102">
        <v>40</v>
      </c>
      <c r="J43" s="102">
        <v>1007</v>
      </c>
      <c r="K43" s="98" t="s">
        <v>429</v>
      </c>
      <c r="L43" s="102">
        <v>49855</v>
      </c>
      <c r="M43" s="100">
        <f t="shared" si="5"/>
        <v>223.2823324851297</v>
      </c>
      <c r="N43" s="100">
        <v>4149.6400000000003</v>
      </c>
      <c r="O43" s="101">
        <f t="shared" si="6"/>
        <v>12.014295215970542</v>
      </c>
      <c r="P43" s="101"/>
      <c r="Q43" s="89"/>
      <c r="R43" s="63"/>
      <c r="S43" s="63"/>
      <c r="T43" s="63"/>
      <c r="U43" s="63"/>
      <c r="V43" s="63"/>
      <c r="W43" s="63"/>
      <c r="X43" s="63"/>
      <c r="Y43" s="63"/>
      <c r="Z43" s="63"/>
    </row>
    <row r="44" spans="1:26" ht="17.25" customHeight="1" x14ac:dyDescent="0.2">
      <c r="A44" s="94">
        <v>593</v>
      </c>
      <c r="B44" s="95" t="s">
        <v>30</v>
      </c>
      <c r="C44" s="95" t="s">
        <v>91</v>
      </c>
      <c r="D44" s="96">
        <v>346.3</v>
      </c>
      <c r="E44" s="102">
        <v>1457</v>
      </c>
      <c r="F44" s="96">
        <f t="shared" si="4"/>
        <v>345.01702809999995</v>
      </c>
      <c r="G44" s="98" t="s">
        <v>502</v>
      </c>
      <c r="H44" s="98" t="s">
        <v>503</v>
      </c>
      <c r="I44" s="102">
        <v>40</v>
      </c>
      <c r="J44" s="102">
        <v>1133</v>
      </c>
      <c r="K44" s="98" t="s">
        <v>429</v>
      </c>
      <c r="L44" s="102">
        <v>57589</v>
      </c>
      <c r="M44" s="100">
        <f t="shared" si="5"/>
        <v>239.97708223911715</v>
      </c>
      <c r="N44" s="100">
        <v>4725.21</v>
      </c>
      <c r="O44" s="101">
        <f t="shared" si="6"/>
        <v>12.187606476749181</v>
      </c>
      <c r="P44" s="101"/>
      <c r="Q44" s="89"/>
      <c r="R44" s="63"/>
      <c r="S44" s="63"/>
      <c r="T44" s="63"/>
      <c r="U44" s="63"/>
      <c r="V44" s="63"/>
      <c r="W44" s="63"/>
      <c r="X44" s="63"/>
      <c r="Y44" s="63"/>
      <c r="Z44" s="63"/>
    </row>
    <row r="45" spans="1:26" ht="17.25" customHeight="1" x14ac:dyDescent="0.2">
      <c r="A45" s="94">
        <v>594</v>
      </c>
      <c r="B45" s="95" t="s">
        <v>30</v>
      </c>
      <c r="C45" s="95" t="s">
        <v>91</v>
      </c>
      <c r="D45" s="96">
        <v>346.803</v>
      </c>
      <c r="E45" s="102">
        <v>1457</v>
      </c>
      <c r="F45" s="96">
        <f t="shared" si="4"/>
        <v>345.51665799999995</v>
      </c>
      <c r="G45" s="98" t="s">
        <v>504</v>
      </c>
      <c r="H45" s="98" t="s">
        <v>505</v>
      </c>
      <c r="I45" s="102">
        <v>40</v>
      </c>
      <c r="J45" s="102">
        <v>1133</v>
      </c>
      <c r="K45" s="98" t="s">
        <v>429</v>
      </c>
      <c r="L45" s="102">
        <v>54210</v>
      </c>
      <c r="M45" s="100">
        <f t="shared" si="5"/>
        <v>232.83041038489796</v>
      </c>
      <c r="N45" s="100">
        <v>4327.84</v>
      </c>
      <c r="O45" s="101">
        <f t="shared" si="6"/>
        <v>12.525878960405191</v>
      </c>
      <c r="P45" s="101"/>
      <c r="Q45" s="89"/>
      <c r="R45" s="63"/>
      <c r="S45" s="63"/>
      <c r="T45" s="63"/>
      <c r="U45" s="63"/>
      <c r="V45" s="63"/>
      <c r="W45" s="63"/>
      <c r="X45" s="63"/>
      <c r="Y45" s="63"/>
      <c r="Z45" s="63"/>
    </row>
    <row r="46" spans="1:26" ht="17.25" customHeight="1" x14ac:dyDescent="0.2">
      <c r="A46" s="94">
        <v>595</v>
      </c>
      <c r="B46" s="95" t="s">
        <v>30</v>
      </c>
      <c r="C46" s="95" t="s">
        <v>91</v>
      </c>
      <c r="D46" s="96">
        <v>347.79700000000003</v>
      </c>
      <c r="E46" s="102">
        <v>1457</v>
      </c>
      <c r="F46" s="96">
        <f t="shared" si="4"/>
        <v>346.50399819999996</v>
      </c>
      <c r="G46" s="98" t="s">
        <v>506</v>
      </c>
      <c r="H46" s="98" t="s">
        <v>507</v>
      </c>
      <c r="I46" s="102">
        <v>38</v>
      </c>
      <c r="J46" s="102">
        <v>1133</v>
      </c>
      <c r="K46" s="98" t="s">
        <v>429</v>
      </c>
      <c r="L46" s="102">
        <v>55146</v>
      </c>
      <c r="M46" s="100">
        <f t="shared" si="5"/>
        <v>234.83185473866189</v>
      </c>
      <c r="N46" s="100">
        <v>4245.12</v>
      </c>
      <c r="O46" s="101">
        <f t="shared" si="6"/>
        <v>12.990445499773859</v>
      </c>
      <c r="P46" s="101"/>
      <c r="Q46" s="89"/>
      <c r="R46" s="63"/>
      <c r="S46" s="63"/>
      <c r="T46" s="63"/>
      <c r="U46" s="63"/>
      <c r="V46" s="63"/>
      <c r="W46" s="63"/>
      <c r="X46" s="63"/>
      <c r="Y46" s="63"/>
      <c r="Z46" s="63"/>
    </row>
    <row r="47" spans="1:26" ht="17.25" customHeight="1" x14ac:dyDescent="0.2">
      <c r="A47" s="94">
        <v>596</v>
      </c>
      <c r="B47" s="95" t="s">
        <v>30</v>
      </c>
      <c r="C47" s="95" t="s">
        <v>91</v>
      </c>
      <c r="D47" s="96">
        <v>348.791</v>
      </c>
      <c r="E47" s="102">
        <v>1457</v>
      </c>
      <c r="F47" s="96">
        <f t="shared" si="4"/>
        <v>347.49133839999996</v>
      </c>
      <c r="G47" s="98" t="s">
        <v>508</v>
      </c>
      <c r="H47" s="98" t="s">
        <v>509</v>
      </c>
      <c r="I47" s="102">
        <v>39</v>
      </c>
      <c r="J47" s="102">
        <v>1007</v>
      </c>
      <c r="K47" s="98" t="s">
        <v>429</v>
      </c>
      <c r="L47" s="102">
        <v>50626</v>
      </c>
      <c r="M47" s="100">
        <f t="shared" si="5"/>
        <v>225.00222221124838</v>
      </c>
      <c r="N47" s="100">
        <v>4022.65</v>
      </c>
      <c r="O47" s="101">
        <f t="shared" si="6"/>
        <v>12.585236100580463</v>
      </c>
      <c r="P47" s="101"/>
      <c r="Q47" s="89"/>
      <c r="R47" s="63"/>
      <c r="S47" s="63"/>
      <c r="T47" s="63"/>
      <c r="U47" s="63"/>
      <c r="V47" s="63"/>
      <c r="W47" s="63"/>
      <c r="X47" s="63"/>
      <c r="Y47" s="63"/>
      <c r="Z47" s="63"/>
    </row>
    <row r="48" spans="1:26" ht="17.25" customHeight="1" x14ac:dyDescent="0.2">
      <c r="A48" s="94">
        <v>597</v>
      </c>
      <c r="B48" s="95" t="s">
        <v>30</v>
      </c>
      <c r="C48" s="95" t="s">
        <v>91</v>
      </c>
      <c r="D48" s="96">
        <v>349.8</v>
      </c>
      <c r="E48" s="102">
        <v>1457</v>
      </c>
      <c r="F48" s="96">
        <f t="shared" si="4"/>
        <v>348.49357809999998</v>
      </c>
      <c r="G48" s="98"/>
      <c r="H48" s="98" t="s">
        <v>510</v>
      </c>
      <c r="I48" s="102">
        <v>40</v>
      </c>
      <c r="J48" s="102">
        <v>1133</v>
      </c>
      <c r="K48" s="98" t="s">
        <v>429</v>
      </c>
      <c r="L48" s="102">
        <v>52849</v>
      </c>
      <c r="M48" s="100">
        <f t="shared" si="5"/>
        <v>229.88910370002316</v>
      </c>
      <c r="N48" s="100">
        <v>4367.3100000000004</v>
      </c>
      <c r="O48" s="101">
        <f t="shared" si="6"/>
        <v>12.101041602267756</v>
      </c>
      <c r="P48" s="101"/>
      <c r="Q48" s="89"/>
      <c r="R48" s="63"/>
      <c r="S48" s="63"/>
      <c r="T48" s="63"/>
      <c r="U48" s="63"/>
      <c r="V48" s="63"/>
      <c r="W48" s="63"/>
      <c r="X48" s="63"/>
      <c r="Y48" s="63"/>
      <c r="Z48" s="63"/>
    </row>
    <row r="49" spans="1:26" ht="17.25" customHeight="1" x14ac:dyDescent="0.2">
      <c r="A49" s="94">
        <v>598</v>
      </c>
      <c r="B49" s="95" t="s">
        <v>30</v>
      </c>
      <c r="C49" s="95" t="s">
        <v>91</v>
      </c>
      <c r="D49" s="96">
        <v>350.78500000000003</v>
      </c>
      <c r="E49" s="102">
        <v>1457</v>
      </c>
      <c r="F49" s="96">
        <f t="shared" si="4"/>
        <v>349.4719786</v>
      </c>
      <c r="G49" s="98" t="s">
        <v>511</v>
      </c>
      <c r="H49" s="98" t="s">
        <v>512</v>
      </c>
      <c r="I49" s="102">
        <v>44</v>
      </c>
      <c r="J49" s="102">
        <v>1762</v>
      </c>
      <c r="K49" s="98" t="s">
        <v>429</v>
      </c>
      <c r="L49" s="102">
        <v>85421</v>
      </c>
      <c r="M49" s="100">
        <f t="shared" si="5"/>
        <v>292.26871197581175</v>
      </c>
      <c r="N49" s="100">
        <v>7496.64</v>
      </c>
      <c r="O49" s="101">
        <f t="shared" si="6"/>
        <v>11.394571434669398</v>
      </c>
      <c r="P49" s="101"/>
      <c r="Q49" s="89"/>
      <c r="R49" s="63"/>
      <c r="S49" s="63"/>
      <c r="T49" s="63"/>
      <c r="U49" s="63"/>
      <c r="V49" s="63"/>
      <c r="W49" s="63"/>
      <c r="X49" s="63"/>
      <c r="Y49" s="63"/>
      <c r="Z49" s="63"/>
    </row>
    <row r="50" spans="1:26" ht="17.25" customHeight="1" x14ac:dyDescent="0.2">
      <c r="A50" s="94">
        <v>599</v>
      </c>
      <c r="B50" s="95" t="s">
        <v>30</v>
      </c>
      <c r="C50" s="95" t="s">
        <v>91</v>
      </c>
      <c r="D50" s="96">
        <v>352.786</v>
      </c>
      <c r="E50" s="102">
        <v>1457</v>
      </c>
      <c r="F50" s="96">
        <f t="shared" si="4"/>
        <v>351.45957189999996</v>
      </c>
      <c r="G50" s="98" t="s">
        <v>513</v>
      </c>
      <c r="H50" s="98" t="s">
        <v>514</v>
      </c>
      <c r="I50" s="102">
        <v>47</v>
      </c>
      <c r="J50" s="102">
        <v>1007</v>
      </c>
      <c r="K50" s="98" t="s">
        <v>429</v>
      </c>
      <c r="L50" s="102">
        <v>44630</v>
      </c>
      <c r="M50" s="100">
        <f t="shared" si="5"/>
        <v>211.25813593800359</v>
      </c>
      <c r="N50" s="100">
        <v>4807.0200000000004</v>
      </c>
      <c r="O50" s="101">
        <f t="shared" si="6"/>
        <v>9.2843383218709299</v>
      </c>
      <c r="P50" s="101"/>
      <c r="Q50" s="89"/>
      <c r="R50" s="63"/>
      <c r="S50" s="63"/>
      <c r="T50" s="63"/>
      <c r="U50" s="63"/>
      <c r="V50" s="63"/>
      <c r="W50" s="63"/>
      <c r="X50" s="63"/>
      <c r="Y50" s="63"/>
      <c r="Z50" s="63"/>
    </row>
    <row r="51" spans="1:26" ht="17.25" customHeight="1" x14ac:dyDescent="0.2">
      <c r="A51" s="94">
        <v>600</v>
      </c>
      <c r="B51" s="95" t="s">
        <v>30</v>
      </c>
      <c r="C51" s="95" t="s">
        <v>91</v>
      </c>
      <c r="D51" s="96">
        <v>354.78</v>
      </c>
      <c r="E51" s="102">
        <v>1457</v>
      </c>
      <c r="F51" s="96">
        <f t="shared" si="4"/>
        <v>353.44021209999994</v>
      </c>
      <c r="G51" s="98" t="s">
        <v>515</v>
      </c>
      <c r="H51" s="98" t="s">
        <v>516</v>
      </c>
      <c r="I51" s="102">
        <v>47</v>
      </c>
      <c r="J51" s="102">
        <v>881</v>
      </c>
      <c r="K51" s="98" t="s">
        <v>429</v>
      </c>
      <c r="L51" s="102">
        <v>27127</v>
      </c>
      <c r="M51" s="100">
        <f t="shared" si="5"/>
        <v>164.70276257549537</v>
      </c>
      <c r="N51" s="100">
        <v>3927.93</v>
      </c>
      <c r="O51" s="101">
        <f t="shared" si="6"/>
        <v>6.906182136647038</v>
      </c>
      <c r="P51" s="101"/>
      <c r="Q51" s="89"/>
      <c r="R51" s="63"/>
      <c r="S51" s="63"/>
      <c r="T51" s="63"/>
      <c r="U51" s="63"/>
      <c r="V51" s="63"/>
      <c r="W51" s="63"/>
      <c r="X51" s="63"/>
      <c r="Y51" s="63"/>
      <c r="Z51" s="63"/>
    </row>
    <row r="52" spans="1:26" ht="17.25" customHeight="1" x14ac:dyDescent="0.2">
      <c r="A52" s="94">
        <v>601</v>
      </c>
      <c r="B52" s="95" t="s">
        <v>30</v>
      </c>
      <c r="C52" s="95" t="s">
        <v>91</v>
      </c>
      <c r="D52" s="96">
        <v>356.76</v>
      </c>
      <c r="E52" s="102">
        <v>1457</v>
      </c>
      <c r="F52" s="96">
        <f t="shared" si="4"/>
        <v>355.40694609999997</v>
      </c>
      <c r="G52" s="98" t="s">
        <v>517</v>
      </c>
      <c r="H52" s="98" t="s">
        <v>518</v>
      </c>
      <c r="I52" s="102">
        <v>46</v>
      </c>
      <c r="J52" s="102">
        <v>2140</v>
      </c>
      <c r="K52" s="98" t="s">
        <v>429</v>
      </c>
      <c r="L52" s="102">
        <v>45409</v>
      </c>
      <c r="M52" s="100">
        <f t="shared" si="5"/>
        <v>213.09387602650622</v>
      </c>
      <c r="N52" s="100">
        <v>9981.8799999999992</v>
      </c>
      <c r="O52" s="101">
        <f t="shared" si="6"/>
        <v>4.5491430472015297</v>
      </c>
      <c r="P52" s="101"/>
      <c r="Q52" s="89"/>
      <c r="R52" s="63"/>
      <c r="S52" s="63"/>
      <c r="T52" s="63"/>
      <c r="U52" s="63"/>
      <c r="V52" s="63"/>
      <c r="W52" s="63"/>
      <c r="X52" s="63"/>
      <c r="Y52" s="63"/>
      <c r="Z52" s="63"/>
    </row>
    <row r="53" spans="1:26" ht="17.25" customHeight="1" x14ac:dyDescent="0.2">
      <c r="A53" s="94">
        <v>602</v>
      </c>
      <c r="B53" s="95" t="s">
        <v>30</v>
      </c>
      <c r="C53" s="95" t="s">
        <v>91</v>
      </c>
      <c r="D53" s="96">
        <v>358.76</v>
      </c>
      <c r="E53" s="102">
        <v>1457</v>
      </c>
      <c r="F53" s="96">
        <f t="shared" si="4"/>
        <v>357.39354609999992</v>
      </c>
      <c r="G53" s="98" t="s">
        <v>519</v>
      </c>
      <c r="H53" s="98" t="s">
        <v>520</v>
      </c>
      <c r="I53" s="102">
        <v>46</v>
      </c>
      <c r="J53" s="102">
        <v>1007</v>
      </c>
      <c r="K53" s="98" t="s">
        <v>429</v>
      </c>
      <c r="L53" s="102">
        <v>14350</v>
      </c>
      <c r="M53" s="100">
        <f t="shared" si="5"/>
        <v>119.7914855071094</v>
      </c>
      <c r="N53" s="100">
        <v>4924.62</v>
      </c>
      <c r="O53" s="101">
        <f t="shared" si="6"/>
        <v>2.9139304149355687</v>
      </c>
      <c r="P53" s="101"/>
      <c r="Q53" s="89"/>
      <c r="R53" s="63"/>
      <c r="S53" s="63"/>
      <c r="T53" s="63"/>
      <c r="U53" s="63"/>
      <c r="V53" s="63"/>
      <c r="W53" s="63"/>
      <c r="X53" s="63"/>
      <c r="Y53" s="63"/>
      <c r="Z53" s="63"/>
    </row>
    <row r="54" spans="1:26" ht="17.25" customHeight="1" x14ac:dyDescent="0.2">
      <c r="A54" s="94">
        <v>603</v>
      </c>
      <c r="B54" s="95" t="s">
        <v>30</v>
      </c>
      <c r="C54" s="95" t="s">
        <v>91</v>
      </c>
      <c r="D54" s="96">
        <v>361.74200000000002</v>
      </c>
      <c r="E54" s="102">
        <v>1457</v>
      </c>
      <c r="F54" s="96">
        <f t="shared" si="4"/>
        <v>360.3555667</v>
      </c>
      <c r="G54" s="98" t="s">
        <v>521</v>
      </c>
      <c r="H54" s="98" t="s">
        <v>522</v>
      </c>
      <c r="I54" s="102">
        <v>46</v>
      </c>
      <c r="J54" s="102">
        <v>1007</v>
      </c>
      <c r="K54" s="98" t="s">
        <v>429</v>
      </c>
      <c r="L54" s="102">
        <v>6808</v>
      </c>
      <c r="M54" s="100">
        <f t="shared" si="5"/>
        <v>82.510605378945073</v>
      </c>
      <c r="N54" s="100">
        <v>4552.21</v>
      </c>
      <c r="O54" s="101">
        <f t="shared" si="6"/>
        <v>1.4955373324165624</v>
      </c>
      <c r="P54" s="101"/>
      <c r="Q54" s="89"/>
      <c r="R54" s="63"/>
      <c r="S54" s="63"/>
      <c r="T54" s="63"/>
      <c r="U54" s="63"/>
      <c r="V54" s="63"/>
      <c r="W54" s="63"/>
      <c r="X54" s="63"/>
      <c r="Y54" s="63"/>
      <c r="Z54" s="63"/>
    </row>
    <row r="55" spans="1:26" ht="17.25" customHeight="1" x14ac:dyDescent="0.2">
      <c r="A55" s="94">
        <v>604</v>
      </c>
      <c r="B55" s="95" t="s">
        <v>30</v>
      </c>
      <c r="C55" s="95" t="s">
        <v>91</v>
      </c>
      <c r="D55" s="96">
        <v>364.73599999999999</v>
      </c>
      <c r="E55" s="102">
        <v>1457</v>
      </c>
      <c r="F55" s="96">
        <f t="shared" si="4"/>
        <v>363.32950689999996</v>
      </c>
      <c r="G55" s="98" t="s">
        <v>523</v>
      </c>
      <c r="H55" s="98" t="s">
        <v>524</v>
      </c>
      <c r="I55" s="102">
        <v>44</v>
      </c>
      <c r="J55" s="102">
        <v>1007</v>
      </c>
      <c r="K55" s="98" t="s">
        <v>429</v>
      </c>
      <c r="L55" s="102">
        <v>3724</v>
      </c>
      <c r="M55" s="100">
        <f t="shared" si="5"/>
        <v>61.02458520956943</v>
      </c>
      <c r="N55" s="100">
        <v>4664.6899999999996</v>
      </c>
      <c r="O55" s="101">
        <f t="shared" si="6"/>
        <v>0.7983381532320476</v>
      </c>
      <c r="P55" s="101"/>
      <c r="Q55" s="89"/>
      <c r="R55" s="63"/>
      <c r="S55" s="63"/>
      <c r="T55" s="63"/>
      <c r="U55" s="63"/>
      <c r="V55" s="63"/>
      <c r="W55" s="63"/>
      <c r="X55" s="63"/>
      <c r="Y55" s="63"/>
      <c r="Z55" s="63"/>
    </row>
    <row r="56" spans="1:26" ht="17.25" customHeight="1" x14ac:dyDescent="0.2">
      <c r="A56" s="94">
        <v>605</v>
      </c>
      <c r="B56" s="95" t="s">
        <v>157</v>
      </c>
      <c r="C56" s="95" t="s">
        <v>91</v>
      </c>
      <c r="D56" s="96">
        <v>224.71</v>
      </c>
      <c r="E56" s="102">
        <v>2996</v>
      </c>
      <c r="F56" s="96">
        <f t="shared" si="4"/>
        <v>225.7703698</v>
      </c>
      <c r="G56" s="98" t="s">
        <v>525</v>
      </c>
      <c r="H56" s="98" t="s">
        <v>526</v>
      </c>
      <c r="I56" s="102">
        <v>261</v>
      </c>
      <c r="J56" s="102">
        <v>787312</v>
      </c>
      <c r="K56" s="98" t="s">
        <v>429</v>
      </c>
      <c r="L56" s="102">
        <v>15901962</v>
      </c>
      <c r="M56" s="100">
        <f t="shared" si="5"/>
        <v>3987.7264199039532</v>
      </c>
      <c r="N56" s="100">
        <v>20136571.5</v>
      </c>
      <c r="O56" s="101">
        <f t="shared" si="6"/>
        <v>0.78970553651598541</v>
      </c>
      <c r="P56" s="101"/>
      <c r="Q56" s="89"/>
      <c r="R56" s="63"/>
      <c r="S56" s="63"/>
      <c r="T56" s="63"/>
      <c r="U56" s="63"/>
      <c r="V56" s="63"/>
      <c r="W56" s="63"/>
      <c r="X56" s="63"/>
      <c r="Y56" s="63"/>
      <c r="Z56" s="63"/>
    </row>
    <row r="57" spans="1:26" ht="17.25" customHeight="1" x14ac:dyDescent="0.2">
      <c r="A57" s="94">
        <v>606</v>
      </c>
      <c r="B57" s="95" t="s">
        <v>31</v>
      </c>
      <c r="C57" s="95" t="s">
        <v>91</v>
      </c>
      <c r="D57" s="96">
        <v>339.33699999999999</v>
      </c>
      <c r="E57" s="102">
        <v>1456</v>
      </c>
      <c r="F57" s="96">
        <f t="shared" si="4"/>
        <v>338.09968689999999</v>
      </c>
      <c r="G57" s="98" t="s">
        <v>527</v>
      </c>
      <c r="H57" s="98" t="s">
        <v>528</v>
      </c>
      <c r="I57" s="102">
        <v>43</v>
      </c>
      <c r="J57" s="102">
        <v>1007</v>
      </c>
      <c r="K57" s="98" t="s">
        <v>429</v>
      </c>
      <c r="L57" s="102">
        <v>4187</v>
      </c>
      <c r="M57" s="100">
        <f t="shared" si="5"/>
        <v>64.707032075347115</v>
      </c>
      <c r="N57" s="100">
        <v>4554.03</v>
      </c>
      <c r="O57" s="101">
        <f t="shared" si="6"/>
        <v>0.91940544967863636</v>
      </c>
      <c r="P57" s="101"/>
      <c r="Q57" s="89"/>
      <c r="R57" s="63"/>
      <c r="S57" s="63"/>
      <c r="T57" s="63"/>
      <c r="U57" s="63"/>
      <c r="V57" s="63"/>
      <c r="W57" s="63"/>
      <c r="X57" s="63"/>
      <c r="Y57" s="63"/>
      <c r="Z57" s="63"/>
    </row>
    <row r="58" spans="1:26" ht="17.25" customHeight="1" x14ac:dyDescent="0.2">
      <c r="A58" s="94">
        <v>607</v>
      </c>
      <c r="B58" s="95" t="s">
        <v>31</v>
      </c>
      <c r="C58" s="95" t="s">
        <v>91</v>
      </c>
      <c r="D58" s="96">
        <v>340.33800000000002</v>
      </c>
      <c r="E58" s="102">
        <v>1456</v>
      </c>
      <c r="F58" s="96">
        <f t="shared" si="4"/>
        <v>339.09398019999998</v>
      </c>
      <c r="G58" s="98" t="s">
        <v>529</v>
      </c>
      <c r="H58" s="98" t="s">
        <v>530</v>
      </c>
      <c r="I58" s="102">
        <v>44</v>
      </c>
      <c r="J58" s="102">
        <v>1007</v>
      </c>
      <c r="K58" s="98" t="s">
        <v>429</v>
      </c>
      <c r="L58" s="102">
        <v>6353</v>
      </c>
      <c r="M58" s="100">
        <f t="shared" si="5"/>
        <v>79.705708703956702</v>
      </c>
      <c r="N58" s="100">
        <v>4590.26</v>
      </c>
      <c r="O58" s="101">
        <f t="shared" si="6"/>
        <v>1.3840174630630944</v>
      </c>
      <c r="P58" s="101"/>
      <c r="Q58" s="89"/>
      <c r="R58" s="63"/>
      <c r="S58" s="63"/>
      <c r="T58" s="63"/>
      <c r="U58" s="63"/>
      <c r="V58" s="63"/>
      <c r="W58" s="63"/>
      <c r="X58" s="63"/>
      <c r="Y58" s="63"/>
      <c r="Z58" s="63"/>
    </row>
    <row r="59" spans="1:26" ht="17.25" customHeight="1" x14ac:dyDescent="0.2">
      <c r="A59" s="94">
        <v>608</v>
      </c>
      <c r="B59" s="95" t="s">
        <v>31</v>
      </c>
      <c r="C59" s="95" t="s">
        <v>91</v>
      </c>
      <c r="D59" s="96">
        <v>341.32499999999999</v>
      </c>
      <c r="E59" s="102">
        <v>1456</v>
      </c>
      <c r="F59" s="96">
        <f t="shared" si="4"/>
        <v>340.07436729999995</v>
      </c>
      <c r="G59" s="98" t="s">
        <v>531</v>
      </c>
      <c r="H59" s="98" t="s">
        <v>532</v>
      </c>
      <c r="I59" s="102">
        <v>46</v>
      </c>
      <c r="J59" s="102">
        <v>1888</v>
      </c>
      <c r="K59" s="98" t="s">
        <v>429</v>
      </c>
      <c r="L59" s="102">
        <v>21741</v>
      </c>
      <c r="M59" s="100">
        <f t="shared" si="5"/>
        <v>147.44829602270758</v>
      </c>
      <c r="N59" s="100">
        <v>8895.48</v>
      </c>
      <c r="O59" s="101">
        <f t="shared" si="6"/>
        <v>2.4440502367494505</v>
      </c>
      <c r="P59" s="101"/>
      <c r="Q59" s="89"/>
      <c r="R59" s="63"/>
      <c r="S59" s="63"/>
      <c r="T59" s="63"/>
      <c r="U59" s="63"/>
      <c r="V59" s="63"/>
      <c r="W59" s="63"/>
      <c r="X59" s="63"/>
      <c r="Y59" s="63"/>
      <c r="Z59" s="63"/>
    </row>
    <row r="60" spans="1:26" ht="17.25" customHeight="1" x14ac:dyDescent="0.2">
      <c r="A60" s="94">
        <v>609</v>
      </c>
      <c r="B60" s="95" t="s">
        <v>31</v>
      </c>
      <c r="C60" s="95" t="s">
        <v>91</v>
      </c>
      <c r="D60" s="96">
        <v>342.31799999999998</v>
      </c>
      <c r="E60" s="102">
        <v>1456</v>
      </c>
      <c r="F60" s="96">
        <f t="shared" si="4"/>
        <v>341.06071419999995</v>
      </c>
      <c r="G60" s="98" t="s">
        <v>533</v>
      </c>
      <c r="H60" s="98" t="s">
        <v>534</v>
      </c>
      <c r="I60" s="102">
        <v>44</v>
      </c>
      <c r="J60" s="102">
        <v>1133</v>
      </c>
      <c r="K60" s="98" t="s">
        <v>429</v>
      </c>
      <c r="L60" s="102">
        <v>23157</v>
      </c>
      <c r="M60" s="100">
        <f t="shared" si="5"/>
        <v>152.17424223566877</v>
      </c>
      <c r="N60" s="100">
        <v>5107.13</v>
      </c>
      <c r="O60" s="101">
        <f t="shared" si="6"/>
        <v>4.5342491771307953</v>
      </c>
      <c r="P60" s="101"/>
      <c r="Q60" s="89"/>
      <c r="R60" s="63"/>
      <c r="S60" s="63"/>
      <c r="T60" s="63"/>
      <c r="U60" s="63"/>
      <c r="V60" s="63"/>
      <c r="W60" s="63"/>
      <c r="X60" s="63"/>
      <c r="Y60" s="63"/>
      <c r="Z60" s="63"/>
    </row>
    <row r="61" spans="1:26" ht="17.25" customHeight="1" x14ac:dyDescent="0.2">
      <c r="A61" s="94">
        <v>610</v>
      </c>
      <c r="B61" s="95" t="s">
        <v>31</v>
      </c>
      <c r="C61" s="95" t="s">
        <v>91</v>
      </c>
      <c r="D61" s="96">
        <v>343.33199999999999</v>
      </c>
      <c r="E61" s="102">
        <v>1456</v>
      </c>
      <c r="F61" s="96">
        <f t="shared" si="4"/>
        <v>342.06792039999999</v>
      </c>
      <c r="G61" s="98" t="s">
        <v>535</v>
      </c>
      <c r="H61" s="98" t="s">
        <v>536</v>
      </c>
      <c r="I61" s="102">
        <v>44</v>
      </c>
      <c r="J61" s="102">
        <v>1636</v>
      </c>
      <c r="K61" s="98" t="s">
        <v>429</v>
      </c>
      <c r="L61" s="102">
        <v>40853</v>
      </c>
      <c r="M61" s="100">
        <f t="shared" si="5"/>
        <v>202.12125073826354</v>
      </c>
      <c r="N61" s="100">
        <v>5754.41</v>
      </c>
      <c r="O61" s="101">
        <f t="shared" si="6"/>
        <v>7.0994246152081626</v>
      </c>
      <c r="P61" s="101"/>
      <c r="Q61" s="89"/>
      <c r="R61" s="63"/>
      <c r="S61" s="63"/>
      <c r="T61" s="63"/>
      <c r="U61" s="63"/>
      <c r="V61" s="63"/>
      <c r="W61" s="63"/>
      <c r="X61" s="63"/>
      <c r="Y61" s="63"/>
      <c r="Z61" s="63"/>
    </row>
    <row r="62" spans="1:26" ht="17.25" customHeight="1" x14ac:dyDescent="0.2">
      <c r="A62" s="94">
        <v>611</v>
      </c>
      <c r="B62" s="95" t="s">
        <v>31</v>
      </c>
      <c r="C62" s="95" t="s">
        <v>91</v>
      </c>
      <c r="D62" s="96">
        <v>344.31299999999999</v>
      </c>
      <c r="E62" s="102">
        <v>1456</v>
      </c>
      <c r="F62" s="96">
        <f t="shared" si="4"/>
        <v>343.04234769999999</v>
      </c>
      <c r="G62" s="98" t="s">
        <v>537</v>
      </c>
      <c r="H62" s="98" t="s">
        <v>538</v>
      </c>
      <c r="I62" s="102">
        <v>47</v>
      </c>
      <c r="J62" s="102">
        <v>1007</v>
      </c>
      <c r="K62" s="98" t="s">
        <v>429</v>
      </c>
      <c r="L62" s="102">
        <v>43072</v>
      </c>
      <c r="M62" s="100">
        <f t="shared" si="5"/>
        <v>207.53794833716555</v>
      </c>
      <c r="N62" s="100">
        <v>4773.55</v>
      </c>
      <c r="O62" s="101">
        <f t="shared" si="6"/>
        <v>9.0230541211467354</v>
      </c>
      <c r="P62" s="101"/>
      <c r="Q62" s="89"/>
      <c r="R62" s="63"/>
      <c r="S62" s="63"/>
      <c r="T62" s="63"/>
      <c r="U62" s="63"/>
      <c r="V62" s="63"/>
      <c r="W62" s="63"/>
      <c r="X62" s="63"/>
      <c r="Y62" s="63"/>
      <c r="Z62" s="63"/>
    </row>
    <row r="63" spans="1:26" ht="17.25" customHeight="1" x14ac:dyDescent="0.2">
      <c r="A63" s="94">
        <v>612</v>
      </c>
      <c r="B63" s="95" t="s">
        <v>31</v>
      </c>
      <c r="C63" s="95" t="s">
        <v>91</v>
      </c>
      <c r="D63" s="96">
        <v>345.32</v>
      </c>
      <c r="E63" s="102">
        <v>1456</v>
      </c>
      <c r="F63" s="96">
        <f t="shared" si="4"/>
        <v>344.04260079999995</v>
      </c>
      <c r="G63" s="98" t="s">
        <v>539</v>
      </c>
      <c r="H63" s="98" t="s">
        <v>540</v>
      </c>
      <c r="I63" s="102">
        <v>47</v>
      </c>
      <c r="J63" s="102">
        <v>1133</v>
      </c>
      <c r="K63" s="98" t="s">
        <v>429</v>
      </c>
      <c r="L63" s="102">
        <v>54953</v>
      </c>
      <c r="M63" s="100">
        <f t="shared" si="5"/>
        <v>234.42056223804258</v>
      </c>
      <c r="N63" s="100">
        <v>5307.48</v>
      </c>
      <c r="O63" s="101">
        <f t="shared" si="6"/>
        <v>10.353877923232872</v>
      </c>
      <c r="P63" s="101"/>
      <c r="Q63" s="89"/>
      <c r="R63" s="63"/>
      <c r="S63" s="63"/>
      <c r="T63" s="63"/>
      <c r="U63" s="63"/>
      <c r="V63" s="63"/>
      <c r="W63" s="63"/>
      <c r="X63" s="63"/>
      <c r="Y63" s="63"/>
      <c r="Z63" s="63"/>
    </row>
    <row r="64" spans="1:26" ht="17.25" customHeight="1" x14ac:dyDescent="0.2">
      <c r="A64" s="94">
        <v>613</v>
      </c>
      <c r="B64" s="95" t="s">
        <v>31</v>
      </c>
      <c r="C64" s="95" t="s">
        <v>91</v>
      </c>
      <c r="D64" s="96">
        <v>346.31299999999999</v>
      </c>
      <c r="E64" s="102">
        <v>1456</v>
      </c>
      <c r="F64" s="96">
        <f t="shared" si="4"/>
        <v>345.02894769999995</v>
      </c>
      <c r="G64" s="98" t="s">
        <v>541</v>
      </c>
      <c r="H64" s="98" t="s">
        <v>542</v>
      </c>
      <c r="I64" s="102">
        <v>46</v>
      </c>
      <c r="J64" s="102">
        <v>1133</v>
      </c>
      <c r="K64" s="98" t="s">
        <v>429</v>
      </c>
      <c r="L64" s="102">
        <v>58324</v>
      </c>
      <c r="M64" s="100">
        <f t="shared" si="5"/>
        <v>241.50362316122713</v>
      </c>
      <c r="N64" s="100">
        <v>5122.41</v>
      </c>
      <c r="O64" s="101">
        <f t="shared" si="6"/>
        <v>11.386046802188813</v>
      </c>
      <c r="P64" s="101"/>
      <c r="Q64" s="89"/>
      <c r="R64" s="63"/>
      <c r="S64" s="63"/>
      <c r="T64" s="63"/>
      <c r="U64" s="63"/>
      <c r="V64" s="63"/>
      <c r="W64" s="63"/>
      <c r="X64" s="63"/>
      <c r="Y64" s="63"/>
      <c r="Z64" s="63"/>
    </row>
    <row r="65" spans="1:26" ht="17.25" customHeight="1" x14ac:dyDescent="0.2">
      <c r="A65" s="94">
        <v>614</v>
      </c>
      <c r="B65" s="95" t="s">
        <v>31</v>
      </c>
      <c r="C65" s="95" t="s">
        <v>91</v>
      </c>
      <c r="D65" s="96">
        <v>347.30700000000002</v>
      </c>
      <c r="E65" s="102">
        <v>1456</v>
      </c>
      <c r="F65" s="96">
        <f t="shared" si="4"/>
        <v>346.01628790000001</v>
      </c>
      <c r="G65" s="98" t="s">
        <v>543</v>
      </c>
      <c r="H65" s="98" t="s">
        <v>544</v>
      </c>
      <c r="I65" s="102">
        <v>46</v>
      </c>
      <c r="J65" s="102">
        <v>1510</v>
      </c>
      <c r="K65" s="98" t="s">
        <v>429</v>
      </c>
      <c r="L65" s="102">
        <v>78817</v>
      </c>
      <c r="M65" s="100">
        <f t="shared" si="5"/>
        <v>280.74365531566337</v>
      </c>
      <c r="N65" s="100">
        <v>6803.38</v>
      </c>
      <c r="O65" s="101">
        <f t="shared" si="6"/>
        <v>11.584976879139486</v>
      </c>
      <c r="P65" s="101"/>
      <c r="Q65" s="89"/>
      <c r="R65" s="63"/>
      <c r="S65" s="63"/>
      <c r="T65" s="63"/>
      <c r="U65" s="63"/>
      <c r="V65" s="63"/>
      <c r="W65" s="63"/>
      <c r="X65" s="63"/>
      <c r="Y65" s="63"/>
      <c r="Z65" s="63"/>
    </row>
    <row r="66" spans="1:26" ht="17.25" customHeight="1" x14ac:dyDescent="0.2">
      <c r="A66" s="94">
        <v>615</v>
      </c>
      <c r="B66" s="95" t="s">
        <v>31</v>
      </c>
      <c r="C66" s="95" t="s">
        <v>91</v>
      </c>
      <c r="D66" s="96">
        <v>348.31400000000002</v>
      </c>
      <c r="E66" s="102">
        <v>1456</v>
      </c>
      <c r="F66" s="96">
        <f t="shared" si="4"/>
        <v>347.01654100000002</v>
      </c>
      <c r="G66" s="98" t="s">
        <v>545</v>
      </c>
      <c r="H66" s="98" t="s">
        <v>546</v>
      </c>
      <c r="I66" s="102">
        <v>46</v>
      </c>
      <c r="J66" s="102">
        <v>1385</v>
      </c>
      <c r="K66" s="98" t="s">
        <v>429</v>
      </c>
      <c r="L66" s="102">
        <v>73766</v>
      </c>
      <c r="M66" s="100">
        <f t="shared" si="5"/>
        <v>271.59896907020834</v>
      </c>
      <c r="N66" s="100">
        <v>6301.31</v>
      </c>
      <c r="O66" s="101">
        <f t="shared" si="6"/>
        <v>11.70645468958042</v>
      </c>
      <c r="P66" s="101"/>
      <c r="Q66" s="89"/>
      <c r="R66" s="63"/>
      <c r="S66" s="63"/>
      <c r="T66" s="63"/>
      <c r="U66" s="63"/>
      <c r="V66" s="63"/>
      <c r="W66" s="63"/>
      <c r="X66" s="63"/>
      <c r="Y66" s="63"/>
      <c r="Z66" s="63"/>
    </row>
    <row r="67" spans="1:26" ht="17.25" customHeight="1" x14ac:dyDescent="0.2">
      <c r="A67" s="94">
        <v>616</v>
      </c>
      <c r="B67" s="95" t="s">
        <v>31</v>
      </c>
      <c r="C67" s="95" t="s">
        <v>91</v>
      </c>
      <c r="D67" s="96">
        <v>349.30099999999999</v>
      </c>
      <c r="E67" s="102">
        <v>1456</v>
      </c>
      <c r="F67" s="96">
        <f t="shared" si="4"/>
        <v>347.99692809999999</v>
      </c>
      <c r="G67" s="98" t="s">
        <v>547</v>
      </c>
      <c r="H67" s="98" t="s">
        <v>548</v>
      </c>
      <c r="I67" s="102">
        <v>46</v>
      </c>
      <c r="J67" s="102">
        <v>2014</v>
      </c>
      <c r="K67" s="98" t="s">
        <v>429</v>
      </c>
      <c r="L67" s="102">
        <v>99724</v>
      </c>
      <c r="M67" s="100">
        <f t="shared" si="5"/>
        <v>315.79107017140302</v>
      </c>
      <c r="N67" s="100">
        <v>8968.6299999999992</v>
      </c>
      <c r="O67" s="101">
        <f t="shared" si="6"/>
        <v>11.119201037393672</v>
      </c>
      <c r="P67" s="101"/>
      <c r="Q67" s="89"/>
      <c r="R67" s="63"/>
      <c r="S67" s="63"/>
      <c r="T67" s="63"/>
      <c r="U67" s="63"/>
      <c r="V67" s="63"/>
      <c r="W67" s="63"/>
      <c r="X67" s="63"/>
      <c r="Y67" s="63"/>
      <c r="Z67" s="63"/>
    </row>
    <row r="68" spans="1:26" ht="17.25" customHeight="1" x14ac:dyDescent="0.2">
      <c r="A68" s="94">
        <v>617</v>
      </c>
      <c r="B68" s="95" t="s">
        <v>31</v>
      </c>
      <c r="C68" s="95" t="s">
        <v>91</v>
      </c>
      <c r="D68" s="96">
        <v>350.29500000000002</v>
      </c>
      <c r="E68" s="102">
        <v>1456</v>
      </c>
      <c r="F68" s="96">
        <f t="shared" si="4"/>
        <v>348.9842683</v>
      </c>
      <c r="G68" s="98" t="s">
        <v>548</v>
      </c>
      <c r="H68" s="98" t="s">
        <v>549</v>
      </c>
      <c r="I68" s="102">
        <v>46</v>
      </c>
      <c r="J68" s="102">
        <v>1007</v>
      </c>
      <c r="K68" s="98" t="s">
        <v>429</v>
      </c>
      <c r="L68" s="102">
        <v>49476</v>
      </c>
      <c r="M68" s="100">
        <f t="shared" si="5"/>
        <v>222.4320120845918</v>
      </c>
      <c r="N68" s="100">
        <v>4661.58</v>
      </c>
      <c r="O68" s="101">
        <f t="shared" si="6"/>
        <v>10.613568789981079</v>
      </c>
      <c r="P68" s="101"/>
      <c r="Q68" s="89"/>
      <c r="R68" s="63"/>
      <c r="S68" s="63"/>
      <c r="T68" s="63"/>
      <c r="U68" s="63"/>
      <c r="V68" s="63"/>
      <c r="W68" s="63"/>
      <c r="X68" s="63"/>
      <c r="Y68" s="63"/>
      <c r="Z68" s="63"/>
    </row>
    <row r="69" spans="1:26" ht="17.25" customHeight="1" x14ac:dyDescent="0.2">
      <c r="A69" s="94">
        <v>618</v>
      </c>
      <c r="B69" s="95" t="s">
        <v>31</v>
      </c>
      <c r="C69" s="95" t="s">
        <v>91</v>
      </c>
      <c r="D69" s="96">
        <v>352.29500000000002</v>
      </c>
      <c r="E69" s="102">
        <v>1456</v>
      </c>
      <c r="F69" s="96">
        <f t="shared" si="4"/>
        <v>350.97086830000001</v>
      </c>
      <c r="G69" s="98" t="s">
        <v>550</v>
      </c>
      <c r="H69" s="98" t="s">
        <v>551</v>
      </c>
      <c r="I69" s="102">
        <v>45</v>
      </c>
      <c r="J69" s="102">
        <v>1007</v>
      </c>
      <c r="K69" s="98" t="s">
        <v>429</v>
      </c>
      <c r="L69" s="102">
        <v>40217</v>
      </c>
      <c r="M69" s="100">
        <f t="shared" si="5"/>
        <v>200.54176622339796</v>
      </c>
      <c r="N69" s="100">
        <v>4659.47</v>
      </c>
      <c r="O69" s="101">
        <f t="shared" si="6"/>
        <v>8.6312391752710074</v>
      </c>
      <c r="P69" s="101"/>
      <c r="Q69" s="89"/>
      <c r="R69" s="63"/>
      <c r="S69" s="63"/>
      <c r="T69" s="63"/>
      <c r="U69" s="63"/>
      <c r="V69" s="63"/>
      <c r="W69" s="63"/>
      <c r="X69" s="63"/>
      <c r="Y69" s="63"/>
      <c r="Z69" s="63"/>
    </row>
    <row r="70" spans="1:26" ht="17.25" customHeight="1" x14ac:dyDescent="0.2">
      <c r="A70" s="94">
        <v>619</v>
      </c>
      <c r="B70" s="95" t="s">
        <v>31</v>
      </c>
      <c r="C70" s="95" t="s">
        <v>91</v>
      </c>
      <c r="D70" s="96">
        <v>354.28899999999999</v>
      </c>
      <c r="E70" s="102">
        <v>1456</v>
      </c>
      <c r="F70" s="96">
        <f t="shared" ref="F70:F73" si="7">0.9933*(D70 + E70/1000)-0.41</f>
        <v>352.95150849999999</v>
      </c>
      <c r="G70" s="98" t="s">
        <v>552</v>
      </c>
      <c r="H70" s="98" t="s">
        <v>553</v>
      </c>
      <c r="I70" s="102">
        <v>45</v>
      </c>
      <c r="J70" s="102">
        <v>1888</v>
      </c>
      <c r="K70" s="98" t="s">
        <v>429</v>
      </c>
      <c r="L70" s="102">
        <v>56369</v>
      </c>
      <c r="M70" s="100">
        <f t="shared" si="5"/>
        <v>237.42156599601478</v>
      </c>
      <c r="N70" s="100">
        <v>8658.5499999999993</v>
      </c>
      <c r="O70" s="101">
        <f t="shared" si="6"/>
        <v>6.5102124489666293</v>
      </c>
      <c r="P70" s="101"/>
      <c r="Q70" s="89"/>
      <c r="R70" s="63"/>
      <c r="S70" s="63"/>
      <c r="T70" s="63"/>
      <c r="U70" s="63"/>
      <c r="V70" s="63"/>
      <c r="W70" s="63"/>
      <c r="X70" s="63"/>
      <c r="Y70" s="63"/>
      <c r="Z70" s="63"/>
    </row>
    <row r="71" spans="1:26" ht="17.25" customHeight="1" x14ac:dyDescent="0.2">
      <c r="A71" s="94">
        <v>620</v>
      </c>
      <c r="B71" s="95" t="s">
        <v>31</v>
      </c>
      <c r="C71" s="95" t="s">
        <v>91</v>
      </c>
      <c r="D71" s="96">
        <v>356.27699999999999</v>
      </c>
      <c r="E71" s="102">
        <v>1456</v>
      </c>
      <c r="F71" s="96">
        <f t="shared" si="7"/>
        <v>354.92618889999994</v>
      </c>
      <c r="G71" s="98" t="s">
        <v>554</v>
      </c>
      <c r="H71" s="98" t="s">
        <v>555</v>
      </c>
      <c r="I71" s="102">
        <v>45</v>
      </c>
      <c r="J71" s="102">
        <v>1133</v>
      </c>
      <c r="K71" s="98" t="s">
        <v>429</v>
      </c>
      <c r="L71" s="102">
        <v>21809</v>
      </c>
      <c r="M71" s="100">
        <f t="shared" ref="M71:M102" si="8">SQRT(L71)</f>
        <v>147.67870530310049</v>
      </c>
      <c r="N71" s="100">
        <v>4855.93</v>
      </c>
      <c r="O71" s="101">
        <f t="shared" ref="O71:O102" si="9">L71/N71</f>
        <v>4.4912097167792782</v>
      </c>
      <c r="P71" s="101"/>
      <c r="Q71" s="89"/>
      <c r="R71" s="63"/>
      <c r="S71" s="63"/>
      <c r="T71" s="63"/>
      <c r="U71" s="63"/>
      <c r="V71" s="63"/>
      <c r="W71" s="63"/>
      <c r="X71" s="63"/>
      <c r="Y71" s="63"/>
      <c r="Z71" s="63"/>
    </row>
    <row r="72" spans="1:26" ht="17.25" customHeight="1" x14ac:dyDescent="0.2">
      <c r="A72" s="94">
        <v>621</v>
      </c>
      <c r="B72" s="95" t="s">
        <v>31</v>
      </c>
      <c r="C72" s="95" t="s">
        <v>91</v>
      </c>
      <c r="D72" s="96">
        <v>358.27100000000002</v>
      </c>
      <c r="E72" s="102">
        <v>1456</v>
      </c>
      <c r="F72" s="96">
        <f t="shared" si="7"/>
        <v>356.90682909999998</v>
      </c>
      <c r="G72" s="98" t="s">
        <v>556</v>
      </c>
      <c r="H72" s="98" t="s">
        <v>557</v>
      </c>
      <c r="I72" s="102">
        <v>44</v>
      </c>
      <c r="J72" s="102">
        <v>1133</v>
      </c>
      <c r="K72" s="98" t="s">
        <v>429</v>
      </c>
      <c r="L72" s="102">
        <v>14870</v>
      </c>
      <c r="M72" s="100">
        <f t="shared" si="8"/>
        <v>121.94260945215171</v>
      </c>
      <c r="N72" s="100">
        <v>5162.0600000000004</v>
      </c>
      <c r="O72" s="101">
        <f t="shared" si="9"/>
        <v>2.8806329256149676</v>
      </c>
      <c r="P72" s="101"/>
      <c r="Q72" s="89"/>
      <c r="R72" s="63"/>
      <c r="S72" s="63"/>
      <c r="T72" s="63"/>
      <c r="U72" s="63"/>
      <c r="V72" s="63"/>
      <c r="W72" s="63"/>
      <c r="X72" s="63"/>
      <c r="Y72" s="63"/>
      <c r="Z72" s="63"/>
    </row>
    <row r="73" spans="1:26" ht="17.25" customHeight="1" x14ac:dyDescent="0.2">
      <c r="A73" s="94">
        <v>622</v>
      </c>
      <c r="B73" s="95" t="s">
        <v>31</v>
      </c>
      <c r="C73" s="95" t="s">
        <v>91</v>
      </c>
      <c r="D73" s="96">
        <v>361.25900000000001</v>
      </c>
      <c r="E73" s="102">
        <v>1456</v>
      </c>
      <c r="F73" s="96">
        <f t="shared" si="7"/>
        <v>359.87480949999997</v>
      </c>
      <c r="G73" s="98" t="s">
        <v>558</v>
      </c>
      <c r="H73" s="98" t="s">
        <v>559</v>
      </c>
      <c r="I73" s="102">
        <v>44</v>
      </c>
      <c r="J73" s="102">
        <v>1007</v>
      </c>
      <c r="K73" s="98" t="s">
        <v>429</v>
      </c>
      <c r="L73" s="102">
        <v>6067</v>
      </c>
      <c r="M73" s="100">
        <f t="shared" si="8"/>
        <v>77.890949410056621</v>
      </c>
      <c r="N73" s="100">
        <v>4288.7700000000004</v>
      </c>
      <c r="O73" s="101">
        <f t="shared" si="9"/>
        <v>1.4146247059180137</v>
      </c>
      <c r="P73" s="101"/>
      <c r="Q73" s="89"/>
      <c r="R73" s="63"/>
      <c r="S73" s="63"/>
      <c r="T73" s="63"/>
      <c r="U73" s="63"/>
      <c r="V73" s="63"/>
      <c r="W73" s="63"/>
      <c r="X73" s="63"/>
      <c r="Y73" s="63"/>
      <c r="Z73" s="63"/>
    </row>
    <row r="74" spans="1:26" ht="17.25" customHeight="1" x14ac:dyDescent="0.2">
      <c r="A74" s="94">
        <v>623</v>
      </c>
      <c r="B74" s="95" t="s">
        <v>31</v>
      </c>
      <c r="C74" s="95" t="s">
        <v>91</v>
      </c>
      <c r="D74" s="96">
        <v>364.24599999999998</v>
      </c>
      <c r="E74" s="102">
        <v>1456</v>
      </c>
      <c r="F74" s="96">
        <f t="shared" ref="F74:F99" si="10">0.9933*(D74+E74/1000)-0.41</f>
        <v>362.84179659999995</v>
      </c>
      <c r="G74" s="98" t="s">
        <v>560</v>
      </c>
      <c r="H74" s="98" t="s">
        <v>561</v>
      </c>
      <c r="I74" s="102">
        <v>44</v>
      </c>
      <c r="J74" s="102">
        <v>1385</v>
      </c>
      <c r="K74" s="98" t="s">
        <v>429</v>
      </c>
      <c r="L74" s="102">
        <v>4791</v>
      </c>
      <c r="M74" s="100">
        <f t="shared" si="8"/>
        <v>69.217049922688844</v>
      </c>
      <c r="N74" s="100">
        <v>5931.05</v>
      </c>
      <c r="O74" s="101">
        <f t="shared" si="9"/>
        <v>0.80778277033577528</v>
      </c>
      <c r="P74" s="101"/>
      <c r="Q74" s="89"/>
      <c r="R74" s="63"/>
      <c r="S74" s="63"/>
      <c r="T74" s="63"/>
      <c r="U74" s="63"/>
      <c r="V74" s="63"/>
      <c r="W74" s="63"/>
      <c r="X74" s="63"/>
      <c r="Y74" s="63"/>
      <c r="Z74" s="63"/>
    </row>
    <row r="75" spans="1:26" ht="17.25" customHeight="1" x14ac:dyDescent="0.2">
      <c r="A75" s="94">
        <v>624</v>
      </c>
      <c r="B75" s="95" t="s">
        <v>29</v>
      </c>
      <c r="C75" s="95" t="s">
        <v>99</v>
      </c>
      <c r="D75" s="96">
        <v>339.31700000000001</v>
      </c>
      <c r="E75" s="102">
        <v>1454</v>
      </c>
      <c r="F75" s="96">
        <f t="shared" si="10"/>
        <v>338.07783429999995</v>
      </c>
      <c r="G75" s="98" t="s">
        <v>562</v>
      </c>
      <c r="H75" s="98" t="s">
        <v>563</v>
      </c>
      <c r="I75" s="102">
        <v>46</v>
      </c>
      <c r="J75" s="102">
        <v>1007</v>
      </c>
      <c r="K75" s="98" t="s">
        <v>429</v>
      </c>
      <c r="L75" s="102">
        <v>9825</v>
      </c>
      <c r="M75" s="100">
        <f t="shared" si="8"/>
        <v>99.121138007995043</v>
      </c>
      <c r="N75" s="100">
        <v>4703.71</v>
      </c>
      <c r="O75" s="101">
        <f t="shared" si="9"/>
        <v>2.0887767315587058</v>
      </c>
      <c r="P75" s="101"/>
      <c r="Q75" s="89" t="s">
        <v>564</v>
      </c>
      <c r="R75" s="63"/>
      <c r="S75" s="63"/>
      <c r="T75" s="63"/>
      <c r="U75" s="63"/>
      <c r="V75" s="63"/>
      <c r="W75" s="63"/>
      <c r="X75" s="63"/>
      <c r="Y75" s="63"/>
      <c r="Z75" s="63"/>
    </row>
    <row r="76" spans="1:26" ht="17.25" customHeight="1" x14ac:dyDescent="0.2">
      <c r="A76" s="94">
        <v>625</v>
      </c>
      <c r="B76" s="95" t="s">
        <v>29</v>
      </c>
      <c r="C76" s="95" t="s">
        <v>99</v>
      </c>
      <c r="D76" s="96">
        <v>342.298</v>
      </c>
      <c r="E76" s="102">
        <v>1456</v>
      </c>
      <c r="F76" s="96">
        <f t="shared" si="10"/>
        <v>341.04084819999997</v>
      </c>
      <c r="G76" s="98" t="s">
        <v>565</v>
      </c>
      <c r="H76" s="98" t="s">
        <v>566</v>
      </c>
      <c r="I76" s="102">
        <v>45</v>
      </c>
      <c r="J76" s="102">
        <v>1133</v>
      </c>
      <c r="K76" s="98" t="s">
        <v>429</v>
      </c>
      <c r="L76" s="102">
        <v>54250</v>
      </c>
      <c r="M76" s="100">
        <f t="shared" si="8"/>
        <v>232.91629397704233</v>
      </c>
      <c r="N76" s="100">
        <v>4821.0600000000004</v>
      </c>
      <c r="O76" s="101">
        <f t="shared" si="9"/>
        <v>11.252712059173708</v>
      </c>
      <c r="P76" s="101"/>
      <c r="Q76" s="89"/>
      <c r="R76" s="63"/>
      <c r="S76" s="63"/>
      <c r="T76" s="63"/>
      <c r="U76" s="63"/>
      <c r="V76" s="63"/>
      <c r="W76" s="63"/>
      <c r="X76" s="63"/>
      <c r="Y76" s="63"/>
      <c r="Z76" s="63"/>
    </row>
    <row r="77" spans="1:26" ht="17.25" customHeight="1" x14ac:dyDescent="0.2">
      <c r="A77" s="94">
        <v>626</v>
      </c>
      <c r="B77" s="95" t="s">
        <v>29</v>
      </c>
      <c r="C77" s="95" t="s">
        <v>99</v>
      </c>
      <c r="D77" s="96">
        <v>345.29300000000001</v>
      </c>
      <c r="E77" s="102">
        <v>1456</v>
      </c>
      <c r="F77" s="96">
        <f t="shared" si="10"/>
        <v>344.01578169999999</v>
      </c>
      <c r="G77" s="98" t="s">
        <v>567</v>
      </c>
      <c r="H77" s="98" t="s">
        <v>568</v>
      </c>
      <c r="I77" s="102">
        <v>44</v>
      </c>
      <c r="J77" s="102">
        <v>1636</v>
      </c>
      <c r="K77" s="98" t="s">
        <v>429</v>
      </c>
      <c r="L77" s="102">
        <v>114849</v>
      </c>
      <c r="M77" s="100">
        <f t="shared" si="8"/>
        <v>338.89378867131808</v>
      </c>
      <c r="N77" s="100">
        <v>6941.11</v>
      </c>
      <c r="O77" s="101">
        <f t="shared" si="9"/>
        <v>16.546200823787551</v>
      </c>
      <c r="P77" s="101"/>
      <c r="Q77" s="89"/>
      <c r="R77" s="63"/>
      <c r="S77" s="63"/>
      <c r="T77" s="63"/>
      <c r="U77" s="63"/>
      <c r="V77" s="63"/>
      <c r="W77" s="63"/>
      <c r="X77" s="63"/>
      <c r="Y77" s="63"/>
      <c r="Z77" s="63"/>
    </row>
    <row r="78" spans="1:26" ht="17.25" customHeight="1" x14ac:dyDescent="0.2">
      <c r="A78" s="94">
        <v>627</v>
      </c>
      <c r="B78" s="95" t="s">
        <v>29</v>
      </c>
      <c r="C78" s="95" t="s">
        <v>99</v>
      </c>
      <c r="D78" s="96">
        <v>348.28699999999998</v>
      </c>
      <c r="E78" s="102">
        <v>1454</v>
      </c>
      <c r="F78" s="96">
        <f t="shared" si="10"/>
        <v>346.98773529999994</v>
      </c>
      <c r="G78" s="98" t="s">
        <v>569</v>
      </c>
      <c r="H78" s="98" t="s">
        <v>570</v>
      </c>
      <c r="I78" s="102">
        <v>45</v>
      </c>
      <c r="J78" s="102">
        <v>1007</v>
      </c>
      <c r="K78" s="98" t="s">
        <v>429</v>
      </c>
      <c r="L78" s="102">
        <v>85075</v>
      </c>
      <c r="M78" s="100">
        <f t="shared" si="8"/>
        <v>291.67619032070479</v>
      </c>
      <c r="N78" s="100">
        <v>4811.05</v>
      </c>
      <c r="O78" s="101">
        <f t="shared" si="9"/>
        <v>17.683250018187298</v>
      </c>
      <c r="P78" s="101"/>
      <c r="Q78" s="89" t="s">
        <v>571</v>
      </c>
      <c r="R78" s="63"/>
      <c r="S78" s="63"/>
      <c r="T78" s="63"/>
      <c r="U78" s="63"/>
      <c r="V78" s="63"/>
      <c r="W78" s="63"/>
      <c r="X78" s="63"/>
      <c r="Y78" s="63"/>
      <c r="Z78" s="63"/>
    </row>
    <row r="79" spans="1:26" ht="17.25" customHeight="1" x14ac:dyDescent="0.2">
      <c r="A79" s="94">
        <v>628</v>
      </c>
      <c r="B79" s="95" t="s">
        <v>29</v>
      </c>
      <c r="C79" s="95" t="s">
        <v>99</v>
      </c>
      <c r="D79" s="96">
        <v>351.27499999999998</v>
      </c>
      <c r="E79" s="102">
        <v>1456</v>
      </c>
      <c r="F79" s="96">
        <f t="shared" si="10"/>
        <v>349.95770229999994</v>
      </c>
      <c r="G79" s="98" t="s">
        <v>572</v>
      </c>
      <c r="H79" s="98" t="s">
        <v>573</v>
      </c>
      <c r="I79" s="102">
        <v>46</v>
      </c>
      <c r="J79" s="102">
        <v>881</v>
      </c>
      <c r="K79" s="98" t="s">
        <v>429</v>
      </c>
      <c r="L79" s="102">
        <v>70093</v>
      </c>
      <c r="M79" s="100">
        <f t="shared" si="8"/>
        <v>264.75082624989108</v>
      </c>
      <c r="N79" s="100">
        <v>4013.74</v>
      </c>
      <c r="O79" s="101">
        <f t="shared" si="9"/>
        <v>17.463263689227503</v>
      </c>
      <c r="P79" s="101"/>
      <c r="Q79" s="89"/>
      <c r="R79" s="63"/>
      <c r="S79" s="63"/>
      <c r="T79" s="63"/>
      <c r="U79" s="63"/>
      <c r="V79" s="63"/>
      <c r="W79" s="63"/>
      <c r="X79" s="63"/>
      <c r="Y79" s="63"/>
      <c r="Z79" s="63"/>
    </row>
    <row r="80" spans="1:26" ht="17.25" customHeight="1" x14ac:dyDescent="0.2">
      <c r="A80" s="94">
        <v>629</v>
      </c>
      <c r="B80" s="95" t="s">
        <v>9</v>
      </c>
      <c r="C80" s="95" t="s">
        <v>99</v>
      </c>
      <c r="D80" s="96">
        <v>354.26900000000001</v>
      </c>
      <c r="E80" s="102">
        <v>1456</v>
      </c>
      <c r="F80" s="96">
        <f t="shared" si="10"/>
        <v>352.93164250000001</v>
      </c>
      <c r="G80" s="98" t="s">
        <v>573</v>
      </c>
      <c r="H80" s="98" t="s">
        <v>574</v>
      </c>
      <c r="I80" s="102">
        <v>46</v>
      </c>
      <c r="J80" s="102">
        <v>1007</v>
      </c>
      <c r="K80" s="98" t="s">
        <v>429</v>
      </c>
      <c r="L80" s="102">
        <v>91663</v>
      </c>
      <c r="M80" s="100">
        <f t="shared" si="8"/>
        <v>302.75898004848676</v>
      </c>
      <c r="N80" s="100">
        <v>4832.51</v>
      </c>
      <c r="O80" s="101">
        <f t="shared" si="9"/>
        <v>18.9679897196281</v>
      </c>
      <c r="P80" s="101"/>
      <c r="Q80" s="89"/>
      <c r="R80" s="63"/>
      <c r="S80" s="63"/>
      <c r="T80" s="63"/>
      <c r="U80" s="63"/>
      <c r="V80" s="63"/>
      <c r="W80" s="63"/>
      <c r="X80" s="63"/>
      <c r="Y80" s="63"/>
      <c r="Z80" s="63"/>
    </row>
    <row r="81" spans="1:26" ht="17.25" customHeight="1" x14ac:dyDescent="0.2">
      <c r="A81" s="94">
        <v>630</v>
      </c>
      <c r="B81" s="95" t="s">
        <v>29</v>
      </c>
      <c r="C81" s="95" t="s">
        <v>99</v>
      </c>
      <c r="D81" s="96">
        <v>357.25700000000001</v>
      </c>
      <c r="E81" s="102">
        <v>1456</v>
      </c>
      <c r="F81" s="96">
        <f t="shared" si="10"/>
        <v>355.8996229</v>
      </c>
      <c r="G81" s="98" t="s">
        <v>575</v>
      </c>
      <c r="H81" s="98" t="s">
        <v>576</v>
      </c>
      <c r="I81" s="102">
        <v>50</v>
      </c>
      <c r="J81" s="102">
        <v>1259</v>
      </c>
      <c r="K81" s="98" t="s">
        <v>429</v>
      </c>
      <c r="L81" s="102">
        <v>114189</v>
      </c>
      <c r="M81" s="100">
        <f t="shared" si="8"/>
        <v>337.91862925858351</v>
      </c>
      <c r="N81" s="100">
        <v>6719.87</v>
      </c>
      <c r="O81" s="101">
        <f t="shared" si="9"/>
        <v>16.992739442876129</v>
      </c>
      <c r="P81" s="101"/>
      <c r="Q81" s="89"/>
      <c r="R81" s="63"/>
      <c r="S81" s="63"/>
      <c r="T81" s="63"/>
      <c r="U81" s="63"/>
      <c r="V81" s="63"/>
      <c r="W81" s="63"/>
      <c r="X81" s="63"/>
      <c r="Y81" s="63"/>
      <c r="Z81" s="63"/>
    </row>
    <row r="82" spans="1:26" ht="17.25" customHeight="1" x14ac:dyDescent="0.2">
      <c r="A82" s="94">
        <v>631</v>
      </c>
      <c r="B82" s="95" t="s">
        <v>29</v>
      </c>
      <c r="C82" s="95" t="s">
        <v>99</v>
      </c>
      <c r="D82" s="96">
        <v>360.238</v>
      </c>
      <c r="E82" s="102">
        <v>1454</v>
      </c>
      <c r="F82" s="96">
        <f t="shared" si="10"/>
        <v>358.85866359999994</v>
      </c>
      <c r="G82" s="98" t="s">
        <v>577</v>
      </c>
      <c r="H82" s="98" t="s">
        <v>578</v>
      </c>
      <c r="I82" s="102">
        <v>51</v>
      </c>
      <c r="J82" s="102">
        <v>1007</v>
      </c>
      <c r="K82" s="98" t="s">
        <v>429</v>
      </c>
      <c r="L82" s="102">
        <v>80505</v>
      </c>
      <c r="M82" s="100">
        <f t="shared" si="8"/>
        <v>283.73403038761495</v>
      </c>
      <c r="N82" s="100">
        <v>4633.67</v>
      </c>
      <c r="O82" s="101">
        <f t="shared" si="9"/>
        <v>17.37391743477632</v>
      </c>
      <c r="P82" s="101"/>
      <c r="Q82" s="89"/>
      <c r="R82" s="63"/>
      <c r="S82" s="63"/>
      <c r="T82" s="63"/>
      <c r="U82" s="63"/>
      <c r="V82" s="63"/>
      <c r="W82" s="63"/>
      <c r="X82" s="63"/>
      <c r="Y82" s="63"/>
      <c r="Z82" s="63"/>
    </row>
    <row r="83" spans="1:26" ht="17.25" customHeight="1" x14ac:dyDescent="0.2">
      <c r="A83" s="94">
        <v>632</v>
      </c>
      <c r="B83" s="95" t="s">
        <v>29</v>
      </c>
      <c r="C83" s="95" t="s">
        <v>99</v>
      </c>
      <c r="D83" s="96">
        <v>363.23200000000003</v>
      </c>
      <c r="E83" s="102">
        <v>1454</v>
      </c>
      <c r="F83" s="96">
        <f t="shared" si="10"/>
        <v>361.83260380000002</v>
      </c>
      <c r="G83" s="98" t="s">
        <v>579</v>
      </c>
      <c r="H83" s="98" t="s">
        <v>580</v>
      </c>
      <c r="I83" s="102">
        <v>50</v>
      </c>
      <c r="J83" s="102">
        <v>881</v>
      </c>
      <c r="K83" s="98" t="s">
        <v>429</v>
      </c>
      <c r="L83" s="102">
        <v>80003</v>
      </c>
      <c r="M83" s="100">
        <f t="shared" si="8"/>
        <v>282.84801572576038</v>
      </c>
      <c r="N83" s="100">
        <v>4640.1400000000003</v>
      </c>
      <c r="O83" s="101">
        <f t="shared" si="9"/>
        <v>17.241505644226251</v>
      </c>
      <c r="P83" s="101"/>
      <c r="Q83" s="89"/>
      <c r="R83" s="63"/>
      <c r="S83" s="63"/>
      <c r="T83" s="63"/>
      <c r="U83" s="63"/>
      <c r="V83" s="63"/>
      <c r="W83" s="63"/>
      <c r="X83" s="63"/>
      <c r="Y83" s="63"/>
      <c r="Z83" s="63"/>
    </row>
    <row r="84" spans="1:26" ht="17.25" customHeight="1" x14ac:dyDescent="0.2">
      <c r="A84" s="94">
        <v>633</v>
      </c>
      <c r="B84" s="95" t="s">
        <v>29</v>
      </c>
      <c r="C84" s="95" t="s">
        <v>99</v>
      </c>
      <c r="D84" s="96">
        <v>366.22699999999998</v>
      </c>
      <c r="E84" s="102">
        <v>1454</v>
      </c>
      <c r="F84" s="96">
        <f t="shared" si="10"/>
        <v>364.80753729999992</v>
      </c>
      <c r="G84" s="98" t="s">
        <v>581</v>
      </c>
      <c r="H84" s="98" t="s">
        <v>582</v>
      </c>
      <c r="I84" s="102">
        <v>50</v>
      </c>
      <c r="J84" s="102">
        <v>755</v>
      </c>
      <c r="K84" s="98" t="s">
        <v>429</v>
      </c>
      <c r="L84" s="102">
        <v>70323</v>
      </c>
      <c r="M84" s="100">
        <f t="shared" si="8"/>
        <v>265.18484119572145</v>
      </c>
      <c r="N84" s="100">
        <v>4085.23</v>
      </c>
      <c r="O84" s="101">
        <f t="shared" si="9"/>
        <v>17.213963473292814</v>
      </c>
      <c r="P84" s="101"/>
      <c r="Q84" s="89"/>
      <c r="R84" s="63"/>
      <c r="S84" s="63"/>
      <c r="T84" s="63"/>
      <c r="U84" s="63"/>
      <c r="V84" s="63"/>
      <c r="W84" s="63"/>
      <c r="X84" s="63"/>
      <c r="Y84" s="63"/>
      <c r="Z84" s="63"/>
    </row>
    <row r="85" spans="1:26" ht="17.25" customHeight="1" x14ac:dyDescent="0.2">
      <c r="A85" s="94">
        <v>634</v>
      </c>
      <c r="B85" s="95" t="s">
        <v>29</v>
      </c>
      <c r="C85" s="95" t="s">
        <v>99</v>
      </c>
      <c r="D85" s="96">
        <v>369.21499999999997</v>
      </c>
      <c r="E85" s="102">
        <v>1456</v>
      </c>
      <c r="F85" s="96">
        <f t="shared" si="10"/>
        <v>367.77750429999998</v>
      </c>
      <c r="G85" s="98" t="s">
        <v>582</v>
      </c>
      <c r="H85" s="98" t="s">
        <v>583</v>
      </c>
      <c r="I85" s="102">
        <v>50</v>
      </c>
      <c r="J85" s="102">
        <v>881</v>
      </c>
      <c r="K85" s="98" t="s">
        <v>429</v>
      </c>
      <c r="L85" s="102">
        <v>71071</v>
      </c>
      <c r="M85" s="100">
        <f t="shared" si="8"/>
        <v>266.59144772479107</v>
      </c>
      <c r="N85" s="100">
        <v>4188.6499999999996</v>
      </c>
      <c r="O85" s="101">
        <f t="shared" si="9"/>
        <v>16.967519367815406</v>
      </c>
      <c r="P85" s="101"/>
      <c r="Q85" s="89"/>
      <c r="R85" s="63"/>
      <c r="S85" s="63"/>
      <c r="T85" s="63"/>
      <c r="U85" s="63"/>
      <c r="V85" s="63"/>
      <c r="W85" s="63"/>
      <c r="X85" s="63"/>
      <c r="Y85" s="63"/>
      <c r="Z85" s="63"/>
    </row>
    <row r="86" spans="1:26" ht="17.25" customHeight="1" x14ac:dyDescent="0.2">
      <c r="A86" s="94">
        <v>635</v>
      </c>
      <c r="B86" s="95" t="s">
        <v>29</v>
      </c>
      <c r="C86" s="95" t="s">
        <v>99</v>
      </c>
      <c r="D86" s="96">
        <v>374.20299999999997</v>
      </c>
      <c r="E86" s="102">
        <v>1456</v>
      </c>
      <c r="F86" s="96">
        <f t="shared" si="10"/>
        <v>372.73208469999997</v>
      </c>
      <c r="G86" s="98" t="s">
        <v>584</v>
      </c>
      <c r="H86" s="98" t="s">
        <v>585</v>
      </c>
      <c r="I86" s="102">
        <v>47</v>
      </c>
      <c r="J86" s="102">
        <v>1007</v>
      </c>
      <c r="K86" s="98" t="s">
        <v>429</v>
      </c>
      <c r="L86" s="102">
        <v>81068</v>
      </c>
      <c r="M86" s="100">
        <f t="shared" si="8"/>
        <v>284.72442817573625</v>
      </c>
      <c r="N86" s="100">
        <v>4753.0600000000004</v>
      </c>
      <c r="O86" s="101">
        <f t="shared" si="9"/>
        <v>17.05595973962037</v>
      </c>
      <c r="P86" s="101"/>
      <c r="Q86" s="89"/>
      <c r="R86" s="63"/>
      <c r="S86" s="63"/>
      <c r="T86" s="63"/>
      <c r="U86" s="63"/>
      <c r="V86" s="63"/>
      <c r="W86" s="63"/>
      <c r="X86" s="63"/>
      <c r="Y86" s="63"/>
      <c r="Z86" s="63"/>
    </row>
    <row r="87" spans="1:26" ht="17.25" customHeight="1" x14ac:dyDescent="0.2">
      <c r="A87" s="94">
        <v>636</v>
      </c>
      <c r="B87" s="95" t="s">
        <v>29</v>
      </c>
      <c r="C87" s="95" t="s">
        <v>99</v>
      </c>
      <c r="D87" s="96">
        <v>379.16500000000002</v>
      </c>
      <c r="E87" s="102">
        <v>1456</v>
      </c>
      <c r="F87" s="96">
        <f t="shared" si="10"/>
        <v>377.66083930000002</v>
      </c>
      <c r="G87" s="98" t="s">
        <v>586</v>
      </c>
      <c r="H87" s="98" t="s">
        <v>587</v>
      </c>
      <c r="I87" s="102">
        <v>47</v>
      </c>
      <c r="J87" s="102">
        <v>755</v>
      </c>
      <c r="K87" s="98" t="s">
        <v>429</v>
      </c>
      <c r="L87" s="102">
        <v>61506</v>
      </c>
      <c r="M87" s="100">
        <f t="shared" si="8"/>
        <v>248.00403222528459</v>
      </c>
      <c r="N87" s="100">
        <v>3662.57</v>
      </c>
      <c r="O87" s="101">
        <f t="shared" si="9"/>
        <v>16.793126138203501</v>
      </c>
      <c r="P87" s="101"/>
      <c r="Q87" s="89"/>
      <c r="R87" s="63"/>
      <c r="S87" s="63"/>
      <c r="T87" s="63"/>
      <c r="U87" s="63"/>
      <c r="V87" s="63"/>
      <c r="W87" s="63"/>
      <c r="X87" s="63"/>
      <c r="Y87" s="63"/>
      <c r="Z87" s="63"/>
    </row>
    <row r="88" spans="1:26" ht="17.25" customHeight="1" x14ac:dyDescent="0.2">
      <c r="A88" s="94">
        <v>637</v>
      </c>
      <c r="B88" s="95" t="s">
        <v>29</v>
      </c>
      <c r="C88" s="95" t="s">
        <v>99</v>
      </c>
      <c r="D88" s="96">
        <v>384.16699999999997</v>
      </c>
      <c r="E88" s="102">
        <v>1456</v>
      </c>
      <c r="F88" s="96">
        <f t="shared" si="10"/>
        <v>382.62932589999997</v>
      </c>
      <c r="G88" s="98" t="s">
        <v>588</v>
      </c>
      <c r="H88" s="98" t="s">
        <v>589</v>
      </c>
      <c r="I88" s="102">
        <v>46</v>
      </c>
      <c r="J88" s="102">
        <v>755</v>
      </c>
      <c r="K88" s="98" t="s">
        <v>429</v>
      </c>
      <c r="L88" s="102">
        <v>59138</v>
      </c>
      <c r="M88" s="100">
        <f t="shared" si="8"/>
        <v>243.18305862045571</v>
      </c>
      <c r="N88" s="100">
        <v>3505.34</v>
      </c>
      <c r="O88" s="101">
        <f t="shared" si="9"/>
        <v>16.870831360153364</v>
      </c>
      <c r="P88" s="101"/>
      <c r="Q88" s="89"/>
      <c r="R88" s="63"/>
      <c r="S88" s="63"/>
      <c r="T88" s="63"/>
      <c r="U88" s="63"/>
      <c r="V88" s="63"/>
      <c r="W88" s="63"/>
      <c r="X88" s="63"/>
      <c r="Y88" s="63"/>
      <c r="Z88" s="63"/>
    </row>
    <row r="89" spans="1:26" ht="17.25" customHeight="1" x14ac:dyDescent="0.2">
      <c r="A89" s="94">
        <v>638</v>
      </c>
      <c r="B89" s="95" t="s">
        <v>29</v>
      </c>
      <c r="C89" s="95" t="s">
        <v>99</v>
      </c>
      <c r="D89" s="96">
        <v>389.142</v>
      </c>
      <c r="E89" s="102">
        <v>1454</v>
      </c>
      <c r="F89" s="96">
        <f t="shared" si="10"/>
        <v>387.56900679999995</v>
      </c>
      <c r="G89" s="98" t="s">
        <v>590</v>
      </c>
      <c r="H89" s="98" t="s">
        <v>591</v>
      </c>
      <c r="I89" s="102">
        <v>44</v>
      </c>
      <c r="J89" s="102">
        <v>1259</v>
      </c>
      <c r="K89" s="98" t="s">
        <v>429</v>
      </c>
      <c r="L89" s="102">
        <v>84717</v>
      </c>
      <c r="M89" s="100">
        <f t="shared" si="8"/>
        <v>291.06184909740404</v>
      </c>
      <c r="N89" s="100">
        <v>5086.18</v>
      </c>
      <c r="O89" s="101">
        <f t="shared" si="9"/>
        <v>16.656311809648891</v>
      </c>
      <c r="P89" s="101"/>
      <c r="Q89" s="89"/>
      <c r="R89" s="63"/>
      <c r="S89" s="63"/>
      <c r="T89" s="63"/>
      <c r="U89" s="63"/>
      <c r="V89" s="63"/>
      <c r="W89" s="63"/>
      <c r="X89" s="63"/>
      <c r="Y89" s="63"/>
      <c r="Z89" s="63"/>
    </row>
    <row r="90" spans="1:26" ht="17.25" customHeight="1" x14ac:dyDescent="0.2">
      <c r="A90" s="94">
        <v>639</v>
      </c>
      <c r="B90" s="95" t="s">
        <v>29</v>
      </c>
      <c r="C90" s="95" t="s">
        <v>99</v>
      </c>
      <c r="D90" s="96">
        <v>394.12299999999999</v>
      </c>
      <c r="E90" s="102">
        <v>1454</v>
      </c>
      <c r="F90" s="96">
        <f t="shared" si="10"/>
        <v>392.51663409999998</v>
      </c>
      <c r="G90" s="98" t="s">
        <v>592</v>
      </c>
      <c r="H90" s="98" t="s">
        <v>593</v>
      </c>
      <c r="I90" s="102">
        <v>44</v>
      </c>
      <c r="J90" s="102">
        <v>755</v>
      </c>
      <c r="K90" s="98" t="s">
        <v>429</v>
      </c>
      <c r="L90" s="102">
        <v>56881</v>
      </c>
      <c r="M90" s="100">
        <f t="shared" si="8"/>
        <v>238.4973794405297</v>
      </c>
      <c r="N90" s="100">
        <v>3444.25</v>
      </c>
      <c r="O90" s="101">
        <f t="shared" si="9"/>
        <v>16.514770995136821</v>
      </c>
      <c r="P90" s="101"/>
      <c r="Q90" s="89"/>
      <c r="R90" s="63"/>
      <c r="S90" s="63"/>
      <c r="T90" s="63"/>
      <c r="U90" s="63"/>
      <c r="V90" s="63"/>
      <c r="W90" s="63"/>
      <c r="X90" s="63"/>
      <c r="Y90" s="63"/>
      <c r="Z90" s="63"/>
    </row>
    <row r="91" spans="1:26" ht="17.25" customHeight="1" x14ac:dyDescent="0.2">
      <c r="A91" s="94">
        <v>640</v>
      </c>
      <c r="B91" s="95" t="s">
        <v>29</v>
      </c>
      <c r="C91" s="95" t="s">
        <v>99</v>
      </c>
      <c r="D91" s="96">
        <v>398.11799999999999</v>
      </c>
      <c r="E91" s="102">
        <v>1456</v>
      </c>
      <c r="F91" s="96">
        <f t="shared" si="10"/>
        <v>396.48685419999998</v>
      </c>
      <c r="G91" s="98" t="s">
        <v>594</v>
      </c>
      <c r="H91" s="98" t="s">
        <v>595</v>
      </c>
      <c r="I91" s="102">
        <v>43</v>
      </c>
      <c r="J91" s="102">
        <v>1510</v>
      </c>
      <c r="K91" s="98" t="s">
        <v>429</v>
      </c>
      <c r="L91" s="102">
        <v>107700</v>
      </c>
      <c r="M91" s="100">
        <f t="shared" si="8"/>
        <v>328.17678162843879</v>
      </c>
      <c r="N91" s="100">
        <v>6582.5</v>
      </c>
      <c r="O91" s="101">
        <f t="shared" si="9"/>
        <v>16.361564755032283</v>
      </c>
      <c r="P91" s="101"/>
      <c r="Q91" s="89"/>
      <c r="R91" s="63"/>
      <c r="S91" s="63"/>
      <c r="T91" s="63"/>
      <c r="U91" s="63"/>
      <c r="V91" s="63"/>
      <c r="W91" s="63"/>
      <c r="X91" s="63"/>
      <c r="Y91" s="63"/>
      <c r="Z91" s="63"/>
    </row>
    <row r="92" spans="1:26" ht="17.25" customHeight="1" x14ac:dyDescent="0.2">
      <c r="A92" s="94">
        <v>641</v>
      </c>
      <c r="B92" s="95" t="s">
        <v>157</v>
      </c>
      <c r="C92" s="95" t="s">
        <v>99</v>
      </c>
      <c r="D92" s="96">
        <v>249.672</v>
      </c>
      <c r="E92" s="102">
        <v>2550</v>
      </c>
      <c r="F92" s="96">
        <f t="shared" si="10"/>
        <v>250.12211260000001</v>
      </c>
      <c r="G92" s="98" t="s">
        <v>596</v>
      </c>
      <c r="H92" s="98" t="s">
        <v>597</v>
      </c>
      <c r="I92" s="102">
        <v>295</v>
      </c>
      <c r="J92" s="102">
        <v>80281</v>
      </c>
      <c r="K92" s="98" t="s">
        <v>429</v>
      </c>
      <c r="L92" s="102">
        <v>4882136</v>
      </c>
      <c r="M92" s="100">
        <f t="shared" si="8"/>
        <v>2209.5556114295923</v>
      </c>
      <c r="N92" s="100">
        <v>2365531.42</v>
      </c>
      <c r="O92" s="101">
        <f t="shared" si="9"/>
        <v>2.0638643641435972</v>
      </c>
      <c r="P92" s="101"/>
      <c r="Q92" s="89"/>
      <c r="R92" s="63"/>
      <c r="S92" s="63"/>
      <c r="T92" s="63"/>
      <c r="U92" s="63"/>
      <c r="V92" s="63"/>
      <c r="W92" s="63"/>
      <c r="X92" s="63"/>
      <c r="Y92" s="63"/>
      <c r="Z92" s="63"/>
    </row>
    <row r="93" spans="1:26" ht="17.25" customHeight="1" x14ac:dyDescent="0.2">
      <c r="A93" s="94">
        <v>642</v>
      </c>
      <c r="B93" s="95" t="s">
        <v>30</v>
      </c>
      <c r="C93" s="95" t="s">
        <v>99</v>
      </c>
      <c r="D93" s="96">
        <v>351.25</v>
      </c>
      <c r="E93" s="102">
        <v>1453</v>
      </c>
      <c r="F93" s="96">
        <f t="shared" si="10"/>
        <v>349.92988989999992</v>
      </c>
      <c r="G93" s="98"/>
      <c r="H93" s="98" t="s">
        <v>598</v>
      </c>
      <c r="I93" s="102">
        <v>45</v>
      </c>
      <c r="J93" s="102">
        <v>1888</v>
      </c>
      <c r="K93" s="98" t="s">
        <v>429</v>
      </c>
      <c r="L93" s="102">
        <v>141016</v>
      </c>
      <c r="M93" s="100">
        <f t="shared" si="8"/>
        <v>375.52097145166209</v>
      </c>
      <c r="N93" s="100">
        <v>9526.26</v>
      </c>
      <c r="O93" s="101">
        <f t="shared" si="9"/>
        <v>14.802871221234776</v>
      </c>
      <c r="P93" s="101"/>
      <c r="Q93" s="89"/>
      <c r="R93" s="63"/>
      <c r="S93" s="63"/>
      <c r="T93" s="63"/>
      <c r="U93" s="63"/>
      <c r="V93" s="63"/>
      <c r="W93" s="63"/>
      <c r="X93" s="63"/>
      <c r="Y93" s="63"/>
      <c r="Z93" s="63"/>
    </row>
    <row r="94" spans="1:26" ht="17.25" customHeight="1" x14ac:dyDescent="0.2">
      <c r="A94" s="94">
        <v>643</v>
      </c>
      <c r="B94" s="95" t="s">
        <v>30</v>
      </c>
      <c r="C94" s="95" t="s">
        <v>99</v>
      </c>
      <c r="D94" s="96">
        <v>361.25200000000001</v>
      </c>
      <c r="E94" s="102">
        <v>1453</v>
      </c>
      <c r="F94" s="96">
        <f t="shared" si="10"/>
        <v>359.86487649999992</v>
      </c>
      <c r="G94" s="98" t="s">
        <v>599</v>
      </c>
      <c r="H94" s="98" t="s">
        <v>600</v>
      </c>
      <c r="I94" s="102">
        <v>48</v>
      </c>
      <c r="J94" s="102">
        <v>1762</v>
      </c>
      <c r="K94" s="98" t="s">
        <v>429</v>
      </c>
      <c r="L94" s="102">
        <v>131172</v>
      </c>
      <c r="M94" s="100">
        <f t="shared" si="8"/>
        <v>362.17675242897633</v>
      </c>
      <c r="N94" s="100">
        <v>8515.0300000000007</v>
      </c>
      <c r="O94" s="101">
        <f t="shared" si="9"/>
        <v>15.404760758329681</v>
      </c>
      <c r="P94" s="101"/>
      <c r="Q94" s="89"/>
      <c r="R94" s="63"/>
      <c r="S94" s="63"/>
      <c r="T94" s="63"/>
      <c r="U94" s="63"/>
      <c r="V94" s="63"/>
      <c r="W94" s="63"/>
      <c r="X94" s="63"/>
      <c r="Y94" s="63"/>
      <c r="Z94" s="63"/>
    </row>
    <row r="95" spans="1:26" ht="17.25" customHeight="1" x14ac:dyDescent="0.2">
      <c r="A95" s="94">
        <v>644</v>
      </c>
      <c r="B95" s="95" t="s">
        <v>30</v>
      </c>
      <c r="C95" s="95" t="s">
        <v>99</v>
      </c>
      <c r="D95" s="96">
        <v>371.22199999999998</v>
      </c>
      <c r="E95" s="102">
        <v>1453</v>
      </c>
      <c r="F95" s="96">
        <f t="shared" si="10"/>
        <v>369.76807749999989</v>
      </c>
      <c r="G95" s="98" t="s">
        <v>601</v>
      </c>
      <c r="H95" s="98" t="s">
        <v>602</v>
      </c>
      <c r="I95" s="102">
        <v>44</v>
      </c>
      <c r="J95" s="102">
        <v>1007</v>
      </c>
      <c r="K95" s="98" t="s">
        <v>429</v>
      </c>
      <c r="L95" s="102">
        <v>63800</v>
      </c>
      <c r="M95" s="100">
        <f t="shared" si="8"/>
        <v>252.58661880630177</v>
      </c>
      <c r="N95" s="100">
        <v>4057.54</v>
      </c>
      <c r="O95" s="101">
        <f t="shared" si="9"/>
        <v>15.723812950704122</v>
      </c>
      <c r="P95" s="101"/>
      <c r="Q95" s="89"/>
      <c r="R95" s="63"/>
      <c r="S95" s="63"/>
      <c r="T95" s="63"/>
      <c r="U95" s="63"/>
      <c r="V95" s="63"/>
      <c r="W95" s="63"/>
      <c r="X95" s="63"/>
      <c r="Y95" s="63"/>
      <c r="Z95" s="63"/>
    </row>
    <row r="96" spans="1:26" ht="17.25" customHeight="1" x14ac:dyDescent="0.2">
      <c r="A96" s="94">
        <v>645</v>
      </c>
      <c r="B96" s="95" t="s">
        <v>30</v>
      </c>
      <c r="C96" s="95" t="s">
        <v>99</v>
      </c>
      <c r="D96" s="96">
        <v>381.17899999999997</v>
      </c>
      <c r="E96" s="102">
        <v>1453</v>
      </c>
      <c r="F96" s="96">
        <f t="shared" si="10"/>
        <v>379.65836559999991</v>
      </c>
      <c r="G96" s="98" t="s">
        <v>603</v>
      </c>
      <c r="H96" s="98" t="s">
        <v>604</v>
      </c>
      <c r="I96" s="102">
        <v>41</v>
      </c>
      <c r="J96" s="102">
        <v>1007</v>
      </c>
      <c r="K96" s="98" t="s">
        <v>429</v>
      </c>
      <c r="L96" s="102">
        <v>63327</v>
      </c>
      <c r="M96" s="100">
        <f t="shared" si="8"/>
        <v>251.64856447037405</v>
      </c>
      <c r="N96" s="100">
        <v>4207.78</v>
      </c>
      <c r="O96" s="101">
        <f t="shared" si="9"/>
        <v>15.049978848704068</v>
      </c>
      <c r="P96" s="101"/>
      <c r="Q96" s="89"/>
      <c r="R96" s="63"/>
      <c r="S96" s="63"/>
      <c r="T96" s="63"/>
      <c r="U96" s="63"/>
      <c r="V96" s="63"/>
      <c r="W96" s="63"/>
      <c r="X96" s="63"/>
      <c r="Y96" s="63"/>
      <c r="Z96" s="63"/>
    </row>
    <row r="97" spans="1:26" ht="17.25" customHeight="1" x14ac:dyDescent="0.2">
      <c r="A97" s="94">
        <v>646</v>
      </c>
      <c r="B97" s="95" t="s">
        <v>30</v>
      </c>
      <c r="C97" s="95" t="s">
        <v>99</v>
      </c>
      <c r="D97" s="96">
        <v>342.32499999999999</v>
      </c>
      <c r="E97" s="102">
        <v>1453</v>
      </c>
      <c r="F97" s="96">
        <f t="shared" si="10"/>
        <v>341.06468739999991</v>
      </c>
      <c r="G97" s="98"/>
      <c r="H97" s="98"/>
      <c r="I97" s="102">
        <v>50</v>
      </c>
      <c r="J97" s="102">
        <v>1510</v>
      </c>
      <c r="K97" s="98" t="s">
        <v>429</v>
      </c>
      <c r="L97" s="102">
        <v>59879</v>
      </c>
      <c r="M97" s="100">
        <f t="shared" si="8"/>
        <v>244.70185941263298</v>
      </c>
      <c r="N97" s="100">
        <v>7630.94</v>
      </c>
      <c r="O97" s="101">
        <f t="shared" si="9"/>
        <v>7.8468707655937546</v>
      </c>
      <c r="P97" s="101"/>
      <c r="Q97" s="89"/>
      <c r="R97" s="63"/>
      <c r="S97" s="63"/>
      <c r="T97" s="63"/>
      <c r="U97" s="63"/>
      <c r="V97" s="63"/>
      <c r="W97" s="63"/>
      <c r="X97" s="63"/>
      <c r="Y97" s="63"/>
      <c r="Z97" s="63"/>
    </row>
    <row r="98" spans="1:26" ht="17.25" customHeight="1" x14ac:dyDescent="0.2">
      <c r="A98" s="94">
        <v>647</v>
      </c>
      <c r="B98" s="95" t="s">
        <v>30</v>
      </c>
      <c r="C98" s="95" t="s">
        <v>99</v>
      </c>
      <c r="D98" s="96">
        <v>398.11200000000002</v>
      </c>
      <c r="E98" s="102">
        <v>1453</v>
      </c>
      <c r="F98" s="96">
        <f t="shared" si="10"/>
        <v>396.47791449999994</v>
      </c>
      <c r="G98" s="98" t="s">
        <v>605</v>
      </c>
      <c r="H98" s="98"/>
      <c r="I98" s="102">
        <v>42</v>
      </c>
      <c r="J98" s="102">
        <v>1133</v>
      </c>
      <c r="K98" s="98" t="s">
        <v>429</v>
      </c>
      <c r="L98" s="102">
        <v>73137</v>
      </c>
      <c r="M98" s="100">
        <f t="shared" si="8"/>
        <v>270.43853275744567</v>
      </c>
      <c r="N98" s="100">
        <v>4869.9799999999996</v>
      </c>
      <c r="O98" s="101">
        <f t="shared" si="9"/>
        <v>15.01792615164744</v>
      </c>
      <c r="P98" s="101"/>
      <c r="Q98" s="89"/>
      <c r="R98" s="63"/>
      <c r="S98" s="63"/>
      <c r="T98" s="63"/>
      <c r="U98" s="63"/>
      <c r="V98" s="63"/>
      <c r="W98" s="63"/>
      <c r="X98" s="63"/>
      <c r="Y98" s="63"/>
      <c r="Z98" s="63"/>
    </row>
    <row r="99" spans="1:26" ht="17.25" customHeight="1" x14ac:dyDescent="0.2">
      <c r="A99" s="94">
        <v>648</v>
      </c>
      <c r="B99" s="95" t="s">
        <v>30</v>
      </c>
      <c r="C99" s="95" t="s">
        <v>99</v>
      </c>
      <c r="D99" s="96">
        <v>339.33699999999999</v>
      </c>
      <c r="E99" s="102">
        <v>1453</v>
      </c>
      <c r="F99" s="96">
        <f t="shared" si="10"/>
        <v>338.09670699999992</v>
      </c>
      <c r="G99" s="98" t="s">
        <v>606</v>
      </c>
      <c r="H99" s="98" t="s">
        <v>607</v>
      </c>
      <c r="I99" s="102">
        <v>52</v>
      </c>
      <c r="J99" s="102">
        <v>1133</v>
      </c>
      <c r="K99" s="98" t="s">
        <v>429</v>
      </c>
      <c r="L99" s="102">
        <v>9333</v>
      </c>
      <c r="M99" s="100">
        <f t="shared" si="8"/>
        <v>96.607453128627711</v>
      </c>
      <c r="N99" s="100">
        <v>5841.32</v>
      </c>
      <c r="O99" s="101">
        <f t="shared" si="9"/>
        <v>1.5977553018838209</v>
      </c>
      <c r="P99" s="101"/>
      <c r="Q99" s="89"/>
      <c r="R99" s="63"/>
      <c r="S99" s="63"/>
      <c r="T99" s="63"/>
      <c r="U99" s="63"/>
      <c r="V99" s="63"/>
      <c r="W99" s="63"/>
      <c r="X99" s="63"/>
      <c r="Y99" s="63"/>
      <c r="Z99" s="63"/>
    </row>
    <row r="100" spans="1:26" ht="17.25" customHeight="1" x14ac:dyDescent="0.2">
      <c r="A100" s="94">
        <v>649</v>
      </c>
      <c r="B100" s="95" t="s">
        <v>30</v>
      </c>
      <c r="C100" s="95" t="s">
        <v>99</v>
      </c>
      <c r="D100" s="96">
        <v>345.30599999999998</v>
      </c>
      <c r="E100" s="102">
        <v>1453</v>
      </c>
      <c r="F100" s="96">
        <f t="shared" ref="F100:F131" si="11">0.9933*(D100 + E100/1000)-0.41</f>
        <v>344.02571469999992</v>
      </c>
      <c r="G100" s="98" t="s">
        <v>608</v>
      </c>
      <c r="H100" s="98" t="s">
        <v>609</v>
      </c>
      <c r="I100" s="102">
        <v>52</v>
      </c>
      <c r="J100" s="102">
        <v>881</v>
      </c>
      <c r="K100" s="98" t="s">
        <v>429</v>
      </c>
      <c r="L100" s="102">
        <v>65338</v>
      </c>
      <c r="M100" s="100">
        <f t="shared" si="8"/>
        <v>255.61298871536243</v>
      </c>
      <c r="N100" s="100">
        <v>4721.8</v>
      </c>
      <c r="O100" s="101">
        <f t="shared" si="9"/>
        <v>13.837519589986869</v>
      </c>
      <c r="P100" s="101"/>
      <c r="Q100" s="89"/>
      <c r="R100" s="63"/>
      <c r="S100" s="63"/>
      <c r="T100" s="63"/>
      <c r="U100" s="63"/>
      <c r="V100" s="63"/>
      <c r="W100" s="63"/>
      <c r="X100" s="63"/>
      <c r="Y100" s="63"/>
      <c r="Z100" s="63"/>
    </row>
    <row r="101" spans="1:26" ht="17.25" customHeight="1" x14ac:dyDescent="0.2">
      <c r="A101" s="94">
        <v>650</v>
      </c>
      <c r="B101" s="95" t="s">
        <v>30</v>
      </c>
      <c r="C101" s="95" t="s">
        <v>99</v>
      </c>
      <c r="D101" s="96">
        <v>348.30099999999999</v>
      </c>
      <c r="E101" s="102">
        <v>1453</v>
      </c>
      <c r="F101" s="96">
        <f t="shared" si="11"/>
        <v>347.00064819999994</v>
      </c>
      <c r="G101" s="98" t="s">
        <v>610</v>
      </c>
      <c r="H101" s="98" t="s">
        <v>611</v>
      </c>
      <c r="I101" s="102">
        <v>53</v>
      </c>
      <c r="J101" s="102">
        <v>881</v>
      </c>
      <c r="K101" s="98" t="s">
        <v>429</v>
      </c>
      <c r="L101" s="102">
        <v>70395</v>
      </c>
      <c r="M101" s="100">
        <f t="shared" si="8"/>
        <v>265.3205608316099</v>
      </c>
      <c r="N101" s="100">
        <v>4753.22</v>
      </c>
      <c r="O101" s="101">
        <f t="shared" si="9"/>
        <v>14.809960405788075</v>
      </c>
      <c r="P101" s="101"/>
      <c r="Q101" s="89"/>
      <c r="R101" s="63"/>
      <c r="S101" s="63"/>
      <c r="T101" s="63"/>
      <c r="U101" s="63"/>
      <c r="V101" s="63"/>
      <c r="W101" s="63"/>
      <c r="X101" s="63"/>
      <c r="Y101" s="63"/>
      <c r="Z101" s="63"/>
    </row>
    <row r="102" spans="1:26" ht="17.25" customHeight="1" x14ac:dyDescent="0.2">
      <c r="A102" s="94">
        <v>651</v>
      </c>
      <c r="B102" s="95" t="s">
        <v>30</v>
      </c>
      <c r="C102" s="95" t="s">
        <v>99</v>
      </c>
      <c r="D102" s="96">
        <v>340.82100000000003</v>
      </c>
      <c r="E102" s="102">
        <v>1453</v>
      </c>
      <c r="F102" s="96">
        <f t="shared" si="11"/>
        <v>339.57076419999999</v>
      </c>
      <c r="G102" s="98" t="s">
        <v>612</v>
      </c>
      <c r="H102" s="98"/>
      <c r="I102" s="102">
        <v>54</v>
      </c>
      <c r="J102" s="102">
        <v>881</v>
      </c>
      <c r="K102" s="98" t="s">
        <v>429</v>
      </c>
      <c r="L102" s="102">
        <v>15294</v>
      </c>
      <c r="M102" s="100">
        <f t="shared" si="8"/>
        <v>123.66891282775958</v>
      </c>
      <c r="N102" s="100">
        <v>4815.45</v>
      </c>
      <c r="O102" s="101">
        <f t="shared" si="9"/>
        <v>3.1760271625704766</v>
      </c>
      <c r="P102" s="101"/>
      <c r="Q102" s="89"/>
      <c r="R102" s="63"/>
      <c r="S102" s="63"/>
      <c r="T102" s="63"/>
      <c r="U102" s="63"/>
      <c r="V102" s="63"/>
      <c r="W102" s="63"/>
      <c r="X102" s="63"/>
      <c r="Y102" s="63"/>
      <c r="Z102" s="63"/>
    </row>
    <row r="103" spans="1:26" ht="17.25" customHeight="1" x14ac:dyDescent="0.2">
      <c r="A103" s="94">
        <v>652</v>
      </c>
      <c r="B103" s="95" t="s">
        <v>157</v>
      </c>
      <c r="C103" s="95" t="s">
        <v>99</v>
      </c>
      <c r="D103" s="96">
        <v>249.69900000000001</v>
      </c>
      <c r="E103" s="102">
        <v>2550</v>
      </c>
      <c r="F103" s="96">
        <f t="shared" si="11"/>
        <v>250.14893170000002</v>
      </c>
      <c r="G103" s="98" t="s">
        <v>613</v>
      </c>
      <c r="H103" s="98"/>
      <c r="I103" s="102">
        <v>297</v>
      </c>
      <c r="J103" s="97"/>
      <c r="K103" s="98" t="s">
        <v>429</v>
      </c>
      <c r="L103" s="97"/>
      <c r="M103" s="100">
        <f t="shared" ref="M103:M134" si="12">SQRT(L103)</f>
        <v>0</v>
      </c>
      <c r="N103" s="99"/>
      <c r="O103" s="103" t="e">
        <f t="shared" ref="O103:O134" si="13">L103/N103</f>
        <v>#DIV/0!</v>
      </c>
      <c r="P103" s="101"/>
      <c r="Q103" s="89" t="s">
        <v>614</v>
      </c>
      <c r="R103" s="63"/>
      <c r="S103" s="63"/>
      <c r="T103" s="63"/>
      <c r="U103" s="63"/>
      <c r="V103" s="63"/>
      <c r="W103" s="63"/>
      <c r="X103" s="63"/>
      <c r="Y103" s="63"/>
      <c r="Z103" s="63"/>
    </row>
    <row r="104" spans="1:26" ht="17.25" customHeight="1" x14ac:dyDescent="0.2">
      <c r="A104" s="94">
        <v>653</v>
      </c>
      <c r="B104" s="95" t="s">
        <v>157</v>
      </c>
      <c r="C104" s="95" t="s">
        <v>99</v>
      </c>
      <c r="D104" s="96">
        <v>249.672</v>
      </c>
      <c r="E104" s="102">
        <v>2550</v>
      </c>
      <c r="F104" s="96">
        <f t="shared" si="11"/>
        <v>250.12211260000001</v>
      </c>
      <c r="G104" s="98" t="s">
        <v>615</v>
      </c>
      <c r="H104" s="98" t="s">
        <v>616</v>
      </c>
      <c r="I104" s="102">
        <v>297</v>
      </c>
      <c r="J104" s="102">
        <v>634067</v>
      </c>
      <c r="K104" s="98" t="s">
        <v>429</v>
      </c>
      <c r="L104" s="102">
        <v>30754618</v>
      </c>
      <c r="M104" s="100">
        <f t="shared" si="12"/>
        <v>5545.6846286098889</v>
      </c>
      <c r="N104" s="100">
        <v>16583430.810000001</v>
      </c>
      <c r="O104" s="101">
        <f t="shared" si="13"/>
        <v>1.8545389281845472</v>
      </c>
      <c r="P104" s="101"/>
      <c r="Q104" s="89"/>
      <c r="R104" s="63"/>
      <c r="S104" s="63"/>
      <c r="T104" s="63"/>
      <c r="U104" s="63"/>
      <c r="V104" s="63"/>
      <c r="W104" s="63"/>
      <c r="X104" s="63"/>
      <c r="Y104" s="63"/>
      <c r="Z104" s="63"/>
    </row>
    <row r="105" spans="1:26" ht="17.25" customHeight="1" x14ac:dyDescent="0.2">
      <c r="A105" s="94">
        <v>654</v>
      </c>
      <c r="B105" s="95" t="s">
        <v>31</v>
      </c>
      <c r="C105" s="95" t="s">
        <v>99</v>
      </c>
      <c r="D105" s="96">
        <v>361.245</v>
      </c>
      <c r="E105" s="102">
        <v>1454</v>
      </c>
      <c r="F105" s="96">
        <f t="shared" si="11"/>
        <v>359.85891669999995</v>
      </c>
      <c r="G105" s="98" t="s">
        <v>617</v>
      </c>
      <c r="H105" s="98" t="s">
        <v>618</v>
      </c>
      <c r="I105" s="102">
        <v>50</v>
      </c>
      <c r="J105" s="102">
        <v>2140</v>
      </c>
      <c r="K105" s="98" t="s">
        <v>429</v>
      </c>
      <c r="L105" s="102">
        <v>140664</v>
      </c>
      <c r="M105" s="100">
        <f t="shared" si="12"/>
        <v>375.0519963951665</v>
      </c>
      <c r="N105" s="100">
        <v>10447.27</v>
      </c>
      <c r="O105" s="101">
        <f t="shared" si="13"/>
        <v>13.464187294862677</v>
      </c>
      <c r="P105" s="101"/>
      <c r="Q105" s="89"/>
      <c r="R105" s="63"/>
      <c r="S105" s="63"/>
      <c r="T105" s="63"/>
      <c r="U105" s="63"/>
      <c r="V105" s="63"/>
      <c r="W105" s="63"/>
      <c r="X105" s="63"/>
      <c r="Y105" s="63"/>
      <c r="Z105" s="63"/>
    </row>
    <row r="106" spans="1:26" ht="17.25" customHeight="1" x14ac:dyDescent="0.2">
      <c r="A106" s="94">
        <v>655</v>
      </c>
      <c r="B106" s="95" t="s">
        <v>31</v>
      </c>
      <c r="C106" s="95" t="s">
        <v>99</v>
      </c>
      <c r="D106" s="96">
        <v>371.21499999999997</v>
      </c>
      <c r="E106" s="102">
        <v>1454</v>
      </c>
      <c r="F106" s="96">
        <f t="shared" si="11"/>
        <v>369.76211769999992</v>
      </c>
      <c r="G106" s="98" t="s">
        <v>619</v>
      </c>
      <c r="H106" s="98" t="s">
        <v>620</v>
      </c>
      <c r="I106" s="102">
        <v>49</v>
      </c>
      <c r="J106" s="102">
        <v>1510</v>
      </c>
      <c r="K106" s="98" t="s">
        <v>429</v>
      </c>
      <c r="L106" s="102">
        <v>96819</v>
      </c>
      <c r="M106" s="100">
        <f t="shared" si="12"/>
        <v>311.15751638036966</v>
      </c>
      <c r="N106" s="100">
        <v>7151.24</v>
      </c>
      <c r="O106" s="101">
        <f t="shared" si="13"/>
        <v>13.538770898473551</v>
      </c>
      <c r="P106" s="101"/>
      <c r="Q106" s="89"/>
      <c r="R106" s="63"/>
      <c r="S106" s="63"/>
      <c r="T106" s="63"/>
      <c r="U106" s="63"/>
      <c r="V106" s="63"/>
      <c r="W106" s="63"/>
      <c r="X106" s="63"/>
      <c r="Y106" s="63"/>
      <c r="Z106" s="63"/>
    </row>
    <row r="107" spans="1:26" ht="17.25" customHeight="1" x14ac:dyDescent="0.2">
      <c r="A107" s="94">
        <v>656</v>
      </c>
      <c r="B107" s="95" t="s">
        <v>31</v>
      </c>
      <c r="C107" s="95" t="s">
        <v>99</v>
      </c>
      <c r="D107" s="96">
        <v>381.17200000000003</v>
      </c>
      <c r="E107" s="102">
        <v>1454</v>
      </c>
      <c r="F107" s="96">
        <f t="shared" si="11"/>
        <v>379.6524058</v>
      </c>
      <c r="G107" s="98" t="s">
        <v>621</v>
      </c>
      <c r="H107" s="98" t="s">
        <v>622</v>
      </c>
      <c r="I107" s="102">
        <v>48</v>
      </c>
      <c r="J107" s="102">
        <v>1007</v>
      </c>
      <c r="K107" s="98" t="s">
        <v>429</v>
      </c>
      <c r="L107" s="102">
        <v>70503</v>
      </c>
      <c r="M107" s="100">
        <f t="shared" si="12"/>
        <v>265.52401021376579</v>
      </c>
      <c r="N107" s="100">
        <v>5155.6000000000004</v>
      </c>
      <c r="O107" s="101">
        <f t="shared" si="13"/>
        <v>13.675032973853673</v>
      </c>
      <c r="P107" s="101"/>
      <c r="Q107" s="89"/>
      <c r="R107" s="63"/>
      <c r="S107" s="63"/>
      <c r="T107" s="63"/>
      <c r="U107" s="63"/>
      <c r="V107" s="63"/>
      <c r="W107" s="63"/>
      <c r="X107" s="63"/>
      <c r="Y107" s="63"/>
      <c r="Z107" s="63"/>
    </row>
    <row r="108" spans="1:26" ht="17.25" customHeight="1" x14ac:dyDescent="0.2">
      <c r="A108" s="94">
        <v>657</v>
      </c>
      <c r="B108" s="95" t="s">
        <v>31</v>
      </c>
      <c r="C108" s="95" t="s">
        <v>99</v>
      </c>
      <c r="D108" s="96">
        <v>391.142</v>
      </c>
      <c r="E108" s="102">
        <v>1454</v>
      </c>
      <c r="F108" s="96">
        <f t="shared" si="11"/>
        <v>389.55560679999996</v>
      </c>
      <c r="G108" s="98" t="s">
        <v>622</v>
      </c>
      <c r="H108" s="98" t="s">
        <v>623</v>
      </c>
      <c r="I108" s="102">
        <v>49</v>
      </c>
      <c r="J108" s="102">
        <v>881</v>
      </c>
      <c r="K108" s="98" t="s">
        <v>429</v>
      </c>
      <c r="L108" s="102">
        <v>61153</v>
      </c>
      <c r="M108" s="100">
        <f t="shared" si="12"/>
        <v>247.29132617218906</v>
      </c>
      <c r="N108" s="100">
        <v>4521.7</v>
      </c>
      <c r="O108" s="101">
        <f t="shared" si="13"/>
        <v>13.524338191388194</v>
      </c>
      <c r="P108" s="101"/>
      <c r="Q108" s="89"/>
      <c r="R108" s="63"/>
      <c r="S108" s="63"/>
      <c r="T108" s="63"/>
      <c r="U108" s="63"/>
      <c r="V108" s="63"/>
      <c r="W108" s="63"/>
      <c r="X108" s="63"/>
      <c r="Y108" s="63"/>
      <c r="Z108" s="63"/>
    </row>
    <row r="109" spans="1:26" ht="17.25" customHeight="1" x14ac:dyDescent="0.2">
      <c r="A109" s="94">
        <v>658</v>
      </c>
      <c r="B109" s="95" t="s">
        <v>31</v>
      </c>
      <c r="C109" s="95" t="s">
        <v>99</v>
      </c>
      <c r="D109" s="96">
        <v>398.11200000000002</v>
      </c>
      <c r="E109" s="102">
        <v>1454</v>
      </c>
      <c r="F109" s="96">
        <f t="shared" si="11"/>
        <v>396.4789078</v>
      </c>
      <c r="G109" s="98" t="s">
        <v>624</v>
      </c>
      <c r="H109" s="98" t="s">
        <v>625</v>
      </c>
      <c r="I109" s="102">
        <v>48</v>
      </c>
      <c r="J109" s="102">
        <v>1007</v>
      </c>
      <c r="K109" s="98" t="s">
        <v>429</v>
      </c>
      <c r="L109" s="102">
        <v>63557</v>
      </c>
      <c r="M109" s="100">
        <f t="shared" si="12"/>
        <v>252.10513679812237</v>
      </c>
      <c r="N109" s="100">
        <v>4605.07</v>
      </c>
      <c r="O109" s="101">
        <f t="shared" si="13"/>
        <v>13.801527446922632</v>
      </c>
      <c r="P109" s="101"/>
      <c r="Q109" s="89"/>
      <c r="R109" s="63"/>
      <c r="S109" s="63"/>
      <c r="T109" s="63"/>
      <c r="U109" s="63"/>
      <c r="V109" s="63"/>
      <c r="W109" s="63"/>
      <c r="X109" s="63"/>
      <c r="Y109" s="63"/>
      <c r="Z109" s="63"/>
    </row>
    <row r="110" spans="1:26" ht="17.25" customHeight="1" x14ac:dyDescent="0.2">
      <c r="A110" s="94">
        <v>659</v>
      </c>
      <c r="B110" s="95" t="s">
        <v>31</v>
      </c>
      <c r="C110" s="95" t="s">
        <v>99</v>
      </c>
      <c r="D110" s="96">
        <v>351.29500000000002</v>
      </c>
      <c r="E110" s="102">
        <v>1454</v>
      </c>
      <c r="F110" s="96">
        <f t="shared" si="11"/>
        <v>349.97558169999996</v>
      </c>
      <c r="G110" s="98" t="s">
        <v>626</v>
      </c>
      <c r="H110" s="98" t="s">
        <v>627</v>
      </c>
      <c r="I110" s="102">
        <v>45</v>
      </c>
      <c r="J110" s="102">
        <v>1133</v>
      </c>
      <c r="K110" s="98" t="s">
        <v>429</v>
      </c>
      <c r="L110" s="102">
        <v>67092</v>
      </c>
      <c r="M110" s="100">
        <f t="shared" si="12"/>
        <v>259.02123465075215</v>
      </c>
      <c r="N110" s="100">
        <v>5191.13</v>
      </c>
      <c r="O110" s="101">
        <f t="shared" si="13"/>
        <v>12.924353657103559</v>
      </c>
      <c r="P110" s="101"/>
      <c r="Q110" s="89"/>
      <c r="R110" s="63"/>
      <c r="S110" s="63"/>
      <c r="T110" s="63"/>
      <c r="U110" s="63"/>
      <c r="V110" s="63"/>
      <c r="W110" s="63"/>
      <c r="X110" s="63"/>
      <c r="Y110" s="63"/>
      <c r="Z110" s="63"/>
    </row>
    <row r="111" spans="1:26" ht="17.25" customHeight="1" x14ac:dyDescent="0.2">
      <c r="A111" s="94">
        <v>660</v>
      </c>
      <c r="B111" s="95" t="s">
        <v>31</v>
      </c>
      <c r="C111" s="95" t="s">
        <v>99</v>
      </c>
      <c r="D111" s="96">
        <v>348.30700000000002</v>
      </c>
      <c r="E111" s="102">
        <v>1454</v>
      </c>
      <c r="F111" s="96">
        <f t="shared" si="11"/>
        <v>347.00760129999998</v>
      </c>
      <c r="G111" s="98" t="s">
        <v>628</v>
      </c>
      <c r="H111" s="98" t="s">
        <v>629</v>
      </c>
      <c r="I111" s="102">
        <v>46</v>
      </c>
      <c r="J111" s="102">
        <v>1007</v>
      </c>
      <c r="K111" s="98" t="s">
        <v>429</v>
      </c>
      <c r="L111" s="102">
        <v>61835</v>
      </c>
      <c r="M111" s="100">
        <f t="shared" si="12"/>
        <v>248.66644325280402</v>
      </c>
      <c r="N111" s="100">
        <v>4886.3999999999996</v>
      </c>
      <c r="O111" s="101">
        <f t="shared" si="13"/>
        <v>12.65451047806156</v>
      </c>
      <c r="P111" s="101"/>
      <c r="Q111" s="89"/>
      <c r="R111" s="63"/>
      <c r="S111" s="63"/>
      <c r="T111" s="63"/>
      <c r="U111" s="63"/>
      <c r="V111" s="63"/>
      <c r="W111" s="63"/>
      <c r="X111" s="63"/>
      <c r="Y111" s="63"/>
      <c r="Z111" s="63"/>
    </row>
    <row r="112" spans="1:26" ht="17.25" customHeight="1" x14ac:dyDescent="0.2">
      <c r="A112" s="94">
        <v>661</v>
      </c>
      <c r="B112" s="95" t="s">
        <v>31</v>
      </c>
      <c r="C112" s="95" t="s">
        <v>99</v>
      </c>
      <c r="D112" s="96">
        <v>345.31299999999999</v>
      </c>
      <c r="E112" s="102">
        <v>1454</v>
      </c>
      <c r="F112" s="96">
        <f t="shared" si="11"/>
        <v>344.03366109999996</v>
      </c>
      <c r="G112" s="98" t="s">
        <v>630</v>
      </c>
      <c r="H112" s="98" t="s">
        <v>631</v>
      </c>
      <c r="I112" s="102">
        <v>46</v>
      </c>
      <c r="J112" s="102">
        <v>881</v>
      </c>
      <c r="K112" s="98" t="s">
        <v>429</v>
      </c>
      <c r="L112" s="102">
        <v>43029</v>
      </c>
      <c r="M112" s="100">
        <f t="shared" si="12"/>
        <v>207.43432695675034</v>
      </c>
      <c r="N112" s="100">
        <v>3894.5</v>
      </c>
      <c r="O112" s="101">
        <f t="shared" si="13"/>
        <v>11.048658364359994</v>
      </c>
      <c r="P112" s="101"/>
      <c r="Q112" s="89"/>
      <c r="R112" s="63"/>
      <c r="S112" s="63"/>
      <c r="T112" s="63"/>
      <c r="U112" s="63"/>
      <c r="V112" s="63"/>
      <c r="W112" s="63"/>
      <c r="X112" s="63"/>
      <c r="Y112" s="63"/>
      <c r="Z112" s="63"/>
    </row>
    <row r="113" spans="1:26" ht="17.25" customHeight="1" x14ac:dyDescent="0.2">
      <c r="A113" s="94">
        <v>662</v>
      </c>
      <c r="B113" s="95" t="s">
        <v>31</v>
      </c>
      <c r="C113" s="95" t="s">
        <v>99</v>
      </c>
      <c r="D113" s="96">
        <v>342.32499999999999</v>
      </c>
      <c r="E113" s="102">
        <v>1454</v>
      </c>
      <c r="F113" s="96">
        <f t="shared" si="11"/>
        <v>341.06568069999997</v>
      </c>
      <c r="G113" s="98" t="s">
        <v>632</v>
      </c>
      <c r="H113" s="98" t="s">
        <v>633</v>
      </c>
      <c r="I113" s="102">
        <v>47</v>
      </c>
      <c r="J113" s="102">
        <v>1259</v>
      </c>
      <c r="K113" s="98" t="s">
        <v>429</v>
      </c>
      <c r="L113" s="102">
        <v>34522</v>
      </c>
      <c r="M113" s="100">
        <f t="shared" si="12"/>
        <v>185.80096878111266</v>
      </c>
      <c r="N113" s="100">
        <v>5748.03</v>
      </c>
      <c r="O113" s="101">
        <f t="shared" si="13"/>
        <v>6.005883754956046</v>
      </c>
      <c r="P113" s="101"/>
      <c r="Q113" s="89"/>
      <c r="R113" s="63"/>
      <c r="S113" s="63"/>
      <c r="T113" s="63"/>
      <c r="U113" s="63"/>
      <c r="V113" s="63"/>
      <c r="W113" s="63"/>
      <c r="X113" s="63"/>
      <c r="Y113" s="63"/>
      <c r="Z113" s="63"/>
    </row>
    <row r="114" spans="1:26" ht="17.25" customHeight="1" x14ac:dyDescent="0.2">
      <c r="A114" s="94">
        <v>663</v>
      </c>
      <c r="B114" s="95" t="s">
        <v>31</v>
      </c>
      <c r="C114" s="95" t="s">
        <v>99</v>
      </c>
      <c r="D114" s="96">
        <v>340.33800000000002</v>
      </c>
      <c r="E114" s="102">
        <v>1454</v>
      </c>
      <c r="F114" s="96">
        <f t="shared" si="11"/>
        <v>339.09199359999997</v>
      </c>
      <c r="G114" s="98" t="s">
        <v>634</v>
      </c>
      <c r="H114" s="98" t="s">
        <v>635</v>
      </c>
      <c r="I114" s="102">
        <v>47</v>
      </c>
      <c r="J114" s="102">
        <v>881</v>
      </c>
      <c r="K114" s="98" t="s">
        <v>429</v>
      </c>
      <c r="L114" s="102">
        <v>8057</v>
      </c>
      <c r="M114" s="100">
        <f t="shared" si="12"/>
        <v>89.760793222876543</v>
      </c>
      <c r="N114" s="100">
        <v>4198.74</v>
      </c>
      <c r="O114" s="101">
        <f t="shared" si="13"/>
        <v>1.9189090060351439</v>
      </c>
      <c r="P114" s="101"/>
      <c r="Q114" s="89"/>
      <c r="R114" s="63"/>
      <c r="S114" s="63"/>
      <c r="T114" s="63"/>
      <c r="U114" s="63"/>
      <c r="V114" s="63"/>
      <c r="W114" s="63"/>
      <c r="X114" s="63"/>
      <c r="Y114" s="63"/>
      <c r="Z114" s="63"/>
    </row>
    <row r="115" spans="1:26" ht="17.25" customHeight="1" x14ac:dyDescent="0.2">
      <c r="A115" s="94">
        <v>664</v>
      </c>
      <c r="B115" s="95" t="s">
        <v>31</v>
      </c>
      <c r="C115" s="95" t="s">
        <v>99</v>
      </c>
      <c r="D115" s="96">
        <v>339.34399999999999</v>
      </c>
      <c r="E115" s="102">
        <v>1454</v>
      </c>
      <c r="F115" s="96">
        <f t="shared" si="11"/>
        <v>338.10465339999996</v>
      </c>
      <c r="G115" s="98" t="s">
        <v>636</v>
      </c>
      <c r="H115" s="98" t="s">
        <v>637</v>
      </c>
      <c r="I115" s="102">
        <v>48</v>
      </c>
      <c r="J115" s="102">
        <v>1133</v>
      </c>
      <c r="K115" s="98" t="s">
        <v>429</v>
      </c>
      <c r="L115" s="102">
        <v>6713</v>
      </c>
      <c r="M115" s="100">
        <f t="shared" si="12"/>
        <v>81.93289937503738</v>
      </c>
      <c r="N115" s="100">
        <v>5450.57</v>
      </c>
      <c r="O115" s="101">
        <f t="shared" si="13"/>
        <v>1.2316143082283137</v>
      </c>
      <c r="P115" s="101"/>
      <c r="Q115" s="89"/>
      <c r="R115" s="63"/>
      <c r="S115" s="63"/>
      <c r="T115" s="63"/>
      <c r="U115" s="63"/>
      <c r="V115" s="63"/>
      <c r="W115" s="63"/>
      <c r="X115" s="63"/>
      <c r="Y115" s="63"/>
      <c r="Z115" s="63"/>
    </row>
    <row r="116" spans="1:26" ht="17.25" customHeight="1" x14ac:dyDescent="0.2">
      <c r="A116" s="94">
        <v>665</v>
      </c>
      <c r="B116" s="95" t="s">
        <v>31</v>
      </c>
      <c r="C116" s="95" t="s">
        <v>99</v>
      </c>
      <c r="D116" s="96">
        <v>336.34300000000002</v>
      </c>
      <c r="E116" s="102">
        <v>1454</v>
      </c>
      <c r="F116" s="96">
        <f t="shared" si="11"/>
        <v>335.12376009999997</v>
      </c>
      <c r="G116" s="98" t="s">
        <v>638</v>
      </c>
      <c r="H116" s="98" t="s">
        <v>639</v>
      </c>
      <c r="I116" s="102">
        <v>48</v>
      </c>
      <c r="J116" s="102">
        <v>881</v>
      </c>
      <c r="K116" s="98" t="s">
        <v>429</v>
      </c>
      <c r="L116" s="102">
        <v>2305</v>
      </c>
      <c r="M116" s="100">
        <f t="shared" si="12"/>
        <v>48.010415536631214</v>
      </c>
      <c r="N116" s="100">
        <v>4245.4799999999996</v>
      </c>
      <c r="O116" s="101">
        <f t="shared" si="13"/>
        <v>0.54293036358668523</v>
      </c>
      <c r="P116" s="101"/>
      <c r="Q116" s="89"/>
      <c r="R116" s="63"/>
      <c r="S116" s="63"/>
      <c r="T116" s="63"/>
      <c r="U116" s="63"/>
      <c r="V116" s="63"/>
      <c r="W116" s="63"/>
      <c r="X116" s="63"/>
      <c r="Y116" s="63"/>
      <c r="Z116" s="63"/>
    </row>
    <row r="117" spans="1:26" ht="17.25" customHeight="1" x14ac:dyDescent="0.2">
      <c r="A117" s="94">
        <v>666</v>
      </c>
      <c r="B117" s="95" t="s">
        <v>31</v>
      </c>
      <c r="C117" s="95" t="s">
        <v>99</v>
      </c>
      <c r="D117" s="96">
        <v>333.36200000000002</v>
      </c>
      <c r="E117" s="102">
        <v>1454</v>
      </c>
      <c r="F117" s="96">
        <f t="shared" si="11"/>
        <v>332.16273280000001</v>
      </c>
      <c r="G117" s="98" t="s">
        <v>640</v>
      </c>
      <c r="H117" s="98" t="s">
        <v>641</v>
      </c>
      <c r="I117" s="102">
        <v>47</v>
      </c>
      <c r="J117" s="102">
        <v>1259</v>
      </c>
      <c r="K117" s="98" t="s">
        <v>429</v>
      </c>
      <c r="L117" s="102">
        <v>1838</v>
      </c>
      <c r="M117" s="100">
        <f t="shared" si="12"/>
        <v>42.871902220452036</v>
      </c>
      <c r="N117" s="100">
        <v>5869.67</v>
      </c>
      <c r="O117" s="101">
        <f t="shared" si="13"/>
        <v>0.31313515069842085</v>
      </c>
      <c r="P117" s="101"/>
      <c r="Q117" s="89"/>
      <c r="R117" s="63"/>
      <c r="S117" s="63"/>
      <c r="T117" s="63"/>
      <c r="U117" s="63"/>
      <c r="V117" s="63"/>
      <c r="W117" s="63"/>
      <c r="X117" s="63"/>
      <c r="Y117" s="63"/>
      <c r="Z117" s="63"/>
    </row>
    <row r="118" spans="1:26" ht="17.25" customHeight="1" x14ac:dyDescent="0.2">
      <c r="A118" s="94">
        <v>667</v>
      </c>
      <c r="B118" s="95" t="s">
        <v>31</v>
      </c>
      <c r="C118" s="95" t="s">
        <v>99</v>
      </c>
      <c r="D118" s="96">
        <v>330.38099999999997</v>
      </c>
      <c r="E118" s="102">
        <v>1454</v>
      </c>
      <c r="F118" s="96">
        <f t="shared" si="11"/>
        <v>329.20170549999995</v>
      </c>
      <c r="G118" s="98" t="s">
        <v>642</v>
      </c>
      <c r="H118" s="98" t="s">
        <v>643</v>
      </c>
      <c r="I118" s="102">
        <v>47</v>
      </c>
      <c r="J118" s="102">
        <v>1259</v>
      </c>
      <c r="K118" s="98" t="s">
        <v>429</v>
      </c>
      <c r="L118" s="102">
        <v>1160</v>
      </c>
      <c r="M118" s="100">
        <f t="shared" si="12"/>
        <v>34.058772731852805</v>
      </c>
      <c r="N118" s="100">
        <v>5854.11</v>
      </c>
      <c r="O118" s="101">
        <f t="shared" si="13"/>
        <v>0.19815138424115708</v>
      </c>
      <c r="P118" s="101"/>
      <c r="Q118" s="89"/>
      <c r="R118" s="63"/>
      <c r="S118" s="63"/>
      <c r="T118" s="63"/>
      <c r="U118" s="63"/>
      <c r="V118" s="63"/>
      <c r="W118" s="63"/>
      <c r="X118" s="63"/>
      <c r="Y118" s="63"/>
      <c r="Z118" s="63"/>
    </row>
    <row r="119" spans="1:26" ht="17.25" customHeight="1" x14ac:dyDescent="0.2">
      <c r="A119" s="94">
        <v>668</v>
      </c>
      <c r="B119" s="95" t="s">
        <v>157</v>
      </c>
      <c r="C119" s="95" t="s">
        <v>99</v>
      </c>
      <c r="D119" s="96">
        <v>249.59200000000001</v>
      </c>
      <c r="E119" s="102">
        <v>2640</v>
      </c>
      <c r="F119" s="96">
        <f t="shared" si="11"/>
        <v>250.1320456</v>
      </c>
      <c r="G119" s="98" t="s">
        <v>644</v>
      </c>
      <c r="H119" s="98" t="s">
        <v>645</v>
      </c>
      <c r="I119" s="102">
        <v>252</v>
      </c>
      <c r="J119" s="102">
        <v>848356</v>
      </c>
      <c r="K119" s="98" t="s">
        <v>429</v>
      </c>
      <c r="L119" s="102">
        <v>37297022</v>
      </c>
      <c r="M119" s="100">
        <f t="shared" si="12"/>
        <v>6107.1287852803625</v>
      </c>
      <c r="N119" s="100">
        <v>19335369.789999999</v>
      </c>
      <c r="O119" s="101">
        <f t="shared" si="13"/>
        <v>1.9289531260627626</v>
      </c>
      <c r="P119" s="101"/>
      <c r="Q119" s="89" t="s">
        <v>646</v>
      </c>
      <c r="R119" s="63"/>
      <c r="S119" s="63"/>
      <c r="T119" s="63"/>
      <c r="U119" s="63"/>
      <c r="V119" s="63"/>
      <c r="W119" s="63"/>
      <c r="X119" s="63"/>
      <c r="Y119" s="63"/>
      <c r="Z119" s="63"/>
    </row>
    <row r="120" spans="1:26" ht="17.25" customHeight="1" x14ac:dyDescent="0.2">
      <c r="A120" s="94">
        <v>669</v>
      </c>
      <c r="B120" s="95" t="s">
        <v>32</v>
      </c>
      <c r="C120" s="95" t="s">
        <v>99</v>
      </c>
      <c r="D120" s="96">
        <v>361.245</v>
      </c>
      <c r="E120" s="102">
        <v>1459</v>
      </c>
      <c r="F120" s="96">
        <f t="shared" si="11"/>
        <v>359.86388319999998</v>
      </c>
      <c r="G120" s="98" t="s">
        <v>647</v>
      </c>
      <c r="H120" s="98" t="s">
        <v>648</v>
      </c>
      <c r="I120" s="102">
        <v>47</v>
      </c>
      <c r="J120" s="102">
        <v>1007</v>
      </c>
      <c r="K120" s="98" t="s">
        <v>429</v>
      </c>
      <c r="L120" s="102">
        <v>70649</v>
      </c>
      <c r="M120" s="100">
        <f t="shared" si="12"/>
        <v>265.79879608455718</v>
      </c>
      <c r="N120" s="100">
        <v>5102.21</v>
      </c>
      <c r="O120" s="101">
        <f t="shared" si="13"/>
        <v>13.846744841941041</v>
      </c>
      <c r="P120" s="101"/>
      <c r="Q120" s="89"/>
      <c r="R120" s="63"/>
      <c r="S120" s="63"/>
      <c r="T120" s="63"/>
      <c r="U120" s="63"/>
      <c r="V120" s="63"/>
      <c r="W120" s="63"/>
      <c r="X120" s="63"/>
      <c r="Y120" s="63"/>
      <c r="Z120" s="63"/>
    </row>
    <row r="121" spans="1:26" ht="17.25" customHeight="1" x14ac:dyDescent="0.2">
      <c r="A121" s="94">
        <v>670</v>
      </c>
      <c r="B121" s="95" t="s">
        <v>32</v>
      </c>
      <c r="C121" s="95" t="s">
        <v>99</v>
      </c>
      <c r="D121" s="96">
        <v>371.21499999999997</v>
      </c>
      <c r="E121" s="102">
        <v>1457</v>
      </c>
      <c r="F121" s="96">
        <f t="shared" si="11"/>
        <v>369.76509759999993</v>
      </c>
      <c r="G121" s="98" t="s">
        <v>649</v>
      </c>
      <c r="H121" s="98" t="s">
        <v>650</v>
      </c>
      <c r="I121" s="102">
        <v>47</v>
      </c>
      <c r="J121" s="102">
        <v>3901</v>
      </c>
      <c r="K121" s="98" t="s">
        <v>429</v>
      </c>
      <c r="L121" s="102">
        <v>248415</v>
      </c>
      <c r="M121" s="100">
        <f t="shared" si="12"/>
        <v>498.41247977954964</v>
      </c>
      <c r="N121" s="100">
        <v>17832.95</v>
      </c>
      <c r="O121" s="101">
        <f t="shared" si="13"/>
        <v>13.930112516437269</v>
      </c>
      <c r="P121" s="101"/>
      <c r="Q121" s="89"/>
      <c r="R121" s="63"/>
      <c r="S121" s="63"/>
      <c r="T121" s="63"/>
      <c r="U121" s="63"/>
      <c r="V121" s="63"/>
      <c r="W121" s="63"/>
      <c r="X121" s="63"/>
      <c r="Y121" s="63"/>
      <c r="Z121" s="63"/>
    </row>
    <row r="122" spans="1:26" ht="17.25" customHeight="1" x14ac:dyDescent="0.2">
      <c r="A122" s="94">
        <v>671</v>
      </c>
      <c r="B122" s="95" t="s">
        <v>32</v>
      </c>
      <c r="C122" s="95" t="s">
        <v>99</v>
      </c>
      <c r="D122" s="96">
        <v>381.17899999999997</v>
      </c>
      <c r="E122" s="102">
        <v>1457</v>
      </c>
      <c r="F122" s="96">
        <f t="shared" si="11"/>
        <v>379.66233879999993</v>
      </c>
      <c r="G122" s="98" t="s">
        <v>651</v>
      </c>
      <c r="H122" s="98" t="s">
        <v>652</v>
      </c>
      <c r="I122" s="102">
        <v>46</v>
      </c>
      <c r="J122" s="102">
        <v>1007</v>
      </c>
      <c r="K122" s="98" t="s">
        <v>429</v>
      </c>
      <c r="L122" s="102">
        <v>63319</v>
      </c>
      <c r="M122" s="100">
        <f t="shared" si="12"/>
        <v>251.63266878527517</v>
      </c>
      <c r="N122" s="100">
        <v>4465.12</v>
      </c>
      <c r="O122" s="101">
        <f t="shared" si="13"/>
        <v>14.18080589099509</v>
      </c>
      <c r="P122" s="101"/>
      <c r="Q122" s="89"/>
      <c r="R122" s="63"/>
      <c r="S122" s="63"/>
      <c r="T122" s="63"/>
      <c r="U122" s="63"/>
      <c r="V122" s="63"/>
      <c r="W122" s="63"/>
      <c r="X122" s="63"/>
      <c r="Y122" s="63"/>
      <c r="Z122" s="63"/>
    </row>
    <row r="123" spans="1:26" ht="17.25" customHeight="1" x14ac:dyDescent="0.2">
      <c r="A123" s="94">
        <v>672</v>
      </c>
      <c r="B123" s="95" t="s">
        <v>32</v>
      </c>
      <c r="C123" s="95" t="s">
        <v>99</v>
      </c>
      <c r="D123" s="96">
        <v>391.13600000000002</v>
      </c>
      <c r="E123" s="102">
        <v>1457</v>
      </c>
      <c r="F123" s="96">
        <f t="shared" si="11"/>
        <v>389.55262689999995</v>
      </c>
      <c r="G123" s="98" t="s">
        <v>653</v>
      </c>
      <c r="H123" s="98" t="s">
        <v>654</v>
      </c>
      <c r="I123" s="102">
        <v>46</v>
      </c>
      <c r="J123" s="102">
        <v>881</v>
      </c>
      <c r="K123" s="98" t="s">
        <v>429</v>
      </c>
      <c r="L123" s="102">
        <v>56859</v>
      </c>
      <c r="M123" s="100">
        <f t="shared" si="12"/>
        <v>238.45125287991254</v>
      </c>
      <c r="N123" s="100">
        <v>4066.45</v>
      </c>
      <c r="O123" s="101">
        <f t="shared" si="13"/>
        <v>13.982466278941091</v>
      </c>
      <c r="P123" s="101"/>
      <c r="Q123" s="89"/>
      <c r="R123" s="63"/>
      <c r="S123" s="63"/>
      <c r="T123" s="63"/>
      <c r="U123" s="63"/>
      <c r="V123" s="63"/>
      <c r="W123" s="63"/>
      <c r="X123" s="63"/>
      <c r="Y123" s="63"/>
      <c r="Z123" s="63"/>
    </row>
    <row r="124" spans="1:26" ht="17.25" customHeight="1" x14ac:dyDescent="0.2">
      <c r="A124" s="94">
        <v>673</v>
      </c>
      <c r="B124" s="95" t="s">
        <v>32</v>
      </c>
      <c r="C124" s="95" t="s">
        <v>99</v>
      </c>
      <c r="D124" s="96">
        <v>398.11799999999999</v>
      </c>
      <c r="E124" s="102">
        <v>1457</v>
      </c>
      <c r="F124" s="96">
        <f t="shared" si="11"/>
        <v>396.48784749999993</v>
      </c>
      <c r="G124" s="98" t="s">
        <v>655</v>
      </c>
      <c r="H124" s="98" t="s">
        <v>656</v>
      </c>
      <c r="I124" s="102">
        <v>44</v>
      </c>
      <c r="J124" s="102">
        <v>881</v>
      </c>
      <c r="K124" s="98" t="s">
        <v>429</v>
      </c>
      <c r="L124" s="102">
        <v>58220</v>
      </c>
      <c r="M124" s="100">
        <f t="shared" si="12"/>
        <v>241.28820940941148</v>
      </c>
      <c r="N124" s="100">
        <v>4027.71</v>
      </c>
      <c r="O124" s="101">
        <f t="shared" si="13"/>
        <v>14.454863930124066</v>
      </c>
      <c r="P124" s="101"/>
      <c r="Q124" s="89"/>
      <c r="R124" s="63"/>
      <c r="S124" s="63"/>
      <c r="T124" s="63"/>
      <c r="U124" s="63"/>
      <c r="V124" s="63"/>
      <c r="W124" s="63"/>
      <c r="X124" s="63"/>
      <c r="Y124" s="63"/>
      <c r="Z124" s="63"/>
    </row>
    <row r="125" spans="1:26" ht="17.25" customHeight="1" x14ac:dyDescent="0.2">
      <c r="A125" s="94">
        <v>674</v>
      </c>
      <c r="B125" s="95" t="s">
        <v>32</v>
      </c>
      <c r="C125" s="95" t="s">
        <v>99</v>
      </c>
      <c r="D125" s="96">
        <v>351.28800000000001</v>
      </c>
      <c r="E125" s="102">
        <v>1457</v>
      </c>
      <c r="F125" s="96">
        <f t="shared" si="11"/>
        <v>349.97160849999995</v>
      </c>
      <c r="G125" s="98" t="s">
        <v>657</v>
      </c>
      <c r="H125" s="98" t="s">
        <v>658</v>
      </c>
      <c r="I125" s="102">
        <v>45</v>
      </c>
      <c r="J125" s="102">
        <v>1133</v>
      </c>
      <c r="K125" s="98" t="s">
        <v>429</v>
      </c>
      <c r="L125" s="102">
        <v>68422</v>
      </c>
      <c r="M125" s="100">
        <f t="shared" si="12"/>
        <v>261.57599278221232</v>
      </c>
      <c r="N125" s="100">
        <v>5133.41</v>
      </c>
      <c r="O125" s="101">
        <f t="shared" si="13"/>
        <v>13.328761973035467</v>
      </c>
      <c r="P125" s="101"/>
      <c r="Q125" s="89"/>
      <c r="R125" s="63"/>
      <c r="S125" s="63"/>
      <c r="T125" s="63"/>
      <c r="U125" s="63"/>
      <c r="V125" s="63"/>
      <c r="W125" s="63"/>
      <c r="X125" s="63"/>
      <c r="Y125" s="63"/>
      <c r="Z125" s="63"/>
    </row>
    <row r="126" spans="1:26" ht="17.25" customHeight="1" x14ac:dyDescent="0.2">
      <c r="A126" s="94">
        <v>675</v>
      </c>
      <c r="B126" s="95" t="s">
        <v>32</v>
      </c>
      <c r="C126" s="95" t="s">
        <v>99</v>
      </c>
      <c r="D126" s="96">
        <v>348.30099999999999</v>
      </c>
      <c r="E126" s="102">
        <v>1457</v>
      </c>
      <c r="F126" s="96">
        <f t="shared" si="11"/>
        <v>347.00462139999996</v>
      </c>
      <c r="G126" s="98" t="s">
        <v>659</v>
      </c>
      <c r="H126" s="98" t="s">
        <v>660</v>
      </c>
      <c r="I126" s="102">
        <v>45</v>
      </c>
      <c r="J126" s="102">
        <v>1133</v>
      </c>
      <c r="K126" s="98" t="s">
        <v>429</v>
      </c>
      <c r="L126" s="102">
        <v>68811</v>
      </c>
      <c r="M126" s="100">
        <f t="shared" si="12"/>
        <v>262.31850868743516</v>
      </c>
      <c r="N126" s="100">
        <v>5373.74</v>
      </c>
      <c r="O126" s="101">
        <f t="shared" si="13"/>
        <v>12.805048253171908</v>
      </c>
      <c r="P126" s="101"/>
      <c r="Q126" s="89"/>
      <c r="R126" s="63"/>
      <c r="S126" s="63"/>
      <c r="T126" s="63"/>
      <c r="U126" s="63"/>
      <c r="V126" s="63"/>
      <c r="W126" s="63"/>
      <c r="X126" s="63"/>
      <c r="Y126" s="63"/>
      <c r="Z126" s="63"/>
    </row>
    <row r="127" spans="1:26" ht="17.25" customHeight="1" x14ac:dyDescent="0.2">
      <c r="A127" s="94">
        <v>676</v>
      </c>
      <c r="B127" s="95" t="s">
        <v>32</v>
      </c>
      <c r="C127" s="95" t="s">
        <v>99</v>
      </c>
      <c r="D127" s="96">
        <v>345.30599999999998</v>
      </c>
      <c r="E127" s="102">
        <v>1457</v>
      </c>
      <c r="F127" s="96">
        <f t="shared" si="11"/>
        <v>344.02968789999994</v>
      </c>
      <c r="G127" s="98" t="s">
        <v>661</v>
      </c>
      <c r="H127" s="98" t="s">
        <v>662</v>
      </c>
      <c r="I127" s="102">
        <v>44</v>
      </c>
      <c r="J127" s="102">
        <v>1007</v>
      </c>
      <c r="K127" s="98" t="s">
        <v>429</v>
      </c>
      <c r="L127" s="102">
        <v>43619</v>
      </c>
      <c r="M127" s="100">
        <f t="shared" si="12"/>
        <v>208.85162197119755</v>
      </c>
      <c r="N127" s="100">
        <v>3836.46</v>
      </c>
      <c r="O127" s="101">
        <f t="shared" si="13"/>
        <v>11.369595929580916</v>
      </c>
      <c r="P127" s="101"/>
      <c r="Q127" s="89"/>
      <c r="R127" s="63"/>
      <c r="S127" s="63"/>
      <c r="T127" s="63"/>
      <c r="U127" s="63"/>
      <c r="V127" s="63"/>
      <c r="W127" s="63"/>
      <c r="X127" s="63"/>
      <c r="Y127" s="63"/>
      <c r="Z127" s="63"/>
    </row>
    <row r="128" spans="1:26" ht="17.25" customHeight="1" x14ac:dyDescent="0.2">
      <c r="A128" s="94">
        <v>677</v>
      </c>
      <c r="B128" s="95" t="s">
        <v>32</v>
      </c>
      <c r="C128" s="95" t="s">
        <v>99</v>
      </c>
      <c r="D128" s="96">
        <v>342.33199999999999</v>
      </c>
      <c r="E128" s="102">
        <v>1457</v>
      </c>
      <c r="F128" s="96">
        <f t="shared" si="11"/>
        <v>341.07561369999996</v>
      </c>
      <c r="G128" s="98" t="s">
        <v>663</v>
      </c>
      <c r="H128" s="98" t="s">
        <v>645</v>
      </c>
      <c r="I128" s="102">
        <v>45</v>
      </c>
      <c r="J128" s="102">
        <v>1007</v>
      </c>
      <c r="K128" s="98" t="s">
        <v>429</v>
      </c>
      <c r="L128" s="102">
        <v>27194</v>
      </c>
      <c r="M128" s="100">
        <f t="shared" si="12"/>
        <v>164.90603384958357</v>
      </c>
      <c r="N128" s="100">
        <v>4772.24</v>
      </c>
      <c r="O128" s="101">
        <f t="shared" si="13"/>
        <v>5.6983722528623879</v>
      </c>
      <c r="P128" s="101"/>
      <c r="Q128" s="89"/>
      <c r="R128" s="63"/>
      <c r="S128" s="63"/>
      <c r="T128" s="63"/>
      <c r="U128" s="63"/>
      <c r="V128" s="63"/>
      <c r="W128" s="63"/>
      <c r="X128" s="63"/>
      <c r="Y128" s="63"/>
      <c r="Z128" s="63"/>
    </row>
    <row r="129" spans="1:26" ht="17.25" customHeight="1" x14ac:dyDescent="0.2">
      <c r="A129" s="94">
        <v>678</v>
      </c>
      <c r="B129" s="95" t="s">
        <v>32</v>
      </c>
      <c r="C129" s="95" t="s">
        <v>99</v>
      </c>
      <c r="D129" s="96">
        <v>340.33800000000002</v>
      </c>
      <c r="E129" s="102">
        <v>1459</v>
      </c>
      <c r="F129" s="96">
        <f t="shared" si="11"/>
        <v>339.09696009999999</v>
      </c>
      <c r="G129" s="98" t="s">
        <v>664</v>
      </c>
      <c r="H129" s="98" t="s">
        <v>664</v>
      </c>
      <c r="I129" s="102">
        <v>44</v>
      </c>
      <c r="J129" s="102">
        <v>881</v>
      </c>
      <c r="K129" s="98" t="s">
        <v>429</v>
      </c>
      <c r="L129" s="102">
        <v>6599</v>
      </c>
      <c r="M129" s="100">
        <f t="shared" si="12"/>
        <v>81.234229238665151</v>
      </c>
      <c r="N129" s="100">
        <v>3661.9</v>
      </c>
      <c r="O129" s="101">
        <f t="shared" si="13"/>
        <v>1.8020699636800568</v>
      </c>
      <c r="P129" s="101"/>
      <c r="Q129" s="89"/>
      <c r="R129" s="63"/>
      <c r="S129" s="63"/>
      <c r="T129" s="63"/>
      <c r="U129" s="63"/>
      <c r="V129" s="63"/>
      <c r="W129" s="63"/>
      <c r="X129" s="63"/>
      <c r="Y129" s="63"/>
      <c r="Z129" s="63"/>
    </row>
    <row r="130" spans="1:26" ht="17.25" customHeight="1" x14ac:dyDescent="0.2">
      <c r="A130" s="94">
        <v>679</v>
      </c>
      <c r="B130" s="95" t="s">
        <v>32</v>
      </c>
      <c r="C130" s="95" t="s">
        <v>99</v>
      </c>
      <c r="D130" s="96">
        <v>339.33699999999999</v>
      </c>
      <c r="E130" s="102">
        <v>1457</v>
      </c>
      <c r="F130" s="96">
        <f t="shared" si="11"/>
        <v>338.10068019999994</v>
      </c>
      <c r="G130" s="98" t="s">
        <v>665</v>
      </c>
      <c r="H130" s="98" t="s">
        <v>666</v>
      </c>
      <c r="I130" s="102">
        <v>44</v>
      </c>
      <c r="J130" s="102">
        <v>881</v>
      </c>
      <c r="K130" s="98" t="s">
        <v>429</v>
      </c>
      <c r="L130" s="102">
        <v>4231</v>
      </c>
      <c r="M130" s="100">
        <f t="shared" si="12"/>
        <v>65.046137471797664</v>
      </c>
      <c r="N130" s="100">
        <v>3512.41</v>
      </c>
      <c r="O130" s="101">
        <f t="shared" si="13"/>
        <v>1.2045860249799996</v>
      </c>
      <c r="P130" s="101"/>
      <c r="Q130" s="89"/>
      <c r="R130" s="63"/>
      <c r="S130" s="63"/>
      <c r="T130" s="63"/>
      <c r="U130" s="63"/>
      <c r="V130" s="63"/>
      <c r="W130" s="63"/>
      <c r="X130" s="63"/>
      <c r="Y130" s="63"/>
      <c r="Z130" s="63"/>
    </row>
    <row r="131" spans="1:26" ht="17.25" customHeight="1" x14ac:dyDescent="0.2">
      <c r="A131" s="94">
        <v>680</v>
      </c>
      <c r="B131" s="95" t="s">
        <v>32</v>
      </c>
      <c r="C131" s="95" t="s">
        <v>99</v>
      </c>
      <c r="D131" s="96">
        <v>336.3</v>
      </c>
      <c r="E131" s="102">
        <v>1457</v>
      </c>
      <c r="F131" s="96">
        <f t="shared" si="11"/>
        <v>335.08402809999995</v>
      </c>
      <c r="G131" s="98" t="s">
        <v>667</v>
      </c>
      <c r="H131" s="98" t="s">
        <v>668</v>
      </c>
      <c r="I131" s="102">
        <v>44</v>
      </c>
      <c r="J131" s="102">
        <v>1762</v>
      </c>
      <c r="K131" s="98" t="s">
        <v>429</v>
      </c>
      <c r="L131" s="102">
        <v>3964</v>
      </c>
      <c r="M131" s="100">
        <f t="shared" si="12"/>
        <v>62.960304954788775</v>
      </c>
      <c r="N131" s="100">
        <v>7702.87</v>
      </c>
      <c r="O131" s="101">
        <f t="shared" si="13"/>
        <v>0.5146133843619326</v>
      </c>
      <c r="P131" s="101"/>
      <c r="Q131" s="89"/>
      <c r="R131" s="63"/>
      <c r="S131" s="63"/>
      <c r="T131" s="63"/>
      <c r="U131" s="63"/>
      <c r="V131" s="63"/>
      <c r="W131" s="63"/>
      <c r="X131" s="63"/>
      <c r="Y131" s="63"/>
      <c r="Z131" s="63"/>
    </row>
    <row r="132" spans="1:26" ht="17.25" customHeight="1" x14ac:dyDescent="0.2">
      <c r="A132" s="94">
        <v>681</v>
      </c>
      <c r="B132" s="95" t="s">
        <v>32</v>
      </c>
      <c r="C132" s="95" t="s">
        <v>99</v>
      </c>
      <c r="D132" s="96">
        <v>333.36200000000002</v>
      </c>
      <c r="E132" s="102">
        <v>1457</v>
      </c>
      <c r="F132" s="96">
        <f t="shared" ref="F132:F163" si="14">0.9933*(D132 + E132/1000)-0.41</f>
        <v>332.16571269999997</v>
      </c>
      <c r="G132" s="98" t="s">
        <v>669</v>
      </c>
      <c r="H132" s="98" t="s">
        <v>670</v>
      </c>
      <c r="I132" s="102">
        <v>44</v>
      </c>
      <c r="J132" s="102">
        <v>1007</v>
      </c>
      <c r="K132" s="98" t="s">
        <v>429</v>
      </c>
      <c r="L132" s="102">
        <v>1238</v>
      </c>
      <c r="M132" s="100">
        <f t="shared" si="12"/>
        <v>35.185224171518364</v>
      </c>
      <c r="N132" s="100">
        <v>4132.68</v>
      </c>
      <c r="O132" s="101">
        <f t="shared" si="13"/>
        <v>0.29956347938867756</v>
      </c>
      <c r="P132" s="101"/>
      <c r="Q132" s="89"/>
      <c r="R132" s="63"/>
      <c r="S132" s="63"/>
      <c r="T132" s="63"/>
      <c r="U132" s="63"/>
      <c r="V132" s="63"/>
      <c r="W132" s="63"/>
      <c r="X132" s="63"/>
      <c r="Y132" s="63"/>
      <c r="Z132" s="63"/>
    </row>
    <row r="133" spans="1:26" ht="17.25" customHeight="1" x14ac:dyDescent="0.2">
      <c r="A133" s="94">
        <v>682</v>
      </c>
      <c r="B133" s="95" t="s">
        <v>33</v>
      </c>
      <c r="C133" s="95" t="s">
        <v>99</v>
      </c>
      <c r="D133" s="96">
        <v>209.751</v>
      </c>
      <c r="E133" s="102">
        <v>1554</v>
      </c>
      <c r="F133" s="96">
        <f t="shared" si="14"/>
        <v>209.47925649999999</v>
      </c>
      <c r="G133" s="98" t="s">
        <v>671</v>
      </c>
      <c r="H133" s="98" t="s">
        <v>672</v>
      </c>
      <c r="I133" s="102">
        <v>39</v>
      </c>
      <c r="J133" s="102">
        <v>1636</v>
      </c>
      <c r="K133" s="98" t="s">
        <v>429</v>
      </c>
      <c r="L133" s="102">
        <v>103</v>
      </c>
      <c r="M133" s="100">
        <f t="shared" si="12"/>
        <v>10.148891565092219</v>
      </c>
      <c r="N133" s="100">
        <v>6348.35</v>
      </c>
      <c r="O133" s="101">
        <f t="shared" si="13"/>
        <v>1.6224688304835113E-2</v>
      </c>
      <c r="P133" s="101"/>
      <c r="Q133" s="89" t="s">
        <v>673</v>
      </c>
      <c r="R133" s="63"/>
      <c r="S133" s="63"/>
      <c r="T133" s="63"/>
      <c r="U133" s="63"/>
      <c r="V133" s="63"/>
      <c r="W133" s="63"/>
      <c r="X133" s="63"/>
      <c r="Y133" s="63"/>
      <c r="Z133" s="63"/>
    </row>
    <row r="134" spans="1:26" ht="17.25" customHeight="1" x14ac:dyDescent="0.2">
      <c r="A134" s="94">
        <v>683</v>
      </c>
      <c r="B134" s="95" t="s">
        <v>33</v>
      </c>
      <c r="C134" s="95" t="s">
        <v>99</v>
      </c>
      <c r="D134" s="96">
        <v>214.733</v>
      </c>
      <c r="E134" s="102">
        <v>1554</v>
      </c>
      <c r="F134" s="96">
        <f t="shared" si="14"/>
        <v>214.42787709999999</v>
      </c>
      <c r="G134" s="98" t="s">
        <v>672</v>
      </c>
      <c r="H134" s="98" t="s">
        <v>674</v>
      </c>
      <c r="I134" s="102">
        <v>39</v>
      </c>
      <c r="J134" s="102">
        <v>1385</v>
      </c>
      <c r="K134" s="98" t="s">
        <v>429</v>
      </c>
      <c r="L134" s="102">
        <v>124</v>
      </c>
      <c r="M134" s="100">
        <f t="shared" si="12"/>
        <v>11.135528725660043</v>
      </c>
      <c r="N134" s="100">
        <v>5223.57</v>
      </c>
      <c r="O134" s="101">
        <f t="shared" si="13"/>
        <v>2.3738554283756128E-2</v>
      </c>
      <c r="P134" s="101"/>
      <c r="Q134" s="89"/>
      <c r="R134" s="63"/>
      <c r="S134" s="63"/>
      <c r="T134" s="63"/>
      <c r="U134" s="63"/>
      <c r="V134" s="63"/>
      <c r="W134" s="63"/>
      <c r="X134" s="63"/>
      <c r="Y134" s="63"/>
      <c r="Z134" s="63"/>
    </row>
    <row r="135" spans="1:26" ht="17.25" customHeight="1" x14ac:dyDescent="0.2">
      <c r="A135" s="94">
        <v>684</v>
      </c>
      <c r="B135" s="95" t="s">
        <v>33</v>
      </c>
      <c r="C135" s="95" t="s">
        <v>99</v>
      </c>
      <c r="D135" s="96">
        <v>219.72800000000001</v>
      </c>
      <c r="E135" s="102">
        <v>1554</v>
      </c>
      <c r="F135" s="96">
        <f t="shared" si="14"/>
        <v>219.38941060000002</v>
      </c>
      <c r="G135" s="98" t="s">
        <v>675</v>
      </c>
      <c r="H135" s="98" t="s">
        <v>676</v>
      </c>
      <c r="I135" s="102">
        <v>42</v>
      </c>
      <c r="J135" s="102">
        <v>1133</v>
      </c>
      <c r="K135" s="98" t="s">
        <v>429</v>
      </c>
      <c r="L135" s="102">
        <v>189</v>
      </c>
      <c r="M135" s="100">
        <f t="shared" ref="M135:M166" si="15">SQRT(L135)</f>
        <v>13.74772708486752</v>
      </c>
      <c r="N135" s="100">
        <v>4670.17</v>
      </c>
      <c r="O135" s="101">
        <f t="shared" ref="O135:O166" si="16">L135/N135</f>
        <v>4.0469618878970146E-2</v>
      </c>
      <c r="P135" s="101"/>
      <c r="Q135" s="89"/>
      <c r="R135" s="63"/>
      <c r="S135" s="63"/>
      <c r="T135" s="63"/>
      <c r="U135" s="63"/>
      <c r="V135" s="63"/>
      <c r="W135" s="63"/>
      <c r="X135" s="63"/>
      <c r="Y135" s="63"/>
      <c r="Z135" s="63"/>
    </row>
    <row r="136" spans="1:26" ht="17.25" customHeight="1" x14ac:dyDescent="0.2">
      <c r="A136" s="94">
        <v>685</v>
      </c>
      <c r="B136" s="95" t="s">
        <v>33</v>
      </c>
      <c r="C136" s="95" t="s">
        <v>99</v>
      </c>
      <c r="D136" s="96">
        <v>224.72300000000001</v>
      </c>
      <c r="E136" s="102">
        <v>1554</v>
      </c>
      <c r="F136" s="96">
        <f t="shared" si="14"/>
        <v>224.35094410000002</v>
      </c>
      <c r="G136" s="98" t="s">
        <v>677</v>
      </c>
      <c r="H136" s="98" t="s">
        <v>678</v>
      </c>
      <c r="I136" s="102">
        <v>41</v>
      </c>
      <c r="J136" s="102">
        <v>1007</v>
      </c>
      <c r="K136" s="98" t="s">
        <v>429</v>
      </c>
      <c r="L136" s="102">
        <v>1423</v>
      </c>
      <c r="M136" s="100">
        <f t="shared" si="15"/>
        <v>37.722672227720032</v>
      </c>
      <c r="N136" s="100">
        <v>4101.9799999999996</v>
      </c>
      <c r="O136" s="101">
        <f t="shared" si="16"/>
        <v>0.34690564069059338</v>
      </c>
      <c r="P136" s="101"/>
      <c r="Q136" s="89"/>
      <c r="R136" s="63"/>
      <c r="S136" s="63"/>
      <c r="T136" s="63"/>
      <c r="U136" s="63"/>
      <c r="V136" s="63"/>
      <c r="W136" s="63"/>
      <c r="X136" s="63"/>
      <c r="Y136" s="63"/>
      <c r="Z136" s="63"/>
    </row>
    <row r="137" spans="1:26" ht="17.25" customHeight="1" x14ac:dyDescent="0.2">
      <c r="A137" s="94">
        <v>686</v>
      </c>
      <c r="B137" s="95" t="s">
        <v>33</v>
      </c>
      <c r="C137" s="95" t="s">
        <v>99</v>
      </c>
      <c r="D137" s="96">
        <v>229.72499999999999</v>
      </c>
      <c r="E137" s="102">
        <v>1554</v>
      </c>
      <c r="F137" s="96">
        <f t="shared" si="14"/>
        <v>229.3194307</v>
      </c>
      <c r="G137" s="98" t="s">
        <v>679</v>
      </c>
      <c r="H137" s="98" t="s">
        <v>680</v>
      </c>
      <c r="I137" s="102">
        <v>40</v>
      </c>
      <c r="J137" s="102">
        <v>1007</v>
      </c>
      <c r="K137" s="98" t="s">
        <v>429</v>
      </c>
      <c r="L137" s="102">
        <v>6454</v>
      </c>
      <c r="M137" s="100">
        <f t="shared" si="15"/>
        <v>80.336791073579732</v>
      </c>
      <c r="N137" s="100">
        <v>4191.84</v>
      </c>
      <c r="O137" s="101">
        <f t="shared" si="16"/>
        <v>1.5396580022138249</v>
      </c>
      <c r="P137" s="101"/>
      <c r="Q137" s="89"/>
      <c r="R137" s="63"/>
      <c r="S137" s="63"/>
      <c r="T137" s="63"/>
      <c r="U137" s="63"/>
      <c r="V137" s="63"/>
      <c r="W137" s="63"/>
      <c r="X137" s="63"/>
      <c r="Y137" s="63"/>
      <c r="Z137" s="63"/>
    </row>
    <row r="138" spans="1:26" ht="17.25" customHeight="1" x14ac:dyDescent="0.2">
      <c r="A138" s="94">
        <v>687</v>
      </c>
      <c r="B138" s="95" t="s">
        <v>33</v>
      </c>
      <c r="C138" s="95" t="s">
        <v>99</v>
      </c>
      <c r="D138" s="96">
        <v>234.7</v>
      </c>
      <c r="E138" s="102">
        <v>1554</v>
      </c>
      <c r="F138" s="96">
        <f t="shared" si="14"/>
        <v>234.26109819999999</v>
      </c>
      <c r="G138" s="98" t="s">
        <v>681</v>
      </c>
      <c r="H138" s="98" t="s">
        <v>682</v>
      </c>
      <c r="I138" s="102">
        <v>40</v>
      </c>
      <c r="J138" s="102">
        <v>1385</v>
      </c>
      <c r="K138" s="98" t="s">
        <v>429</v>
      </c>
      <c r="L138" s="102">
        <v>10068</v>
      </c>
      <c r="M138" s="100">
        <f t="shared" si="15"/>
        <v>100.33942395688746</v>
      </c>
      <c r="N138" s="100">
        <v>6190.7</v>
      </c>
      <c r="O138" s="101">
        <f t="shared" si="16"/>
        <v>1.6263104333920235</v>
      </c>
      <c r="P138" s="101"/>
      <c r="Q138" s="89"/>
      <c r="R138" s="63"/>
      <c r="S138" s="63"/>
      <c r="T138" s="63"/>
      <c r="U138" s="63"/>
      <c r="V138" s="63"/>
      <c r="W138" s="63"/>
      <c r="X138" s="63"/>
      <c r="Y138" s="63"/>
      <c r="Z138" s="63"/>
    </row>
    <row r="139" spans="1:26" ht="17.25" customHeight="1" x14ac:dyDescent="0.2">
      <c r="A139" s="94">
        <v>688</v>
      </c>
      <c r="B139" s="95" t="s">
        <v>33</v>
      </c>
      <c r="C139" s="95" t="s">
        <v>99</v>
      </c>
      <c r="D139" s="96">
        <v>239.702</v>
      </c>
      <c r="E139" s="102">
        <v>1554</v>
      </c>
      <c r="F139" s="96">
        <f t="shared" si="14"/>
        <v>239.2295848</v>
      </c>
      <c r="G139" s="98" t="s">
        <v>683</v>
      </c>
      <c r="H139" s="98" t="s">
        <v>684</v>
      </c>
      <c r="I139" s="102">
        <v>45</v>
      </c>
      <c r="J139" s="102">
        <v>1636</v>
      </c>
      <c r="K139" s="98" t="s">
        <v>429</v>
      </c>
      <c r="L139" s="102">
        <v>13133</v>
      </c>
      <c r="M139" s="100">
        <f t="shared" si="15"/>
        <v>114.59930191759459</v>
      </c>
      <c r="N139" s="100">
        <v>7322.26</v>
      </c>
      <c r="O139" s="101">
        <f t="shared" si="16"/>
        <v>1.7935719299779029</v>
      </c>
      <c r="P139" s="101"/>
      <c r="Q139" s="89"/>
      <c r="R139" s="63"/>
      <c r="S139" s="63"/>
      <c r="T139" s="63"/>
      <c r="U139" s="63"/>
      <c r="V139" s="63"/>
      <c r="W139" s="63"/>
      <c r="X139" s="63"/>
      <c r="Y139" s="63"/>
      <c r="Z139" s="63"/>
    </row>
    <row r="140" spans="1:26" ht="17.25" customHeight="1" x14ac:dyDescent="0.2">
      <c r="A140" s="94">
        <v>689</v>
      </c>
      <c r="B140" s="95" t="s">
        <v>33</v>
      </c>
      <c r="C140" s="95" t="s">
        <v>99</v>
      </c>
      <c r="D140" s="96">
        <v>244.691</v>
      </c>
      <c r="E140" s="102">
        <v>1554</v>
      </c>
      <c r="F140" s="96">
        <f t="shared" si="14"/>
        <v>244.1851585</v>
      </c>
      <c r="G140" s="98" t="s">
        <v>685</v>
      </c>
      <c r="H140" s="98" t="s">
        <v>686</v>
      </c>
      <c r="I140" s="102">
        <v>47</v>
      </c>
      <c r="J140" s="102">
        <v>1259</v>
      </c>
      <c r="K140" s="98" t="s">
        <v>429</v>
      </c>
      <c r="L140" s="102">
        <v>10545</v>
      </c>
      <c r="M140" s="100">
        <f t="shared" si="15"/>
        <v>102.68885041717041</v>
      </c>
      <c r="N140" s="100">
        <v>5772.49</v>
      </c>
      <c r="O140" s="101">
        <f t="shared" si="16"/>
        <v>1.8267679978657392</v>
      </c>
      <c r="P140" s="101"/>
      <c r="Q140" s="89"/>
      <c r="R140" s="63"/>
      <c r="S140" s="63"/>
      <c r="T140" s="63"/>
      <c r="U140" s="63"/>
      <c r="V140" s="63"/>
      <c r="W140" s="63"/>
      <c r="X140" s="63"/>
      <c r="Y140" s="63"/>
      <c r="Z140" s="63"/>
    </row>
    <row r="141" spans="1:26" ht="17.25" customHeight="1" x14ac:dyDescent="0.2">
      <c r="A141" s="94">
        <v>690</v>
      </c>
      <c r="B141" s="95" t="s">
        <v>33</v>
      </c>
      <c r="C141" s="95" t="s">
        <v>99</v>
      </c>
      <c r="D141" s="96">
        <v>227.71799999999999</v>
      </c>
      <c r="E141" s="102">
        <v>1554</v>
      </c>
      <c r="F141" s="96">
        <f t="shared" si="14"/>
        <v>227.32587759999998</v>
      </c>
      <c r="G141" s="98" t="s">
        <v>687</v>
      </c>
      <c r="H141" s="98" t="s">
        <v>664</v>
      </c>
      <c r="I141" s="102">
        <v>44</v>
      </c>
      <c r="J141" s="102">
        <v>1133</v>
      </c>
      <c r="K141" s="98" t="s">
        <v>429</v>
      </c>
      <c r="L141" s="102">
        <v>6854</v>
      </c>
      <c r="M141" s="100">
        <f t="shared" si="15"/>
        <v>82.788888143276807</v>
      </c>
      <c r="N141" s="100">
        <v>4988.99</v>
      </c>
      <c r="O141" s="101">
        <f t="shared" si="16"/>
        <v>1.3738251630089457</v>
      </c>
      <c r="P141" s="101"/>
      <c r="Q141" s="89"/>
      <c r="R141" s="63"/>
      <c r="S141" s="63"/>
      <c r="T141" s="63"/>
      <c r="U141" s="63"/>
      <c r="V141" s="63"/>
      <c r="W141" s="63"/>
      <c r="X141" s="63"/>
      <c r="Y141" s="63"/>
      <c r="Z141" s="63"/>
    </row>
    <row r="142" spans="1:26" ht="17.25" customHeight="1" x14ac:dyDescent="0.2">
      <c r="A142" s="94">
        <v>691</v>
      </c>
      <c r="B142" s="95" t="s">
        <v>33</v>
      </c>
      <c r="C142" s="95" t="s">
        <v>99</v>
      </c>
      <c r="D142" s="96">
        <v>226.72399999999999</v>
      </c>
      <c r="E142" s="102">
        <v>1554</v>
      </c>
      <c r="F142" s="96">
        <f t="shared" si="14"/>
        <v>226.33853739999998</v>
      </c>
      <c r="G142" s="98" t="s">
        <v>688</v>
      </c>
      <c r="H142" s="98" t="s">
        <v>689</v>
      </c>
      <c r="I142" s="102">
        <v>45</v>
      </c>
      <c r="J142" s="102">
        <v>1007</v>
      </c>
      <c r="K142" s="98" t="s">
        <v>429</v>
      </c>
      <c r="L142" s="102">
        <v>5493</v>
      </c>
      <c r="M142" s="100">
        <f t="shared" si="15"/>
        <v>74.114775854751116</v>
      </c>
      <c r="N142" s="100">
        <v>4682.05</v>
      </c>
      <c r="O142" s="101">
        <f t="shared" si="16"/>
        <v>1.1732040452365951</v>
      </c>
      <c r="P142" s="101"/>
      <c r="Q142" s="89"/>
      <c r="R142" s="63"/>
      <c r="S142" s="63"/>
      <c r="T142" s="63"/>
      <c r="U142" s="63"/>
      <c r="V142" s="63"/>
      <c r="W142" s="63"/>
      <c r="X142" s="63"/>
      <c r="Y142" s="63"/>
      <c r="Z142" s="63"/>
    </row>
    <row r="143" spans="1:26" ht="17.25" customHeight="1" x14ac:dyDescent="0.2">
      <c r="A143" s="94">
        <v>692</v>
      </c>
      <c r="B143" s="95" t="s">
        <v>33</v>
      </c>
      <c r="C143" s="95" t="s">
        <v>99</v>
      </c>
      <c r="D143" s="96">
        <v>225.73</v>
      </c>
      <c r="E143" s="102">
        <v>1554</v>
      </c>
      <c r="F143" s="96">
        <f t="shared" si="14"/>
        <v>225.35119719999997</v>
      </c>
      <c r="G143" s="98" t="s">
        <v>690</v>
      </c>
      <c r="H143" s="98" t="s">
        <v>691</v>
      </c>
      <c r="I143" s="102">
        <v>45</v>
      </c>
      <c r="J143" s="102">
        <v>1133</v>
      </c>
      <c r="K143" s="98" t="s">
        <v>429</v>
      </c>
      <c r="L143" s="102">
        <v>4085</v>
      </c>
      <c r="M143" s="100">
        <f t="shared" si="15"/>
        <v>63.914004725099176</v>
      </c>
      <c r="N143" s="100">
        <v>4865.62</v>
      </c>
      <c r="O143" s="101">
        <f t="shared" si="16"/>
        <v>0.83956412543519632</v>
      </c>
      <c r="P143" s="101"/>
      <c r="Q143" s="89"/>
      <c r="R143" s="63"/>
      <c r="S143" s="63"/>
      <c r="T143" s="63"/>
      <c r="U143" s="63"/>
      <c r="V143" s="63"/>
      <c r="W143" s="63"/>
      <c r="X143" s="63"/>
      <c r="Y143" s="63"/>
      <c r="Z143" s="63"/>
    </row>
    <row r="144" spans="1:26" ht="17.25" customHeight="1" x14ac:dyDescent="0.2">
      <c r="A144" s="94">
        <v>693</v>
      </c>
      <c r="B144" s="95" t="s">
        <v>33</v>
      </c>
      <c r="C144" s="95" t="s">
        <v>99</v>
      </c>
      <c r="D144" s="96">
        <v>222.72900000000001</v>
      </c>
      <c r="E144" s="102">
        <v>1554</v>
      </c>
      <c r="F144" s="96">
        <f t="shared" si="14"/>
        <v>222.37030390000001</v>
      </c>
      <c r="G144" s="98" t="s">
        <v>692</v>
      </c>
      <c r="H144" s="98" t="s">
        <v>693</v>
      </c>
      <c r="I144" s="102">
        <v>44</v>
      </c>
      <c r="J144" s="102">
        <v>1133</v>
      </c>
      <c r="K144" s="98" t="s">
        <v>429</v>
      </c>
      <c r="L144" s="102">
        <v>437</v>
      </c>
      <c r="M144" s="100">
        <f t="shared" si="15"/>
        <v>20.904544960366874</v>
      </c>
      <c r="N144" s="100">
        <v>4784.25</v>
      </c>
      <c r="O144" s="101">
        <f t="shared" si="16"/>
        <v>9.1341380571667449E-2</v>
      </c>
      <c r="P144" s="101"/>
      <c r="Q144" s="89"/>
      <c r="R144" s="63"/>
      <c r="S144" s="63"/>
      <c r="T144" s="63"/>
      <c r="U144" s="63"/>
      <c r="V144" s="63"/>
      <c r="W144" s="63"/>
      <c r="X144" s="63"/>
      <c r="Y144" s="63"/>
      <c r="Z144" s="63"/>
    </row>
    <row r="145" spans="1:26" ht="17.25" customHeight="1" x14ac:dyDescent="0.2">
      <c r="A145" s="94">
        <v>694</v>
      </c>
      <c r="B145" s="95" t="s">
        <v>33</v>
      </c>
      <c r="C145" s="95" t="s">
        <v>99</v>
      </c>
      <c r="D145" s="96">
        <v>223.73</v>
      </c>
      <c r="E145" s="102">
        <v>1554</v>
      </c>
      <c r="F145" s="96">
        <f t="shared" si="14"/>
        <v>223.36459719999999</v>
      </c>
      <c r="G145" s="98" t="s">
        <v>694</v>
      </c>
      <c r="H145" s="98" t="s">
        <v>695</v>
      </c>
      <c r="I145" s="102">
        <v>44</v>
      </c>
      <c r="J145" s="102">
        <v>1007</v>
      </c>
      <c r="K145" s="98" t="s">
        <v>429</v>
      </c>
      <c r="L145" s="102">
        <v>610</v>
      </c>
      <c r="M145" s="100">
        <f t="shared" si="15"/>
        <v>24.698178070456937</v>
      </c>
      <c r="N145" s="100">
        <v>4566.46</v>
      </c>
      <c r="O145" s="101">
        <f t="shared" si="16"/>
        <v>0.1335826876836762</v>
      </c>
      <c r="P145" s="101"/>
      <c r="Q145" s="89"/>
      <c r="R145" s="63"/>
      <c r="S145" s="63"/>
      <c r="T145" s="63"/>
      <c r="U145" s="63"/>
      <c r="V145" s="63"/>
      <c r="W145" s="63"/>
      <c r="X145" s="63"/>
      <c r="Y145" s="63"/>
      <c r="Z145" s="63"/>
    </row>
    <row r="146" spans="1:26" ht="17.25" customHeight="1" x14ac:dyDescent="0.2">
      <c r="A146" s="94">
        <v>695</v>
      </c>
      <c r="B146" s="95" t="s">
        <v>33</v>
      </c>
      <c r="C146" s="95" t="s">
        <v>99</v>
      </c>
      <c r="D146" s="96">
        <v>250.65899999999999</v>
      </c>
      <c r="E146" s="102">
        <v>1554</v>
      </c>
      <c r="F146" s="96">
        <f t="shared" si="14"/>
        <v>250.1131729</v>
      </c>
      <c r="G146" s="98" t="s">
        <v>696</v>
      </c>
      <c r="H146" s="98" t="s">
        <v>697</v>
      </c>
      <c r="I146" s="102">
        <v>47</v>
      </c>
      <c r="J146" s="102">
        <v>1133</v>
      </c>
      <c r="K146" s="98" t="s">
        <v>429</v>
      </c>
      <c r="L146" s="102">
        <v>10213</v>
      </c>
      <c r="M146" s="100">
        <f t="shared" si="15"/>
        <v>101.05938848023968</v>
      </c>
      <c r="N146" s="100">
        <v>5392.82</v>
      </c>
      <c r="O146" s="101">
        <f t="shared" si="16"/>
        <v>1.8938143679929982</v>
      </c>
      <c r="P146" s="101"/>
      <c r="Q146" s="89"/>
      <c r="R146" s="63"/>
      <c r="S146" s="63"/>
      <c r="T146" s="63"/>
      <c r="U146" s="63"/>
      <c r="V146" s="63"/>
      <c r="W146" s="63"/>
      <c r="X146" s="63"/>
      <c r="Y146" s="63"/>
      <c r="Z146" s="63"/>
    </row>
    <row r="147" spans="1:26" ht="17.25" customHeight="1" x14ac:dyDescent="0.2">
      <c r="A147" s="94">
        <v>696</v>
      </c>
      <c r="B147" s="95" t="s">
        <v>33</v>
      </c>
      <c r="C147" s="95" t="s">
        <v>99</v>
      </c>
      <c r="D147" s="96">
        <v>255.648</v>
      </c>
      <c r="E147" s="102">
        <v>1554</v>
      </c>
      <c r="F147" s="96">
        <f t="shared" si="14"/>
        <v>255.0687466</v>
      </c>
      <c r="G147" s="98" t="s">
        <v>698</v>
      </c>
      <c r="H147" s="98" t="s">
        <v>699</v>
      </c>
      <c r="I147" s="102">
        <v>47</v>
      </c>
      <c r="J147" s="102">
        <v>1259</v>
      </c>
      <c r="K147" s="98" t="s">
        <v>429</v>
      </c>
      <c r="L147" s="102">
        <v>11121</v>
      </c>
      <c r="M147" s="100">
        <f t="shared" si="15"/>
        <v>105.45615202537972</v>
      </c>
      <c r="N147" s="100">
        <v>5854.03</v>
      </c>
      <c r="O147" s="101">
        <f t="shared" si="16"/>
        <v>1.8997169471287303</v>
      </c>
      <c r="P147" s="101"/>
      <c r="Q147" s="89"/>
      <c r="R147" s="63"/>
      <c r="S147" s="63"/>
      <c r="T147" s="63"/>
      <c r="U147" s="63"/>
      <c r="V147" s="63"/>
      <c r="W147" s="63"/>
      <c r="X147" s="63"/>
      <c r="Y147" s="63"/>
      <c r="Z147" s="63"/>
    </row>
    <row r="148" spans="1:26" ht="17.25" customHeight="1" x14ac:dyDescent="0.2">
      <c r="A148" s="94">
        <v>697</v>
      </c>
      <c r="B148" s="95" t="s">
        <v>33</v>
      </c>
      <c r="C148" s="95" t="s">
        <v>99</v>
      </c>
      <c r="D148" s="96">
        <v>260.63600000000002</v>
      </c>
      <c r="E148" s="102">
        <v>1554</v>
      </c>
      <c r="F148" s="96">
        <f t="shared" si="14"/>
        <v>260.02332699999994</v>
      </c>
      <c r="G148" s="98" t="s">
        <v>700</v>
      </c>
      <c r="H148" s="98" t="s">
        <v>701</v>
      </c>
      <c r="I148" s="102">
        <v>47</v>
      </c>
      <c r="J148" s="102">
        <v>1133</v>
      </c>
      <c r="K148" s="98" t="s">
        <v>429</v>
      </c>
      <c r="L148" s="102">
        <v>9657</v>
      </c>
      <c r="M148" s="100">
        <f t="shared" si="15"/>
        <v>98.270036124955197</v>
      </c>
      <c r="N148" s="100">
        <v>5054.8</v>
      </c>
      <c r="O148" s="101">
        <f t="shared" si="16"/>
        <v>1.9104613436733402</v>
      </c>
      <c r="P148" s="101"/>
      <c r="Q148" s="89"/>
      <c r="R148" s="63"/>
      <c r="S148" s="63"/>
      <c r="T148" s="63"/>
      <c r="U148" s="63"/>
      <c r="V148" s="63"/>
      <c r="W148" s="63"/>
      <c r="X148" s="63"/>
      <c r="Y148" s="63"/>
      <c r="Z148" s="63"/>
    </row>
    <row r="149" spans="1:26" ht="17.25" customHeight="1" x14ac:dyDescent="0.2">
      <c r="A149" s="94">
        <v>698</v>
      </c>
      <c r="B149" s="95" t="s">
        <v>33</v>
      </c>
      <c r="C149" s="95" t="s">
        <v>99</v>
      </c>
      <c r="D149" s="96">
        <v>265.61099999999999</v>
      </c>
      <c r="E149" s="102">
        <v>1554</v>
      </c>
      <c r="F149" s="96">
        <f t="shared" si="14"/>
        <v>264.96499449999993</v>
      </c>
      <c r="G149" s="98" t="s">
        <v>702</v>
      </c>
      <c r="H149" s="98" t="s">
        <v>703</v>
      </c>
      <c r="I149" s="102">
        <v>46</v>
      </c>
      <c r="J149" s="102">
        <v>1007</v>
      </c>
      <c r="K149" s="98" t="s">
        <v>429</v>
      </c>
      <c r="L149" s="102">
        <v>9513</v>
      </c>
      <c r="M149" s="100">
        <f t="shared" si="15"/>
        <v>97.534609242053151</v>
      </c>
      <c r="N149" s="100">
        <v>4802.42</v>
      </c>
      <c r="O149" s="101">
        <f t="shared" si="16"/>
        <v>1.9808763081946186</v>
      </c>
      <c r="P149" s="101"/>
      <c r="Q149" s="89"/>
      <c r="R149" s="63"/>
      <c r="S149" s="63"/>
      <c r="T149" s="63"/>
      <c r="U149" s="63"/>
      <c r="V149" s="63"/>
      <c r="W149" s="63"/>
      <c r="X149" s="63"/>
      <c r="Y149" s="63"/>
      <c r="Z149" s="63"/>
    </row>
    <row r="150" spans="1:26" ht="17.25" customHeight="1" x14ac:dyDescent="0.2">
      <c r="A150" s="94">
        <v>699</v>
      </c>
      <c r="B150" s="95" t="s">
        <v>33</v>
      </c>
      <c r="C150" s="95" t="s">
        <v>99</v>
      </c>
      <c r="D150" s="96">
        <v>270.59300000000002</v>
      </c>
      <c r="E150" s="102">
        <v>1554</v>
      </c>
      <c r="F150" s="96">
        <f t="shared" si="14"/>
        <v>269.91361509999996</v>
      </c>
      <c r="G150" s="98" t="s">
        <v>703</v>
      </c>
      <c r="H150" s="98" t="s">
        <v>704</v>
      </c>
      <c r="I150" s="102">
        <v>46</v>
      </c>
      <c r="J150" s="102">
        <v>1385</v>
      </c>
      <c r="K150" s="98" t="s">
        <v>429</v>
      </c>
      <c r="L150" s="102">
        <v>13332</v>
      </c>
      <c r="M150" s="100">
        <f t="shared" si="15"/>
        <v>115.46428019088847</v>
      </c>
      <c r="N150" s="100">
        <v>6539.65</v>
      </c>
      <c r="O150" s="101">
        <f t="shared" si="16"/>
        <v>2.0386412116856407</v>
      </c>
      <c r="P150" s="101"/>
      <c r="Q150" s="89"/>
      <c r="R150" s="63"/>
      <c r="S150" s="63"/>
      <c r="T150" s="63"/>
      <c r="U150" s="63"/>
      <c r="V150" s="63"/>
      <c r="W150" s="63"/>
      <c r="X150" s="63"/>
      <c r="Y150" s="63"/>
      <c r="Z150" s="63"/>
    </row>
    <row r="151" spans="1:26" ht="17.25" customHeight="1" x14ac:dyDescent="0.2">
      <c r="A151" s="94">
        <v>700</v>
      </c>
      <c r="B151" s="95" t="s">
        <v>33</v>
      </c>
      <c r="C151" s="95" t="s">
        <v>99</v>
      </c>
      <c r="D151" s="96">
        <v>275.57499999999999</v>
      </c>
      <c r="E151" s="102">
        <v>1554</v>
      </c>
      <c r="F151" s="96">
        <f t="shared" si="14"/>
        <v>274.86223569999993</v>
      </c>
      <c r="G151" s="98" t="s">
        <v>705</v>
      </c>
      <c r="H151" s="98" t="s">
        <v>706</v>
      </c>
      <c r="I151" s="102">
        <v>45</v>
      </c>
      <c r="J151" s="102">
        <v>1133</v>
      </c>
      <c r="K151" s="98" t="s">
        <v>429</v>
      </c>
      <c r="L151" s="102">
        <v>11822</v>
      </c>
      <c r="M151" s="100">
        <f t="shared" si="15"/>
        <v>108.72902096496593</v>
      </c>
      <c r="N151" s="100">
        <v>5392.75</v>
      </c>
      <c r="O151" s="101">
        <f t="shared" si="16"/>
        <v>2.1922024940892864</v>
      </c>
      <c r="P151" s="101"/>
      <c r="Q151" s="89"/>
      <c r="R151" s="63"/>
      <c r="S151" s="63"/>
      <c r="T151" s="63"/>
      <c r="U151" s="63"/>
      <c r="V151" s="63"/>
      <c r="W151" s="63"/>
      <c r="X151" s="63"/>
      <c r="Y151" s="63"/>
      <c r="Z151" s="63"/>
    </row>
    <row r="152" spans="1:26" ht="17.25" customHeight="1" x14ac:dyDescent="0.2">
      <c r="A152" s="94">
        <v>701</v>
      </c>
      <c r="B152" s="95" t="s">
        <v>33</v>
      </c>
      <c r="C152" s="95" t="s">
        <v>99</v>
      </c>
      <c r="D152" s="96">
        <v>280.56299999999999</v>
      </c>
      <c r="E152" s="102">
        <v>1554</v>
      </c>
      <c r="F152" s="96">
        <f t="shared" si="14"/>
        <v>279.81681609999993</v>
      </c>
      <c r="G152" s="98" t="s">
        <v>707</v>
      </c>
      <c r="H152" s="98" t="s">
        <v>708</v>
      </c>
      <c r="I152" s="102">
        <v>45</v>
      </c>
      <c r="J152" s="102">
        <v>1007</v>
      </c>
      <c r="K152" s="98" t="s">
        <v>429</v>
      </c>
      <c r="L152" s="102">
        <v>10846</v>
      </c>
      <c r="M152" s="100">
        <f t="shared" si="15"/>
        <v>104.14413089560064</v>
      </c>
      <c r="N152" s="100">
        <v>4609.21</v>
      </c>
      <c r="O152" s="101">
        <f t="shared" si="16"/>
        <v>2.3531147420056797</v>
      </c>
      <c r="P152" s="101"/>
      <c r="Q152" s="89"/>
      <c r="R152" s="63"/>
      <c r="S152" s="63"/>
      <c r="T152" s="63"/>
      <c r="U152" s="63"/>
      <c r="V152" s="63"/>
      <c r="W152" s="63"/>
      <c r="X152" s="63"/>
      <c r="Y152" s="63"/>
      <c r="Z152" s="63"/>
    </row>
    <row r="153" spans="1:26" ht="17.25" customHeight="1" x14ac:dyDescent="0.2">
      <c r="A153" s="94">
        <v>702</v>
      </c>
      <c r="B153" s="95" t="s">
        <v>33</v>
      </c>
      <c r="C153" s="95" t="s">
        <v>99</v>
      </c>
      <c r="D153" s="96">
        <v>285.54500000000002</v>
      </c>
      <c r="E153" s="102">
        <v>1554</v>
      </c>
      <c r="F153" s="96">
        <f t="shared" si="14"/>
        <v>284.76543669999995</v>
      </c>
      <c r="G153" s="98" t="s">
        <v>709</v>
      </c>
      <c r="H153" s="98" t="s">
        <v>710</v>
      </c>
      <c r="I153" s="102">
        <v>44</v>
      </c>
      <c r="J153" s="102">
        <v>1007</v>
      </c>
      <c r="K153" s="98" t="s">
        <v>429</v>
      </c>
      <c r="L153" s="102">
        <v>11651</v>
      </c>
      <c r="M153" s="100">
        <f t="shared" si="15"/>
        <v>107.93979803575695</v>
      </c>
      <c r="N153" s="100">
        <v>4479.8599999999997</v>
      </c>
      <c r="O153" s="101">
        <f t="shared" si="16"/>
        <v>2.6007509163232783</v>
      </c>
      <c r="P153" s="101"/>
      <c r="Q153" s="89"/>
      <c r="R153" s="63"/>
      <c r="S153" s="63"/>
      <c r="T153" s="63"/>
      <c r="U153" s="63"/>
      <c r="V153" s="63"/>
      <c r="W153" s="63"/>
      <c r="X153" s="63"/>
      <c r="Y153" s="63"/>
      <c r="Z153" s="63"/>
    </row>
    <row r="154" spans="1:26" ht="17.25" customHeight="1" x14ac:dyDescent="0.2">
      <c r="A154" s="94">
        <v>703</v>
      </c>
      <c r="B154" s="95" t="s">
        <v>33</v>
      </c>
      <c r="C154" s="95" t="s">
        <v>99</v>
      </c>
      <c r="D154" s="96">
        <v>290.52</v>
      </c>
      <c r="E154" s="102">
        <v>1554</v>
      </c>
      <c r="F154" s="96">
        <f t="shared" si="14"/>
        <v>289.70710419999995</v>
      </c>
      <c r="G154" s="98" t="s">
        <v>711</v>
      </c>
      <c r="H154" s="98" t="s">
        <v>712</v>
      </c>
      <c r="I154" s="102">
        <v>44</v>
      </c>
      <c r="J154" s="102">
        <v>1007</v>
      </c>
      <c r="K154" s="98" t="s">
        <v>429</v>
      </c>
      <c r="L154" s="102">
        <v>12252</v>
      </c>
      <c r="M154" s="100">
        <f t="shared" si="15"/>
        <v>110.68875281617369</v>
      </c>
      <c r="N154" s="100">
        <v>4305.6499999999996</v>
      </c>
      <c r="O154" s="101">
        <f t="shared" si="16"/>
        <v>2.8455633876418198</v>
      </c>
      <c r="P154" s="101"/>
      <c r="Q154" s="89"/>
      <c r="R154" s="63"/>
      <c r="S154" s="63"/>
      <c r="T154" s="63"/>
      <c r="U154" s="63"/>
      <c r="V154" s="63"/>
      <c r="W154" s="63"/>
      <c r="X154" s="63"/>
      <c r="Y154" s="63"/>
      <c r="Z154" s="63"/>
    </row>
    <row r="155" spans="1:26" ht="17.25" customHeight="1" x14ac:dyDescent="0.2">
      <c r="A155" s="94">
        <v>704</v>
      </c>
      <c r="B155" s="95" t="s">
        <v>33</v>
      </c>
      <c r="C155" s="95" t="s">
        <v>99</v>
      </c>
      <c r="D155" s="96">
        <v>295.50200000000001</v>
      </c>
      <c r="E155" s="102">
        <v>1554</v>
      </c>
      <c r="F155" s="96">
        <f t="shared" si="14"/>
        <v>294.65572479999997</v>
      </c>
      <c r="G155" s="98" t="s">
        <v>713</v>
      </c>
      <c r="H155" s="98" t="s">
        <v>714</v>
      </c>
      <c r="I155" s="102">
        <v>43</v>
      </c>
      <c r="J155" s="102">
        <v>881</v>
      </c>
      <c r="K155" s="98" t="s">
        <v>429</v>
      </c>
      <c r="L155" s="102">
        <v>12601</v>
      </c>
      <c r="M155" s="100">
        <f t="shared" si="15"/>
        <v>112.25417586887359</v>
      </c>
      <c r="N155" s="100">
        <v>3820.94</v>
      </c>
      <c r="O155" s="101">
        <f t="shared" si="16"/>
        <v>3.2978795793705213</v>
      </c>
      <c r="P155" s="101"/>
      <c r="Q155" s="89"/>
      <c r="R155" s="63"/>
      <c r="S155" s="63"/>
      <c r="T155" s="63"/>
      <c r="U155" s="63"/>
      <c r="V155" s="63"/>
      <c r="W155" s="63"/>
      <c r="X155" s="63"/>
      <c r="Y155" s="63"/>
      <c r="Z155" s="63"/>
    </row>
    <row r="156" spans="1:26" ht="17.25" customHeight="1" x14ac:dyDescent="0.2">
      <c r="A156" s="94">
        <v>705</v>
      </c>
      <c r="B156" s="95" t="s">
        <v>33</v>
      </c>
      <c r="C156" s="95" t="s">
        <v>99</v>
      </c>
      <c r="D156" s="96">
        <v>300.48399999999998</v>
      </c>
      <c r="E156" s="102">
        <v>1554</v>
      </c>
      <c r="F156" s="96">
        <f t="shared" si="14"/>
        <v>299.60434539999994</v>
      </c>
      <c r="G156" s="98" t="s">
        <v>715</v>
      </c>
      <c r="H156" s="98" t="s">
        <v>716</v>
      </c>
      <c r="I156" s="102">
        <v>42</v>
      </c>
      <c r="J156" s="102">
        <v>1133</v>
      </c>
      <c r="K156" s="98" t="s">
        <v>429</v>
      </c>
      <c r="L156" s="102">
        <v>16955</v>
      </c>
      <c r="M156" s="100">
        <f t="shared" si="15"/>
        <v>130.21136663133521</v>
      </c>
      <c r="N156" s="100">
        <v>4298.08</v>
      </c>
      <c r="O156" s="101">
        <f t="shared" si="16"/>
        <v>3.9447846480288873</v>
      </c>
      <c r="P156" s="101"/>
      <c r="Q156" s="89"/>
      <c r="R156" s="63"/>
      <c r="S156" s="63"/>
      <c r="T156" s="63"/>
      <c r="U156" s="63"/>
      <c r="V156" s="63"/>
      <c r="W156" s="63"/>
      <c r="X156" s="63"/>
      <c r="Y156" s="63"/>
      <c r="Z156" s="63"/>
    </row>
    <row r="157" spans="1:26" ht="17.25" customHeight="1" x14ac:dyDescent="0.2">
      <c r="A157" s="94">
        <v>706</v>
      </c>
      <c r="B157" s="95" t="s">
        <v>120</v>
      </c>
      <c r="C157" s="95" t="s">
        <v>99</v>
      </c>
      <c r="D157" s="96"/>
      <c r="E157" s="97"/>
      <c r="F157" s="96">
        <f t="shared" si="14"/>
        <v>-0.41</v>
      </c>
      <c r="G157" s="98"/>
      <c r="H157" s="98"/>
      <c r="I157" s="99"/>
      <c r="J157" s="97"/>
      <c r="K157" s="98" t="s">
        <v>429</v>
      </c>
      <c r="L157" s="97"/>
      <c r="M157" s="100">
        <f t="shared" si="15"/>
        <v>0</v>
      </c>
      <c r="N157" s="99"/>
      <c r="O157" s="103" t="e">
        <f t="shared" si="16"/>
        <v>#DIV/0!</v>
      </c>
      <c r="P157" s="101"/>
      <c r="Q157" s="89" t="s">
        <v>717</v>
      </c>
      <c r="R157" s="63"/>
      <c r="S157" s="63"/>
      <c r="T157" s="63"/>
      <c r="U157" s="63"/>
      <c r="V157" s="63"/>
      <c r="W157" s="63"/>
      <c r="X157" s="63"/>
      <c r="Y157" s="63"/>
      <c r="Z157" s="63"/>
    </row>
    <row r="158" spans="1:26" ht="17.25" customHeight="1" x14ac:dyDescent="0.2">
      <c r="A158" s="94">
        <v>707</v>
      </c>
      <c r="B158" s="95" t="s">
        <v>9</v>
      </c>
      <c r="C158" s="95" t="s">
        <v>99</v>
      </c>
      <c r="D158" s="96">
        <v>305.46499999999997</v>
      </c>
      <c r="E158" s="102">
        <v>1554</v>
      </c>
      <c r="F158" s="96">
        <f t="shared" si="14"/>
        <v>304.55197269999991</v>
      </c>
      <c r="G158" s="98" t="s">
        <v>718</v>
      </c>
      <c r="H158" s="98" t="s">
        <v>719</v>
      </c>
      <c r="I158" s="102">
        <v>42</v>
      </c>
      <c r="J158" s="102">
        <v>1007</v>
      </c>
      <c r="K158" s="98" t="s">
        <v>429</v>
      </c>
      <c r="L158" s="102">
        <v>20873</v>
      </c>
      <c r="M158" s="100">
        <f t="shared" si="15"/>
        <v>144.4749113168096</v>
      </c>
      <c r="N158" s="100">
        <v>4243.37</v>
      </c>
      <c r="O158" s="101">
        <f t="shared" si="16"/>
        <v>4.9189677072704008</v>
      </c>
      <c r="P158" s="101"/>
      <c r="Q158" s="89"/>
      <c r="R158" s="63"/>
      <c r="S158" s="63"/>
      <c r="T158" s="63"/>
      <c r="U158" s="63"/>
      <c r="V158" s="63"/>
      <c r="W158" s="63"/>
      <c r="X158" s="63"/>
      <c r="Y158" s="63"/>
      <c r="Z158" s="63"/>
    </row>
    <row r="159" spans="1:26" ht="17.25" customHeight="1" x14ac:dyDescent="0.2">
      <c r="A159" s="94">
        <v>708</v>
      </c>
      <c r="B159" s="95" t="s">
        <v>9</v>
      </c>
      <c r="C159" s="95" t="s">
        <v>99</v>
      </c>
      <c r="D159" s="96">
        <v>310.44099999999997</v>
      </c>
      <c r="E159" s="102">
        <v>1554</v>
      </c>
      <c r="F159" s="96">
        <f t="shared" si="14"/>
        <v>309.49463349999991</v>
      </c>
      <c r="G159" s="98" t="s">
        <v>720</v>
      </c>
      <c r="H159" s="98" t="s">
        <v>721</v>
      </c>
      <c r="I159" s="102">
        <v>41</v>
      </c>
      <c r="J159" s="102">
        <v>1510</v>
      </c>
      <c r="K159" s="98" t="s">
        <v>429</v>
      </c>
      <c r="L159" s="102">
        <v>26520</v>
      </c>
      <c r="M159" s="100">
        <f t="shared" si="15"/>
        <v>162.84962388657826</v>
      </c>
      <c r="N159" s="100">
        <v>4166.32</v>
      </c>
      <c r="O159" s="101">
        <f t="shared" si="16"/>
        <v>6.3653295954223399</v>
      </c>
      <c r="P159" s="101"/>
      <c r="Q159" s="89"/>
      <c r="R159" s="63"/>
      <c r="S159" s="63"/>
      <c r="T159" s="63"/>
      <c r="U159" s="63"/>
      <c r="V159" s="63"/>
      <c r="W159" s="63"/>
      <c r="X159" s="63"/>
      <c r="Y159" s="63"/>
      <c r="Z159" s="63"/>
    </row>
    <row r="160" spans="1:26" ht="17.25" customHeight="1" x14ac:dyDescent="0.2">
      <c r="A160" s="94">
        <v>709</v>
      </c>
      <c r="B160" s="95" t="s">
        <v>9</v>
      </c>
      <c r="C160" s="95" t="s">
        <v>99</v>
      </c>
      <c r="D160" s="96">
        <v>315.42200000000003</v>
      </c>
      <c r="E160" s="102">
        <v>1554</v>
      </c>
      <c r="F160" s="96">
        <f t="shared" si="14"/>
        <v>314.44226079999999</v>
      </c>
      <c r="G160" s="98" t="s">
        <v>722</v>
      </c>
      <c r="H160" s="98" t="s">
        <v>723</v>
      </c>
      <c r="I160" s="102">
        <v>39</v>
      </c>
      <c r="J160" s="102">
        <v>1133</v>
      </c>
      <c r="K160" s="98" t="s">
        <v>429</v>
      </c>
      <c r="L160" s="102">
        <v>37848</v>
      </c>
      <c r="M160" s="100">
        <f t="shared" si="15"/>
        <v>194.54562446891475</v>
      </c>
      <c r="N160" s="100">
        <v>4336.67</v>
      </c>
      <c r="O160" s="101">
        <f t="shared" si="16"/>
        <v>8.7274337221877616</v>
      </c>
      <c r="P160" s="101"/>
      <c r="Q160" s="89"/>
      <c r="R160" s="63"/>
      <c r="S160" s="63"/>
      <c r="T160" s="63"/>
      <c r="U160" s="63"/>
      <c r="V160" s="63"/>
      <c r="W160" s="63"/>
      <c r="X160" s="63"/>
      <c r="Y160" s="63"/>
      <c r="Z160" s="63"/>
    </row>
    <row r="161" spans="1:26" ht="17.25" customHeight="1" x14ac:dyDescent="0.2">
      <c r="A161" s="94">
        <v>710</v>
      </c>
      <c r="B161" s="95" t="s">
        <v>157</v>
      </c>
      <c r="C161" s="95" t="s">
        <v>99</v>
      </c>
      <c r="D161" s="96">
        <v>270.60000000000002</v>
      </c>
      <c r="E161" s="102">
        <v>2909</v>
      </c>
      <c r="F161" s="96">
        <f t="shared" si="14"/>
        <v>271.26648969999997</v>
      </c>
      <c r="G161" s="98" t="s">
        <v>724</v>
      </c>
      <c r="H161" s="98" t="s">
        <v>725</v>
      </c>
      <c r="I161" s="102">
        <v>294</v>
      </c>
      <c r="J161" s="102">
        <v>768204</v>
      </c>
      <c r="K161" s="98" t="s">
        <v>429</v>
      </c>
      <c r="L161" s="102">
        <v>49447256</v>
      </c>
      <c r="M161" s="100">
        <f t="shared" si="15"/>
        <v>7031.8742878410449</v>
      </c>
      <c r="N161" s="100">
        <v>24306232.890000001</v>
      </c>
      <c r="O161" s="101">
        <f t="shared" si="16"/>
        <v>2.0343446976657353</v>
      </c>
      <c r="P161" s="101"/>
      <c r="Q161" s="89"/>
      <c r="R161" s="63"/>
      <c r="S161" s="63"/>
      <c r="T161" s="63"/>
      <c r="U161" s="63"/>
      <c r="V161" s="63"/>
      <c r="W161" s="63"/>
      <c r="X161" s="63"/>
      <c r="Y161" s="63"/>
      <c r="Z161" s="63"/>
    </row>
    <row r="162" spans="1:26" ht="17.25" customHeight="1" x14ac:dyDescent="0.2">
      <c r="A162" s="94">
        <v>711</v>
      </c>
      <c r="B162" s="95" t="s">
        <v>334</v>
      </c>
      <c r="C162" s="95" t="s">
        <v>99</v>
      </c>
      <c r="D162" s="96">
        <v>330.37400000000002</v>
      </c>
      <c r="E162" s="102">
        <v>1457</v>
      </c>
      <c r="F162" s="96">
        <f t="shared" si="14"/>
        <v>329.19773229999998</v>
      </c>
      <c r="G162" s="98" t="s">
        <v>726</v>
      </c>
      <c r="H162" s="98" t="s">
        <v>725</v>
      </c>
      <c r="I162" s="102">
        <v>50</v>
      </c>
      <c r="J162" s="102">
        <v>1888</v>
      </c>
      <c r="K162" s="98" t="s">
        <v>429</v>
      </c>
      <c r="L162" s="102">
        <v>1404</v>
      </c>
      <c r="M162" s="100">
        <f t="shared" si="15"/>
        <v>37.469987990390386</v>
      </c>
      <c r="N162" s="100">
        <v>8439.2000000000007</v>
      </c>
      <c r="O162" s="101">
        <f t="shared" si="16"/>
        <v>0.16636648023509337</v>
      </c>
      <c r="P162" s="101"/>
      <c r="Q162" s="89" t="s">
        <v>727</v>
      </c>
      <c r="R162" s="63"/>
      <c r="S162" s="63"/>
      <c r="T162" s="63"/>
      <c r="U162" s="63"/>
      <c r="V162" s="63"/>
      <c r="W162" s="63"/>
      <c r="X162" s="63"/>
      <c r="Y162" s="63"/>
      <c r="Z162" s="63"/>
    </row>
    <row r="163" spans="1:26" ht="17.25" customHeight="1" x14ac:dyDescent="0.2">
      <c r="A163" s="94">
        <v>712</v>
      </c>
      <c r="B163" s="95" t="s">
        <v>334</v>
      </c>
      <c r="C163" s="95" t="s">
        <v>99</v>
      </c>
      <c r="D163" s="96">
        <v>333.36200000000002</v>
      </c>
      <c r="E163" s="102">
        <v>1457</v>
      </c>
      <c r="F163" s="96">
        <f t="shared" si="14"/>
        <v>332.16571269999997</v>
      </c>
      <c r="G163" s="98" t="s">
        <v>728</v>
      </c>
      <c r="H163" s="98" t="s">
        <v>729</v>
      </c>
      <c r="I163" s="102">
        <v>50</v>
      </c>
      <c r="J163" s="102">
        <v>881</v>
      </c>
      <c r="K163" s="98" t="s">
        <v>429</v>
      </c>
      <c r="L163" s="102">
        <v>1284</v>
      </c>
      <c r="M163" s="100">
        <f t="shared" si="15"/>
        <v>35.832945734337834</v>
      </c>
      <c r="N163" s="102">
        <v>4515</v>
      </c>
      <c r="O163" s="101">
        <f t="shared" si="16"/>
        <v>0.28438538205980068</v>
      </c>
      <c r="P163" s="101"/>
      <c r="Q163" s="89"/>
      <c r="R163" s="63"/>
      <c r="S163" s="63"/>
      <c r="T163" s="63"/>
      <c r="U163" s="63"/>
      <c r="V163" s="63"/>
      <c r="W163" s="63"/>
      <c r="X163" s="63"/>
      <c r="Y163" s="63"/>
      <c r="Z163" s="63"/>
    </row>
    <row r="164" spans="1:26" ht="17.25" customHeight="1" x14ac:dyDescent="0.2">
      <c r="A164" s="94">
        <v>713</v>
      </c>
      <c r="B164" s="95" t="s">
        <v>334</v>
      </c>
      <c r="C164" s="95" t="s">
        <v>99</v>
      </c>
      <c r="D164" s="96">
        <v>336.34300000000002</v>
      </c>
      <c r="E164" s="102">
        <v>1457</v>
      </c>
      <c r="F164" s="96">
        <f t="shared" ref="F164:F180" si="17">0.9933*(D164+E164/1000)-0.41</f>
        <v>335.12673999999998</v>
      </c>
      <c r="G164" s="98" t="s">
        <v>730</v>
      </c>
      <c r="H164" s="98" t="s">
        <v>731</v>
      </c>
      <c r="I164" s="102">
        <v>50</v>
      </c>
      <c r="J164" s="102">
        <v>881</v>
      </c>
      <c r="K164" s="98" t="s">
        <v>429</v>
      </c>
      <c r="L164" s="102">
        <v>2095</v>
      </c>
      <c r="M164" s="100">
        <f t="shared" si="15"/>
        <v>45.77116996538323</v>
      </c>
      <c r="N164" s="100">
        <v>4433.8599999999997</v>
      </c>
      <c r="O164" s="101">
        <f t="shared" si="16"/>
        <v>0.47250025936768419</v>
      </c>
      <c r="P164" s="101"/>
      <c r="Q164" s="89"/>
      <c r="R164" s="63"/>
      <c r="S164" s="63"/>
      <c r="T164" s="63"/>
      <c r="U164" s="63"/>
      <c r="V164" s="63"/>
      <c r="W164" s="63"/>
      <c r="X164" s="63"/>
      <c r="Y164" s="63"/>
      <c r="Z164" s="63"/>
    </row>
    <row r="165" spans="1:26" ht="17.25" customHeight="1" x14ac:dyDescent="0.2">
      <c r="A165" s="94">
        <v>714</v>
      </c>
      <c r="B165" s="95" t="s">
        <v>334</v>
      </c>
      <c r="C165" s="95" t="s">
        <v>99</v>
      </c>
      <c r="D165" s="96">
        <v>339.33699999999999</v>
      </c>
      <c r="E165" s="102">
        <v>1459</v>
      </c>
      <c r="F165" s="96">
        <f t="shared" si="17"/>
        <v>338.10266679999995</v>
      </c>
      <c r="G165" s="98" t="s">
        <v>732</v>
      </c>
      <c r="H165" s="98" t="s">
        <v>733</v>
      </c>
      <c r="I165" s="102">
        <v>50</v>
      </c>
      <c r="J165" s="102">
        <v>881</v>
      </c>
      <c r="K165" s="98" t="s">
        <v>429</v>
      </c>
      <c r="L165" s="102">
        <v>4562</v>
      </c>
      <c r="M165" s="100">
        <f t="shared" si="15"/>
        <v>67.542579163073128</v>
      </c>
      <c r="N165" s="100">
        <v>4301.95</v>
      </c>
      <c r="O165" s="101">
        <f t="shared" si="16"/>
        <v>1.060449331117284</v>
      </c>
      <c r="P165" s="101"/>
      <c r="Q165" s="89"/>
      <c r="R165" s="63"/>
      <c r="S165" s="63"/>
      <c r="T165" s="63"/>
      <c r="U165" s="63"/>
      <c r="V165" s="63"/>
      <c r="W165" s="63"/>
      <c r="X165" s="63"/>
      <c r="Y165" s="63"/>
      <c r="Z165" s="63"/>
    </row>
    <row r="166" spans="1:26" ht="17.25" customHeight="1" x14ac:dyDescent="0.2">
      <c r="A166" s="94">
        <v>715</v>
      </c>
      <c r="B166" s="95" t="s">
        <v>334</v>
      </c>
      <c r="C166" s="95" t="s">
        <v>99</v>
      </c>
      <c r="D166" s="96">
        <v>340.33800000000002</v>
      </c>
      <c r="E166" s="102">
        <v>1457</v>
      </c>
      <c r="F166" s="96">
        <f t="shared" si="17"/>
        <v>339.09497349999998</v>
      </c>
      <c r="G166" s="98" t="s">
        <v>734</v>
      </c>
      <c r="H166" s="98" t="s">
        <v>735</v>
      </c>
      <c r="I166" s="102">
        <v>49</v>
      </c>
      <c r="J166" s="102">
        <v>1510</v>
      </c>
      <c r="K166" s="98" t="s">
        <v>429</v>
      </c>
      <c r="L166" s="102">
        <v>12206</v>
      </c>
      <c r="M166" s="100">
        <f t="shared" si="15"/>
        <v>110.48076755707302</v>
      </c>
      <c r="N166" s="100">
        <v>7558.73</v>
      </c>
      <c r="O166" s="101">
        <f t="shared" si="16"/>
        <v>1.6148215374805028</v>
      </c>
      <c r="P166" s="101"/>
      <c r="Q166" s="89"/>
      <c r="R166" s="63"/>
      <c r="S166" s="63"/>
      <c r="T166" s="63"/>
      <c r="U166" s="63"/>
      <c r="V166" s="63"/>
      <c r="W166" s="63"/>
      <c r="X166" s="63"/>
      <c r="Y166" s="63"/>
      <c r="Z166" s="63"/>
    </row>
    <row r="167" spans="1:26" ht="17.25" customHeight="1" x14ac:dyDescent="0.2">
      <c r="A167" s="94">
        <v>716</v>
      </c>
      <c r="B167" s="95" t="s">
        <v>334</v>
      </c>
      <c r="C167" s="95" t="s">
        <v>99</v>
      </c>
      <c r="D167" s="96">
        <v>342.32499999999999</v>
      </c>
      <c r="E167" s="102">
        <v>1457</v>
      </c>
      <c r="F167" s="96">
        <f t="shared" si="17"/>
        <v>341.06866059999993</v>
      </c>
      <c r="G167" s="98" t="s">
        <v>736</v>
      </c>
      <c r="H167" s="98" t="s">
        <v>737</v>
      </c>
      <c r="I167" s="102">
        <v>50</v>
      </c>
      <c r="J167" s="102">
        <v>1888</v>
      </c>
      <c r="K167" s="98" t="s">
        <v>429</v>
      </c>
      <c r="L167" s="102">
        <v>48073</v>
      </c>
      <c r="M167" s="100">
        <f t="shared" ref="M167:M180" si="18">SQRT(L167)</f>
        <v>219.25555865245468</v>
      </c>
      <c r="N167" s="100">
        <v>9479.2000000000007</v>
      </c>
      <c r="O167" s="101">
        <f t="shared" ref="O167:O180" si="19">L167/N167</f>
        <v>5.0714195290741833</v>
      </c>
      <c r="P167" s="101"/>
      <c r="Q167" s="89"/>
      <c r="R167" s="63"/>
      <c r="S167" s="63"/>
      <c r="T167" s="63"/>
      <c r="U167" s="63"/>
      <c r="V167" s="63"/>
      <c r="W167" s="63"/>
      <c r="X167" s="63"/>
      <c r="Y167" s="63"/>
      <c r="Z167" s="63"/>
    </row>
    <row r="168" spans="1:26" ht="17.25" customHeight="1" x14ac:dyDescent="0.2">
      <c r="A168" s="94">
        <v>717</v>
      </c>
      <c r="B168" s="95" t="s">
        <v>334</v>
      </c>
      <c r="C168" s="95" t="s">
        <v>99</v>
      </c>
      <c r="D168" s="96">
        <v>345.31299999999999</v>
      </c>
      <c r="E168" s="102">
        <v>1457</v>
      </c>
      <c r="F168" s="96">
        <f t="shared" si="17"/>
        <v>344.03664099999992</v>
      </c>
      <c r="G168" s="98" t="s">
        <v>738</v>
      </c>
      <c r="H168" s="98" t="s">
        <v>739</v>
      </c>
      <c r="I168" s="102">
        <v>49</v>
      </c>
      <c r="J168" s="102">
        <v>2391</v>
      </c>
      <c r="K168" s="98" t="s">
        <v>429</v>
      </c>
      <c r="L168" s="102">
        <v>122642</v>
      </c>
      <c r="M168" s="100">
        <f t="shared" si="18"/>
        <v>350.202798389733</v>
      </c>
      <c r="N168" s="100">
        <v>11471.13</v>
      </c>
      <c r="O168" s="101">
        <f t="shared" si="19"/>
        <v>10.691361705429195</v>
      </c>
      <c r="P168" s="101"/>
      <c r="Q168" s="89"/>
      <c r="R168" s="63"/>
      <c r="S168" s="63"/>
      <c r="T168" s="63"/>
      <c r="U168" s="63"/>
      <c r="V168" s="63"/>
      <c r="W168" s="63"/>
      <c r="X168" s="63"/>
      <c r="Y168" s="63"/>
      <c r="Z168" s="63"/>
    </row>
    <row r="169" spans="1:26" ht="17.25" customHeight="1" x14ac:dyDescent="0.2">
      <c r="A169" s="94">
        <v>718</v>
      </c>
      <c r="B169" s="95" t="s">
        <v>334</v>
      </c>
      <c r="C169" s="95" t="s">
        <v>99</v>
      </c>
      <c r="D169" s="96">
        <v>348.30099999999999</v>
      </c>
      <c r="E169" s="102">
        <v>1457</v>
      </c>
      <c r="F169" s="96">
        <f t="shared" si="17"/>
        <v>347.00462139999996</v>
      </c>
      <c r="G169" s="98" t="s">
        <v>740</v>
      </c>
      <c r="H169" s="98" t="s">
        <v>741</v>
      </c>
      <c r="I169" s="102">
        <v>48</v>
      </c>
      <c r="J169" s="102">
        <v>2014</v>
      </c>
      <c r="K169" s="98" t="s">
        <v>429</v>
      </c>
      <c r="L169" s="102">
        <v>118860</v>
      </c>
      <c r="M169" s="100">
        <f t="shared" si="18"/>
        <v>344.76078663328286</v>
      </c>
      <c r="N169" s="100">
        <v>9922.51</v>
      </c>
      <c r="O169" s="101">
        <f t="shared" si="19"/>
        <v>11.978823906451089</v>
      </c>
      <c r="P169" s="101"/>
      <c r="Q169" s="89"/>
      <c r="R169" s="63"/>
      <c r="S169" s="63"/>
      <c r="T169" s="63"/>
      <c r="U169" s="63"/>
      <c r="V169" s="63"/>
      <c r="W169" s="63"/>
      <c r="X169" s="63"/>
      <c r="Y169" s="63"/>
      <c r="Z169" s="63"/>
    </row>
    <row r="170" spans="1:26" ht="17.25" customHeight="1" x14ac:dyDescent="0.2">
      <c r="A170" s="94">
        <v>719</v>
      </c>
      <c r="B170" s="95" t="s">
        <v>334</v>
      </c>
      <c r="C170" s="95" t="s">
        <v>99</v>
      </c>
      <c r="D170" s="96">
        <v>350.30099999999999</v>
      </c>
      <c r="E170" s="102">
        <v>1457</v>
      </c>
      <c r="F170" s="96">
        <f t="shared" si="17"/>
        <v>348.99122139999992</v>
      </c>
      <c r="G170" s="98" t="s">
        <v>742</v>
      </c>
      <c r="H170" s="98" t="s">
        <v>743</v>
      </c>
      <c r="I170" s="102">
        <v>48</v>
      </c>
      <c r="J170" s="102">
        <v>1133</v>
      </c>
      <c r="K170" s="98" t="s">
        <v>429</v>
      </c>
      <c r="L170" s="102">
        <v>70752</v>
      </c>
      <c r="M170" s="100">
        <f t="shared" si="18"/>
        <v>265.99248109674079</v>
      </c>
      <c r="N170" s="100">
        <v>5501.06</v>
      </c>
      <c r="O170" s="101">
        <f t="shared" si="19"/>
        <v>12.861521234089428</v>
      </c>
      <c r="P170" s="101"/>
      <c r="Q170" s="89"/>
      <c r="R170" s="63"/>
      <c r="S170" s="63"/>
      <c r="T170" s="63"/>
      <c r="U170" s="63"/>
      <c r="V170" s="63"/>
      <c r="W170" s="63"/>
      <c r="X170" s="63"/>
      <c r="Y170" s="63"/>
      <c r="Z170" s="63"/>
    </row>
    <row r="171" spans="1:26" ht="17.25" customHeight="1" x14ac:dyDescent="0.2">
      <c r="A171" s="94">
        <v>720</v>
      </c>
      <c r="B171" s="95" t="s">
        <v>334</v>
      </c>
      <c r="C171" s="95" t="s">
        <v>99</v>
      </c>
      <c r="D171" s="96">
        <v>360.26499999999999</v>
      </c>
      <c r="E171" s="102">
        <v>1457</v>
      </c>
      <c r="F171" s="96">
        <f t="shared" si="17"/>
        <v>358.88846259999997</v>
      </c>
      <c r="G171" s="98" t="s">
        <v>744</v>
      </c>
      <c r="H171" s="98" t="s">
        <v>745</v>
      </c>
      <c r="I171" s="102">
        <v>48</v>
      </c>
      <c r="J171" s="102">
        <v>1133</v>
      </c>
      <c r="K171" s="98" t="s">
        <v>429</v>
      </c>
      <c r="L171" s="102">
        <v>66774</v>
      </c>
      <c r="M171" s="100">
        <f t="shared" si="18"/>
        <v>258.40665626101816</v>
      </c>
      <c r="N171" s="100">
        <v>5302.28</v>
      </c>
      <c r="O171" s="101">
        <f t="shared" si="19"/>
        <v>12.593450364748751</v>
      </c>
      <c r="P171" s="101"/>
      <c r="Q171" s="89"/>
      <c r="R171" s="63"/>
      <c r="S171" s="63"/>
      <c r="T171" s="63"/>
      <c r="U171" s="63"/>
      <c r="V171" s="63"/>
      <c r="W171" s="63"/>
      <c r="X171" s="63"/>
      <c r="Y171" s="63"/>
      <c r="Z171" s="63"/>
    </row>
    <row r="172" spans="1:26" ht="17.25" customHeight="1" x14ac:dyDescent="0.2">
      <c r="A172" s="94">
        <v>721</v>
      </c>
      <c r="B172" s="95" t="s">
        <v>334</v>
      </c>
      <c r="C172" s="95" t="s">
        <v>99</v>
      </c>
      <c r="D172" s="96">
        <v>370.22199999999998</v>
      </c>
      <c r="E172" s="102">
        <v>1457</v>
      </c>
      <c r="F172" s="96">
        <f t="shared" si="17"/>
        <v>368.77875069999993</v>
      </c>
      <c r="G172" s="98" t="s">
        <v>746</v>
      </c>
      <c r="H172" s="98" t="s">
        <v>747</v>
      </c>
      <c r="I172" s="102">
        <v>49</v>
      </c>
      <c r="J172" s="102">
        <v>881</v>
      </c>
      <c r="K172" s="98" t="s">
        <v>429</v>
      </c>
      <c r="L172" s="102">
        <v>58104</v>
      </c>
      <c r="M172" s="100">
        <f t="shared" si="18"/>
        <v>241.047713119208</v>
      </c>
      <c r="N172" s="100">
        <v>4280.2299999999996</v>
      </c>
      <c r="O172" s="101">
        <f t="shared" si="19"/>
        <v>13.574971438450739</v>
      </c>
      <c r="P172" s="101"/>
      <c r="Q172" s="89"/>
      <c r="R172" s="63"/>
      <c r="S172" s="63"/>
      <c r="T172" s="63"/>
      <c r="U172" s="63"/>
      <c r="V172" s="63"/>
      <c r="W172" s="63"/>
      <c r="X172" s="63"/>
      <c r="Y172" s="63"/>
      <c r="Z172" s="63"/>
    </row>
    <row r="173" spans="1:26" ht="17.25" customHeight="1" x14ac:dyDescent="0.2">
      <c r="A173" s="94">
        <v>722</v>
      </c>
      <c r="B173" s="95" t="s">
        <v>334</v>
      </c>
      <c r="C173" s="95" t="s">
        <v>99</v>
      </c>
      <c r="D173" s="96">
        <v>380.185</v>
      </c>
      <c r="E173" s="102">
        <v>1457</v>
      </c>
      <c r="F173" s="96">
        <f t="shared" si="17"/>
        <v>378.67499859999998</v>
      </c>
      <c r="G173" s="98" t="s">
        <v>748</v>
      </c>
      <c r="H173" s="98" t="s">
        <v>749</v>
      </c>
      <c r="I173" s="102">
        <v>47</v>
      </c>
      <c r="J173" s="102">
        <v>2265</v>
      </c>
      <c r="K173" s="98" t="s">
        <v>429</v>
      </c>
      <c r="L173" s="102">
        <v>130439</v>
      </c>
      <c r="M173" s="100">
        <f t="shared" si="18"/>
        <v>361.16339792398674</v>
      </c>
      <c r="N173" s="100">
        <v>9750.24</v>
      </c>
      <c r="O173" s="101">
        <f t="shared" si="19"/>
        <v>13.378029669013277</v>
      </c>
      <c r="P173" s="101"/>
      <c r="Q173" s="89"/>
      <c r="R173" s="63"/>
      <c r="S173" s="63"/>
      <c r="T173" s="63"/>
      <c r="U173" s="63"/>
      <c r="V173" s="63"/>
      <c r="W173" s="63"/>
      <c r="X173" s="63"/>
      <c r="Y173" s="63"/>
      <c r="Z173" s="63"/>
    </row>
    <row r="174" spans="1:26" ht="17.25" customHeight="1" x14ac:dyDescent="0.2">
      <c r="A174" s="94">
        <v>723</v>
      </c>
      <c r="B174" s="95" t="s">
        <v>334</v>
      </c>
      <c r="C174" s="95" t="s">
        <v>99</v>
      </c>
      <c r="D174" s="96">
        <v>390.142</v>
      </c>
      <c r="E174" s="102">
        <v>1457</v>
      </c>
      <c r="F174" s="96">
        <f t="shared" si="17"/>
        <v>388.56528669999994</v>
      </c>
      <c r="G174" s="98" t="s">
        <v>750</v>
      </c>
      <c r="H174" s="98" t="s">
        <v>751</v>
      </c>
      <c r="I174" s="102">
        <v>46</v>
      </c>
      <c r="J174" s="102">
        <v>1133</v>
      </c>
      <c r="K174" s="98" t="s">
        <v>429</v>
      </c>
      <c r="L174" s="102">
        <v>74152</v>
      </c>
      <c r="M174" s="100">
        <f t="shared" si="18"/>
        <v>272.30864841205465</v>
      </c>
      <c r="N174" s="100">
        <v>5281.98</v>
      </c>
      <c r="O174" s="101">
        <f t="shared" si="19"/>
        <v>14.038674890855324</v>
      </c>
      <c r="P174" s="101"/>
      <c r="Q174" s="89"/>
      <c r="R174" s="63"/>
      <c r="S174" s="63"/>
      <c r="T174" s="63"/>
      <c r="U174" s="63"/>
      <c r="V174" s="63"/>
      <c r="W174" s="63"/>
      <c r="X174" s="63"/>
      <c r="Y174" s="63"/>
      <c r="Z174" s="63"/>
    </row>
    <row r="175" spans="1:26" ht="17.25" customHeight="1" x14ac:dyDescent="0.2">
      <c r="A175" s="94">
        <v>724</v>
      </c>
      <c r="B175" s="95" t="s">
        <v>334</v>
      </c>
      <c r="C175" s="95" t="s">
        <v>99</v>
      </c>
      <c r="D175" s="96">
        <v>398.11200000000002</v>
      </c>
      <c r="E175" s="102">
        <v>1457</v>
      </c>
      <c r="F175" s="96">
        <f t="shared" si="17"/>
        <v>396.48188769999996</v>
      </c>
      <c r="G175" s="98" t="s">
        <v>752</v>
      </c>
      <c r="H175" s="98" t="s">
        <v>753</v>
      </c>
      <c r="I175" s="102">
        <v>46</v>
      </c>
      <c r="J175" s="102">
        <v>1007</v>
      </c>
      <c r="K175" s="98" t="s">
        <v>429</v>
      </c>
      <c r="L175" s="102">
        <v>65154</v>
      </c>
      <c r="M175" s="100">
        <f t="shared" si="18"/>
        <v>255.25281585126538</v>
      </c>
      <c r="N175" s="100">
        <v>4735.96</v>
      </c>
      <c r="O175" s="101">
        <f t="shared" si="19"/>
        <v>13.757295247426077</v>
      </c>
      <c r="P175" s="101"/>
      <c r="Q175" s="89"/>
      <c r="R175" s="63"/>
      <c r="S175" s="63"/>
      <c r="T175" s="63"/>
      <c r="U175" s="63"/>
      <c r="V175" s="63"/>
      <c r="W175" s="63"/>
      <c r="X175" s="63"/>
      <c r="Y175" s="63"/>
      <c r="Z175" s="63"/>
    </row>
    <row r="176" spans="1:26" ht="17.25" customHeight="1" x14ac:dyDescent="0.2">
      <c r="A176" s="94">
        <v>725</v>
      </c>
      <c r="B176" s="95" t="s">
        <v>334</v>
      </c>
      <c r="C176" s="95" t="s">
        <v>99</v>
      </c>
      <c r="D176" s="96">
        <v>354.59199999999998</v>
      </c>
      <c r="E176" s="102">
        <v>1457</v>
      </c>
      <c r="F176" s="96">
        <f t="shared" si="17"/>
        <v>353.25347169999992</v>
      </c>
      <c r="G176" s="98" t="s">
        <v>754</v>
      </c>
      <c r="H176" s="98" t="s">
        <v>755</v>
      </c>
      <c r="I176" s="102">
        <v>45</v>
      </c>
      <c r="J176" s="102">
        <v>881</v>
      </c>
      <c r="K176" s="98" t="s">
        <v>429</v>
      </c>
      <c r="L176" s="102">
        <v>51170</v>
      </c>
      <c r="M176" s="100">
        <f t="shared" si="18"/>
        <v>226.20786900547913</v>
      </c>
      <c r="N176" s="100">
        <v>3793.43</v>
      </c>
      <c r="O176" s="101">
        <f t="shared" si="19"/>
        <v>13.489111437406253</v>
      </c>
      <c r="P176" s="101"/>
      <c r="Q176" s="89"/>
      <c r="R176" s="63"/>
      <c r="S176" s="63"/>
      <c r="T176" s="63"/>
      <c r="U176" s="63"/>
      <c r="V176" s="63"/>
      <c r="W176" s="63"/>
      <c r="X176" s="63"/>
      <c r="Y176" s="63"/>
      <c r="Z176" s="63"/>
    </row>
    <row r="177" spans="1:26" ht="17.25" customHeight="1" x14ac:dyDescent="0.2">
      <c r="A177" s="94">
        <v>726</v>
      </c>
      <c r="B177" s="95" t="s">
        <v>334</v>
      </c>
      <c r="C177" s="95" t="s">
        <v>99</v>
      </c>
      <c r="D177" s="96">
        <v>365.25299999999999</v>
      </c>
      <c r="E177" s="102">
        <v>1457</v>
      </c>
      <c r="F177" s="96">
        <f t="shared" si="17"/>
        <v>363.84304299999997</v>
      </c>
      <c r="G177" s="98" t="s">
        <v>756</v>
      </c>
      <c r="H177" s="98" t="s">
        <v>757</v>
      </c>
      <c r="I177" s="102">
        <v>49</v>
      </c>
      <c r="J177" s="102">
        <v>881</v>
      </c>
      <c r="K177" s="98" t="s">
        <v>429</v>
      </c>
      <c r="L177" s="102">
        <v>57937</v>
      </c>
      <c r="M177" s="100">
        <f t="shared" si="18"/>
        <v>240.7010594077226</v>
      </c>
      <c r="N177" s="100">
        <v>4447.46</v>
      </c>
      <c r="O177" s="101">
        <f t="shared" si="19"/>
        <v>13.026986189870174</v>
      </c>
      <c r="P177" s="101"/>
      <c r="Q177" s="89"/>
      <c r="R177" s="63"/>
      <c r="S177" s="63"/>
      <c r="T177" s="63"/>
      <c r="U177" s="63"/>
      <c r="V177" s="63"/>
      <c r="W177" s="63"/>
      <c r="X177" s="63"/>
      <c r="Y177" s="63"/>
      <c r="Z177" s="63"/>
    </row>
    <row r="178" spans="1:26" ht="17.25" customHeight="1" x14ac:dyDescent="0.2">
      <c r="A178" s="94">
        <v>727</v>
      </c>
      <c r="B178" s="95" t="s">
        <v>334</v>
      </c>
      <c r="C178" s="95" t="s">
        <v>99</v>
      </c>
      <c r="D178" s="96">
        <v>360.26499999999999</v>
      </c>
      <c r="E178" s="102">
        <v>1457</v>
      </c>
      <c r="F178" s="96">
        <f t="shared" si="17"/>
        <v>358.88846259999997</v>
      </c>
      <c r="G178" s="98" t="s">
        <v>758</v>
      </c>
      <c r="H178" s="98" t="s">
        <v>759</v>
      </c>
      <c r="I178" s="102">
        <v>48</v>
      </c>
      <c r="J178" s="102">
        <v>881</v>
      </c>
      <c r="K178" s="98" t="s">
        <v>429</v>
      </c>
      <c r="L178" s="102">
        <v>54790</v>
      </c>
      <c r="M178" s="100">
        <f t="shared" si="18"/>
        <v>234.07263829845641</v>
      </c>
      <c r="N178" s="100">
        <v>4255.82</v>
      </c>
      <c r="O178" s="101">
        <f t="shared" si="19"/>
        <v>12.874134714344123</v>
      </c>
      <c r="P178" s="101"/>
      <c r="Q178" s="89" t="s">
        <v>760</v>
      </c>
      <c r="R178" s="63"/>
      <c r="S178" s="63"/>
      <c r="T178" s="63"/>
      <c r="U178" s="63"/>
      <c r="V178" s="63"/>
      <c r="W178" s="63"/>
      <c r="X178" s="63"/>
      <c r="Y178" s="63"/>
      <c r="Z178" s="63"/>
    </row>
    <row r="179" spans="1:26" ht="17.25" customHeight="1" x14ac:dyDescent="0.2">
      <c r="A179" s="94">
        <v>728</v>
      </c>
      <c r="B179" s="95" t="s">
        <v>29</v>
      </c>
      <c r="C179" s="95" t="s">
        <v>100</v>
      </c>
      <c r="D179" s="96">
        <v>330.35399999999998</v>
      </c>
      <c r="E179" s="102">
        <v>1457</v>
      </c>
      <c r="F179" s="96">
        <f t="shared" si="17"/>
        <v>329.17786629999995</v>
      </c>
      <c r="G179" s="98" t="s">
        <v>761</v>
      </c>
      <c r="H179" s="98" t="s">
        <v>762</v>
      </c>
      <c r="I179" s="102">
        <v>47</v>
      </c>
      <c r="J179" s="102">
        <v>1510</v>
      </c>
      <c r="K179" s="98" t="s">
        <v>429</v>
      </c>
      <c r="L179" s="102">
        <v>1703</v>
      </c>
      <c r="M179" s="100">
        <f t="shared" si="18"/>
        <v>41.267420563926699</v>
      </c>
      <c r="N179" s="100">
        <v>7241.87</v>
      </c>
      <c r="O179" s="101">
        <f t="shared" si="19"/>
        <v>0.2351602555693488</v>
      </c>
      <c r="P179" s="101"/>
      <c r="Q179" s="89"/>
      <c r="R179" s="63"/>
      <c r="S179" s="63"/>
      <c r="T179" s="63"/>
      <c r="U179" s="63"/>
      <c r="V179" s="63"/>
      <c r="W179" s="63"/>
      <c r="X179" s="63"/>
      <c r="Y179" s="63"/>
      <c r="Z179" s="63"/>
    </row>
    <row r="180" spans="1:26" ht="17.25" customHeight="1" x14ac:dyDescent="0.2">
      <c r="A180" s="94">
        <v>729</v>
      </c>
      <c r="B180" s="95" t="s">
        <v>29</v>
      </c>
      <c r="C180" s="95" t="s">
        <v>100</v>
      </c>
      <c r="D180" s="96">
        <v>333.3</v>
      </c>
      <c r="E180" s="102">
        <v>1457</v>
      </c>
      <c r="F180" s="96">
        <f t="shared" si="17"/>
        <v>332.10412809999997</v>
      </c>
      <c r="G180" s="98"/>
      <c r="H180" s="98"/>
      <c r="I180" s="102">
        <v>47</v>
      </c>
      <c r="J180" s="102">
        <v>1385</v>
      </c>
      <c r="K180" s="98" t="s">
        <v>429</v>
      </c>
      <c r="L180" s="102">
        <v>2619</v>
      </c>
      <c r="M180" s="100">
        <f t="shared" si="18"/>
        <v>51.176166327695945</v>
      </c>
      <c r="N180" s="100">
        <v>6634.35</v>
      </c>
      <c r="O180" s="101">
        <f t="shared" si="19"/>
        <v>0.39476361663162174</v>
      </c>
      <c r="P180" s="101"/>
      <c r="Q180" s="89"/>
      <c r="R180" s="63"/>
      <c r="S180" s="63"/>
      <c r="T180" s="63"/>
      <c r="U180" s="63"/>
      <c r="V180" s="63"/>
      <c r="W180" s="63"/>
      <c r="X180" s="63"/>
      <c r="Y180" s="63"/>
      <c r="Z180" s="63"/>
    </row>
    <row r="181" spans="1:26" ht="17.25" customHeight="1" x14ac:dyDescent="0.2">
      <c r="A181" s="94">
        <v>730</v>
      </c>
      <c r="B181" s="95"/>
      <c r="C181" s="95"/>
      <c r="D181" s="96"/>
      <c r="E181" s="97"/>
      <c r="F181" s="96"/>
      <c r="G181" s="98"/>
      <c r="H181" s="98"/>
      <c r="I181" s="99"/>
      <c r="J181" s="97"/>
      <c r="K181" s="98"/>
      <c r="L181" s="97"/>
      <c r="M181" s="100"/>
      <c r="N181" s="99"/>
      <c r="O181" s="101"/>
      <c r="P181" s="101"/>
      <c r="Q181" s="89"/>
      <c r="R181" s="63"/>
      <c r="S181" s="63"/>
      <c r="T181" s="63"/>
      <c r="U181" s="63"/>
      <c r="V181" s="63"/>
      <c r="W181" s="63"/>
      <c r="X181" s="63"/>
      <c r="Y181" s="63"/>
      <c r="Z181" s="63"/>
    </row>
    <row r="182" spans="1:26" ht="17.25" customHeight="1" x14ac:dyDescent="0.2">
      <c r="A182" s="94">
        <v>731</v>
      </c>
      <c r="B182" s="95" t="s">
        <v>29</v>
      </c>
      <c r="C182" s="95" t="s">
        <v>100</v>
      </c>
      <c r="D182" s="96">
        <v>336.33600000000001</v>
      </c>
      <c r="E182" s="102">
        <v>1456</v>
      </c>
      <c r="F182" s="96">
        <f t="shared" ref="F182:F196" si="20">0.9933*(D182+E182/1000)-0.41</f>
        <v>335.1187936</v>
      </c>
      <c r="G182" s="98" t="s">
        <v>763</v>
      </c>
      <c r="H182" s="98" t="s">
        <v>764</v>
      </c>
      <c r="I182" s="102">
        <v>41</v>
      </c>
      <c r="J182" s="102">
        <v>2014</v>
      </c>
      <c r="K182" s="98" t="s">
        <v>429</v>
      </c>
      <c r="L182" s="102">
        <v>6976</v>
      </c>
      <c r="M182" s="100">
        <f t="shared" ref="M182:M196" si="21">SQRT(L182)</f>
        <v>83.522452071284405</v>
      </c>
      <c r="N182" s="100">
        <v>9024.5400000000009</v>
      </c>
      <c r="O182" s="101">
        <f t="shared" ref="O182:O196" si="22">L182/N182</f>
        <v>0.77300338853836315</v>
      </c>
      <c r="P182" s="101"/>
      <c r="Q182" s="89" t="s">
        <v>765</v>
      </c>
      <c r="R182" s="63"/>
      <c r="S182" s="63"/>
      <c r="T182" s="63"/>
      <c r="U182" s="63"/>
      <c r="V182" s="63"/>
      <c r="W182" s="63"/>
      <c r="X182" s="63"/>
      <c r="Y182" s="63"/>
      <c r="Z182" s="63"/>
    </row>
    <row r="183" spans="1:26" ht="17.25" customHeight="1" x14ac:dyDescent="0.2">
      <c r="A183" s="94">
        <v>732</v>
      </c>
      <c r="B183" s="95" t="s">
        <v>29</v>
      </c>
      <c r="C183" s="95" t="s">
        <v>100</v>
      </c>
      <c r="D183" s="96">
        <v>340.303</v>
      </c>
      <c r="E183" s="102">
        <v>1456</v>
      </c>
      <c r="F183" s="96">
        <f t="shared" si="20"/>
        <v>339.05921469999998</v>
      </c>
      <c r="G183" s="98" t="s">
        <v>766</v>
      </c>
      <c r="H183" s="98" t="s">
        <v>767</v>
      </c>
      <c r="I183" s="102">
        <v>46</v>
      </c>
      <c r="J183" s="102">
        <v>2140</v>
      </c>
      <c r="K183" s="98" t="s">
        <v>429</v>
      </c>
      <c r="L183" s="102">
        <v>34316</v>
      </c>
      <c r="M183" s="100">
        <f t="shared" si="21"/>
        <v>185.24578267804102</v>
      </c>
      <c r="N183" s="100">
        <v>10170.98</v>
      </c>
      <c r="O183" s="101">
        <f t="shared" si="22"/>
        <v>3.3739128382909023</v>
      </c>
      <c r="P183" s="101"/>
      <c r="Q183" s="89"/>
      <c r="R183" s="63"/>
      <c r="S183" s="63"/>
      <c r="T183" s="63"/>
      <c r="U183" s="63"/>
      <c r="V183" s="63"/>
      <c r="W183" s="63"/>
      <c r="X183" s="63"/>
      <c r="Y183" s="63"/>
      <c r="Z183" s="63"/>
    </row>
    <row r="184" spans="1:26" ht="17.25" customHeight="1" x14ac:dyDescent="0.2">
      <c r="A184" s="94">
        <v>733</v>
      </c>
      <c r="B184" s="95" t="s">
        <v>29</v>
      </c>
      <c r="C184" s="95" t="s">
        <v>100</v>
      </c>
      <c r="D184" s="96">
        <v>343.32600000000002</v>
      </c>
      <c r="E184" s="102">
        <v>1456</v>
      </c>
      <c r="F184" s="96">
        <f t="shared" si="20"/>
        <v>342.06196060000002</v>
      </c>
      <c r="G184" s="98" t="s">
        <v>768</v>
      </c>
      <c r="H184" s="98" t="s">
        <v>769</v>
      </c>
      <c r="I184" s="102">
        <v>47</v>
      </c>
      <c r="J184" s="102">
        <v>881</v>
      </c>
      <c r="K184" s="98" t="s">
        <v>429</v>
      </c>
      <c r="L184" s="102">
        <v>62291</v>
      </c>
      <c r="M184" s="100">
        <f t="shared" si="21"/>
        <v>249.58164996649893</v>
      </c>
      <c r="N184" s="100">
        <v>4043.56</v>
      </c>
      <c r="O184" s="101">
        <f t="shared" si="22"/>
        <v>15.404989662574563</v>
      </c>
      <c r="P184" s="101"/>
      <c r="Q184" s="89"/>
      <c r="R184" s="63"/>
      <c r="S184" s="63"/>
      <c r="T184" s="63"/>
      <c r="U184" s="63"/>
      <c r="V184" s="63"/>
      <c r="W184" s="63"/>
      <c r="X184" s="63"/>
      <c r="Y184" s="63"/>
      <c r="Z184" s="63"/>
    </row>
    <row r="185" spans="1:26" ht="17.25" customHeight="1" x14ac:dyDescent="0.2">
      <c r="A185" s="94">
        <v>734</v>
      </c>
      <c r="B185" s="95" t="s">
        <v>29</v>
      </c>
      <c r="C185" s="95" t="s">
        <v>100</v>
      </c>
      <c r="D185" s="96">
        <v>346.30700000000002</v>
      </c>
      <c r="E185" s="102">
        <v>1457</v>
      </c>
      <c r="F185" s="96">
        <f t="shared" si="20"/>
        <v>345.02398119999998</v>
      </c>
      <c r="G185" s="98" t="s">
        <v>770</v>
      </c>
      <c r="H185" s="98" t="s">
        <v>771</v>
      </c>
      <c r="I185" s="102">
        <v>46</v>
      </c>
      <c r="J185" s="102">
        <v>881</v>
      </c>
      <c r="K185" s="98" t="s">
        <v>429</v>
      </c>
      <c r="L185" s="102">
        <v>53906</v>
      </c>
      <c r="M185" s="100">
        <f t="shared" si="21"/>
        <v>232.17665688005761</v>
      </c>
      <c r="N185" s="100">
        <v>3137.44</v>
      </c>
      <c r="O185" s="101">
        <f t="shared" si="22"/>
        <v>17.181523790096385</v>
      </c>
      <c r="P185" s="101"/>
      <c r="Q185" s="89"/>
      <c r="R185" s="63"/>
      <c r="S185" s="63"/>
      <c r="T185" s="63"/>
      <c r="U185" s="63"/>
      <c r="V185" s="63"/>
      <c r="W185" s="63"/>
      <c r="X185" s="63"/>
      <c r="Y185" s="63"/>
      <c r="Z185" s="63"/>
    </row>
    <row r="186" spans="1:26" ht="17.25" customHeight="1" x14ac:dyDescent="0.2">
      <c r="A186" s="94">
        <v>735</v>
      </c>
      <c r="B186" s="95" t="s">
        <v>29</v>
      </c>
      <c r="C186" s="95" t="s">
        <v>100</v>
      </c>
      <c r="D186" s="96">
        <v>349.30099999999999</v>
      </c>
      <c r="E186" s="102">
        <v>1456</v>
      </c>
      <c r="F186" s="96">
        <f t="shared" si="20"/>
        <v>347.99692809999999</v>
      </c>
      <c r="G186" s="98" t="s">
        <v>772</v>
      </c>
      <c r="H186" s="98" t="s">
        <v>773</v>
      </c>
      <c r="I186" s="102">
        <v>45</v>
      </c>
      <c r="J186" s="102">
        <v>1133</v>
      </c>
      <c r="K186" s="98" t="s">
        <v>429</v>
      </c>
      <c r="L186" s="102">
        <v>72436</v>
      </c>
      <c r="M186" s="100">
        <f t="shared" si="21"/>
        <v>269.13936910084334</v>
      </c>
      <c r="N186" s="100">
        <v>4938.74</v>
      </c>
      <c r="O186" s="101">
        <f t="shared" si="22"/>
        <v>14.666898844644587</v>
      </c>
      <c r="P186" s="101"/>
      <c r="Q186" s="89"/>
      <c r="R186" s="63"/>
      <c r="S186" s="63"/>
      <c r="T186" s="63"/>
      <c r="U186" s="63"/>
      <c r="V186" s="63"/>
      <c r="W186" s="63"/>
      <c r="X186" s="63"/>
      <c r="Y186" s="63"/>
      <c r="Z186" s="63"/>
    </row>
    <row r="187" spans="1:26" ht="17.25" customHeight="1" x14ac:dyDescent="0.2">
      <c r="A187" s="94">
        <v>736</v>
      </c>
      <c r="B187" s="95" t="s">
        <v>29</v>
      </c>
      <c r="C187" s="95" t="s">
        <v>100</v>
      </c>
      <c r="D187" s="96">
        <v>343.81599999999997</v>
      </c>
      <c r="E187" s="102">
        <v>1457</v>
      </c>
      <c r="F187" s="96">
        <f t="shared" si="20"/>
        <v>342.54967089999991</v>
      </c>
      <c r="G187" s="98" t="s">
        <v>764</v>
      </c>
      <c r="H187" s="98" t="s">
        <v>774</v>
      </c>
      <c r="I187" s="102">
        <v>46</v>
      </c>
      <c r="J187" s="102">
        <v>881</v>
      </c>
      <c r="K187" s="98" t="s">
        <v>429</v>
      </c>
      <c r="L187" s="102">
        <v>68947</v>
      </c>
      <c r="M187" s="100">
        <f t="shared" si="21"/>
        <v>262.57760757536045</v>
      </c>
      <c r="N187" s="100">
        <v>4205.68</v>
      </c>
      <c r="O187" s="101">
        <f t="shared" si="22"/>
        <v>16.393781742785947</v>
      </c>
      <c r="P187" s="101"/>
      <c r="Q187" s="89"/>
      <c r="R187" s="63"/>
      <c r="S187" s="63"/>
      <c r="T187" s="63"/>
      <c r="U187" s="63"/>
      <c r="V187" s="63"/>
      <c r="W187" s="63"/>
      <c r="X187" s="63"/>
      <c r="Y187" s="63"/>
      <c r="Z187" s="63"/>
    </row>
    <row r="188" spans="1:26" ht="17.25" customHeight="1" x14ac:dyDescent="0.2">
      <c r="A188" s="94">
        <v>737</v>
      </c>
      <c r="B188" s="95" t="s">
        <v>29</v>
      </c>
      <c r="C188" s="95" t="s">
        <v>100</v>
      </c>
      <c r="D188" s="96">
        <v>338.84699999999998</v>
      </c>
      <c r="E188" s="102">
        <v>1456</v>
      </c>
      <c r="F188" s="96">
        <f t="shared" si="20"/>
        <v>337.61296989999994</v>
      </c>
      <c r="G188" s="98" t="s">
        <v>775</v>
      </c>
      <c r="H188" s="98" t="s">
        <v>776</v>
      </c>
      <c r="I188" s="102">
        <v>47</v>
      </c>
      <c r="J188" s="102">
        <v>755</v>
      </c>
      <c r="K188" s="98" t="s">
        <v>429</v>
      </c>
      <c r="L188" s="102">
        <v>6067</v>
      </c>
      <c r="M188" s="100">
        <f t="shared" si="21"/>
        <v>77.890949410056621</v>
      </c>
      <c r="N188" s="100">
        <v>3800.76</v>
      </c>
      <c r="O188" s="101">
        <f t="shared" si="22"/>
        <v>1.5962596954293351</v>
      </c>
      <c r="P188" s="101"/>
      <c r="Q188" s="89"/>
      <c r="R188" s="63"/>
      <c r="S188" s="63"/>
      <c r="T188" s="63"/>
      <c r="U188" s="63"/>
      <c r="V188" s="63"/>
      <c r="W188" s="63"/>
      <c r="X188" s="63"/>
      <c r="Y188" s="63"/>
      <c r="Z188" s="63"/>
    </row>
    <row r="189" spans="1:26" ht="17.25" customHeight="1" x14ac:dyDescent="0.2">
      <c r="A189" s="94">
        <v>738</v>
      </c>
      <c r="B189" s="95" t="s">
        <v>29</v>
      </c>
      <c r="C189" s="95" t="s">
        <v>100</v>
      </c>
      <c r="D189" s="96">
        <v>342.32499999999999</v>
      </c>
      <c r="E189" s="102">
        <v>1456</v>
      </c>
      <c r="F189" s="96">
        <f t="shared" si="20"/>
        <v>341.06766729999998</v>
      </c>
      <c r="G189" s="98" t="s">
        <v>777</v>
      </c>
      <c r="H189" s="98" t="s">
        <v>778</v>
      </c>
      <c r="I189" s="102">
        <v>45</v>
      </c>
      <c r="J189" s="102">
        <v>755</v>
      </c>
      <c r="K189" s="98" t="s">
        <v>429</v>
      </c>
      <c r="L189" s="102">
        <v>40849</v>
      </c>
      <c r="M189" s="100">
        <f t="shared" si="21"/>
        <v>202.11135544545735</v>
      </c>
      <c r="N189" s="100">
        <v>3420.23</v>
      </c>
      <c r="O189" s="101">
        <f t="shared" si="22"/>
        <v>11.94334883911316</v>
      </c>
      <c r="P189" s="101"/>
      <c r="Q189" s="89"/>
      <c r="R189" s="63"/>
      <c r="S189" s="63"/>
      <c r="T189" s="63"/>
      <c r="U189" s="63"/>
      <c r="V189" s="63"/>
      <c r="W189" s="63"/>
      <c r="X189" s="63"/>
      <c r="Y189" s="63"/>
      <c r="Z189" s="63"/>
    </row>
    <row r="190" spans="1:26" ht="17.25" customHeight="1" x14ac:dyDescent="0.2">
      <c r="A190" s="94">
        <v>739</v>
      </c>
      <c r="B190" s="95" t="s">
        <v>29</v>
      </c>
      <c r="C190" s="95" t="s">
        <v>100</v>
      </c>
      <c r="D190" s="96">
        <v>353.28899999999999</v>
      </c>
      <c r="E190" s="102">
        <v>1456</v>
      </c>
      <c r="F190" s="96">
        <f t="shared" si="20"/>
        <v>351.95820849999996</v>
      </c>
      <c r="G190" s="98" t="s">
        <v>779</v>
      </c>
      <c r="H190" s="98" t="s">
        <v>780</v>
      </c>
      <c r="I190" s="102">
        <v>45</v>
      </c>
      <c r="J190" s="102">
        <v>1385</v>
      </c>
      <c r="K190" s="98" t="s">
        <v>429</v>
      </c>
      <c r="L190" s="102">
        <v>58520</v>
      </c>
      <c r="M190" s="100">
        <f t="shared" si="21"/>
        <v>241.90907382733704</v>
      </c>
      <c r="N190" s="100">
        <v>5939.91</v>
      </c>
      <c r="O190" s="101">
        <f t="shared" si="22"/>
        <v>9.8520011245961641</v>
      </c>
      <c r="P190" s="101"/>
      <c r="Q190" s="89"/>
      <c r="R190" s="63"/>
      <c r="S190" s="63"/>
      <c r="T190" s="63"/>
      <c r="U190" s="63"/>
      <c r="V190" s="63"/>
      <c r="W190" s="63"/>
      <c r="X190" s="63"/>
      <c r="Y190" s="63"/>
      <c r="Z190" s="63"/>
    </row>
    <row r="191" spans="1:26" ht="17.25" customHeight="1" x14ac:dyDescent="0.2">
      <c r="A191" s="94">
        <v>740</v>
      </c>
      <c r="B191" s="95" t="s">
        <v>29</v>
      </c>
      <c r="C191" s="95" t="s">
        <v>100</v>
      </c>
      <c r="D191" s="96">
        <v>356.27699999999999</v>
      </c>
      <c r="E191" s="102">
        <v>1456</v>
      </c>
      <c r="F191" s="96">
        <f t="shared" si="20"/>
        <v>354.92618889999994</v>
      </c>
      <c r="G191" s="98" t="s">
        <v>781</v>
      </c>
      <c r="H191" s="98" t="s">
        <v>782</v>
      </c>
      <c r="I191" s="102">
        <v>45</v>
      </c>
      <c r="J191" s="102">
        <v>755</v>
      </c>
      <c r="K191" s="98" t="s">
        <v>429</v>
      </c>
      <c r="L191" s="102">
        <v>25002</v>
      </c>
      <c r="M191" s="100">
        <f t="shared" si="21"/>
        <v>158.12020743725324</v>
      </c>
      <c r="N191" s="100">
        <v>3432.58</v>
      </c>
      <c r="O191" s="101">
        <f t="shared" si="22"/>
        <v>7.2837341008803875</v>
      </c>
      <c r="P191" s="101"/>
      <c r="Q191" s="89"/>
      <c r="R191" s="63"/>
      <c r="S191" s="63"/>
      <c r="T191" s="63"/>
      <c r="U191" s="63"/>
      <c r="V191" s="63"/>
      <c r="W191" s="63"/>
      <c r="X191" s="63"/>
      <c r="Y191" s="63"/>
      <c r="Z191" s="63"/>
    </row>
    <row r="192" spans="1:26" ht="17.25" customHeight="1" x14ac:dyDescent="0.2">
      <c r="A192" s="94">
        <v>741</v>
      </c>
      <c r="B192" s="95" t="s">
        <v>29</v>
      </c>
      <c r="C192" s="95" t="s">
        <v>100</v>
      </c>
      <c r="D192" s="96">
        <v>359.26499999999999</v>
      </c>
      <c r="E192" s="102">
        <v>1457</v>
      </c>
      <c r="F192" s="96">
        <f t="shared" si="20"/>
        <v>357.89516259999994</v>
      </c>
      <c r="G192" s="98" t="s">
        <v>783</v>
      </c>
      <c r="H192" s="98" t="s">
        <v>784</v>
      </c>
      <c r="I192" s="102">
        <v>45</v>
      </c>
      <c r="J192" s="102">
        <v>1007</v>
      </c>
      <c r="K192" s="98" t="s">
        <v>429</v>
      </c>
      <c r="L192" s="102">
        <v>23762</v>
      </c>
      <c r="M192" s="100">
        <f t="shared" si="21"/>
        <v>154.14927829866735</v>
      </c>
      <c r="N192" s="100">
        <v>4384.59</v>
      </c>
      <c r="O192" s="101">
        <f t="shared" si="22"/>
        <v>5.4194348844475764</v>
      </c>
      <c r="P192" s="101"/>
      <c r="Q192" s="89"/>
      <c r="R192" s="63"/>
      <c r="S192" s="63"/>
      <c r="T192" s="63"/>
      <c r="U192" s="63"/>
      <c r="V192" s="63"/>
      <c r="W192" s="63"/>
      <c r="X192" s="63"/>
      <c r="Y192" s="63"/>
      <c r="Z192" s="63"/>
    </row>
    <row r="193" spans="1:26" ht="17.25" customHeight="1" x14ac:dyDescent="0.2">
      <c r="A193" s="94">
        <v>742</v>
      </c>
      <c r="B193" s="95" t="s">
        <v>29</v>
      </c>
      <c r="C193" s="95" t="s">
        <v>100</v>
      </c>
      <c r="D193" s="96">
        <v>364.25299999999999</v>
      </c>
      <c r="E193" s="102">
        <v>1457</v>
      </c>
      <c r="F193" s="96">
        <f t="shared" si="20"/>
        <v>362.84974299999993</v>
      </c>
      <c r="G193" s="98" t="s">
        <v>785</v>
      </c>
      <c r="H193" s="98" t="s">
        <v>786</v>
      </c>
      <c r="I193" s="102">
        <v>45</v>
      </c>
      <c r="J193" s="102">
        <v>755</v>
      </c>
      <c r="K193" s="98" t="s">
        <v>429</v>
      </c>
      <c r="L193" s="102">
        <v>12805</v>
      </c>
      <c r="M193" s="100">
        <f t="shared" si="21"/>
        <v>113.1591799192624</v>
      </c>
      <c r="N193" s="100">
        <v>3577.04</v>
      </c>
      <c r="O193" s="101">
        <f t="shared" si="22"/>
        <v>3.5797754568022722</v>
      </c>
      <c r="P193" s="101"/>
      <c r="Q193" s="89"/>
      <c r="R193" s="63"/>
      <c r="S193" s="63"/>
      <c r="T193" s="63"/>
      <c r="U193" s="63"/>
      <c r="V193" s="63"/>
      <c r="W193" s="63"/>
      <c r="X193" s="63"/>
      <c r="Y193" s="63"/>
      <c r="Z193" s="63"/>
    </row>
    <row r="194" spans="1:26" ht="17.25" customHeight="1" x14ac:dyDescent="0.2">
      <c r="A194" s="94">
        <v>743</v>
      </c>
      <c r="B194" s="95" t="s">
        <v>29</v>
      </c>
      <c r="C194" s="95" t="s">
        <v>100</v>
      </c>
      <c r="D194" s="96">
        <v>372.22199999999998</v>
      </c>
      <c r="E194" s="102">
        <v>1456</v>
      </c>
      <c r="F194" s="96">
        <f t="shared" si="20"/>
        <v>370.76435739999994</v>
      </c>
      <c r="G194" s="98" t="s">
        <v>787</v>
      </c>
      <c r="H194" s="98" t="s">
        <v>784</v>
      </c>
      <c r="I194" s="102">
        <v>43</v>
      </c>
      <c r="J194" s="102">
        <v>1007</v>
      </c>
      <c r="K194" s="98" t="s">
        <v>429</v>
      </c>
      <c r="L194" s="102">
        <v>9112</v>
      </c>
      <c r="M194" s="100">
        <f t="shared" si="21"/>
        <v>95.456796510253795</v>
      </c>
      <c r="N194" s="100">
        <v>4371.49</v>
      </c>
      <c r="O194" s="101">
        <f t="shared" si="22"/>
        <v>2.084415153643266</v>
      </c>
      <c r="P194" s="101"/>
      <c r="Q194" s="89"/>
      <c r="R194" s="63"/>
      <c r="S194" s="63"/>
      <c r="T194" s="63"/>
      <c r="U194" s="63"/>
      <c r="V194" s="63"/>
      <c r="W194" s="63"/>
      <c r="X194" s="63"/>
      <c r="Y194" s="63"/>
      <c r="Z194" s="63"/>
    </row>
    <row r="195" spans="1:26" ht="17.25" customHeight="1" x14ac:dyDescent="0.2">
      <c r="A195" s="94">
        <v>744</v>
      </c>
      <c r="B195" s="95" t="s">
        <v>29</v>
      </c>
      <c r="C195" s="95" t="s">
        <v>100</v>
      </c>
      <c r="D195" s="96">
        <v>380.19900000000001</v>
      </c>
      <c r="E195" s="102">
        <v>1456</v>
      </c>
      <c r="F195" s="96">
        <f t="shared" si="20"/>
        <v>378.68791149999998</v>
      </c>
      <c r="G195" s="98" t="s">
        <v>785</v>
      </c>
      <c r="H195" s="98" t="s">
        <v>786</v>
      </c>
      <c r="I195" s="102">
        <v>40</v>
      </c>
      <c r="J195" s="102">
        <v>1133</v>
      </c>
      <c r="K195" s="98" t="s">
        <v>429</v>
      </c>
      <c r="L195" s="102">
        <v>5619</v>
      </c>
      <c r="M195" s="100">
        <f t="shared" si="21"/>
        <v>74.959989327640642</v>
      </c>
      <c r="N195" s="100">
        <v>4110.43</v>
      </c>
      <c r="O195" s="101">
        <f t="shared" si="22"/>
        <v>1.3670102641329496</v>
      </c>
      <c r="P195" s="101"/>
      <c r="Q195" s="89"/>
      <c r="R195" s="63"/>
      <c r="S195" s="63"/>
      <c r="T195" s="63"/>
      <c r="U195" s="63"/>
      <c r="V195" s="63"/>
      <c r="W195" s="63"/>
      <c r="X195" s="63"/>
      <c r="Y195" s="63"/>
      <c r="Z195" s="63"/>
    </row>
    <row r="196" spans="1:26" ht="17.25" customHeight="1" x14ac:dyDescent="0.2">
      <c r="A196" s="94">
        <v>745</v>
      </c>
      <c r="B196" s="95" t="s">
        <v>29</v>
      </c>
      <c r="C196" s="95" t="s">
        <v>100</v>
      </c>
      <c r="D196" s="96">
        <v>390.15499999999997</v>
      </c>
      <c r="E196" s="102">
        <v>1456</v>
      </c>
      <c r="F196" s="96">
        <f t="shared" si="20"/>
        <v>388.57720629999994</v>
      </c>
      <c r="G196" s="98" t="s">
        <v>788</v>
      </c>
      <c r="H196" s="98" t="s">
        <v>789</v>
      </c>
      <c r="I196" s="102">
        <v>48</v>
      </c>
      <c r="J196" s="102">
        <v>881</v>
      </c>
      <c r="K196" s="98" t="s">
        <v>429</v>
      </c>
      <c r="L196" s="102">
        <v>3657</v>
      </c>
      <c r="M196" s="100">
        <f t="shared" si="21"/>
        <v>60.473134530963414</v>
      </c>
      <c r="N196" s="100">
        <v>4034.22</v>
      </c>
      <c r="O196" s="101">
        <f t="shared" si="22"/>
        <v>0.90649493582402552</v>
      </c>
      <c r="P196" s="101"/>
      <c r="Q196" s="89"/>
      <c r="R196" s="63"/>
      <c r="S196" s="63"/>
      <c r="T196" s="63"/>
      <c r="U196" s="63"/>
      <c r="V196" s="63"/>
      <c r="W196" s="63"/>
      <c r="X196" s="63"/>
      <c r="Y196" s="63"/>
      <c r="Z196" s="63"/>
    </row>
    <row r="197" spans="1:26" ht="17.25" customHeight="1" x14ac:dyDescent="0.2">
      <c r="A197" s="94">
        <v>746</v>
      </c>
      <c r="B197" s="95" t="s">
        <v>157</v>
      </c>
      <c r="C197" s="95" t="s">
        <v>100</v>
      </c>
      <c r="D197" s="96">
        <v>209.75800000000001</v>
      </c>
      <c r="E197" s="102">
        <v>2344</v>
      </c>
      <c r="F197" s="96">
        <v>210.27</v>
      </c>
      <c r="G197" s="98" t="s">
        <v>790</v>
      </c>
      <c r="H197" s="98" t="s">
        <v>791</v>
      </c>
      <c r="I197" s="102">
        <v>222</v>
      </c>
      <c r="J197" s="102">
        <v>735802</v>
      </c>
      <c r="K197" s="98" t="s">
        <v>429</v>
      </c>
      <c r="L197" s="102">
        <v>195030</v>
      </c>
      <c r="M197" s="100">
        <v>441.62</v>
      </c>
      <c r="N197" s="100">
        <v>12483851.779999999</v>
      </c>
      <c r="O197" s="101">
        <v>1.5599999999999999E-2</v>
      </c>
      <c r="P197" s="101"/>
      <c r="Q197" s="89"/>
      <c r="R197" s="63"/>
      <c r="S197" s="63"/>
      <c r="T197" s="63"/>
      <c r="U197" s="63"/>
      <c r="V197" s="63"/>
      <c r="W197" s="63"/>
      <c r="X197" s="63"/>
      <c r="Y197" s="63"/>
      <c r="Z197" s="63"/>
    </row>
    <row r="198" spans="1:26" ht="17.25" customHeight="1" x14ac:dyDescent="0.2">
      <c r="A198" s="94">
        <v>747</v>
      </c>
      <c r="B198" s="95" t="s">
        <v>30</v>
      </c>
      <c r="C198" s="95" t="s">
        <v>100</v>
      </c>
      <c r="D198" s="96">
        <v>330.012</v>
      </c>
      <c r="E198" s="102">
        <v>1935</v>
      </c>
      <c r="F198" s="96">
        <v>329.31</v>
      </c>
      <c r="G198" s="98" t="s">
        <v>792</v>
      </c>
      <c r="H198" s="98" t="s">
        <v>793</v>
      </c>
      <c r="I198" s="102">
        <v>47</v>
      </c>
      <c r="J198" s="102">
        <v>881</v>
      </c>
      <c r="K198" s="98" t="s">
        <v>429</v>
      </c>
      <c r="L198" s="102">
        <v>810</v>
      </c>
      <c r="M198" s="100">
        <v>28.46</v>
      </c>
      <c r="N198" s="100">
        <v>4063.37</v>
      </c>
      <c r="O198" s="101">
        <v>0.19900000000000001</v>
      </c>
      <c r="P198" s="101"/>
      <c r="Q198" s="89"/>
      <c r="R198" s="63"/>
      <c r="S198" s="63"/>
      <c r="T198" s="63"/>
      <c r="U198" s="63"/>
      <c r="V198" s="63"/>
      <c r="W198" s="63"/>
      <c r="X198" s="63"/>
      <c r="Y198" s="63"/>
      <c r="Z198" s="63"/>
    </row>
    <row r="199" spans="1:26" ht="17.25" customHeight="1" x14ac:dyDescent="0.2">
      <c r="A199" s="94">
        <v>748</v>
      </c>
      <c r="B199" s="95" t="s">
        <v>30</v>
      </c>
      <c r="C199" s="95" t="s">
        <v>100</v>
      </c>
      <c r="D199" s="96">
        <v>332.99900000000002</v>
      </c>
      <c r="E199" s="102">
        <v>1935</v>
      </c>
      <c r="F199" s="96">
        <v>332.28</v>
      </c>
      <c r="G199" s="98" t="s">
        <v>794</v>
      </c>
      <c r="H199" s="98" t="s">
        <v>795</v>
      </c>
      <c r="I199" s="102">
        <v>48</v>
      </c>
      <c r="J199" s="102">
        <v>1007</v>
      </c>
      <c r="K199" s="98" t="s">
        <v>429</v>
      </c>
      <c r="L199" s="102">
        <v>1619</v>
      </c>
      <c r="M199" s="100">
        <v>40.24</v>
      </c>
      <c r="N199" s="100">
        <v>5083.6000000000004</v>
      </c>
      <c r="O199" s="101">
        <v>0.318</v>
      </c>
      <c r="P199" s="101"/>
      <c r="Q199" s="89"/>
      <c r="R199" s="63"/>
      <c r="S199" s="63"/>
      <c r="T199" s="63"/>
      <c r="U199" s="63"/>
      <c r="V199" s="63"/>
      <c r="W199" s="63"/>
      <c r="X199" s="63"/>
      <c r="Y199" s="63"/>
      <c r="Z199" s="63"/>
    </row>
    <row r="200" spans="1:26" ht="17.25" customHeight="1" x14ac:dyDescent="0.2">
      <c r="A200" s="94">
        <v>749</v>
      </c>
      <c r="B200" s="95" t="s">
        <v>30</v>
      </c>
      <c r="C200" s="95" t="s">
        <v>100</v>
      </c>
      <c r="D200" s="96">
        <v>335.98700000000002</v>
      </c>
      <c r="E200" s="102">
        <v>1935</v>
      </c>
      <c r="F200" s="96">
        <v>335.25</v>
      </c>
      <c r="G200" s="98" t="s">
        <v>796</v>
      </c>
      <c r="H200" s="98" t="s">
        <v>797</v>
      </c>
      <c r="I200" s="102">
        <v>48</v>
      </c>
      <c r="J200" s="102">
        <v>1007</v>
      </c>
      <c r="K200" s="98" t="s">
        <v>429</v>
      </c>
      <c r="L200" s="102">
        <v>2789</v>
      </c>
      <c r="M200" s="100">
        <v>52.81</v>
      </c>
      <c r="N200" s="100">
        <v>4642.18</v>
      </c>
      <c r="O200" s="101">
        <v>0.60099999999999998</v>
      </c>
      <c r="P200" s="101"/>
      <c r="Q200" s="89"/>
      <c r="R200" s="63"/>
      <c r="S200" s="63"/>
      <c r="T200" s="63"/>
      <c r="U200" s="63"/>
      <c r="V200" s="63"/>
      <c r="W200" s="63"/>
      <c r="X200" s="63"/>
      <c r="Y200" s="63"/>
      <c r="Z200" s="63"/>
    </row>
    <row r="201" spans="1:26" ht="17.25" customHeight="1" x14ac:dyDescent="0.2">
      <c r="A201" s="94">
        <v>750</v>
      </c>
      <c r="B201" s="95" t="s">
        <v>30</v>
      </c>
      <c r="C201" s="95" t="s">
        <v>100</v>
      </c>
      <c r="D201" s="96">
        <v>338.98200000000003</v>
      </c>
      <c r="E201" s="102">
        <v>1935</v>
      </c>
      <c r="F201" s="96">
        <v>338.22</v>
      </c>
      <c r="G201" s="98" t="s">
        <v>798</v>
      </c>
      <c r="H201" s="98" t="s">
        <v>799</v>
      </c>
      <c r="I201" s="102">
        <v>48</v>
      </c>
      <c r="J201" s="102">
        <v>1259</v>
      </c>
      <c r="K201" s="98" t="s">
        <v>429</v>
      </c>
      <c r="L201" s="102">
        <v>6950</v>
      </c>
      <c r="M201" s="100">
        <v>83.37</v>
      </c>
      <c r="N201" s="100">
        <v>4065.94</v>
      </c>
      <c r="O201" s="101">
        <v>1.71</v>
      </c>
      <c r="P201" s="101"/>
      <c r="Q201" s="89"/>
      <c r="R201" s="63"/>
      <c r="S201" s="63"/>
      <c r="T201" s="63"/>
      <c r="U201" s="63"/>
      <c r="V201" s="63"/>
      <c r="W201" s="63"/>
      <c r="X201" s="63"/>
      <c r="Y201" s="63"/>
      <c r="Z201" s="63"/>
    </row>
    <row r="202" spans="1:26" ht="17.25" customHeight="1" x14ac:dyDescent="0.2">
      <c r="A202" s="94">
        <v>751</v>
      </c>
      <c r="B202" s="95" t="s">
        <v>30</v>
      </c>
      <c r="C202" s="95" t="s">
        <v>100</v>
      </c>
      <c r="D202" s="96">
        <v>341.96899999999999</v>
      </c>
      <c r="E202" s="102">
        <v>1935</v>
      </c>
      <c r="F202" s="96">
        <v>341.19</v>
      </c>
      <c r="G202" s="98" t="s">
        <v>800</v>
      </c>
      <c r="H202" s="98" t="s">
        <v>801</v>
      </c>
      <c r="I202" s="102">
        <v>48</v>
      </c>
      <c r="J202" s="102">
        <v>881</v>
      </c>
      <c r="K202" s="98" t="s">
        <v>429</v>
      </c>
      <c r="L202" s="102">
        <v>37695</v>
      </c>
      <c r="M202" s="100">
        <v>194.15</v>
      </c>
      <c r="N202" s="100">
        <v>4097.6000000000004</v>
      </c>
      <c r="O202" s="101">
        <v>9.1999999999999993</v>
      </c>
      <c r="P202" s="101"/>
      <c r="Q202" s="89"/>
      <c r="R202" s="63"/>
      <c r="S202" s="63"/>
      <c r="T202" s="63"/>
      <c r="U202" s="63"/>
      <c r="V202" s="63"/>
      <c r="W202" s="63"/>
      <c r="X202" s="63"/>
      <c r="Y202" s="63"/>
      <c r="Z202" s="63"/>
    </row>
    <row r="203" spans="1:26" ht="17.25" customHeight="1" x14ac:dyDescent="0.2">
      <c r="A203" s="94">
        <v>752</v>
      </c>
      <c r="B203" s="95" t="s">
        <v>30</v>
      </c>
      <c r="C203" s="95" t="s">
        <v>100</v>
      </c>
      <c r="D203" s="96">
        <v>344.95699999999999</v>
      </c>
      <c r="E203" s="102">
        <v>1935</v>
      </c>
      <c r="F203" s="96">
        <v>344.16</v>
      </c>
      <c r="G203" s="98" t="s">
        <v>802</v>
      </c>
      <c r="H203" s="98" t="s">
        <v>803</v>
      </c>
      <c r="I203" s="102">
        <v>48</v>
      </c>
      <c r="J203" s="102">
        <v>881</v>
      </c>
      <c r="K203" s="98" t="s">
        <v>429</v>
      </c>
      <c r="L203" s="102">
        <v>63601</v>
      </c>
      <c r="M203" s="100">
        <v>252.19</v>
      </c>
      <c r="N203" s="100">
        <v>4081.59</v>
      </c>
      <c r="O203" s="101">
        <v>15.6</v>
      </c>
      <c r="P203" s="101"/>
      <c r="Q203" s="89"/>
      <c r="R203" s="63"/>
      <c r="S203" s="63"/>
      <c r="T203" s="63"/>
      <c r="U203" s="63"/>
      <c r="V203" s="63"/>
      <c r="W203" s="63"/>
      <c r="X203" s="63"/>
      <c r="Y203" s="63"/>
      <c r="Z203" s="63"/>
    </row>
    <row r="204" spans="1:26" ht="17.25" customHeight="1" x14ac:dyDescent="0.2">
      <c r="A204" s="94">
        <v>753</v>
      </c>
      <c r="B204" s="95" t="s">
        <v>30</v>
      </c>
      <c r="C204" s="95" t="s">
        <v>100</v>
      </c>
      <c r="D204" s="96">
        <v>347.95100000000002</v>
      </c>
      <c r="E204" s="102">
        <v>1935</v>
      </c>
      <c r="F204" s="96">
        <v>347.13</v>
      </c>
      <c r="G204" s="98" t="s">
        <v>804</v>
      </c>
      <c r="H204" s="98" t="s">
        <v>805</v>
      </c>
      <c r="I204" s="102">
        <v>48</v>
      </c>
      <c r="J204" s="102">
        <v>881</v>
      </c>
      <c r="K204" s="98" t="s">
        <v>429</v>
      </c>
      <c r="L204" s="102">
        <v>55481</v>
      </c>
      <c r="M204" s="100">
        <v>235.54</v>
      </c>
      <c r="N204" s="100">
        <v>4030.44</v>
      </c>
      <c r="O204" s="101">
        <v>13.8</v>
      </c>
      <c r="P204" s="101"/>
      <c r="Q204" s="89"/>
      <c r="R204" s="63"/>
      <c r="S204" s="63"/>
      <c r="T204" s="63"/>
      <c r="U204" s="63"/>
      <c r="V204" s="63"/>
      <c r="W204" s="63"/>
      <c r="X204" s="63"/>
      <c r="Y204" s="63"/>
      <c r="Z204" s="63"/>
    </row>
    <row r="205" spans="1:26" ht="17.25" customHeight="1" x14ac:dyDescent="0.2">
      <c r="A205" s="94">
        <v>754</v>
      </c>
      <c r="B205" s="95" t="s">
        <v>30</v>
      </c>
      <c r="C205" s="95" t="s">
        <v>100</v>
      </c>
      <c r="D205" s="96">
        <v>350.93900000000002</v>
      </c>
      <c r="E205" s="102">
        <v>1935</v>
      </c>
      <c r="F205" s="96">
        <v>350.1</v>
      </c>
      <c r="G205" s="98" t="s">
        <v>806</v>
      </c>
      <c r="H205" s="98" t="s">
        <v>807</v>
      </c>
      <c r="I205" s="102">
        <v>48</v>
      </c>
      <c r="J205" s="102">
        <v>881</v>
      </c>
      <c r="K205" s="98" t="s">
        <v>429</v>
      </c>
      <c r="L205" s="102">
        <v>43903</v>
      </c>
      <c r="M205" s="100">
        <v>209.53</v>
      </c>
      <c r="N205" s="100">
        <v>4182.33</v>
      </c>
      <c r="O205" s="101">
        <v>10.5</v>
      </c>
      <c r="P205" s="101"/>
      <c r="Q205" s="89"/>
      <c r="R205" s="63"/>
      <c r="S205" s="63"/>
      <c r="T205" s="63"/>
      <c r="U205" s="63"/>
      <c r="V205" s="63"/>
      <c r="W205" s="63"/>
      <c r="X205" s="63"/>
      <c r="Y205" s="63"/>
      <c r="Z205" s="63"/>
    </row>
    <row r="206" spans="1:26" ht="17.25" customHeight="1" x14ac:dyDescent="0.2">
      <c r="A206" s="94">
        <v>755</v>
      </c>
      <c r="B206" s="95" t="s">
        <v>30</v>
      </c>
      <c r="C206" s="95" t="s">
        <v>100</v>
      </c>
      <c r="D206" s="96">
        <v>353.92</v>
      </c>
      <c r="E206" s="102">
        <v>1935</v>
      </c>
      <c r="F206" s="96">
        <v>353.06</v>
      </c>
      <c r="G206" s="98" t="s">
        <v>808</v>
      </c>
      <c r="H206" s="98" t="s">
        <v>809</v>
      </c>
      <c r="I206" s="102">
        <v>47</v>
      </c>
      <c r="J206" s="102">
        <v>1007</v>
      </c>
      <c r="K206" s="98" t="s">
        <v>429</v>
      </c>
      <c r="L206" s="102">
        <v>32089</v>
      </c>
      <c r="M206" s="100">
        <v>179.13</v>
      </c>
      <c r="N206" s="100">
        <v>4090.02</v>
      </c>
      <c r="O206" s="101">
        <v>7.85</v>
      </c>
      <c r="P206" s="101"/>
      <c r="Q206" s="89"/>
      <c r="R206" s="63"/>
      <c r="S206" s="63"/>
      <c r="T206" s="63"/>
      <c r="U206" s="63"/>
      <c r="V206" s="63"/>
      <c r="W206" s="63"/>
      <c r="X206" s="63"/>
      <c r="Y206" s="63"/>
      <c r="Z206" s="63"/>
    </row>
    <row r="207" spans="1:26" ht="17.25" customHeight="1" x14ac:dyDescent="0.2">
      <c r="A207" s="94">
        <v>756</v>
      </c>
      <c r="B207" s="95" t="s">
        <v>30</v>
      </c>
      <c r="C207" s="95" t="s">
        <v>100</v>
      </c>
      <c r="D207" s="96">
        <v>356.92099999999999</v>
      </c>
      <c r="E207" s="102">
        <v>1935</v>
      </c>
      <c r="F207" s="96">
        <v>356.04</v>
      </c>
      <c r="G207" s="98" t="s">
        <v>810</v>
      </c>
      <c r="H207" s="98" t="s">
        <v>811</v>
      </c>
      <c r="I207" s="102">
        <v>47</v>
      </c>
      <c r="J207" s="102">
        <v>881</v>
      </c>
      <c r="K207" s="98" t="s">
        <v>429</v>
      </c>
      <c r="L207" s="102">
        <v>24244</v>
      </c>
      <c r="M207" s="100">
        <v>155.69999999999999</v>
      </c>
      <c r="N207" s="100">
        <v>4143.3599999999997</v>
      </c>
      <c r="O207" s="101">
        <v>5.85</v>
      </c>
      <c r="P207" s="101"/>
      <c r="Q207" s="89"/>
      <c r="R207" s="63"/>
      <c r="S207" s="63"/>
      <c r="T207" s="63"/>
      <c r="U207" s="63"/>
      <c r="V207" s="63"/>
      <c r="W207" s="63"/>
      <c r="X207" s="63"/>
      <c r="Y207" s="63"/>
      <c r="Z207" s="63"/>
    </row>
    <row r="208" spans="1:26" ht="17.25" customHeight="1" x14ac:dyDescent="0.2">
      <c r="A208" s="94">
        <v>757</v>
      </c>
      <c r="B208" s="95" t="s">
        <v>30</v>
      </c>
      <c r="C208" s="95" t="s">
        <v>100</v>
      </c>
      <c r="D208" s="96">
        <v>359.90199999999999</v>
      </c>
      <c r="E208" s="102">
        <v>1935</v>
      </c>
      <c r="F208" s="96">
        <v>359</v>
      </c>
      <c r="G208" s="98" t="s">
        <v>811</v>
      </c>
      <c r="H208" s="98" t="s">
        <v>812</v>
      </c>
      <c r="I208" s="102">
        <v>49</v>
      </c>
      <c r="J208" s="102">
        <v>881</v>
      </c>
      <c r="K208" s="98" t="s">
        <v>429</v>
      </c>
      <c r="L208" s="102">
        <v>19330</v>
      </c>
      <c r="M208" s="100">
        <v>139.03</v>
      </c>
      <c r="N208" s="100">
        <v>4298.8900000000003</v>
      </c>
      <c r="O208" s="101">
        <v>4.5</v>
      </c>
      <c r="P208" s="101"/>
      <c r="Q208" s="89"/>
      <c r="R208" s="63"/>
      <c r="S208" s="63"/>
      <c r="T208" s="63"/>
      <c r="U208" s="63"/>
      <c r="V208" s="63"/>
      <c r="W208" s="63"/>
      <c r="X208" s="63"/>
      <c r="Y208" s="63"/>
      <c r="Z208" s="63"/>
    </row>
    <row r="209" spans="1:26" ht="17.25" customHeight="1" x14ac:dyDescent="0.2">
      <c r="A209" s="94">
        <v>758</v>
      </c>
      <c r="B209" s="95" t="s">
        <v>30</v>
      </c>
      <c r="C209" s="95" t="s">
        <v>100</v>
      </c>
      <c r="D209" s="96">
        <v>364.89100000000002</v>
      </c>
      <c r="E209" s="102">
        <v>1935</v>
      </c>
      <c r="F209" s="96">
        <v>363.96</v>
      </c>
      <c r="G209" s="98" t="s">
        <v>813</v>
      </c>
      <c r="H209" s="98" t="s">
        <v>814</v>
      </c>
      <c r="I209" s="102">
        <v>49</v>
      </c>
      <c r="J209" s="102">
        <v>881</v>
      </c>
      <c r="K209" s="98" t="s">
        <v>429</v>
      </c>
      <c r="L209" s="102">
        <v>13501</v>
      </c>
      <c r="M209" s="100">
        <v>116.19</v>
      </c>
      <c r="N209" s="100">
        <v>4353.78</v>
      </c>
      <c r="O209" s="101">
        <v>3.1</v>
      </c>
      <c r="P209" s="101"/>
      <c r="Q209" s="89"/>
      <c r="R209" s="63"/>
      <c r="S209" s="63"/>
      <c r="T209" s="63"/>
      <c r="U209" s="63"/>
      <c r="V209" s="63"/>
      <c r="W209" s="63"/>
      <c r="X209" s="63"/>
      <c r="Y209" s="63"/>
      <c r="Z209" s="63"/>
    </row>
    <row r="210" spans="1:26" ht="17.25" customHeight="1" x14ac:dyDescent="0.2">
      <c r="A210" s="94">
        <v>759</v>
      </c>
      <c r="B210" s="95" t="s">
        <v>30</v>
      </c>
      <c r="C210" s="95" t="s">
        <v>100</v>
      </c>
      <c r="D210" s="96">
        <v>369.87900000000002</v>
      </c>
      <c r="E210" s="102">
        <v>1935</v>
      </c>
      <c r="F210" s="96">
        <v>368.91</v>
      </c>
      <c r="G210" s="98" t="s">
        <v>815</v>
      </c>
      <c r="H210" s="98" t="s">
        <v>816</v>
      </c>
      <c r="I210" s="102">
        <v>49</v>
      </c>
      <c r="J210" s="102">
        <v>755</v>
      </c>
      <c r="K210" s="98" t="s">
        <v>429</v>
      </c>
      <c r="L210" s="102">
        <v>9185</v>
      </c>
      <c r="M210" s="100">
        <v>95.84</v>
      </c>
      <c r="N210" s="100">
        <v>3994.41</v>
      </c>
      <c r="O210" s="101">
        <v>2.2999999999999998</v>
      </c>
      <c r="P210" s="101"/>
      <c r="Q210" s="89"/>
      <c r="R210" s="63"/>
      <c r="S210" s="63"/>
      <c r="T210" s="63"/>
      <c r="U210" s="63"/>
      <c r="V210" s="63"/>
      <c r="W210" s="63"/>
      <c r="X210" s="63"/>
      <c r="Y210" s="63"/>
      <c r="Z210" s="63"/>
    </row>
    <row r="211" spans="1:26" ht="17.25" customHeight="1" x14ac:dyDescent="0.2">
      <c r="A211" s="94">
        <v>760</v>
      </c>
      <c r="B211" s="95" t="s">
        <v>30</v>
      </c>
      <c r="C211" s="95" t="s">
        <v>100</v>
      </c>
      <c r="D211" s="96">
        <v>379.83600000000001</v>
      </c>
      <c r="E211" s="102">
        <v>1935</v>
      </c>
      <c r="F211" s="96">
        <v>378.8</v>
      </c>
      <c r="G211" s="98" t="s">
        <v>817</v>
      </c>
      <c r="H211" s="98" t="s">
        <v>818</v>
      </c>
      <c r="I211" s="102">
        <v>47</v>
      </c>
      <c r="J211" s="102">
        <v>881</v>
      </c>
      <c r="K211" s="98" t="s">
        <v>429</v>
      </c>
      <c r="L211" s="102">
        <v>5295</v>
      </c>
      <c r="M211" s="100">
        <v>72.77</v>
      </c>
      <c r="N211" s="100">
        <v>3841.74</v>
      </c>
      <c r="O211" s="101">
        <v>1.38</v>
      </c>
      <c r="P211" s="101"/>
      <c r="Q211" s="89"/>
      <c r="R211" s="63"/>
      <c r="S211" s="63"/>
      <c r="T211" s="63"/>
      <c r="U211" s="63"/>
      <c r="V211" s="63"/>
      <c r="W211" s="63"/>
      <c r="X211" s="63"/>
      <c r="Y211" s="63"/>
      <c r="Z211" s="63"/>
    </row>
    <row r="212" spans="1:26" ht="17.25" customHeight="1" x14ac:dyDescent="0.2">
      <c r="A212" s="94">
        <v>761</v>
      </c>
      <c r="B212" s="95" t="s">
        <v>30</v>
      </c>
      <c r="C212" s="95" t="s">
        <v>100</v>
      </c>
      <c r="D212" s="96">
        <v>389.8</v>
      </c>
      <c r="E212" s="102">
        <v>1935</v>
      </c>
      <c r="F212" s="96">
        <v>388.7</v>
      </c>
      <c r="G212" s="98" t="s">
        <v>818</v>
      </c>
      <c r="H212" s="98" t="s">
        <v>819</v>
      </c>
      <c r="I212" s="102">
        <v>48</v>
      </c>
      <c r="J212" s="102">
        <v>881</v>
      </c>
      <c r="K212" s="98" t="s">
        <v>429</v>
      </c>
      <c r="L212" s="102">
        <v>3875</v>
      </c>
      <c r="M212" s="100">
        <v>62.25</v>
      </c>
      <c r="N212" s="100">
        <v>4287.7700000000004</v>
      </c>
      <c r="O212" s="101">
        <v>0.90400000000000003</v>
      </c>
      <c r="P212" s="101"/>
      <c r="Q212" s="89"/>
      <c r="R212" s="63"/>
      <c r="S212" s="63"/>
      <c r="T212" s="63"/>
      <c r="U212" s="63"/>
      <c r="V212" s="63"/>
      <c r="W212" s="63"/>
      <c r="X212" s="63"/>
      <c r="Y212" s="63"/>
      <c r="Z212" s="63"/>
    </row>
    <row r="213" spans="1:26" ht="17.25" customHeight="1" x14ac:dyDescent="0.2">
      <c r="A213" s="94">
        <v>762</v>
      </c>
      <c r="B213" s="95" t="s">
        <v>30</v>
      </c>
      <c r="C213" s="95" t="s">
        <v>100</v>
      </c>
      <c r="D213" s="96">
        <v>348.80399999999997</v>
      </c>
      <c r="E213" s="102">
        <v>1935</v>
      </c>
      <c r="F213" s="96">
        <v>347.98</v>
      </c>
      <c r="G213" s="98" t="s">
        <v>820</v>
      </c>
      <c r="H213" s="98" t="s">
        <v>821</v>
      </c>
      <c r="I213" s="102">
        <v>51</v>
      </c>
      <c r="J213" s="102">
        <v>881</v>
      </c>
      <c r="K213" s="98" t="s">
        <v>429</v>
      </c>
      <c r="L213" s="102">
        <v>55748</v>
      </c>
      <c r="M213" s="100">
        <v>236.11</v>
      </c>
      <c r="N213" s="100">
        <v>4287.03</v>
      </c>
      <c r="O213" s="101">
        <v>13</v>
      </c>
      <c r="P213" s="101"/>
      <c r="Q213" s="89"/>
      <c r="R213" s="63"/>
      <c r="S213" s="63"/>
      <c r="T213" s="63"/>
      <c r="U213" s="63"/>
      <c r="V213" s="63"/>
      <c r="W213" s="63"/>
      <c r="X213" s="63"/>
      <c r="Y213" s="63"/>
      <c r="Z213" s="63"/>
    </row>
    <row r="214" spans="1:26" ht="17.25" customHeight="1" x14ac:dyDescent="0.2">
      <c r="A214" s="94">
        <v>763</v>
      </c>
      <c r="B214" s="95" t="s">
        <v>30</v>
      </c>
      <c r="C214" s="95" t="s">
        <v>100</v>
      </c>
      <c r="D214" s="96">
        <v>345.81299999999999</v>
      </c>
      <c r="E214" s="102">
        <v>1935</v>
      </c>
      <c r="F214" s="96">
        <v>345.01</v>
      </c>
      <c r="G214" s="98" t="s">
        <v>822</v>
      </c>
      <c r="H214" s="98" t="s">
        <v>823</v>
      </c>
      <c r="I214" s="102">
        <v>51</v>
      </c>
      <c r="J214" s="102">
        <v>1007</v>
      </c>
      <c r="K214" s="98" t="s">
        <v>429</v>
      </c>
      <c r="L214" s="102">
        <v>83493</v>
      </c>
      <c r="M214" s="100">
        <v>288.95</v>
      </c>
      <c r="N214" s="100">
        <v>5378.86</v>
      </c>
      <c r="O214" s="101">
        <v>15.5</v>
      </c>
      <c r="P214" s="101"/>
      <c r="Q214" s="89"/>
      <c r="R214" s="63"/>
      <c r="S214" s="63"/>
      <c r="T214" s="63"/>
      <c r="U214" s="63"/>
      <c r="V214" s="63"/>
      <c r="W214" s="63"/>
      <c r="X214" s="63"/>
      <c r="Y214" s="63"/>
      <c r="Z214" s="63"/>
    </row>
    <row r="215" spans="1:26" ht="17.25" customHeight="1" x14ac:dyDescent="0.2">
      <c r="A215" s="94">
        <v>764</v>
      </c>
      <c r="B215" s="95" t="s">
        <v>30</v>
      </c>
      <c r="C215" s="95" t="s">
        <v>100</v>
      </c>
      <c r="D215" s="96">
        <v>342.82900000000001</v>
      </c>
      <c r="E215" s="102">
        <v>1935</v>
      </c>
      <c r="F215" s="96">
        <v>342.04</v>
      </c>
      <c r="G215" s="98" t="s">
        <v>824</v>
      </c>
      <c r="H215" s="98" t="s">
        <v>825</v>
      </c>
      <c r="I215" s="102">
        <v>51</v>
      </c>
      <c r="J215" s="102">
        <v>881</v>
      </c>
      <c r="K215" s="98" t="s">
        <v>429</v>
      </c>
      <c r="L215" s="102">
        <v>61650</v>
      </c>
      <c r="M215" s="100">
        <v>248.29</v>
      </c>
      <c r="N215" s="100">
        <v>4833.03</v>
      </c>
      <c r="O215" s="101">
        <v>12.8</v>
      </c>
      <c r="P215" s="101"/>
      <c r="Q215" s="89"/>
      <c r="R215" s="63"/>
      <c r="S215" s="63"/>
      <c r="T215" s="63"/>
      <c r="U215" s="63"/>
      <c r="V215" s="63"/>
      <c r="W215" s="63"/>
      <c r="X215" s="63"/>
      <c r="Y215" s="63"/>
      <c r="Z215" s="63"/>
    </row>
    <row r="216" spans="1:26" ht="17.25" customHeight="1" x14ac:dyDescent="0.2">
      <c r="A216" s="94">
        <v>765</v>
      </c>
      <c r="B216" s="95" t="s">
        <v>30</v>
      </c>
      <c r="C216" s="95" t="s">
        <v>100</v>
      </c>
      <c r="D216" s="96">
        <v>339.84100000000001</v>
      </c>
      <c r="E216" s="102">
        <v>1935</v>
      </c>
      <c r="F216" s="96">
        <v>339.08</v>
      </c>
      <c r="G216" s="98" t="s">
        <v>826</v>
      </c>
      <c r="H216" s="98" t="s">
        <v>827</v>
      </c>
      <c r="I216" s="102">
        <v>51</v>
      </c>
      <c r="J216" s="102">
        <v>881</v>
      </c>
      <c r="K216" s="98" t="s">
        <v>429</v>
      </c>
      <c r="L216" s="102">
        <v>11406</v>
      </c>
      <c r="M216" s="100">
        <v>106.8</v>
      </c>
      <c r="N216" s="100">
        <v>4559.6499999999996</v>
      </c>
      <c r="O216" s="101">
        <v>2.5</v>
      </c>
      <c r="P216" s="101"/>
      <c r="Q216" s="89"/>
      <c r="R216" s="63"/>
      <c r="S216" s="63"/>
      <c r="T216" s="63"/>
      <c r="U216" s="63"/>
      <c r="V216" s="63"/>
      <c r="W216" s="63"/>
      <c r="X216" s="63"/>
      <c r="Y216" s="63"/>
      <c r="Z216" s="63"/>
    </row>
    <row r="217" spans="1:26" ht="17.25" customHeight="1" x14ac:dyDescent="0.2">
      <c r="A217" s="104">
        <v>766</v>
      </c>
      <c r="B217" s="105" t="s">
        <v>310</v>
      </c>
      <c r="C217" s="105" t="s">
        <v>100</v>
      </c>
      <c r="D217" s="106">
        <v>344.79599999999999</v>
      </c>
      <c r="E217" s="107">
        <v>2694</v>
      </c>
      <c r="F217" s="106">
        <f>0.9933*(D217+E217/1000)-0.41</f>
        <v>344.75181699999996</v>
      </c>
      <c r="G217" s="108"/>
      <c r="H217" s="108"/>
      <c r="I217" s="109"/>
      <c r="J217" s="110"/>
      <c r="K217" s="108" t="s">
        <v>429</v>
      </c>
      <c r="L217" s="110"/>
      <c r="M217" s="111">
        <f>SQRT(L217)</f>
        <v>0</v>
      </c>
      <c r="N217" s="109"/>
      <c r="O217" s="112" t="e">
        <f>L217/N217</f>
        <v>#DIV/0!</v>
      </c>
      <c r="P217" s="113"/>
      <c r="Q217" s="89" t="s">
        <v>828</v>
      </c>
      <c r="R217" s="63"/>
      <c r="S217" s="63"/>
      <c r="T217" s="63"/>
      <c r="U217" s="63"/>
      <c r="V217" s="63"/>
      <c r="W217" s="63"/>
      <c r="X217" s="63"/>
      <c r="Y217" s="63"/>
      <c r="Z217" s="63"/>
    </row>
    <row r="218" spans="1:26" ht="17.25" customHeight="1" x14ac:dyDescent="0.2">
      <c r="A218" s="104">
        <v>767</v>
      </c>
      <c r="B218" s="105" t="s">
        <v>157</v>
      </c>
      <c r="C218" s="105" t="s">
        <v>100</v>
      </c>
      <c r="D218" s="106">
        <v>344.803</v>
      </c>
      <c r="E218" s="107">
        <v>2694</v>
      </c>
      <c r="F218" s="106">
        <f>0.9933*(D218+E218/1000)-0.41</f>
        <v>344.75877009999999</v>
      </c>
      <c r="G218" s="108" t="s">
        <v>829</v>
      </c>
      <c r="H218" s="108" t="s">
        <v>830</v>
      </c>
      <c r="I218" s="107">
        <v>73</v>
      </c>
      <c r="J218" s="107">
        <v>206240</v>
      </c>
      <c r="K218" s="108" t="s">
        <v>429</v>
      </c>
      <c r="L218" s="107">
        <v>24477327</v>
      </c>
      <c r="M218" s="111">
        <f>SQRT(L218)</f>
        <v>4947.4566193146147</v>
      </c>
      <c r="N218" s="111">
        <v>1570748.22</v>
      </c>
      <c r="O218" s="113">
        <f>L218/N218</f>
        <v>15.583227590733797</v>
      </c>
      <c r="P218" s="113"/>
      <c r="Q218" s="89" t="s">
        <v>831</v>
      </c>
      <c r="R218" s="63"/>
      <c r="S218" s="63"/>
      <c r="T218" s="63"/>
      <c r="U218" s="63"/>
      <c r="V218" s="63"/>
      <c r="W218" s="63"/>
      <c r="X218" s="63"/>
      <c r="Y218" s="63"/>
      <c r="Z218" s="63"/>
    </row>
    <row r="219" spans="1:26" ht="17.25" customHeight="1" x14ac:dyDescent="0.2">
      <c r="A219" s="94">
        <v>776</v>
      </c>
      <c r="B219" s="95" t="s">
        <v>31</v>
      </c>
      <c r="C219" s="95" t="s">
        <v>100</v>
      </c>
      <c r="D219" s="96">
        <v>222.78299999999999</v>
      </c>
      <c r="E219" s="102">
        <v>2694</v>
      </c>
      <c r="F219" s="96">
        <v>223.56</v>
      </c>
      <c r="G219" s="98" t="s">
        <v>832</v>
      </c>
      <c r="H219" s="98" t="s">
        <v>833</v>
      </c>
      <c r="I219" s="102">
        <v>70</v>
      </c>
      <c r="J219" s="102">
        <v>1132</v>
      </c>
      <c r="K219" s="98" t="s">
        <v>429</v>
      </c>
      <c r="L219" s="102">
        <v>1600</v>
      </c>
      <c r="M219" s="100">
        <v>40</v>
      </c>
      <c r="N219" s="100">
        <v>7979.84</v>
      </c>
      <c r="O219" s="101">
        <v>0.20100000000000001</v>
      </c>
      <c r="P219" s="101"/>
      <c r="Q219" s="89" t="s">
        <v>828</v>
      </c>
      <c r="R219" s="63"/>
      <c r="S219" s="63"/>
      <c r="T219" s="63"/>
      <c r="U219" s="63"/>
      <c r="V219" s="63"/>
      <c r="W219" s="63"/>
      <c r="X219" s="63"/>
      <c r="Y219" s="63"/>
      <c r="Z219" s="63"/>
    </row>
    <row r="220" spans="1:26" ht="17.25" customHeight="1" x14ac:dyDescent="0.2">
      <c r="A220" s="94">
        <v>777</v>
      </c>
      <c r="B220" s="95" t="s">
        <v>31</v>
      </c>
      <c r="C220" s="95" t="s">
        <v>100</v>
      </c>
      <c r="D220" s="96">
        <v>223.78299999999999</v>
      </c>
      <c r="E220" s="102">
        <v>2694</v>
      </c>
      <c r="F220" s="96">
        <v>224.55</v>
      </c>
      <c r="G220" s="98" t="s">
        <v>834</v>
      </c>
      <c r="H220" s="98" t="s">
        <v>835</v>
      </c>
      <c r="I220" s="102">
        <v>69</v>
      </c>
      <c r="J220" s="102">
        <v>1007</v>
      </c>
      <c r="K220" s="98" t="s">
        <v>429</v>
      </c>
      <c r="L220" s="102">
        <v>4424</v>
      </c>
      <c r="M220" s="100">
        <v>66.510000000000005</v>
      </c>
      <c r="N220" s="100">
        <v>6761.87</v>
      </c>
      <c r="O220" s="101">
        <v>0.65400000000000003</v>
      </c>
      <c r="P220" s="101"/>
      <c r="Q220" s="89"/>
      <c r="R220" s="63"/>
      <c r="S220" s="63"/>
      <c r="T220" s="63"/>
      <c r="U220" s="63"/>
      <c r="V220" s="63"/>
      <c r="W220" s="63"/>
      <c r="X220" s="63"/>
      <c r="Y220" s="63"/>
      <c r="Z220" s="63"/>
    </row>
    <row r="221" spans="1:26" ht="17.25" customHeight="1" x14ac:dyDescent="0.2">
      <c r="A221" s="94">
        <v>778</v>
      </c>
      <c r="B221" s="95" t="s">
        <v>31</v>
      </c>
      <c r="C221" s="95" t="s">
        <v>100</v>
      </c>
      <c r="D221" s="96">
        <v>224.78299999999999</v>
      </c>
      <c r="E221" s="102">
        <v>2694</v>
      </c>
      <c r="F221" s="96">
        <v>225.54</v>
      </c>
      <c r="G221" s="98" t="s">
        <v>836</v>
      </c>
      <c r="H221" s="98" t="s">
        <v>837</v>
      </c>
      <c r="I221" s="102">
        <v>53</v>
      </c>
      <c r="J221" s="102">
        <v>755</v>
      </c>
      <c r="K221" s="98" t="s">
        <v>429</v>
      </c>
      <c r="L221" s="102">
        <v>5822</v>
      </c>
      <c r="M221" s="100">
        <v>76.3</v>
      </c>
      <c r="N221" s="100">
        <v>3667.68</v>
      </c>
      <c r="O221" s="101">
        <v>1.59</v>
      </c>
      <c r="P221" s="101"/>
      <c r="Q221" s="89"/>
      <c r="R221" s="63"/>
      <c r="S221" s="63"/>
      <c r="T221" s="63"/>
      <c r="U221" s="63"/>
      <c r="V221" s="63"/>
      <c r="W221" s="63"/>
      <c r="X221" s="63"/>
      <c r="Y221" s="63"/>
      <c r="Z221" s="63"/>
    </row>
    <row r="222" spans="1:26" ht="17.25" customHeight="1" x14ac:dyDescent="0.2">
      <c r="A222" s="94">
        <v>779</v>
      </c>
      <c r="B222" s="95" t="s">
        <v>31</v>
      </c>
      <c r="C222" s="95" t="s">
        <v>100</v>
      </c>
      <c r="D222" s="96">
        <v>225.791</v>
      </c>
      <c r="E222" s="102">
        <v>2694</v>
      </c>
      <c r="F222" s="96">
        <v>226.54</v>
      </c>
      <c r="G222" s="98" t="s">
        <v>838</v>
      </c>
      <c r="H222" s="98" t="s">
        <v>839</v>
      </c>
      <c r="I222" s="102">
        <v>52</v>
      </c>
      <c r="J222" s="102">
        <v>504</v>
      </c>
      <c r="K222" s="98" t="s">
        <v>429</v>
      </c>
      <c r="L222" s="102">
        <v>5624</v>
      </c>
      <c r="M222" s="100">
        <v>74.989999999999995</v>
      </c>
      <c r="N222" s="100">
        <v>2805.3</v>
      </c>
      <c r="O222" s="101">
        <v>2</v>
      </c>
      <c r="P222" s="101"/>
      <c r="Q222" s="89"/>
      <c r="R222" s="63"/>
      <c r="S222" s="63"/>
      <c r="T222" s="63"/>
      <c r="U222" s="63"/>
      <c r="V222" s="63"/>
      <c r="W222" s="63"/>
      <c r="X222" s="63"/>
      <c r="Y222" s="63"/>
      <c r="Z222" s="63"/>
    </row>
    <row r="223" spans="1:26" ht="17.25" customHeight="1" x14ac:dyDescent="0.2">
      <c r="A223" s="94">
        <v>780</v>
      </c>
      <c r="B223" s="95" t="s">
        <v>31</v>
      </c>
      <c r="C223" s="95" t="s">
        <v>100</v>
      </c>
      <c r="D223" s="96">
        <v>226.791</v>
      </c>
      <c r="E223" s="102">
        <v>2694</v>
      </c>
      <c r="F223" s="96">
        <v>227.54</v>
      </c>
      <c r="G223" s="98" t="s">
        <v>840</v>
      </c>
      <c r="H223" s="98" t="s">
        <v>841</v>
      </c>
      <c r="I223" s="102">
        <v>51</v>
      </c>
      <c r="J223" s="102">
        <v>755</v>
      </c>
      <c r="K223" s="98" t="s">
        <v>429</v>
      </c>
      <c r="L223" s="102">
        <v>8375</v>
      </c>
      <c r="M223" s="100">
        <v>91.52</v>
      </c>
      <c r="N223" s="100">
        <v>3916.15</v>
      </c>
      <c r="O223" s="101">
        <v>2.14</v>
      </c>
      <c r="P223" s="101"/>
      <c r="Q223" s="89"/>
      <c r="R223" s="63"/>
      <c r="S223" s="63"/>
      <c r="T223" s="63"/>
      <c r="U223" s="63"/>
      <c r="V223" s="63"/>
      <c r="W223" s="63"/>
      <c r="X223" s="63"/>
      <c r="Y223" s="63"/>
      <c r="Z223" s="63"/>
    </row>
    <row r="224" spans="1:26" ht="17.25" customHeight="1" x14ac:dyDescent="0.2">
      <c r="A224" s="94">
        <v>781</v>
      </c>
      <c r="B224" s="95" t="s">
        <v>31</v>
      </c>
      <c r="C224" s="95" t="s">
        <v>100</v>
      </c>
      <c r="D224" s="96">
        <v>227.791</v>
      </c>
      <c r="E224" s="102">
        <v>2694</v>
      </c>
      <c r="F224" s="96">
        <v>228.53</v>
      </c>
      <c r="G224" s="98" t="s">
        <v>842</v>
      </c>
      <c r="H224" s="98" t="s">
        <v>843</v>
      </c>
      <c r="I224" s="102">
        <v>50</v>
      </c>
      <c r="J224" s="102">
        <v>504</v>
      </c>
      <c r="K224" s="98" t="s">
        <v>429</v>
      </c>
      <c r="L224" s="102">
        <v>5656</v>
      </c>
      <c r="M224" s="100">
        <v>75.209999999999994</v>
      </c>
      <c r="N224" s="100">
        <v>2593.29</v>
      </c>
      <c r="O224" s="101">
        <v>2.1800000000000002</v>
      </c>
      <c r="P224" s="101"/>
      <c r="Q224" s="89"/>
      <c r="R224" s="63"/>
      <c r="S224" s="63"/>
      <c r="T224" s="63"/>
      <c r="U224" s="63"/>
      <c r="V224" s="63"/>
      <c r="W224" s="63"/>
      <c r="X224" s="63"/>
      <c r="Y224" s="63"/>
      <c r="Z224" s="63"/>
    </row>
    <row r="225" spans="1:26" ht="17.25" customHeight="1" x14ac:dyDescent="0.2">
      <c r="A225" s="94">
        <v>782</v>
      </c>
      <c r="B225" s="95" t="s">
        <v>31</v>
      </c>
      <c r="C225" s="95" t="s">
        <v>100</v>
      </c>
      <c r="D225" s="96">
        <v>228.79900000000001</v>
      </c>
      <c r="E225" s="102">
        <v>2694</v>
      </c>
      <c r="F225" s="96">
        <v>229.53</v>
      </c>
      <c r="G225" s="98" t="s">
        <v>844</v>
      </c>
      <c r="H225" s="98" t="s">
        <v>845</v>
      </c>
      <c r="I225" s="102">
        <v>50</v>
      </c>
      <c r="J225" s="102">
        <v>630</v>
      </c>
      <c r="K225" s="98" t="s">
        <v>429</v>
      </c>
      <c r="L225" s="102">
        <v>6010</v>
      </c>
      <c r="M225" s="100">
        <v>77.52</v>
      </c>
      <c r="N225" s="100">
        <v>2882.1</v>
      </c>
      <c r="O225" s="101">
        <v>2.09</v>
      </c>
      <c r="P225" s="101"/>
      <c r="Q225" s="89"/>
      <c r="R225" s="63"/>
      <c r="S225" s="63"/>
      <c r="T225" s="63"/>
      <c r="U225" s="63"/>
      <c r="V225" s="63"/>
      <c r="W225" s="63"/>
      <c r="X225" s="63"/>
      <c r="Y225" s="63"/>
      <c r="Z225" s="63"/>
    </row>
    <row r="226" spans="1:26" ht="17.25" customHeight="1" x14ac:dyDescent="0.2">
      <c r="A226" s="94">
        <v>783</v>
      </c>
      <c r="B226" s="95" t="s">
        <v>31</v>
      </c>
      <c r="C226" s="95" t="s">
        <v>100</v>
      </c>
      <c r="D226" s="96">
        <v>229.80600000000001</v>
      </c>
      <c r="E226" s="102">
        <v>2694</v>
      </c>
      <c r="F226" s="96">
        <v>230.53</v>
      </c>
      <c r="G226" s="98" t="s">
        <v>846</v>
      </c>
      <c r="H226" s="98" t="s">
        <v>847</v>
      </c>
      <c r="I226" s="102">
        <v>49</v>
      </c>
      <c r="J226" s="102">
        <v>630</v>
      </c>
      <c r="K226" s="98" t="s">
        <v>429</v>
      </c>
      <c r="L226" s="102">
        <v>5603</v>
      </c>
      <c r="M226" s="100">
        <v>74.849999999999994</v>
      </c>
      <c r="N226" s="100">
        <v>2672.77</v>
      </c>
      <c r="O226" s="101">
        <v>2.1</v>
      </c>
      <c r="P226" s="101"/>
      <c r="Q226" s="89"/>
      <c r="R226" s="63"/>
      <c r="S226" s="63"/>
      <c r="T226" s="63"/>
      <c r="U226" s="63"/>
      <c r="V226" s="63"/>
      <c r="W226" s="63"/>
      <c r="X226" s="63"/>
      <c r="Y226" s="63"/>
      <c r="Z226" s="63"/>
    </row>
    <row r="227" spans="1:26" ht="17.25" customHeight="1" x14ac:dyDescent="0.2">
      <c r="A227" s="94">
        <v>784</v>
      </c>
      <c r="B227" s="95" t="s">
        <v>31</v>
      </c>
      <c r="C227" s="95" t="s">
        <v>100</v>
      </c>
      <c r="D227" s="96">
        <v>230.80600000000001</v>
      </c>
      <c r="E227" s="102">
        <v>2694</v>
      </c>
      <c r="F227" s="96">
        <v>231.53</v>
      </c>
      <c r="G227" s="98" t="s">
        <v>848</v>
      </c>
      <c r="H227" s="98" t="s">
        <v>849</v>
      </c>
      <c r="I227" s="102">
        <v>48</v>
      </c>
      <c r="J227" s="102">
        <v>1007</v>
      </c>
      <c r="K227" s="98" t="s">
        <v>429</v>
      </c>
      <c r="L227" s="102">
        <v>9104</v>
      </c>
      <c r="M227" s="100">
        <v>95.41</v>
      </c>
      <c r="N227" s="100">
        <v>4761.29</v>
      </c>
      <c r="O227" s="101">
        <v>1.91</v>
      </c>
      <c r="P227" s="101"/>
      <c r="Q227" s="89"/>
      <c r="R227" s="63"/>
      <c r="S227" s="63"/>
      <c r="T227" s="63"/>
      <c r="U227" s="63"/>
      <c r="V227" s="63"/>
      <c r="W227" s="63"/>
      <c r="X227" s="63"/>
      <c r="Y227" s="63"/>
      <c r="Z227" s="63"/>
    </row>
    <row r="228" spans="1:26" ht="17.25" customHeight="1" x14ac:dyDescent="0.2">
      <c r="A228" s="94">
        <v>785</v>
      </c>
      <c r="B228" s="95" t="s">
        <v>31</v>
      </c>
      <c r="C228" s="95" t="s">
        <v>100</v>
      </c>
      <c r="D228" s="96">
        <v>231.81299999999999</v>
      </c>
      <c r="E228" s="102">
        <v>2694</v>
      </c>
      <c r="F228" s="96">
        <v>232.53</v>
      </c>
      <c r="G228" s="98" t="s">
        <v>850</v>
      </c>
      <c r="H228" s="98" t="s">
        <v>851</v>
      </c>
      <c r="I228" s="100">
        <v>71.53</v>
      </c>
      <c r="J228" s="102">
        <v>881</v>
      </c>
      <c r="K228" s="98" t="s">
        <v>429</v>
      </c>
      <c r="L228" s="100">
        <v>1.3560000000000001</v>
      </c>
      <c r="M228" s="100">
        <v>1.1599999999999999</v>
      </c>
      <c r="N228" s="100">
        <v>5884.06</v>
      </c>
      <c r="O228" s="101">
        <v>2.3000000000000001E-4</v>
      </c>
      <c r="P228" s="101"/>
      <c r="Q228" s="89"/>
      <c r="R228" s="63"/>
      <c r="S228" s="63"/>
      <c r="T228" s="63"/>
      <c r="U228" s="63"/>
      <c r="V228" s="63"/>
      <c r="W228" s="63"/>
      <c r="X228" s="63"/>
      <c r="Y228" s="63"/>
      <c r="Z228" s="63"/>
    </row>
    <row r="229" spans="1:26" ht="17.25" customHeight="1" x14ac:dyDescent="0.2">
      <c r="A229" s="94">
        <v>786</v>
      </c>
      <c r="B229" s="95" t="s">
        <v>31</v>
      </c>
      <c r="C229" s="95" t="s">
        <v>100</v>
      </c>
      <c r="D229" s="96">
        <v>232.81399999999999</v>
      </c>
      <c r="E229" s="102">
        <v>2694</v>
      </c>
      <c r="F229" s="96">
        <v>233.52</v>
      </c>
      <c r="G229" s="98" t="s">
        <v>851</v>
      </c>
      <c r="H229" s="98" t="s">
        <v>852</v>
      </c>
      <c r="I229" s="102">
        <v>71</v>
      </c>
      <c r="J229" s="102">
        <v>630</v>
      </c>
      <c r="K229" s="98" t="s">
        <v>429</v>
      </c>
      <c r="L229" s="102">
        <v>7148</v>
      </c>
      <c r="M229" s="100">
        <v>84.55</v>
      </c>
      <c r="N229" s="100">
        <v>4416.82</v>
      </c>
      <c r="O229" s="101">
        <v>1.62</v>
      </c>
      <c r="P229" s="101"/>
      <c r="Q229" s="89"/>
      <c r="R229" s="63"/>
      <c r="S229" s="63"/>
      <c r="T229" s="63"/>
      <c r="U229" s="63"/>
      <c r="V229" s="63"/>
      <c r="W229" s="63"/>
      <c r="X229" s="63"/>
      <c r="Y229" s="63"/>
      <c r="Z229" s="63"/>
    </row>
    <row r="230" spans="1:26" ht="17.25" customHeight="1" x14ac:dyDescent="0.2">
      <c r="A230" s="94">
        <v>787</v>
      </c>
      <c r="B230" s="95" t="s">
        <v>31</v>
      </c>
      <c r="C230" s="95" t="s">
        <v>100</v>
      </c>
      <c r="D230" s="96">
        <v>232.31700000000001</v>
      </c>
      <c r="E230" s="102">
        <v>2694</v>
      </c>
      <c r="F230" s="96">
        <v>233.03</v>
      </c>
      <c r="G230" s="98" t="s">
        <v>852</v>
      </c>
      <c r="H230" s="98" t="s">
        <v>853</v>
      </c>
      <c r="I230" s="102">
        <v>71</v>
      </c>
      <c r="J230" s="102">
        <v>630</v>
      </c>
      <c r="K230" s="98" t="s">
        <v>429</v>
      </c>
      <c r="L230" s="102">
        <v>7513</v>
      </c>
      <c r="M230" s="100">
        <v>86.68</v>
      </c>
      <c r="N230" s="100">
        <v>4369.57</v>
      </c>
      <c r="O230" s="101">
        <v>1.72</v>
      </c>
      <c r="P230" s="101"/>
      <c r="Q230" s="89"/>
      <c r="R230" s="63"/>
      <c r="S230" s="63"/>
      <c r="T230" s="63"/>
      <c r="U230" s="63"/>
      <c r="V230" s="63"/>
      <c r="W230" s="63"/>
      <c r="X230" s="63"/>
      <c r="Y230" s="63"/>
      <c r="Z230" s="63"/>
    </row>
    <row r="231" spans="1:26" ht="17.25" customHeight="1" x14ac:dyDescent="0.2">
      <c r="A231" s="94">
        <v>788</v>
      </c>
      <c r="B231" s="95" t="s">
        <v>31</v>
      </c>
      <c r="C231" s="95" t="s">
        <v>100</v>
      </c>
      <c r="D231" s="96">
        <v>231.31</v>
      </c>
      <c r="E231" s="102">
        <v>2694</v>
      </c>
      <c r="F231" s="96">
        <v>232.03</v>
      </c>
      <c r="G231" s="98" t="s">
        <v>854</v>
      </c>
      <c r="H231" s="98" t="s">
        <v>855</v>
      </c>
      <c r="I231" s="102">
        <v>72</v>
      </c>
      <c r="J231" s="102">
        <v>630</v>
      </c>
      <c r="K231" s="98" t="s">
        <v>429</v>
      </c>
      <c r="L231" s="102">
        <v>9125</v>
      </c>
      <c r="M231" s="100">
        <v>95.52</v>
      </c>
      <c r="N231" s="100">
        <v>5048.4799999999996</v>
      </c>
      <c r="O231" s="101">
        <v>1.81</v>
      </c>
      <c r="P231" s="101"/>
      <c r="Q231" s="89"/>
      <c r="R231" s="63"/>
      <c r="S231" s="63"/>
      <c r="T231" s="63"/>
      <c r="U231" s="63"/>
      <c r="V231" s="63"/>
      <c r="W231" s="63"/>
      <c r="X231" s="63"/>
      <c r="Y231" s="63"/>
      <c r="Z231" s="63"/>
    </row>
    <row r="232" spans="1:26" ht="17.25" customHeight="1" x14ac:dyDescent="0.2">
      <c r="A232" s="94">
        <v>789</v>
      </c>
      <c r="B232" s="95" t="s">
        <v>31</v>
      </c>
      <c r="C232" s="95" t="s">
        <v>100</v>
      </c>
      <c r="D232" s="96">
        <v>233.31</v>
      </c>
      <c r="E232" s="102">
        <v>2694</v>
      </c>
      <c r="F232" s="96">
        <v>234.01</v>
      </c>
      <c r="G232" s="98" t="s">
        <v>856</v>
      </c>
      <c r="H232" s="98" t="s">
        <v>857</v>
      </c>
      <c r="I232" s="102">
        <v>71</v>
      </c>
      <c r="J232" s="102">
        <v>630</v>
      </c>
      <c r="K232" s="98" t="s">
        <v>429</v>
      </c>
      <c r="L232" s="102">
        <v>7288</v>
      </c>
      <c r="M232" s="100">
        <v>85.37</v>
      </c>
      <c r="N232" s="100">
        <v>4693.97</v>
      </c>
      <c r="O232" s="101">
        <v>1.55</v>
      </c>
      <c r="P232" s="101"/>
      <c r="Q232" s="89"/>
      <c r="R232" s="63"/>
      <c r="S232" s="63"/>
      <c r="T232" s="63"/>
      <c r="U232" s="63"/>
      <c r="V232" s="63"/>
      <c r="W232" s="63"/>
      <c r="X232" s="63"/>
      <c r="Y232" s="63"/>
      <c r="Z232" s="63"/>
    </row>
    <row r="233" spans="1:26" ht="17.25" customHeight="1" x14ac:dyDescent="0.2">
      <c r="A233" s="94">
        <v>790</v>
      </c>
      <c r="B233" s="95" t="s">
        <v>31</v>
      </c>
      <c r="C233" s="95" t="s">
        <v>100</v>
      </c>
      <c r="D233" s="96">
        <v>234.32400000000001</v>
      </c>
      <c r="E233" s="102">
        <v>2694</v>
      </c>
      <c r="F233" s="96">
        <v>235.02</v>
      </c>
      <c r="G233" s="98" t="s">
        <v>858</v>
      </c>
      <c r="H233" s="98" t="s">
        <v>859</v>
      </c>
      <c r="I233" s="102">
        <v>70</v>
      </c>
      <c r="J233" s="102">
        <v>630</v>
      </c>
      <c r="K233" s="98" t="s">
        <v>429</v>
      </c>
      <c r="L233" s="102">
        <v>6041</v>
      </c>
      <c r="M233" s="100">
        <v>77.72</v>
      </c>
      <c r="N233" s="100">
        <v>4279.12</v>
      </c>
      <c r="O233" s="101">
        <v>1.41</v>
      </c>
      <c r="P233" s="101"/>
      <c r="Q233" s="89"/>
      <c r="R233" s="63"/>
      <c r="S233" s="63"/>
      <c r="T233" s="63"/>
      <c r="U233" s="63"/>
      <c r="V233" s="63"/>
      <c r="W233" s="63"/>
      <c r="X233" s="63"/>
      <c r="Y233" s="63"/>
      <c r="Z233" s="63"/>
    </row>
    <row r="234" spans="1:26" ht="17.25" customHeight="1" x14ac:dyDescent="0.2">
      <c r="A234" s="94">
        <v>791</v>
      </c>
      <c r="B234" s="95" t="s">
        <v>31</v>
      </c>
      <c r="C234" s="95" t="s">
        <v>100</v>
      </c>
      <c r="D234" s="96">
        <v>235.31800000000001</v>
      </c>
      <c r="E234" s="102">
        <v>2694</v>
      </c>
      <c r="F234" s="96">
        <v>236.01</v>
      </c>
      <c r="G234" s="98" t="s">
        <v>860</v>
      </c>
      <c r="H234" s="98" t="s">
        <v>861</v>
      </c>
      <c r="I234" s="102">
        <v>74</v>
      </c>
      <c r="J234" s="102">
        <v>2014</v>
      </c>
      <c r="K234" s="98" t="s">
        <v>429</v>
      </c>
      <c r="L234" s="102">
        <v>18576</v>
      </c>
      <c r="M234" s="100">
        <v>136.29</v>
      </c>
      <c r="N234" s="100">
        <v>14467.31</v>
      </c>
      <c r="O234" s="101">
        <v>1.28</v>
      </c>
      <c r="P234" s="101"/>
      <c r="Q234" s="89"/>
      <c r="R234" s="63"/>
      <c r="S234" s="63"/>
      <c r="T234" s="63"/>
      <c r="U234" s="63"/>
      <c r="V234" s="63"/>
      <c r="W234" s="63"/>
      <c r="X234" s="63"/>
      <c r="Y234" s="63"/>
      <c r="Z234" s="63"/>
    </row>
    <row r="235" spans="1:26" ht="17.25" customHeight="1" x14ac:dyDescent="0.2">
      <c r="A235" s="94">
        <v>792</v>
      </c>
      <c r="B235" s="95" t="s">
        <v>31</v>
      </c>
      <c r="C235" s="95" t="s">
        <v>100</v>
      </c>
      <c r="D235" s="96">
        <v>236.33199999999999</v>
      </c>
      <c r="E235" s="102">
        <v>2694</v>
      </c>
      <c r="F235" s="96">
        <v>237.01</v>
      </c>
      <c r="G235" s="98" t="s">
        <v>862</v>
      </c>
      <c r="H235" s="98" t="s">
        <v>863</v>
      </c>
      <c r="I235" s="102">
        <v>74</v>
      </c>
      <c r="J235" s="102">
        <v>630</v>
      </c>
      <c r="K235" s="98" t="s">
        <v>429</v>
      </c>
      <c r="L235" s="102">
        <v>5708</v>
      </c>
      <c r="M235" s="100">
        <v>75.55</v>
      </c>
      <c r="N235" s="100">
        <v>4964.1499999999996</v>
      </c>
      <c r="O235" s="101">
        <v>1.1499999999999999</v>
      </c>
      <c r="P235" s="101"/>
      <c r="Q235" s="89"/>
      <c r="R235" s="63"/>
      <c r="S235" s="63"/>
      <c r="T235" s="63"/>
      <c r="U235" s="63"/>
      <c r="V235" s="63"/>
      <c r="W235" s="63"/>
      <c r="X235" s="63"/>
      <c r="Y235" s="63"/>
      <c r="Z235" s="63"/>
    </row>
    <row r="236" spans="1:26" ht="17.25" customHeight="1" x14ac:dyDescent="0.2">
      <c r="A236" s="94">
        <v>793</v>
      </c>
      <c r="B236" s="95" t="s">
        <v>31</v>
      </c>
      <c r="C236" s="95" t="s">
        <v>100</v>
      </c>
      <c r="D236" s="96">
        <v>238.339</v>
      </c>
      <c r="E236" s="102">
        <v>2694</v>
      </c>
      <c r="F236" s="96">
        <v>239.01</v>
      </c>
      <c r="G236" s="98" t="s">
        <v>864</v>
      </c>
      <c r="H236" s="98" t="s">
        <v>865</v>
      </c>
      <c r="I236" s="102">
        <v>77</v>
      </c>
      <c r="J236" s="102">
        <v>630</v>
      </c>
      <c r="K236" s="98" t="s">
        <v>429</v>
      </c>
      <c r="L236" s="102">
        <v>5256</v>
      </c>
      <c r="M236" s="100">
        <v>72.5</v>
      </c>
      <c r="N236" s="100">
        <v>4724.09</v>
      </c>
      <c r="O236" s="101">
        <v>1.1100000000000001</v>
      </c>
      <c r="P236" s="101"/>
      <c r="Q236" s="89"/>
      <c r="R236" s="63"/>
      <c r="S236" s="63"/>
      <c r="T236" s="63"/>
      <c r="U236" s="63"/>
      <c r="V236" s="63"/>
      <c r="W236" s="63"/>
      <c r="X236" s="63"/>
      <c r="Y236" s="63"/>
      <c r="Z236" s="63"/>
    </row>
    <row r="237" spans="1:26" ht="17.25" customHeight="1" x14ac:dyDescent="0.2">
      <c r="A237" s="94">
        <v>794</v>
      </c>
      <c r="B237" s="95" t="s">
        <v>31</v>
      </c>
      <c r="C237" s="95" t="s">
        <v>100</v>
      </c>
      <c r="D237" s="96">
        <v>240.34</v>
      </c>
      <c r="E237" s="102">
        <v>2694</v>
      </c>
      <c r="F237" s="96">
        <v>241</v>
      </c>
      <c r="G237" s="98" t="s">
        <v>866</v>
      </c>
      <c r="H237" s="98" t="s">
        <v>867</v>
      </c>
      <c r="I237" s="102">
        <v>77</v>
      </c>
      <c r="J237" s="102">
        <v>755</v>
      </c>
      <c r="K237" s="98" t="s">
        <v>429</v>
      </c>
      <c r="L237" s="102">
        <v>5627</v>
      </c>
      <c r="M237" s="100">
        <v>75.010000000000005</v>
      </c>
      <c r="N237" s="100">
        <v>5506.14</v>
      </c>
      <c r="O237" s="101">
        <v>1.02</v>
      </c>
      <c r="P237" s="101"/>
      <c r="Q237" s="89"/>
      <c r="R237" s="63"/>
      <c r="S237" s="63"/>
      <c r="T237" s="63"/>
      <c r="U237" s="63"/>
      <c r="V237" s="63"/>
      <c r="W237" s="63"/>
      <c r="X237" s="63"/>
      <c r="Y237" s="63"/>
      <c r="Z237" s="63"/>
    </row>
    <row r="238" spans="1:26" ht="17.25" customHeight="1" x14ac:dyDescent="0.2">
      <c r="A238" s="94">
        <v>795</v>
      </c>
      <c r="B238" s="95" t="s">
        <v>31</v>
      </c>
      <c r="C238" s="95" t="s">
        <v>100</v>
      </c>
      <c r="D238" s="96">
        <v>242.34100000000001</v>
      </c>
      <c r="E238" s="102">
        <v>2694</v>
      </c>
      <c r="F238" s="96">
        <v>242.98</v>
      </c>
      <c r="G238" s="98" t="s">
        <v>867</v>
      </c>
      <c r="H238" s="98" t="s">
        <v>868</v>
      </c>
      <c r="I238" s="102">
        <v>77</v>
      </c>
      <c r="J238" s="102">
        <v>755</v>
      </c>
      <c r="K238" s="98" t="s">
        <v>429</v>
      </c>
      <c r="L238" s="102">
        <v>5309</v>
      </c>
      <c r="M238" s="100">
        <v>72.86</v>
      </c>
      <c r="N238" s="100">
        <v>5815.94</v>
      </c>
      <c r="O238" s="101">
        <v>0.91300000000000003</v>
      </c>
      <c r="P238" s="101"/>
      <c r="Q238" s="89"/>
      <c r="R238" s="63"/>
      <c r="S238" s="63"/>
      <c r="T238" s="63"/>
      <c r="U238" s="63"/>
      <c r="V238" s="63"/>
      <c r="W238" s="63"/>
      <c r="X238" s="63"/>
      <c r="Y238" s="63"/>
      <c r="Z238" s="63"/>
    </row>
    <row r="239" spans="1:26" ht="17.25" customHeight="1" x14ac:dyDescent="0.2">
      <c r="A239" s="94">
        <v>796</v>
      </c>
      <c r="B239" s="95" t="s">
        <v>31</v>
      </c>
      <c r="C239" s="95" t="s">
        <v>100</v>
      </c>
      <c r="D239" s="96">
        <v>244.34200000000001</v>
      </c>
      <c r="E239" s="102">
        <v>2694</v>
      </c>
      <c r="F239" s="96">
        <v>244.97</v>
      </c>
      <c r="G239" s="98" t="s">
        <v>869</v>
      </c>
      <c r="H239" s="98" t="s">
        <v>870</v>
      </c>
      <c r="I239" s="102">
        <v>77</v>
      </c>
      <c r="J239" s="102">
        <v>881</v>
      </c>
      <c r="K239" s="98" t="s">
        <v>429</v>
      </c>
      <c r="L239" s="102">
        <v>5209</v>
      </c>
      <c r="M239" s="100">
        <v>72.17</v>
      </c>
      <c r="N239" s="100">
        <v>6620.11</v>
      </c>
      <c r="O239" s="101">
        <v>0.78700000000000003</v>
      </c>
      <c r="P239" s="101"/>
      <c r="Q239" s="89"/>
      <c r="R239" s="63"/>
      <c r="S239" s="63"/>
      <c r="T239" s="63"/>
      <c r="U239" s="63"/>
      <c r="V239" s="63"/>
      <c r="W239" s="63"/>
      <c r="X239" s="63"/>
      <c r="Y239" s="63"/>
      <c r="Z239" s="63"/>
    </row>
    <row r="240" spans="1:26" ht="17.25" customHeight="1" x14ac:dyDescent="0.2">
      <c r="A240" s="94">
        <v>797</v>
      </c>
      <c r="B240" s="95" t="s">
        <v>31</v>
      </c>
      <c r="C240" s="95" t="s">
        <v>100</v>
      </c>
      <c r="D240" s="96">
        <v>246.35599999999999</v>
      </c>
      <c r="E240" s="102">
        <v>2694</v>
      </c>
      <c r="F240" s="96">
        <v>246.97</v>
      </c>
      <c r="G240" s="98" t="s">
        <v>870</v>
      </c>
      <c r="H240" s="98" t="s">
        <v>871</v>
      </c>
      <c r="I240" s="102">
        <v>77</v>
      </c>
      <c r="J240" s="102">
        <v>881</v>
      </c>
      <c r="K240" s="98" t="s">
        <v>429</v>
      </c>
      <c r="L240" s="102">
        <v>4514</v>
      </c>
      <c r="M240" s="100">
        <v>67.19</v>
      </c>
      <c r="N240" s="100">
        <v>6457.22</v>
      </c>
      <c r="O240" s="101">
        <v>0.69899999999999995</v>
      </c>
      <c r="P240" s="101"/>
      <c r="Q240" s="89"/>
      <c r="R240" s="63"/>
      <c r="S240" s="63"/>
      <c r="T240" s="63"/>
      <c r="U240" s="63"/>
      <c r="V240" s="63"/>
      <c r="W240" s="63"/>
      <c r="X240" s="63"/>
      <c r="Y240" s="63"/>
      <c r="Z240" s="63"/>
    </row>
    <row r="241" spans="1:26" ht="17.25" customHeight="1" x14ac:dyDescent="0.2">
      <c r="A241" s="94">
        <v>798</v>
      </c>
      <c r="B241" s="95" t="s">
        <v>31</v>
      </c>
      <c r="C241" s="95" t="s">
        <v>100</v>
      </c>
      <c r="D241" s="96">
        <v>248.35599999999999</v>
      </c>
      <c r="E241" s="102">
        <v>2694</v>
      </c>
      <c r="F241" s="96">
        <v>248.96</v>
      </c>
      <c r="G241" s="98" t="s">
        <v>872</v>
      </c>
      <c r="H241" s="98" t="s">
        <v>873</v>
      </c>
      <c r="I241" s="102">
        <v>77</v>
      </c>
      <c r="J241" s="102">
        <v>755</v>
      </c>
      <c r="K241" s="98" t="s">
        <v>429</v>
      </c>
      <c r="L241" s="102">
        <v>3286</v>
      </c>
      <c r="M241" s="100">
        <v>57.32</v>
      </c>
      <c r="N241" s="100">
        <v>5497.85</v>
      </c>
      <c r="O241" s="101">
        <v>0.59799999999999998</v>
      </c>
      <c r="P241" s="101"/>
      <c r="Q241" s="89"/>
      <c r="R241" s="63"/>
      <c r="S241" s="63"/>
      <c r="T241" s="63"/>
      <c r="U241" s="63"/>
      <c r="V241" s="63"/>
      <c r="W241" s="63"/>
      <c r="X241" s="63"/>
      <c r="Y241" s="63"/>
      <c r="Z241" s="63"/>
    </row>
    <row r="242" spans="1:26" ht="17.25" customHeight="1" x14ac:dyDescent="0.2">
      <c r="A242" s="94">
        <v>799</v>
      </c>
      <c r="B242" s="95" t="s">
        <v>31</v>
      </c>
      <c r="C242" s="95" t="s">
        <v>100</v>
      </c>
      <c r="D242" s="96">
        <v>251.37100000000001</v>
      </c>
      <c r="E242" s="102">
        <v>2694</v>
      </c>
      <c r="F242" s="96">
        <v>251.95</v>
      </c>
      <c r="G242" s="98"/>
      <c r="H242" s="98"/>
      <c r="I242" s="102">
        <v>77</v>
      </c>
      <c r="J242" s="102">
        <v>252</v>
      </c>
      <c r="K242" s="98" t="s">
        <v>429</v>
      </c>
      <c r="L242" s="102">
        <v>1150</v>
      </c>
      <c r="M242" s="100">
        <v>33.909999999999997</v>
      </c>
      <c r="N242" s="100">
        <v>2388.16</v>
      </c>
      <c r="O242" s="101">
        <v>0.48199999999999998</v>
      </c>
      <c r="P242" s="101"/>
      <c r="Q242" s="89"/>
      <c r="R242" s="63"/>
      <c r="S242" s="63"/>
      <c r="T242" s="63"/>
      <c r="U242" s="63"/>
      <c r="V242" s="63"/>
      <c r="W242" s="63"/>
      <c r="X242" s="63"/>
      <c r="Y242" s="63"/>
      <c r="Z242" s="63"/>
    </row>
    <row r="243" spans="1:26" ht="17.25" customHeight="1" x14ac:dyDescent="0.2">
      <c r="A243" s="94">
        <v>800</v>
      </c>
      <c r="B243" s="95" t="s">
        <v>31</v>
      </c>
      <c r="C243" s="95" t="s">
        <v>100</v>
      </c>
      <c r="D243" s="96">
        <v>254.37200000000001</v>
      </c>
      <c r="E243" s="102">
        <v>2694</v>
      </c>
      <c r="F243" s="96">
        <v>254.93</v>
      </c>
      <c r="G243" s="98"/>
      <c r="H243" s="98"/>
      <c r="I243" s="102">
        <v>77</v>
      </c>
      <c r="J243" s="102">
        <v>126</v>
      </c>
      <c r="K243" s="98" t="s">
        <v>429</v>
      </c>
      <c r="L243" s="102">
        <v>634</v>
      </c>
      <c r="M243" s="100">
        <v>25.18</v>
      </c>
      <c r="N243" s="100">
        <v>1294.49</v>
      </c>
      <c r="O243" s="101">
        <v>0.49</v>
      </c>
      <c r="P243" s="101"/>
      <c r="Q243" s="89"/>
      <c r="R243" s="63"/>
      <c r="S243" s="63"/>
      <c r="T243" s="63"/>
      <c r="U243" s="63"/>
      <c r="V243" s="63"/>
      <c r="W243" s="63"/>
      <c r="X243" s="63"/>
      <c r="Y243" s="63"/>
      <c r="Z243" s="63"/>
    </row>
    <row r="244" spans="1:26" ht="17.25" customHeight="1" x14ac:dyDescent="0.2">
      <c r="A244" s="94">
        <v>801</v>
      </c>
      <c r="B244" s="95" t="s">
        <v>31</v>
      </c>
      <c r="C244" s="95" t="s">
        <v>100</v>
      </c>
      <c r="D244" s="96">
        <v>257.37299999999999</v>
      </c>
      <c r="E244" s="102">
        <v>2694</v>
      </c>
      <c r="F244" s="96">
        <v>257.91000000000003</v>
      </c>
      <c r="G244" s="98"/>
      <c r="H244" s="98"/>
      <c r="I244" s="102">
        <v>76</v>
      </c>
      <c r="J244" s="102">
        <v>126</v>
      </c>
      <c r="K244" s="98" t="s">
        <v>429</v>
      </c>
      <c r="L244" s="102">
        <v>675</v>
      </c>
      <c r="M244" s="100">
        <v>25.98</v>
      </c>
      <c r="N244" s="100">
        <v>1432.45</v>
      </c>
      <c r="O244" s="101">
        <v>0.47099999999999997</v>
      </c>
      <c r="P244" s="101"/>
      <c r="Q244" s="89"/>
      <c r="R244" s="63"/>
      <c r="S244" s="63"/>
      <c r="T244" s="63"/>
      <c r="U244" s="63"/>
      <c r="V244" s="63"/>
      <c r="W244" s="63"/>
      <c r="X244" s="63"/>
      <c r="Y244" s="63"/>
      <c r="Z244" s="63"/>
    </row>
    <row r="245" spans="1:26" ht="17.25" customHeight="1" x14ac:dyDescent="0.2">
      <c r="A245" s="94">
        <v>802</v>
      </c>
      <c r="B245" s="95" t="s">
        <v>31</v>
      </c>
      <c r="C245" s="95" t="s">
        <v>100</v>
      </c>
      <c r="D245" s="96">
        <v>260.37400000000002</v>
      </c>
      <c r="E245" s="102">
        <v>2694</v>
      </c>
      <c r="F245" s="96">
        <v>260.89999999999998</v>
      </c>
      <c r="G245" s="98"/>
      <c r="H245" s="98"/>
      <c r="I245" s="102">
        <v>71</v>
      </c>
      <c r="J245" s="102">
        <v>504</v>
      </c>
      <c r="K245" s="98" t="s">
        <v>429</v>
      </c>
      <c r="L245" s="102">
        <v>1499</v>
      </c>
      <c r="M245" s="100">
        <v>38.72</v>
      </c>
      <c r="N245" s="100">
        <v>3716.45</v>
      </c>
      <c r="O245" s="101">
        <v>0.40300000000000002</v>
      </c>
      <c r="P245" s="101"/>
      <c r="Q245" s="89"/>
      <c r="R245" s="63"/>
      <c r="S245" s="63"/>
      <c r="T245" s="63"/>
      <c r="U245" s="63"/>
      <c r="V245" s="63"/>
      <c r="W245" s="63"/>
      <c r="X245" s="63"/>
      <c r="Y245" s="63"/>
      <c r="Z245" s="63"/>
    </row>
    <row r="246" spans="1:26" ht="17.25" customHeight="1" x14ac:dyDescent="0.2">
      <c r="A246" s="94">
        <v>803</v>
      </c>
      <c r="B246" s="95" t="s">
        <v>31</v>
      </c>
      <c r="C246" s="95" t="s">
        <v>100</v>
      </c>
      <c r="D246" s="96">
        <v>263.38200000000001</v>
      </c>
      <c r="E246" s="102">
        <v>2694</v>
      </c>
      <c r="F246" s="96">
        <v>263.88</v>
      </c>
      <c r="G246" s="98"/>
      <c r="H246" s="98"/>
      <c r="I246" s="102">
        <v>77</v>
      </c>
      <c r="J246" s="102">
        <v>378</v>
      </c>
      <c r="K246" s="98" t="s">
        <v>429</v>
      </c>
      <c r="L246" s="102">
        <v>1379</v>
      </c>
      <c r="M246" s="100">
        <v>37.130000000000003</v>
      </c>
      <c r="N246" s="100">
        <v>3226.44</v>
      </c>
      <c r="O246" s="101">
        <v>0.42699999999999999</v>
      </c>
      <c r="P246" s="101"/>
      <c r="Q246" s="89"/>
      <c r="R246" s="63"/>
      <c r="S246" s="63"/>
      <c r="T246" s="63"/>
      <c r="U246" s="63"/>
      <c r="V246" s="63"/>
      <c r="W246" s="63"/>
      <c r="X246" s="63"/>
      <c r="Y246" s="63"/>
      <c r="Z246" s="63"/>
    </row>
    <row r="247" spans="1:26" ht="17.25" customHeight="1" x14ac:dyDescent="0.2">
      <c r="A247" s="94">
        <v>804</v>
      </c>
      <c r="B247" s="95" t="s">
        <v>31</v>
      </c>
      <c r="C247" s="95" t="s">
        <v>100</v>
      </c>
      <c r="D247" s="96">
        <v>268.39800000000002</v>
      </c>
      <c r="E247" s="102">
        <v>2694</v>
      </c>
      <c r="F247" s="96">
        <v>268.87</v>
      </c>
      <c r="G247" s="98"/>
      <c r="H247" s="98"/>
      <c r="I247" s="102">
        <v>77</v>
      </c>
      <c r="J247" s="102">
        <v>378</v>
      </c>
      <c r="K247" s="98" t="s">
        <v>429</v>
      </c>
      <c r="L247" s="102">
        <v>1575</v>
      </c>
      <c r="M247" s="100">
        <v>39.69</v>
      </c>
      <c r="N247" s="100">
        <v>3609.35</v>
      </c>
      <c r="O247" s="101">
        <v>0.436</v>
      </c>
      <c r="P247" s="101"/>
      <c r="Q247" s="89"/>
      <c r="R247" s="63"/>
      <c r="S247" s="63"/>
      <c r="T247" s="63"/>
      <c r="U247" s="63"/>
      <c r="V247" s="63"/>
      <c r="W247" s="63"/>
      <c r="X247" s="63"/>
      <c r="Y247" s="63"/>
      <c r="Z247" s="63"/>
    </row>
    <row r="248" spans="1:26" ht="17.25" customHeight="1" x14ac:dyDescent="0.2">
      <c r="A248" s="94">
        <v>805</v>
      </c>
      <c r="B248" s="95" t="s">
        <v>31</v>
      </c>
      <c r="C248" s="95" t="s">
        <v>100</v>
      </c>
      <c r="D248" s="96">
        <v>237.30500000000001</v>
      </c>
      <c r="E248" s="102">
        <v>2694</v>
      </c>
      <c r="F248" s="96">
        <v>237.98</v>
      </c>
      <c r="G248" s="98"/>
      <c r="H248" s="98"/>
      <c r="I248" s="102">
        <v>70</v>
      </c>
      <c r="J248" s="102">
        <v>378</v>
      </c>
      <c r="K248" s="98" t="s">
        <v>429</v>
      </c>
      <c r="L248" s="102">
        <v>3026</v>
      </c>
      <c r="M248" s="100">
        <v>55.01</v>
      </c>
      <c r="N248" s="102">
        <v>2635</v>
      </c>
      <c r="O248" s="101">
        <v>1.1499999999999999</v>
      </c>
      <c r="P248" s="101"/>
      <c r="Q248" s="89"/>
      <c r="R248" s="63"/>
      <c r="S248" s="63"/>
      <c r="T248" s="63"/>
      <c r="U248" s="63"/>
      <c r="V248" s="63"/>
      <c r="W248" s="63"/>
      <c r="X248" s="63"/>
      <c r="Y248" s="63"/>
      <c r="Z248" s="63"/>
    </row>
    <row r="249" spans="1:26" ht="17.25" customHeight="1" x14ac:dyDescent="0.2">
      <c r="A249" s="94">
        <v>806</v>
      </c>
      <c r="B249" s="95" t="s">
        <v>31</v>
      </c>
      <c r="C249" s="95" t="s">
        <v>100</v>
      </c>
      <c r="D249" s="96">
        <v>224.267</v>
      </c>
      <c r="E249" s="102">
        <v>2694</v>
      </c>
      <c r="F249" s="96">
        <v>225.03</v>
      </c>
      <c r="G249" s="98"/>
      <c r="H249" s="98"/>
      <c r="I249" s="102">
        <v>77</v>
      </c>
      <c r="J249" s="102">
        <v>881</v>
      </c>
      <c r="K249" s="98" t="s">
        <v>429</v>
      </c>
      <c r="L249" s="102">
        <v>8153</v>
      </c>
      <c r="M249" s="100">
        <v>90.29</v>
      </c>
      <c r="N249" s="100">
        <v>7201.09</v>
      </c>
      <c r="O249" s="101">
        <v>1.1299999999999999</v>
      </c>
      <c r="P249" s="101"/>
      <c r="Q249" s="89"/>
      <c r="R249" s="63"/>
      <c r="S249" s="63"/>
      <c r="T249" s="63"/>
      <c r="U249" s="63"/>
      <c r="V249" s="63"/>
      <c r="W249" s="63"/>
      <c r="X249" s="63"/>
      <c r="Y249" s="63"/>
      <c r="Z249" s="63"/>
    </row>
    <row r="250" spans="1:26" ht="17.25" customHeight="1" x14ac:dyDescent="0.2">
      <c r="A250" s="94">
        <v>807</v>
      </c>
      <c r="B250" s="95" t="s">
        <v>157</v>
      </c>
      <c r="C250" s="95" t="s">
        <v>100</v>
      </c>
      <c r="D250" s="96">
        <v>209.35499999999999</v>
      </c>
      <c r="E250" s="102">
        <v>2694</v>
      </c>
      <c r="F250" s="96">
        <v>210.22</v>
      </c>
      <c r="G250" s="98" t="s">
        <v>874</v>
      </c>
      <c r="H250" s="98" t="s">
        <v>875</v>
      </c>
      <c r="I250" s="102">
        <v>216</v>
      </c>
      <c r="J250" s="102">
        <v>515588</v>
      </c>
      <c r="K250" s="98" t="s">
        <v>429</v>
      </c>
      <c r="L250" s="102">
        <v>134070</v>
      </c>
      <c r="M250" s="100">
        <v>366.16</v>
      </c>
      <c r="N250" s="100">
        <v>9616604.6899999995</v>
      </c>
      <c r="O250" s="101">
        <v>1.3899999999999999E-2</v>
      </c>
      <c r="P250" s="101"/>
      <c r="Q250" s="89" t="s">
        <v>876</v>
      </c>
      <c r="R250" s="63"/>
      <c r="S250" s="63"/>
      <c r="T250" s="63"/>
      <c r="U250" s="63"/>
      <c r="V250" s="63"/>
      <c r="W250" s="63"/>
      <c r="X250" s="63"/>
      <c r="Y250" s="63"/>
      <c r="Z250" s="63"/>
    </row>
    <row r="251" spans="1:26" ht="17.25" customHeight="1" x14ac:dyDescent="0.2">
      <c r="A251" s="94">
        <v>808</v>
      </c>
      <c r="B251" s="95" t="s">
        <v>32</v>
      </c>
      <c r="C251" s="95" t="s">
        <v>100</v>
      </c>
      <c r="D251" s="96">
        <v>329.36700000000002</v>
      </c>
      <c r="E251" s="102">
        <v>2694</v>
      </c>
      <c r="F251" s="96">
        <v>329.43</v>
      </c>
      <c r="G251" s="98" t="s">
        <v>877</v>
      </c>
      <c r="H251" s="98" t="s">
        <v>878</v>
      </c>
      <c r="I251" s="100">
        <v>55.4</v>
      </c>
      <c r="J251" s="102">
        <v>1762</v>
      </c>
      <c r="K251" s="98" t="s">
        <v>429</v>
      </c>
      <c r="L251" s="102">
        <v>1967</v>
      </c>
      <c r="M251" s="100">
        <v>44.35</v>
      </c>
      <c r="N251" s="100">
        <v>9907.4500000000007</v>
      </c>
      <c r="O251" s="101">
        <v>0.19900000000000001</v>
      </c>
      <c r="P251" s="101"/>
      <c r="Q251" s="89"/>
      <c r="R251" s="63"/>
      <c r="S251" s="63"/>
      <c r="T251" s="63"/>
      <c r="U251" s="63"/>
      <c r="V251" s="63"/>
      <c r="W251" s="63"/>
      <c r="X251" s="63"/>
      <c r="Y251" s="63"/>
      <c r="Z251" s="63"/>
    </row>
    <row r="252" spans="1:26" ht="17.25" customHeight="1" x14ac:dyDescent="0.2">
      <c r="A252" s="94">
        <v>809</v>
      </c>
      <c r="B252" s="95" t="s">
        <v>32</v>
      </c>
      <c r="C252" s="95" t="s">
        <v>100</v>
      </c>
      <c r="D252" s="96">
        <v>330.37400000000002</v>
      </c>
      <c r="E252" s="102">
        <v>2694</v>
      </c>
      <c r="F252" s="96">
        <v>330.43</v>
      </c>
      <c r="G252" s="98" t="s">
        <v>878</v>
      </c>
      <c r="H252" s="98" t="s">
        <v>879</v>
      </c>
      <c r="I252" s="100">
        <v>55.5</v>
      </c>
      <c r="J252" s="102">
        <v>881</v>
      </c>
      <c r="K252" s="98" t="s">
        <v>429</v>
      </c>
      <c r="L252" s="102">
        <v>1076</v>
      </c>
      <c r="M252" s="100">
        <v>32.799999999999997</v>
      </c>
      <c r="N252" s="100">
        <v>4838.3900000000003</v>
      </c>
      <c r="O252" s="101">
        <v>0.222</v>
      </c>
      <c r="P252" s="101"/>
      <c r="Q252" s="89"/>
      <c r="R252" s="63"/>
      <c r="S252" s="63"/>
      <c r="T252" s="63"/>
      <c r="U252" s="63"/>
      <c r="V252" s="63"/>
      <c r="W252" s="63"/>
      <c r="X252" s="63"/>
      <c r="Y252" s="63"/>
      <c r="Z252" s="63"/>
    </row>
    <row r="253" spans="1:26" ht="17.25" customHeight="1" x14ac:dyDescent="0.2">
      <c r="A253" s="94">
        <v>810</v>
      </c>
      <c r="B253" s="95" t="s">
        <v>32</v>
      </c>
      <c r="C253" s="95" t="s">
        <v>100</v>
      </c>
      <c r="D253" s="96">
        <v>331.38099999999997</v>
      </c>
      <c r="E253" s="102">
        <v>2694</v>
      </c>
      <c r="F253" s="96">
        <v>331.43</v>
      </c>
      <c r="G253" s="98" t="s">
        <v>879</v>
      </c>
      <c r="H253" s="98" t="s">
        <v>880</v>
      </c>
      <c r="I253" s="102">
        <v>55</v>
      </c>
      <c r="J253" s="102">
        <v>1762</v>
      </c>
      <c r="K253" s="98" t="s">
        <v>429</v>
      </c>
      <c r="L253" s="102">
        <v>2459</v>
      </c>
      <c r="M253" s="100">
        <v>49.59</v>
      </c>
      <c r="N253" s="100">
        <v>9414.14</v>
      </c>
      <c r="O253" s="101">
        <v>0.26100000000000001</v>
      </c>
      <c r="P253" s="101"/>
      <c r="Q253" s="89"/>
      <c r="R253" s="63"/>
      <c r="S253" s="63"/>
      <c r="T253" s="63"/>
      <c r="U253" s="63"/>
      <c r="V253" s="63"/>
      <c r="W253" s="63"/>
      <c r="X253" s="63"/>
      <c r="Y253" s="63"/>
      <c r="Z253" s="63"/>
    </row>
    <row r="254" spans="1:26" ht="17.25" customHeight="1" x14ac:dyDescent="0.2">
      <c r="A254" s="94">
        <v>811</v>
      </c>
      <c r="B254" s="95" t="s">
        <v>32</v>
      </c>
      <c r="C254" s="95" t="s">
        <v>100</v>
      </c>
      <c r="D254" s="96">
        <v>332.375</v>
      </c>
      <c r="E254" s="102">
        <v>2694</v>
      </c>
      <c r="F254" s="96">
        <v>332.41</v>
      </c>
      <c r="G254" s="98" t="s">
        <v>880</v>
      </c>
      <c r="H254" s="98" t="s">
        <v>881</v>
      </c>
      <c r="I254" s="102">
        <v>54</v>
      </c>
      <c r="J254" s="102">
        <v>755</v>
      </c>
      <c r="K254" s="98" t="s">
        <v>429</v>
      </c>
      <c r="L254" s="102">
        <v>1237</v>
      </c>
      <c r="M254" s="100">
        <v>35.17</v>
      </c>
      <c r="N254" s="100">
        <v>3769.98</v>
      </c>
      <c r="O254" s="101">
        <v>0.32800000000000001</v>
      </c>
      <c r="P254" s="101"/>
      <c r="Q254" s="89"/>
      <c r="R254" s="63"/>
      <c r="S254" s="63"/>
      <c r="T254" s="63"/>
      <c r="U254" s="63"/>
      <c r="V254" s="63"/>
      <c r="W254" s="63"/>
      <c r="X254" s="63"/>
      <c r="Y254" s="63"/>
      <c r="Z254" s="63"/>
    </row>
    <row r="255" spans="1:26" ht="17.25" customHeight="1" x14ac:dyDescent="0.2">
      <c r="A255" s="94">
        <v>812</v>
      </c>
      <c r="B255" s="95" t="s">
        <v>32</v>
      </c>
      <c r="C255" s="95" t="s">
        <v>100</v>
      </c>
      <c r="D255" s="96">
        <v>333.38200000000001</v>
      </c>
      <c r="E255" s="102">
        <v>2694</v>
      </c>
      <c r="F255" s="96">
        <v>333.41</v>
      </c>
      <c r="G255" s="98" t="s">
        <v>881</v>
      </c>
      <c r="H255" s="98" t="s">
        <v>882</v>
      </c>
      <c r="I255" s="102">
        <v>54</v>
      </c>
      <c r="J255" s="102">
        <v>1133</v>
      </c>
      <c r="K255" s="98" t="s">
        <v>429</v>
      </c>
      <c r="L255" s="102">
        <v>2353</v>
      </c>
      <c r="M255" s="100">
        <v>48.51</v>
      </c>
      <c r="N255" s="100">
        <v>5936.55</v>
      </c>
      <c r="O255" s="101">
        <v>0.39600000000000002</v>
      </c>
      <c r="P255" s="101"/>
      <c r="Q255" s="89"/>
      <c r="R255" s="63"/>
      <c r="S255" s="63"/>
      <c r="T255" s="63"/>
      <c r="U255" s="63"/>
      <c r="V255" s="63"/>
      <c r="W255" s="63"/>
      <c r="X255" s="63"/>
      <c r="Y255" s="63"/>
      <c r="Z255" s="63"/>
    </row>
    <row r="256" spans="1:26" ht="17.25" customHeight="1" x14ac:dyDescent="0.2">
      <c r="A256" s="94">
        <v>813</v>
      </c>
      <c r="B256" s="95" t="s">
        <v>32</v>
      </c>
      <c r="C256" s="95" t="s">
        <v>100</v>
      </c>
      <c r="D256" s="96">
        <v>334.38299999999998</v>
      </c>
      <c r="E256" s="102">
        <v>2694</v>
      </c>
      <c r="F256" s="96">
        <v>334.41</v>
      </c>
      <c r="G256" s="98" t="s">
        <v>882</v>
      </c>
      <c r="H256" s="98" t="s">
        <v>883</v>
      </c>
      <c r="I256" s="102">
        <v>52</v>
      </c>
      <c r="J256" s="102">
        <v>504</v>
      </c>
      <c r="K256" s="98" t="s">
        <v>429</v>
      </c>
      <c r="L256" s="102">
        <v>1477</v>
      </c>
      <c r="M256" s="100">
        <v>38.43</v>
      </c>
      <c r="N256" s="100">
        <v>2999.73</v>
      </c>
      <c r="O256" s="101">
        <v>0.49199999999999999</v>
      </c>
      <c r="P256" s="101"/>
      <c r="Q256" s="89"/>
      <c r="R256" s="63"/>
      <c r="S256" s="63"/>
      <c r="T256" s="63"/>
      <c r="U256" s="63"/>
      <c r="V256" s="63"/>
      <c r="W256" s="63"/>
      <c r="X256" s="63"/>
      <c r="Y256" s="63"/>
      <c r="Z256" s="63"/>
    </row>
    <row r="257" spans="1:26" ht="17.25" customHeight="1" x14ac:dyDescent="0.2">
      <c r="A257" s="94">
        <v>814</v>
      </c>
      <c r="B257" s="95" t="s">
        <v>32</v>
      </c>
      <c r="C257" s="95" t="s">
        <v>100</v>
      </c>
      <c r="D257" s="96">
        <v>335.38299999999998</v>
      </c>
      <c r="E257" s="102">
        <v>2694</v>
      </c>
      <c r="F257" s="96">
        <v>335.4</v>
      </c>
      <c r="G257" s="98" t="s">
        <v>883</v>
      </c>
      <c r="H257" s="98" t="s">
        <v>884</v>
      </c>
      <c r="I257" s="102">
        <v>52</v>
      </c>
      <c r="J257" s="102">
        <v>504</v>
      </c>
      <c r="K257" s="98" t="s">
        <v>429</v>
      </c>
      <c r="L257" s="102">
        <v>1432</v>
      </c>
      <c r="M257" s="100">
        <v>37.840000000000003</v>
      </c>
      <c r="N257" s="100">
        <v>2442.85</v>
      </c>
      <c r="O257" s="101">
        <v>0.58599999999999997</v>
      </c>
      <c r="P257" s="101"/>
      <c r="Q257" s="89"/>
      <c r="R257" s="63"/>
      <c r="S257" s="63"/>
      <c r="T257" s="63"/>
      <c r="U257" s="63"/>
      <c r="V257" s="63"/>
      <c r="W257" s="63"/>
      <c r="X257" s="63"/>
      <c r="Y257" s="63"/>
      <c r="Z257" s="63"/>
    </row>
    <row r="258" spans="1:26" ht="17.25" customHeight="1" x14ac:dyDescent="0.2">
      <c r="A258" s="94">
        <v>815</v>
      </c>
      <c r="B258" s="95" t="s">
        <v>32</v>
      </c>
      <c r="C258" s="95" t="s">
        <v>100</v>
      </c>
      <c r="D258" s="96">
        <v>336.39</v>
      </c>
      <c r="E258" s="102">
        <v>2694</v>
      </c>
      <c r="F258" s="96">
        <v>336.4</v>
      </c>
      <c r="G258" s="98" t="s">
        <v>884</v>
      </c>
      <c r="H258" s="98" t="s">
        <v>885</v>
      </c>
      <c r="I258" s="102">
        <v>52</v>
      </c>
      <c r="J258" s="102">
        <v>378</v>
      </c>
      <c r="K258" s="98" t="s">
        <v>429</v>
      </c>
      <c r="L258" s="102">
        <v>1742</v>
      </c>
      <c r="M258" s="100">
        <v>41.74</v>
      </c>
      <c r="N258" s="100">
        <v>2213.67</v>
      </c>
      <c r="O258" s="101">
        <v>0.78700000000000003</v>
      </c>
      <c r="P258" s="101"/>
      <c r="Q258" s="89"/>
      <c r="R258" s="63"/>
      <c r="S258" s="63"/>
      <c r="T258" s="63"/>
      <c r="U258" s="63"/>
      <c r="V258" s="63"/>
      <c r="W258" s="63"/>
      <c r="X258" s="63"/>
      <c r="Y258" s="63"/>
      <c r="Z258" s="63"/>
    </row>
    <row r="259" spans="1:26" ht="17.25" customHeight="1" x14ac:dyDescent="0.2">
      <c r="A259" s="94">
        <v>816</v>
      </c>
      <c r="B259" s="95" t="s">
        <v>32</v>
      </c>
      <c r="C259" s="95" t="s">
        <v>100</v>
      </c>
      <c r="D259" s="96">
        <v>337.39699999999999</v>
      </c>
      <c r="E259" s="102">
        <v>2694</v>
      </c>
      <c r="F259" s="96">
        <v>337.4</v>
      </c>
      <c r="G259" s="98" t="s">
        <v>885</v>
      </c>
      <c r="H259" s="98" t="s">
        <v>886</v>
      </c>
      <c r="I259" s="102">
        <v>51</v>
      </c>
      <c r="J259" s="102">
        <v>378</v>
      </c>
      <c r="K259" s="98" t="s">
        <v>429</v>
      </c>
      <c r="L259" s="102">
        <v>2521</v>
      </c>
      <c r="M259" s="100">
        <v>50.21</v>
      </c>
      <c r="N259" s="100">
        <v>2283.5500000000002</v>
      </c>
      <c r="O259" s="101">
        <v>1.1000000000000001</v>
      </c>
      <c r="P259" s="101"/>
      <c r="Q259" s="89"/>
      <c r="R259" s="63"/>
      <c r="S259" s="63"/>
      <c r="T259" s="63"/>
      <c r="U259" s="63"/>
      <c r="V259" s="63"/>
      <c r="W259" s="63"/>
      <c r="X259" s="63"/>
      <c r="Y259" s="63"/>
      <c r="Z259" s="63"/>
    </row>
    <row r="260" spans="1:26" ht="17.25" customHeight="1" x14ac:dyDescent="0.2">
      <c r="A260" s="94">
        <v>817</v>
      </c>
      <c r="B260" s="95" t="s">
        <v>32</v>
      </c>
      <c r="C260" s="95" t="s">
        <v>100</v>
      </c>
      <c r="D260" s="96">
        <v>338.38400000000001</v>
      </c>
      <c r="E260" s="102">
        <v>2694</v>
      </c>
      <c r="F260" s="96">
        <v>338.38</v>
      </c>
      <c r="G260" s="98" t="s">
        <v>886</v>
      </c>
      <c r="H260" s="98" t="s">
        <v>887</v>
      </c>
      <c r="I260" s="102">
        <v>49</v>
      </c>
      <c r="J260" s="102">
        <v>252</v>
      </c>
      <c r="K260" s="98" t="s">
        <v>429</v>
      </c>
      <c r="L260" s="102">
        <v>2402</v>
      </c>
      <c r="M260" s="100">
        <v>49.01</v>
      </c>
      <c r="N260" s="100">
        <v>1459.79</v>
      </c>
      <c r="O260" s="101">
        <v>1.65</v>
      </c>
      <c r="P260" s="101"/>
      <c r="Q260" s="89"/>
      <c r="R260" s="63"/>
      <c r="S260" s="63"/>
      <c r="T260" s="63"/>
      <c r="U260" s="63"/>
      <c r="V260" s="63"/>
      <c r="W260" s="63"/>
      <c r="X260" s="63"/>
      <c r="Y260" s="63"/>
      <c r="Z260" s="63"/>
    </row>
    <row r="261" spans="1:26" ht="17.25" customHeight="1" x14ac:dyDescent="0.2">
      <c r="A261" s="94">
        <v>818</v>
      </c>
      <c r="B261" s="95" t="s">
        <v>32</v>
      </c>
      <c r="C261" s="95" t="s">
        <v>100</v>
      </c>
      <c r="D261" s="96">
        <v>339.39100000000002</v>
      </c>
      <c r="E261" s="102">
        <v>2694</v>
      </c>
      <c r="F261" s="96">
        <v>339.38</v>
      </c>
      <c r="G261" s="98" t="s">
        <v>887</v>
      </c>
      <c r="H261" s="98" t="s">
        <v>888</v>
      </c>
      <c r="I261" s="102">
        <v>50</v>
      </c>
      <c r="J261" s="102">
        <v>252</v>
      </c>
      <c r="K261" s="98" t="s">
        <v>429</v>
      </c>
      <c r="L261" s="102">
        <v>3381</v>
      </c>
      <c r="M261" s="100">
        <v>58.15</v>
      </c>
      <c r="N261" s="100">
        <v>1288.51</v>
      </c>
      <c r="O261" s="101">
        <v>2.62</v>
      </c>
      <c r="P261" s="101"/>
      <c r="Q261" s="89"/>
      <c r="R261" s="63"/>
      <c r="S261" s="63"/>
      <c r="T261" s="63"/>
      <c r="U261" s="63"/>
      <c r="V261" s="63"/>
      <c r="W261" s="63"/>
      <c r="X261" s="63"/>
      <c r="Y261" s="63"/>
      <c r="Z261" s="63"/>
    </row>
    <row r="262" spans="1:26" ht="17.25" customHeight="1" x14ac:dyDescent="0.2">
      <c r="A262" s="94">
        <v>819</v>
      </c>
      <c r="B262" s="95" t="s">
        <v>32</v>
      </c>
      <c r="C262" s="95" t="s">
        <v>100</v>
      </c>
      <c r="D262" s="96">
        <v>340.39800000000002</v>
      </c>
      <c r="E262" s="102">
        <v>2694</v>
      </c>
      <c r="F262" s="96">
        <v>340.38</v>
      </c>
      <c r="G262" s="98" t="s">
        <v>888</v>
      </c>
      <c r="H262" s="98" t="s">
        <v>888</v>
      </c>
      <c r="I262" s="102">
        <v>49</v>
      </c>
      <c r="J262" s="102">
        <v>126</v>
      </c>
      <c r="K262" s="98" t="s">
        <v>429</v>
      </c>
      <c r="L262" s="102">
        <v>5187</v>
      </c>
      <c r="M262" s="100">
        <v>72.02</v>
      </c>
      <c r="N262" s="100">
        <v>1031.47</v>
      </c>
      <c r="O262" s="101">
        <v>5.03</v>
      </c>
      <c r="P262" s="101"/>
      <c r="Q262" s="89"/>
      <c r="R262" s="63"/>
      <c r="S262" s="63"/>
      <c r="T262" s="63"/>
      <c r="U262" s="63"/>
      <c r="V262" s="63"/>
      <c r="W262" s="63"/>
      <c r="X262" s="63"/>
      <c r="Y262" s="63"/>
      <c r="Z262" s="63"/>
    </row>
    <row r="263" spans="1:26" ht="17.25" customHeight="1" x14ac:dyDescent="0.2">
      <c r="A263" s="94">
        <v>820</v>
      </c>
      <c r="B263" s="95" t="s">
        <v>32</v>
      </c>
      <c r="C263" s="95" t="s">
        <v>100</v>
      </c>
      <c r="D263" s="96">
        <v>340.90199999999999</v>
      </c>
      <c r="E263" s="102">
        <v>2694</v>
      </c>
      <c r="F263" s="96">
        <v>340.88</v>
      </c>
      <c r="G263" s="98" t="s">
        <v>889</v>
      </c>
      <c r="H263" s="98" t="s">
        <v>890</v>
      </c>
      <c r="I263" s="102">
        <v>49</v>
      </c>
      <c r="J263" s="102">
        <v>126</v>
      </c>
      <c r="K263" s="98" t="s">
        <v>429</v>
      </c>
      <c r="L263" s="102">
        <v>6905</v>
      </c>
      <c r="M263" s="100">
        <v>83.1</v>
      </c>
      <c r="N263" s="100">
        <v>978.16</v>
      </c>
      <c r="O263" s="101">
        <v>7.06</v>
      </c>
      <c r="P263" s="101"/>
      <c r="Q263" s="89"/>
      <c r="R263" s="63"/>
      <c r="S263" s="63"/>
      <c r="T263" s="63"/>
      <c r="U263" s="63"/>
      <c r="V263" s="63"/>
      <c r="W263" s="63"/>
      <c r="X263" s="63"/>
      <c r="Y263" s="63"/>
      <c r="Z263" s="63"/>
    </row>
    <row r="264" spans="1:26" ht="17.25" customHeight="1" x14ac:dyDescent="0.2">
      <c r="A264" s="94">
        <v>821</v>
      </c>
      <c r="B264" s="95" t="s">
        <v>32</v>
      </c>
      <c r="C264" s="95" t="s">
        <v>100</v>
      </c>
      <c r="D264" s="96">
        <v>341.399</v>
      </c>
      <c r="E264" s="102">
        <v>2694</v>
      </c>
      <c r="F264" s="96">
        <v>341.38</v>
      </c>
      <c r="G264" s="98" t="s">
        <v>890</v>
      </c>
      <c r="H264" s="98" t="s">
        <v>891</v>
      </c>
      <c r="I264" s="102">
        <v>40</v>
      </c>
      <c r="J264" s="102">
        <v>126</v>
      </c>
      <c r="K264" s="98" t="s">
        <v>429</v>
      </c>
      <c r="L264" s="102">
        <v>8268</v>
      </c>
      <c r="M264" s="100">
        <v>90.93</v>
      </c>
      <c r="N264" s="100">
        <v>888.22</v>
      </c>
      <c r="O264" s="101">
        <v>9.31</v>
      </c>
      <c r="P264" s="101"/>
      <c r="Q264" s="89"/>
      <c r="R264" s="63"/>
      <c r="S264" s="63"/>
      <c r="T264" s="63"/>
      <c r="U264" s="63"/>
      <c r="V264" s="63"/>
      <c r="W264" s="63"/>
      <c r="X264" s="63"/>
      <c r="Y264" s="63"/>
      <c r="Z264" s="63"/>
    </row>
    <row r="265" spans="1:26" ht="17.25" customHeight="1" x14ac:dyDescent="0.2">
      <c r="A265" s="94">
        <v>822</v>
      </c>
      <c r="B265" s="95" t="s">
        <v>32</v>
      </c>
      <c r="C265" s="95" t="s">
        <v>100</v>
      </c>
      <c r="D265" s="96">
        <v>341.90199999999999</v>
      </c>
      <c r="E265" s="102">
        <v>2694</v>
      </c>
      <c r="F265" s="96">
        <v>341.88</v>
      </c>
      <c r="G265" s="98" t="s">
        <v>891</v>
      </c>
      <c r="H265" s="98" t="s">
        <v>892</v>
      </c>
      <c r="I265" s="102">
        <v>40</v>
      </c>
      <c r="J265" s="102">
        <v>126</v>
      </c>
      <c r="K265" s="98" t="s">
        <v>429</v>
      </c>
      <c r="L265" s="102">
        <v>7009</v>
      </c>
      <c r="M265" s="100">
        <v>83.72</v>
      </c>
      <c r="N265" s="100">
        <v>626.25</v>
      </c>
      <c r="O265" s="101">
        <v>11.2</v>
      </c>
      <c r="P265" s="101"/>
      <c r="Q265" s="89"/>
      <c r="R265" s="63"/>
      <c r="S265" s="63"/>
      <c r="T265" s="63"/>
      <c r="U265" s="63"/>
      <c r="V265" s="63"/>
      <c r="W265" s="63"/>
      <c r="X265" s="63"/>
      <c r="Y265" s="63"/>
      <c r="Z265" s="63"/>
    </row>
    <row r="266" spans="1:26" ht="17.25" customHeight="1" x14ac:dyDescent="0.2">
      <c r="A266" s="94">
        <v>823</v>
      </c>
      <c r="B266" s="95" t="s">
        <v>32</v>
      </c>
      <c r="C266" s="95" t="s">
        <v>100</v>
      </c>
      <c r="D266" s="96">
        <v>342.399</v>
      </c>
      <c r="E266" s="102">
        <v>2694</v>
      </c>
      <c r="F266" s="96">
        <v>342.37</v>
      </c>
      <c r="G266" s="98" t="s">
        <v>892</v>
      </c>
      <c r="H266" s="98" t="s">
        <v>893</v>
      </c>
      <c r="I266" s="102">
        <v>40</v>
      </c>
      <c r="J266" s="102">
        <v>126</v>
      </c>
      <c r="K266" s="98" t="s">
        <v>429</v>
      </c>
      <c r="L266" s="102">
        <v>6818</v>
      </c>
      <c r="M266" s="100">
        <v>82.57</v>
      </c>
      <c r="N266" s="100">
        <v>560.49</v>
      </c>
      <c r="O266" s="101">
        <v>12.2</v>
      </c>
      <c r="P266" s="101"/>
      <c r="Q266" s="89"/>
      <c r="R266" s="63"/>
      <c r="S266" s="63"/>
      <c r="T266" s="63"/>
      <c r="U266" s="63"/>
      <c r="V266" s="63"/>
      <c r="W266" s="63"/>
      <c r="X266" s="63"/>
      <c r="Y266" s="63"/>
      <c r="Z266" s="63"/>
    </row>
    <row r="267" spans="1:26" ht="17.25" customHeight="1" x14ac:dyDescent="0.2">
      <c r="A267" s="94">
        <v>824</v>
      </c>
      <c r="B267" s="95" t="s">
        <v>32</v>
      </c>
      <c r="C267" s="95" t="s">
        <v>100</v>
      </c>
      <c r="D267" s="96">
        <v>342.90199999999999</v>
      </c>
      <c r="E267" s="102">
        <v>2694</v>
      </c>
      <c r="F267" s="96">
        <v>342.87</v>
      </c>
      <c r="G267" s="98" t="s">
        <v>893</v>
      </c>
      <c r="H267" s="98"/>
      <c r="I267" s="102">
        <v>42</v>
      </c>
      <c r="J267" s="102">
        <v>126</v>
      </c>
      <c r="K267" s="98" t="s">
        <v>429</v>
      </c>
      <c r="L267" s="102">
        <v>6744</v>
      </c>
      <c r="M267" s="100">
        <v>82.12</v>
      </c>
      <c r="N267" s="100">
        <v>462.53</v>
      </c>
      <c r="O267" s="101">
        <v>14.6</v>
      </c>
      <c r="P267" s="101"/>
      <c r="Q267" s="89"/>
      <c r="R267" s="63"/>
      <c r="S267" s="63"/>
      <c r="T267" s="63"/>
      <c r="U267" s="63"/>
      <c r="V267" s="63"/>
      <c r="W267" s="63"/>
      <c r="X267" s="63"/>
      <c r="Y267" s="63"/>
      <c r="Z267" s="63"/>
    </row>
    <row r="268" spans="1:26" ht="17.25" customHeight="1" x14ac:dyDescent="0.2">
      <c r="A268" s="94">
        <v>825</v>
      </c>
      <c r="B268" s="95" t="s">
        <v>32</v>
      </c>
      <c r="C268" s="95" t="s">
        <v>100</v>
      </c>
      <c r="D268" s="96">
        <v>343.399</v>
      </c>
      <c r="E268" s="102">
        <v>2694</v>
      </c>
      <c r="F268" s="96">
        <v>343.36</v>
      </c>
      <c r="G268" s="98"/>
      <c r="H268" s="98"/>
      <c r="I268" s="102">
        <v>42</v>
      </c>
      <c r="J268" s="102">
        <v>126</v>
      </c>
      <c r="K268" s="98" t="s">
        <v>429</v>
      </c>
      <c r="L268" s="102">
        <v>9465</v>
      </c>
      <c r="M268" s="100">
        <v>97.29</v>
      </c>
      <c r="N268" s="100">
        <v>665.47</v>
      </c>
      <c r="O268" s="101">
        <v>14.2</v>
      </c>
      <c r="P268" s="101"/>
      <c r="Q268" s="89"/>
      <c r="R268" s="63"/>
      <c r="S268" s="63"/>
      <c r="T268" s="63"/>
      <c r="U268" s="63"/>
      <c r="V268" s="63"/>
      <c r="W268" s="63"/>
      <c r="X268" s="63"/>
      <c r="Y268" s="63"/>
      <c r="Z268" s="63"/>
    </row>
    <row r="269" spans="1:26" ht="17.25" customHeight="1" x14ac:dyDescent="0.2">
      <c r="A269" s="94">
        <v>826</v>
      </c>
      <c r="B269" s="95" t="s">
        <v>32</v>
      </c>
      <c r="C269" s="95" t="s">
        <v>100</v>
      </c>
      <c r="D269" s="96">
        <v>343.90300000000002</v>
      </c>
      <c r="E269" s="102">
        <v>2694</v>
      </c>
      <c r="F269" s="96">
        <v>343.86</v>
      </c>
      <c r="G269" s="98"/>
      <c r="H269" s="98"/>
      <c r="I269" s="102">
        <v>41</v>
      </c>
      <c r="J269" s="102">
        <v>126</v>
      </c>
      <c r="K269" s="98" t="s">
        <v>429</v>
      </c>
      <c r="L269" s="102">
        <v>9285</v>
      </c>
      <c r="M269" s="100">
        <v>96.36</v>
      </c>
      <c r="N269" s="100">
        <v>655.15</v>
      </c>
      <c r="O269" s="101">
        <v>14.2</v>
      </c>
      <c r="P269" s="101"/>
      <c r="Q269" s="89"/>
      <c r="R269" s="63"/>
      <c r="S269" s="63"/>
      <c r="T269" s="63"/>
      <c r="U269" s="63"/>
      <c r="V269" s="63"/>
      <c r="W269" s="63"/>
      <c r="X269" s="63"/>
      <c r="Y269" s="63"/>
      <c r="Z269" s="63"/>
    </row>
    <row r="270" spans="1:26" ht="17.25" customHeight="1" x14ac:dyDescent="0.2">
      <c r="A270" s="94">
        <v>827</v>
      </c>
      <c r="B270" s="95" t="s">
        <v>32</v>
      </c>
      <c r="C270" s="95" t="s">
        <v>100</v>
      </c>
      <c r="D270" s="96">
        <v>344.4</v>
      </c>
      <c r="E270" s="102">
        <v>2694</v>
      </c>
      <c r="F270" s="96">
        <v>344.36</v>
      </c>
      <c r="G270" s="98"/>
      <c r="H270" s="98"/>
      <c r="I270" s="102">
        <v>39</v>
      </c>
      <c r="J270" s="102">
        <v>126</v>
      </c>
      <c r="K270" s="98" t="s">
        <v>429</v>
      </c>
      <c r="L270" s="102">
        <v>8698</v>
      </c>
      <c r="M270" s="100">
        <v>93.26</v>
      </c>
      <c r="N270" s="100">
        <v>584.86</v>
      </c>
      <c r="O270" s="101">
        <v>14.9</v>
      </c>
      <c r="P270" s="101"/>
      <c r="Q270" s="89"/>
      <c r="R270" s="63"/>
      <c r="S270" s="63"/>
      <c r="T270" s="63"/>
      <c r="U270" s="63"/>
      <c r="V270" s="63"/>
      <c r="W270" s="63"/>
      <c r="X270" s="63"/>
      <c r="Y270" s="63"/>
      <c r="Z270" s="63"/>
    </row>
    <row r="271" spans="1:26" ht="17.25" customHeight="1" x14ac:dyDescent="0.2">
      <c r="A271" s="94">
        <v>828</v>
      </c>
      <c r="B271" s="95" t="s">
        <v>32</v>
      </c>
      <c r="C271" s="95" t="s">
        <v>100</v>
      </c>
      <c r="D271" s="96">
        <v>344.91</v>
      </c>
      <c r="E271" s="102">
        <v>2694</v>
      </c>
      <c r="F271" s="96">
        <v>344.87</v>
      </c>
      <c r="G271" s="98"/>
      <c r="H271" s="98"/>
      <c r="I271" s="102">
        <v>39</v>
      </c>
      <c r="J271" s="102">
        <v>126</v>
      </c>
      <c r="K271" s="98" t="s">
        <v>894</v>
      </c>
      <c r="L271" s="102">
        <v>12126</v>
      </c>
      <c r="M271" s="100">
        <v>110.12</v>
      </c>
      <c r="N271" s="100">
        <v>769.29</v>
      </c>
      <c r="O271" s="101">
        <v>15.8</v>
      </c>
      <c r="P271" s="101"/>
      <c r="Q271" s="89"/>
      <c r="R271" s="63"/>
      <c r="S271" s="63"/>
      <c r="T271" s="63"/>
      <c r="U271" s="63"/>
      <c r="V271" s="63"/>
      <c r="W271" s="63"/>
      <c r="X271" s="63"/>
      <c r="Y271" s="63"/>
      <c r="Z271" s="63"/>
    </row>
    <row r="272" spans="1:26" ht="17.25" customHeight="1" x14ac:dyDescent="0.2">
      <c r="A272" s="94">
        <v>829</v>
      </c>
      <c r="B272" s="95" t="s">
        <v>32</v>
      </c>
      <c r="C272" s="95" t="s">
        <v>100</v>
      </c>
      <c r="D272" s="96">
        <v>345.40699999999998</v>
      </c>
      <c r="E272" s="102">
        <v>2694</v>
      </c>
      <c r="F272" s="96">
        <v>345.36</v>
      </c>
      <c r="G272" s="98" t="s">
        <v>895</v>
      </c>
      <c r="H272" s="98" t="s">
        <v>896</v>
      </c>
      <c r="I272" s="102">
        <v>40</v>
      </c>
      <c r="J272" s="102">
        <v>252</v>
      </c>
      <c r="K272" s="98" t="s">
        <v>897</v>
      </c>
      <c r="L272" s="102">
        <v>16803</v>
      </c>
      <c r="M272" s="100">
        <v>129.63</v>
      </c>
      <c r="N272" s="100">
        <v>1096.25</v>
      </c>
      <c r="O272" s="101">
        <v>15.3</v>
      </c>
      <c r="P272" s="101"/>
      <c r="Q272" s="89"/>
      <c r="R272" s="63"/>
      <c r="S272" s="63"/>
      <c r="T272" s="63"/>
      <c r="U272" s="63"/>
      <c r="V272" s="63"/>
      <c r="W272" s="63"/>
      <c r="X272" s="63"/>
      <c r="Y272" s="63"/>
      <c r="Z272" s="63"/>
    </row>
    <row r="273" spans="1:26" ht="17.25" customHeight="1" x14ac:dyDescent="0.2">
      <c r="A273" s="94">
        <v>830</v>
      </c>
      <c r="B273" s="95" t="s">
        <v>32</v>
      </c>
      <c r="C273" s="95" t="s">
        <v>100</v>
      </c>
      <c r="D273" s="96">
        <v>344.40600000000001</v>
      </c>
      <c r="E273" s="102">
        <v>2694</v>
      </c>
      <c r="F273" s="96">
        <v>344.36</v>
      </c>
      <c r="G273" s="98" t="s">
        <v>898</v>
      </c>
      <c r="H273" s="98" t="s">
        <v>899</v>
      </c>
      <c r="I273" s="102">
        <v>40</v>
      </c>
      <c r="J273" s="102">
        <v>252</v>
      </c>
      <c r="K273" s="98" t="s">
        <v>900</v>
      </c>
      <c r="L273" s="102">
        <v>14231</v>
      </c>
      <c r="M273" s="100">
        <v>119.29</v>
      </c>
      <c r="N273" s="100">
        <v>942.09</v>
      </c>
      <c r="O273" s="101">
        <v>15.1</v>
      </c>
      <c r="P273" s="101"/>
      <c r="Q273" s="89"/>
      <c r="R273" s="63"/>
      <c r="S273" s="63"/>
      <c r="T273" s="63"/>
      <c r="U273" s="63"/>
      <c r="V273" s="63"/>
      <c r="W273" s="63"/>
      <c r="X273" s="63"/>
      <c r="Y273" s="63"/>
      <c r="Z273" s="63"/>
    </row>
    <row r="274" spans="1:26" ht="17.25" customHeight="1" x14ac:dyDescent="0.2">
      <c r="A274" s="94">
        <v>831</v>
      </c>
      <c r="B274" s="95" t="s">
        <v>32</v>
      </c>
      <c r="C274" s="95" t="s">
        <v>100</v>
      </c>
      <c r="D274" s="96">
        <v>346.40699999999998</v>
      </c>
      <c r="E274" s="102">
        <v>2694</v>
      </c>
      <c r="F274" s="96">
        <v>346.35</v>
      </c>
      <c r="G274" s="98" t="s">
        <v>899</v>
      </c>
      <c r="H274" s="98" t="s">
        <v>901</v>
      </c>
      <c r="I274" s="102">
        <v>41</v>
      </c>
      <c r="J274" s="102">
        <v>126</v>
      </c>
      <c r="K274" s="98" t="s">
        <v>902</v>
      </c>
      <c r="L274" s="102">
        <v>12580</v>
      </c>
      <c r="M274" s="100">
        <v>112.16</v>
      </c>
      <c r="N274" s="100">
        <v>839.85</v>
      </c>
      <c r="O274" s="101">
        <v>15</v>
      </c>
      <c r="P274" s="101"/>
      <c r="Q274" s="89"/>
      <c r="R274" s="63"/>
      <c r="S274" s="63"/>
      <c r="T274" s="63"/>
      <c r="U274" s="63"/>
      <c r="V274" s="63"/>
      <c r="W274" s="63"/>
      <c r="X274" s="63"/>
      <c r="Y274" s="63"/>
      <c r="Z274" s="63"/>
    </row>
    <row r="275" spans="1:26" ht="17.25" customHeight="1" x14ac:dyDescent="0.2">
      <c r="A275" s="94">
        <v>832</v>
      </c>
      <c r="B275" s="95" t="s">
        <v>32</v>
      </c>
      <c r="C275" s="95" t="s">
        <v>100</v>
      </c>
      <c r="D275" s="96">
        <v>347.41399999999999</v>
      </c>
      <c r="E275" s="102">
        <v>2694</v>
      </c>
      <c r="F275" s="96">
        <v>347.35</v>
      </c>
      <c r="G275" s="98" t="s">
        <v>901</v>
      </c>
      <c r="H275" s="98" t="s">
        <v>901</v>
      </c>
      <c r="I275" s="102">
        <v>41</v>
      </c>
      <c r="J275" s="102">
        <v>252</v>
      </c>
      <c r="K275" s="98" t="s">
        <v>903</v>
      </c>
      <c r="L275" s="102">
        <v>12984</v>
      </c>
      <c r="M275" s="100">
        <v>113.95</v>
      </c>
      <c r="N275" s="100">
        <v>956.88</v>
      </c>
      <c r="O275" s="101">
        <v>13.6</v>
      </c>
      <c r="P275" s="101"/>
      <c r="Q275" s="89"/>
      <c r="R275" s="63"/>
      <c r="S275" s="63"/>
      <c r="T275" s="63"/>
      <c r="U275" s="63"/>
      <c r="V275" s="63"/>
      <c r="W275" s="63"/>
      <c r="X275" s="63"/>
      <c r="Y275" s="63"/>
      <c r="Z275" s="63"/>
    </row>
    <row r="276" spans="1:26" ht="17.25" customHeight="1" x14ac:dyDescent="0.2">
      <c r="A276" s="94">
        <v>833</v>
      </c>
      <c r="B276" s="95" t="s">
        <v>32</v>
      </c>
      <c r="C276" s="95" t="s">
        <v>100</v>
      </c>
      <c r="D276" s="96">
        <v>348.40100000000001</v>
      </c>
      <c r="E276" s="102">
        <v>2694</v>
      </c>
      <c r="F276" s="96">
        <v>348.33</v>
      </c>
      <c r="G276" s="98" t="s">
        <v>904</v>
      </c>
      <c r="H276" s="98" t="s">
        <v>904</v>
      </c>
      <c r="I276" s="102">
        <v>42</v>
      </c>
      <c r="J276" s="102">
        <v>252</v>
      </c>
      <c r="K276" s="98" t="s">
        <v>905</v>
      </c>
      <c r="L276" s="102">
        <v>11610</v>
      </c>
      <c r="M276" s="100">
        <v>107.75</v>
      </c>
      <c r="N276" s="100">
        <v>916.86</v>
      </c>
      <c r="O276" s="101">
        <v>12.7</v>
      </c>
      <c r="P276" s="101"/>
      <c r="Q276" s="89"/>
      <c r="R276" s="63"/>
      <c r="S276" s="63"/>
      <c r="T276" s="63"/>
      <c r="U276" s="63"/>
      <c r="V276" s="63"/>
      <c r="W276" s="63"/>
      <c r="X276" s="63"/>
      <c r="Y276" s="63"/>
      <c r="Z276" s="63"/>
    </row>
    <row r="277" spans="1:26" ht="17.25" customHeight="1" x14ac:dyDescent="0.2">
      <c r="A277" s="104">
        <v>834</v>
      </c>
      <c r="B277" s="105" t="s">
        <v>32</v>
      </c>
      <c r="C277" s="105" t="s">
        <v>100</v>
      </c>
      <c r="D277" s="106">
        <v>349.41500000000002</v>
      </c>
      <c r="E277" s="107">
        <v>2694</v>
      </c>
      <c r="F277" s="106">
        <f t="shared" ref="F277:F291" si="23">0.9933*(D277+E277/1000)-0.41</f>
        <v>349.33986970000001</v>
      </c>
      <c r="G277" s="108" t="s">
        <v>904</v>
      </c>
      <c r="H277" s="108" t="s">
        <v>906</v>
      </c>
      <c r="I277" s="107">
        <v>41</v>
      </c>
      <c r="J277" s="107">
        <v>252</v>
      </c>
      <c r="K277" s="108" t="s">
        <v>907</v>
      </c>
      <c r="L277" s="107">
        <v>11803</v>
      </c>
      <c r="M277" s="111">
        <f t="shared" ref="M277:M340" si="24">SQRT(L277)</f>
        <v>108.6416126537157</v>
      </c>
      <c r="N277" s="111">
        <v>1000.18</v>
      </c>
      <c r="O277" s="113">
        <f t="shared" ref="O277:O340" si="25">L277/N277</f>
        <v>11.800875842348377</v>
      </c>
      <c r="P277" s="113"/>
      <c r="Q277" s="63"/>
      <c r="R277" s="63"/>
      <c r="S277" s="63"/>
      <c r="T277" s="63"/>
      <c r="U277" s="63"/>
      <c r="V277" s="63"/>
      <c r="W277" s="63"/>
      <c r="X277" s="63"/>
      <c r="Y277" s="63"/>
      <c r="Z277" s="63"/>
    </row>
    <row r="278" spans="1:26" ht="17.25" customHeight="1" x14ac:dyDescent="0.2">
      <c r="A278" s="104">
        <v>835</v>
      </c>
      <c r="B278" s="105" t="s">
        <v>32</v>
      </c>
      <c r="C278" s="105" t="s">
        <v>100</v>
      </c>
      <c r="D278" s="106">
        <v>350.41500000000002</v>
      </c>
      <c r="E278" s="107">
        <v>2694</v>
      </c>
      <c r="F278" s="106">
        <f t="shared" si="23"/>
        <v>350.33316969999998</v>
      </c>
      <c r="G278" s="108" t="s">
        <v>906</v>
      </c>
      <c r="H278" s="108" t="s">
        <v>908</v>
      </c>
      <c r="I278" s="107">
        <v>41</v>
      </c>
      <c r="J278" s="107">
        <v>126</v>
      </c>
      <c r="K278" s="108" t="s">
        <v>909</v>
      </c>
      <c r="L278" s="107">
        <v>6404</v>
      </c>
      <c r="M278" s="111">
        <f t="shared" si="24"/>
        <v>80.02499609497022</v>
      </c>
      <c r="N278" s="111">
        <v>577.70000000000005</v>
      </c>
      <c r="O278" s="113">
        <f t="shared" si="25"/>
        <v>11.085338410939933</v>
      </c>
      <c r="P278" s="113"/>
      <c r="Q278" s="63"/>
      <c r="R278" s="63"/>
      <c r="S278" s="63"/>
      <c r="T278" s="63"/>
      <c r="U278" s="63"/>
      <c r="V278" s="63"/>
      <c r="W278" s="63"/>
      <c r="X278" s="63"/>
      <c r="Y278" s="63"/>
      <c r="Z278" s="63"/>
    </row>
    <row r="279" spans="1:26" ht="17.25" customHeight="1" x14ac:dyDescent="0.2">
      <c r="A279" s="104">
        <v>836</v>
      </c>
      <c r="B279" s="105" t="s">
        <v>32</v>
      </c>
      <c r="C279" s="105" t="s">
        <v>100</v>
      </c>
      <c r="D279" s="106">
        <v>351.416</v>
      </c>
      <c r="E279" s="107">
        <v>2694</v>
      </c>
      <c r="F279" s="106">
        <f t="shared" si="23"/>
        <v>351.32746299999997</v>
      </c>
      <c r="G279" s="108" t="s">
        <v>908</v>
      </c>
      <c r="H279" s="108" t="s">
        <v>910</v>
      </c>
      <c r="I279" s="107">
        <v>40</v>
      </c>
      <c r="J279" s="107">
        <v>126</v>
      </c>
      <c r="K279" s="108" t="s">
        <v>911</v>
      </c>
      <c r="L279" s="107">
        <v>6014</v>
      </c>
      <c r="M279" s="111">
        <f t="shared" si="24"/>
        <v>77.549983881365179</v>
      </c>
      <c r="N279" s="111">
        <v>596.49</v>
      </c>
      <c r="O279" s="113">
        <f t="shared" si="25"/>
        <v>10.082314875354156</v>
      </c>
      <c r="P279" s="113"/>
      <c r="Q279" s="63"/>
      <c r="R279" s="63"/>
      <c r="S279" s="63"/>
      <c r="T279" s="63"/>
      <c r="U279" s="63"/>
      <c r="V279" s="63"/>
      <c r="W279" s="63"/>
      <c r="X279" s="63"/>
      <c r="Y279" s="63"/>
      <c r="Z279" s="63"/>
    </row>
    <row r="280" spans="1:26" ht="17.25" customHeight="1" x14ac:dyDescent="0.2">
      <c r="A280" s="104">
        <v>837</v>
      </c>
      <c r="B280" s="105" t="s">
        <v>32</v>
      </c>
      <c r="C280" s="105" t="s">
        <v>100</v>
      </c>
      <c r="D280" s="106">
        <v>352.416</v>
      </c>
      <c r="E280" s="107">
        <v>2694</v>
      </c>
      <c r="F280" s="106">
        <f t="shared" si="23"/>
        <v>352.320763</v>
      </c>
      <c r="G280" s="108" t="s">
        <v>910</v>
      </c>
      <c r="H280" s="108" t="s">
        <v>912</v>
      </c>
      <c r="I280" s="107">
        <v>40</v>
      </c>
      <c r="J280" s="107">
        <v>126</v>
      </c>
      <c r="K280" s="108" t="s">
        <v>913</v>
      </c>
      <c r="L280" s="107">
        <v>6773</v>
      </c>
      <c r="M280" s="111">
        <f t="shared" si="24"/>
        <v>82.29823813423954</v>
      </c>
      <c r="N280" s="111">
        <v>769.19</v>
      </c>
      <c r="O280" s="113">
        <f t="shared" si="25"/>
        <v>8.8053666844342739</v>
      </c>
      <c r="P280" s="113"/>
      <c r="Q280" s="63"/>
      <c r="R280" s="63"/>
      <c r="S280" s="63"/>
      <c r="T280" s="63"/>
      <c r="U280" s="63"/>
      <c r="V280" s="63"/>
      <c r="W280" s="63"/>
      <c r="X280" s="63"/>
      <c r="Y280" s="63"/>
      <c r="Z280" s="63"/>
    </row>
    <row r="281" spans="1:26" ht="17.25" customHeight="1" x14ac:dyDescent="0.2">
      <c r="A281" s="104">
        <v>838</v>
      </c>
      <c r="B281" s="105" t="s">
        <v>32</v>
      </c>
      <c r="C281" s="105" t="s">
        <v>100</v>
      </c>
      <c r="D281" s="106">
        <v>354.42399999999998</v>
      </c>
      <c r="E281" s="107">
        <v>2694</v>
      </c>
      <c r="F281" s="106">
        <f t="shared" si="23"/>
        <v>354.31530939999993</v>
      </c>
      <c r="G281" s="108" t="s">
        <v>912</v>
      </c>
      <c r="H281" s="108" t="s">
        <v>914</v>
      </c>
      <c r="I281" s="107">
        <v>50</v>
      </c>
      <c r="J281" s="107">
        <v>126</v>
      </c>
      <c r="K281" s="108" t="s">
        <v>915</v>
      </c>
      <c r="L281" s="107">
        <v>6224</v>
      </c>
      <c r="M281" s="111">
        <f t="shared" si="24"/>
        <v>78.892331693264083</v>
      </c>
      <c r="N281" s="111">
        <v>844.41</v>
      </c>
      <c r="O281" s="113">
        <f t="shared" si="25"/>
        <v>7.3708269679421141</v>
      </c>
      <c r="P281" s="113"/>
      <c r="Q281" s="63"/>
      <c r="R281" s="63"/>
      <c r="S281" s="63"/>
      <c r="T281" s="63"/>
      <c r="U281" s="63"/>
      <c r="V281" s="63"/>
      <c r="W281" s="63"/>
      <c r="X281" s="63"/>
      <c r="Y281" s="63"/>
      <c r="Z281" s="63"/>
    </row>
    <row r="282" spans="1:26" ht="17.25" customHeight="1" x14ac:dyDescent="0.2">
      <c r="A282" s="104">
        <v>839</v>
      </c>
      <c r="B282" s="105" t="s">
        <v>32</v>
      </c>
      <c r="C282" s="105" t="s">
        <v>100</v>
      </c>
      <c r="D282" s="106">
        <v>356.43099999999998</v>
      </c>
      <c r="E282" s="107">
        <v>2694</v>
      </c>
      <c r="F282" s="106">
        <f t="shared" si="23"/>
        <v>356.30886249999998</v>
      </c>
      <c r="G282" s="108" t="s">
        <v>914</v>
      </c>
      <c r="H282" s="108" t="s">
        <v>916</v>
      </c>
      <c r="I282" s="107">
        <v>50</v>
      </c>
      <c r="J282" s="107">
        <v>252</v>
      </c>
      <c r="K282" s="108" t="s">
        <v>917</v>
      </c>
      <c r="L282" s="107">
        <v>6337</v>
      </c>
      <c r="M282" s="111">
        <f t="shared" si="24"/>
        <v>79.605276207045478</v>
      </c>
      <c r="N282" s="111">
        <v>1024.06</v>
      </c>
      <c r="O282" s="113">
        <f t="shared" si="25"/>
        <v>6.1881139776966201</v>
      </c>
      <c r="P282" s="78"/>
      <c r="Q282" s="63"/>
      <c r="R282" s="63"/>
      <c r="S282" s="63"/>
      <c r="T282" s="63"/>
      <c r="U282" s="63"/>
      <c r="V282" s="63"/>
      <c r="W282" s="63"/>
      <c r="X282" s="63"/>
      <c r="Y282" s="63"/>
      <c r="Z282" s="63"/>
    </row>
    <row r="283" spans="1:26" ht="17.25" customHeight="1" x14ac:dyDescent="0.2">
      <c r="A283" s="104">
        <v>840</v>
      </c>
      <c r="B283" s="105" t="s">
        <v>32</v>
      </c>
      <c r="C283" s="105" t="s">
        <v>100</v>
      </c>
      <c r="D283" s="106">
        <v>358.42500000000001</v>
      </c>
      <c r="E283" s="107">
        <v>2694</v>
      </c>
      <c r="F283" s="106">
        <f t="shared" si="23"/>
        <v>358.28950270000001</v>
      </c>
      <c r="G283" s="108" t="s">
        <v>916</v>
      </c>
      <c r="H283" s="108" t="s">
        <v>916</v>
      </c>
      <c r="I283" s="107">
        <v>52</v>
      </c>
      <c r="J283" s="107">
        <v>252</v>
      </c>
      <c r="K283" s="108" t="s">
        <v>918</v>
      </c>
      <c r="L283" s="107">
        <v>6645</v>
      </c>
      <c r="M283" s="111">
        <f t="shared" si="24"/>
        <v>81.516869419771027</v>
      </c>
      <c r="N283" s="111">
        <v>1312.74</v>
      </c>
      <c r="O283" s="113">
        <f t="shared" si="25"/>
        <v>5.0619315325197674</v>
      </c>
      <c r="P283" s="78"/>
      <c r="Q283" s="63"/>
      <c r="R283" s="63"/>
      <c r="S283" s="63"/>
      <c r="T283" s="63"/>
      <c r="U283" s="63"/>
      <c r="V283" s="63"/>
      <c r="W283" s="63"/>
      <c r="X283" s="63"/>
      <c r="Y283" s="63"/>
      <c r="Z283" s="63"/>
    </row>
    <row r="284" spans="1:26" ht="17.25" customHeight="1" x14ac:dyDescent="0.2">
      <c r="A284" s="104">
        <v>841</v>
      </c>
      <c r="B284" s="105" t="s">
        <v>32</v>
      </c>
      <c r="C284" s="105" t="s">
        <v>100</v>
      </c>
      <c r="D284" s="106">
        <v>360.42599999999999</v>
      </c>
      <c r="E284" s="107">
        <v>2694</v>
      </c>
      <c r="F284" s="106">
        <f t="shared" si="23"/>
        <v>360.27709599999997</v>
      </c>
      <c r="G284" s="108" t="s">
        <v>916</v>
      </c>
      <c r="H284" s="108" t="s">
        <v>919</v>
      </c>
      <c r="I284" s="107">
        <v>51</v>
      </c>
      <c r="J284" s="107">
        <v>378</v>
      </c>
      <c r="K284" s="108" t="s">
        <v>920</v>
      </c>
      <c r="L284" s="107">
        <v>7565</v>
      </c>
      <c r="M284" s="111">
        <f t="shared" si="24"/>
        <v>86.977008456258133</v>
      </c>
      <c r="N284" s="111">
        <v>1748.82</v>
      </c>
      <c r="O284" s="113">
        <f t="shared" si="25"/>
        <v>4.3257739504351509</v>
      </c>
      <c r="P284" s="78"/>
      <c r="Q284" s="63"/>
      <c r="R284" s="63"/>
      <c r="S284" s="63"/>
      <c r="T284" s="63"/>
      <c r="U284" s="63"/>
      <c r="V284" s="63"/>
      <c r="W284" s="63"/>
      <c r="X284" s="63"/>
      <c r="Y284" s="63"/>
      <c r="Z284" s="63"/>
    </row>
    <row r="285" spans="1:26" ht="17.25" customHeight="1" x14ac:dyDescent="0.2">
      <c r="A285" s="104">
        <v>842</v>
      </c>
      <c r="B285" s="105" t="s">
        <v>32</v>
      </c>
      <c r="C285" s="105" t="s">
        <v>100</v>
      </c>
      <c r="D285" s="106">
        <v>362.43400000000003</v>
      </c>
      <c r="E285" s="107">
        <v>2694</v>
      </c>
      <c r="F285" s="106">
        <f t="shared" si="23"/>
        <v>362.27164240000002</v>
      </c>
      <c r="G285" s="108" t="s">
        <v>919</v>
      </c>
      <c r="H285" s="108" t="s">
        <v>921</v>
      </c>
      <c r="I285" s="107">
        <v>50</v>
      </c>
      <c r="J285" s="107">
        <v>252</v>
      </c>
      <c r="K285" s="108" t="s">
        <v>922</v>
      </c>
      <c r="L285" s="107">
        <v>5870</v>
      </c>
      <c r="M285" s="111">
        <f t="shared" si="24"/>
        <v>76.615925237511817</v>
      </c>
      <c r="N285" s="111">
        <v>1564.8</v>
      </c>
      <c r="O285" s="113">
        <f t="shared" si="25"/>
        <v>3.7512781186094069</v>
      </c>
      <c r="P285" s="78"/>
      <c r="Q285" s="63"/>
      <c r="R285" s="63"/>
      <c r="S285" s="63"/>
      <c r="T285" s="63"/>
      <c r="U285" s="63"/>
      <c r="V285" s="63"/>
      <c r="W285" s="63"/>
      <c r="X285" s="63"/>
      <c r="Y285" s="63"/>
      <c r="Z285" s="63"/>
    </row>
    <row r="286" spans="1:26" ht="17.25" customHeight="1" x14ac:dyDescent="0.2">
      <c r="A286" s="104">
        <v>843</v>
      </c>
      <c r="B286" s="105" t="s">
        <v>32</v>
      </c>
      <c r="C286" s="105" t="s">
        <v>100</v>
      </c>
      <c r="D286" s="106">
        <v>364.43400000000003</v>
      </c>
      <c r="E286" s="107">
        <v>2694</v>
      </c>
      <c r="F286" s="106">
        <f t="shared" si="23"/>
        <v>364.25824240000003</v>
      </c>
      <c r="G286" s="108" t="s">
        <v>921</v>
      </c>
      <c r="H286" s="108" t="s">
        <v>923</v>
      </c>
      <c r="I286" s="107">
        <v>51</v>
      </c>
      <c r="J286" s="107">
        <v>378</v>
      </c>
      <c r="K286" s="108" t="s">
        <v>924</v>
      </c>
      <c r="L286" s="107">
        <v>5905</v>
      </c>
      <c r="M286" s="111">
        <f t="shared" si="24"/>
        <v>76.843997813752509</v>
      </c>
      <c r="N286" s="111">
        <v>1796.68</v>
      </c>
      <c r="O286" s="113">
        <f t="shared" si="25"/>
        <v>3.2866175390164081</v>
      </c>
      <c r="P286" s="78"/>
      <c r="Q286" s="63"/>
      <c r="R286" s="63"/>
      <c r="S286" s="63"/>
      <c r="T286" s="63"/>
      <c r="U286" s="63"/>
      <c r="V286" s="63"/>
      <c r="W286" s="63"/>
      <c r="X286" s="63"/>
      <c r="Y286" s="63"/>
      <c r="Z286" s="63"/>
    </row>
    <row r="287" spans="1:26" ht="17.25" customHeight="1" x14ac:dyDescent="0.2">
      <c r="A287" s="104">
        <v>844</v>
      </c>
      <c r="B287" s="105" t="s">
        <v>32</v>
      </c>
      <c r="C287" s="105" t="s">
        <v>100</v>
      </c>
      <c r="D287" s="106">
        <v>369.95299999999997</v>
      </c>
      <c r="E287" s="107">
        <v>2694</v>
      </c>
      <c r="F287" s="106">
        <f t="shared" si="23"/>
        <v>369.74026509999993</v>
      </c>
      <c r="G287" s="108" t="s">
        <v>923</v>
      </c>
      <c r="H287" s="108" t="s">
        <v>925</v>
      </c>
      <c r="I287" s="107">
        <v>64</v>
      </c>
      <c r="J287" s="107">
        <v>378</v>
      </c>
      <c r="K287" s="108" t="s">
        <v>926</v>
      </c>
      <c r="L287" s="107">
        <v>5546</v>
      </c>
      <c r="M287" s="111">
        <f t="shared" si="24"/>
        <v>74.471471047643476</v>
      </c>
      <c r="N287" s="111">
        <v>2379.64</v>
      </c>
      <c r="O287" s="113">
        <f t="shared" si="25"/>
        <v>2.3306046292716545</v>
      </c>
      <c r="P287" s="78"/>
      <c r="Q287" s="63"/>
      <c r="R287" s="63"/>
      <c r="S287" s="63"/>
      <c r="T287" s="63"/>
      <c r="U287" s="63"/>
      <c r="V287" s="63"/>
      <c r="W287" s="63"/>
      <c r="X287" s="63"/>
      <c r="Y287" s="63"/>
      <c r="Z287" s="63"/>
    </row>
    <row r="288" spans="1:26" ht="17.25" customHeight="1" x14ac:dyDescent="0.2">
      <c r="A288" s="104">
        <v>845</v>
      </c>
      <c r="B288" s="105" t="s">
        <v>32</v>
      </c>
      <c r="C288" s="105" t="s">
        <v>100</v>
      </c>
      <c r="D288" s="106">
        <v>374.95499999999998</v>
      </c>
      <c r="E288" s="107">
        <v>2694</v>
      </c>
      <c r="F288" s="106">
        <f t="shared" si="23"/>
        <v>374.70875169999994</v>
      </c>
      <c r="G288" s="108" t="s">
        <v>925</v>
      </c>
      <c r="H288" s="108" t="s">
        <v>927</v>
      </c>
      <c r="I288" s="107">
        <v>64</v>
      </c>
      <c r="J288" s="107">
        <v>378</v>
      </c>
      <c r="K288" s="108" t="s">
        <v>928</v>
      </c>
      <c r="L288" s="107">
        <v>5404</v>
      </c>
      <c r="M288" s="111">
        <f t="shared" si="24"/>
        <v>73.511903797956421</v>
      </c>
      <c r="N288" s="111">
        <v>3012.27</v>
      </c>
      <c r="O288" s="113">
        <f t="shared" si="25"/>
        <v>1.7939958901426498</v>
      </c>
      <c r="P288" s="78"/>
      <c r="Q288" s="63"/>
      <c r="R288" s="63"/>
      <c r="S288" s="63"/>
      <c r="T288" s="63"/>
      <c r="U288" s="63"/>
      <c r="V288" s="63"/>
      <c r="W288" s="63"/>
      <c r="X288" s="63"/>
      <c r="Y288" s="63"/>
      <c r="Z288" s="63"/>
    </row>
    <row r="289" spans="1:26" ht="17.25" customHeight="1" x14ac:dyDescent="0.2">
      <c r="A289" s="104">
        <v>846</v>
      </c>
      <c r="B289" s="105" t="s">
        <v>32</v>
      </c>
      <c r="C289" s="105" t="s">
        <v>100</v>
      </c>
      <c r="D289" s="106">
        <v>380.47399999999999</v>
      </c>
      <c r="E289" s="107">
        <v>2694</v>
      </c>
      <c r="F289" s="106">
        <f t="shared" si="23"/>
        <v>380.19077439999995</v>
      </c>
      <c r="G289" s="108" t="s">
        <v>927</v>
      </c>
      <c r="H289" s="108" t="s">
        <v>929</v>
      </c>
      <c r="I289" s="107">
        <v>79</v>
      </c>
      <c r="J289" s="107">
        <v>504</v>
      </c>
      <c r="K289" s="108" t="s">
        <v>930</v>
      </c>
      <c r="L289" s="107">
        <v>5263</v>
      </c>
      <c r="M289" s="111">
        <f t="shared" si="24"/>
        <v>72.546536788464266</v>
      </c>
      <c r="N289" s="111">
        <v>3752.42</v>
      </c>
      <c r="O289" s="113">
        <f t="shared" si="25"/>
        <v>1.4025615469483692</v>
      </c>
      <c r="P289" s="78"/>
      <c r="Q289" s="63"/>
      <c r="R289" s="63"/>
      <c r="S289" s="63"/>
      <c r="T289" s="63"/>
      <c r="U289" s="63"/>
      <c r="V289" s="63"/>
      <c r="W289" s="63"/>
      <c r="X289" s="63"/>
      <c r="Y289" s="63"/>
      <c r="Z289" s="63"/>
    </row>
    <row r="290" spans="1:26" ht="17.25" customHeight="1" x14ac:dyDescent="0.2">
      <c r="A290" s="104">
        <v>847</v>
      </c>
      <c r="B290" s="105" t="s">
        <v>32</v>
      </c>
      <c r="C290" s="105" t="s">
        <v>100</v>
      </c>
      <c r="D290" s="106">
        <v>218.74100000000001</v>
      </c>
      <c r="E290" s="107">
        <v>2694</v>
      </c>
      <c r="F290" s="106">
        <f t="shared" si="23"/>
        <v>219.54138549999999</v>
      </c>
      <c r="G290" s="108" t="s">
        <v>931</v>
      </c>
      <c r="H290" s="108" t="s">
        <v>932</v>
      </c>
      <c r="I290" s="107">
        <v>73</v>
      </c>
      <c r="J290" s="107">
        <v>630</v>
      </c>
      <c r="K290" s="108" t="s">
        <v>933</v>
      </c>
      <c r="L290" s="107">
        <v>210</v>
      </c>
      <c r="M290" s="111">
        <f t="shared" si="24"/>
        <v>14.491376746189438</v>
      </c>
      <c r="N290" s="111">
        <v>4902.84</v>
      </c>
      <c r="O290" s="113">
        <f t="shared" si="25"/>
        <v>4.2832317595516069E-2</v>
      </c>
      <c r="P290" s="78"/>
      <c r="Q290" s="63"/>
      <c r="R290" s="63"/>
      <c r="S290" s="63"/>
      <c r="T290" s="63"/>
      <c r="U290" s="63"/>
      <c r="V290" s="63"/>
      <c r="W290" s="63"/>
      <c r="X290" s="63"/>
      <c r="Y290" s="63"/>
      <c r="Z290" s="63"/>
    </row>
    <row r="291" spans="1:26" ht="17.25" customHeight="1" x14ac:dyDescent="0.2">
      <c r="A291" s="104">
        <v>848</v>
      </c>
      <c r="B291" s="105" t="s">
        <v>32</v>
      </c>
      <c r="C291" s="105" t="s">
        <v>100</v>
      </c>
      <c r="D291" s="106">
        <v>221.762</v>
      </c>
      <c r="E291" s="107">
        <v>2694</v>
      </c>
      <c r="F291" s="106">
        <f t="shared" si="23"/>
        <v>222.54214479999999</v>
      </c>
      <c r="G291" s="108" t="s">
        <v>932</v>
      </c>
      <c r="H291" s="108" t="s">
        <v>934</v>
      </c>
      <c r="I291" s="107">
        <v>73</v>
      </c>
      <c r="J291" s="107">
        <v>755</v>
      </c>
      <c r="K291" s="108" t="s">
        <v>935</v>
      </c>
      <c r="L291" s="107">
        <v>547</v>
      </c>
      <c r="M291" s="111">
        <f t="shared" si="24"/>
        <v>23.388031127053001</v>
      </c>
      <c r="N291" s="111">
        <v>5538.68</v>
      </c>
      <c r="O291" s="113">
        <f t="shared" si="25"/>
        <v>9.875999335581763E-2</v>
      </c>
      <c r="P291" s="78"/>
      <c r="Q291" s="63"/>
      <c r="R291" s="63"/>
      <c r="S291" s="63"/>
      <c r="T291" s="63"/>
      <c r="U291" s="63"/>
      <c r="V291" s="63"/>
      <c r="W291" s="63"/>
      <c r="X291" s="63"/>
      <c r="Y291" s="63"/>
      <c r="Z291" s="63"/>
    </row>
    <row r="292" spans="1:26" ht="17.25" customHeight="1" x14ac:dyDescent="0.2">
      <c r="A292" s="104">
        <v>849</v>
      </c>
      <c r="B292" s="105" t="s">
        <v>32</v>
      </c>
      <c r="C292" s="105" t="s">
        <v>100</v>
      </c>
      <c r="D292" s="106">
        <v>224.77</v>
      </c>
      <c r="E292" s="107">
        <v>2694</v>
      </c>
      <c r="F292" s="106">
        <v>224.76400000000001</v>
      </c>
      <c r="G292" s="108"/>
      <c r="H292" s="108"/>
      <c r="I292" s="107">
        <v>73</v>
      </c>
      <c r="J292" s="107">
        <v>630</v>
      </c>
      <c r="K292" s="108" t="s">
        <v>936</v>
      </c>
      <c r="L292" s="107">
        <v>6205</v>
      </c>
      <c r="M292" s="111">
        <f t="shared" si="24"/>
        <v>78.771822373231913</v>
      </c>
      <c r="N292" s="111">
        <v>4420.53</v>
      </c>
      <c r="O292" s="113">
        <f t="shared" si="25"/>
        <v>1.4036778395350784</v>
      </c>
      <c r="P292" s="78"/>
      <c r="Q292" s="63"/>
      <c r="R292" s="63"/>
      <c r="S292" s="63"/>
      <c r="T292" s="63"/>
      <c r="U292" s="63"/>
      <c r="V292" s="63"/>
      <c r="W292" s="63"/>
      <c r="X292" s="63"/>
      <c r="Y292" s="63"/>
      <c r="Z292" s="63"/>
    </row>
    <row r="293" spans="1:26" ht="17.25" customHeight="1" x14ac:dyDescent="0.2">
      <c r="A293" s="104">
        <v>850</v>
      </c>
      <c r="B293" s="105" t="s">
        <v>32</v>
      </c>
      <c r="C293" s="105" t="s">
        <v>100</v>
      </c>
      <c r="D293" s="106">
        <v>225.77099999999999</v>
      </c>
      <c r="E293" s="107">
        <v>2694</v>
      </c>
      <c r="F293" s="106">
        <f t="shared" ref="F293:F356" si="26">0.9933*(D293+E293/1000)-0.41</f>
        <v>226.52428449999996</v>
      </c>
      <c r="G293" s="108" t="s">
        <v>937</v>
      </c>
      <c r="H293" s="108" t="s">
        <v>937</v>
      </c>
      <c r="I293" s="107">
        <v>70</v>
      </c>
      <c r="J293" s="107">
        <v>378</v>
      </c>
      <c r="K293" s="108" t="s">
        <v>938</v>
      </c>
      <c r="L293" s="107">
        <v>5700</v>
      </c>
      <c r="M293" s="111">
        <f t="shared" si="24"/>
        <v>75.498344352707491</v>
      </c>
      <c r="N293" s="111">
        <v>3034.77</v>
      </c>
      <c r="O293" s="113">
        <f t="shared" si="25"/>
        <v>1.8782312992417878</v>
      </c>
      <c r="P293" s="78"/>
      <c r="Q293" s="63"/>
      <c r="R293" s="63"/>
      <c r="S293" s="63"/>
      <c r="T293" s="63"/>
      <c r="U293" s="63"/>
      <c r="V293" s="63"/>
      <c r="W293" s="63"/>
      <c r="X293" s="63"/>
      <c r="Y293" s="63"/>
      <c r="Z293" s="63"/>
    </row>
    <row r="294" spans="1:26" ht="17.25" customHeight="1" x14ac:dyDescent="0.2">
      <c r="A294" s="104">
        <v>851</v>
      </c>
      <c r="B294" s="105" t="s">
        <v>32</v>
      </c>
      <c r="C294" s="105" t="s">
        <v>100</v>
      </c>
      <c r="D294" s="106">
        <v>226.77099999999999</v>
      </c>
      <c r="E294" s="107">
        <v>2694</v>
      </c>
      <c r="F294" s="106">
        <f t="shared" si="26"/>
        <v>227.51758449999997</v>
      </c>
      <c r="G294" s="108" t="s">
        <v>939</v>
      </c>
      <c r="H294" s="108"/>
      <c r="I294" s="107">
        <v>70</v>
      </c>
      <c r="J294" s="107">
        <v>378</v>
      </c>
      <c r="K294" s="108" t="s">
        <v>940</v>
      </c>
      <c r="L294" s="107">
        <v>6126</v>
      </c>
      <c r="M294" s="111">
        <f t="shared" si="24"/>
        <v>78.268767717397978</v>
      </c>
      <c r="N294" s="111">
        <v>3036.95</v>
      </c>
      <c r="O294" s="113">
        <f t="shared" si="25"/>
        <v>2.0171553696965705</v>
      </c>
      <c r="P294" s="78"/>
      <c r="Q294" s="63"/>
      <c r="R294" s="63"/>
      <c r="S294" s="63"/>
      <c r="T294" s="63"/>
      <c r="U294" s="63"/>
      <c r="V294" s="63"/>
      <c r="W294" s="63"/>
      <c r="X294" s="63"/>
      <c r="Y294" s="63"/>
      <c r="Z294" s="63"/>
    </row>
    <row r="295" spans="1:26" ht="17.25" customHeight="1" x14ac:dyDescent="0.2">
      <c r="A295" s="104">
        <v>852</v>
      </c>
      <c r="B295" s="105" t="s">
        <v>32</v>
      </c>
      <c r="C295" s="105" t="s">
        <v>100</v>
      </c>
      <c r="D295" s="106">
        <v>227.77799999999999</v>
      </c>
      <c r="E295" s="107">
        <v>2694</v>
      </c>
      <c r="F295" s="106">
        <f t="shared" si="26"/>
        <v>228.51783759999998</v>
      </c>
      <c r="G295" s="108" t="s">
        <v>941</v>
      </c>
      <c r="H295" s="108" t="s">
        <v>941</v>
      </c>
      <c r="I295" s="107">
        <v>70</v>
      </c>
      <c r="J295" s="107">
        <v>630</v>
      </c>
      <c r="K295" s="108" t="s">
        <v>942</v>
      </c>
      <c r="L295" s="107">
        <v>9000</v>
      </c>
      <c r="M295" s="111">
        <f t="shared" si="24"/>
        <v>94.868329805051374</v>
      </c>
      <c r="N295" s="111">
        <v>4403.6899999999996</v>
      </c>
      <c r="O295" s="113">
        <f t="shared" si="25"/>
        <v>2.0437405902776993</v>
      </c>
      <c r="P295" s="78"/>
      <c r="Q295" s="63"/>
      <c r="R295" s="63"/>
      <c r="S295" s="63"/>
      <c r="T295" s="63"/>
      <c r="U295" s="63"/>
      <c r="V295" s="63"/>
      <c r="W295" s="63"/>
      <c r="X295" s="63"/>
      <c r="Y295" s="63"/>
      <c r="Z295" s="63"/>
    </row>
    <row r="296" spans="1:26" ht="17.25" customHeight="1" x14ac:dyDescent="0.2">
      <c r="A296" s="104">
        <v>853</v>
      </c>
      <c r="B296" s="105" t="s">
        <v>32</v>
      </c>
      <c r="C296" s="105" t="s">
        <v>100</v>
      </c>
      <c r="D296" s="106">
        <v>223.756</v>
      </c>
      <c r="E296" s="107">
        <v>2694</v>
      </c>
      <c r="F296" s="106">
        <f t="shared" si="26"/>
        <v>224.52278499999997</v>
      </c>
      <c r="G296" s="108" t="s">
        <v>943</v>
      </c>
      <c r="H296" s="108" t="s">
        <v>944</v>
      </c>
      <c r="I296" s="107">
        <v>74</v>
      </c>
      <c r="J296" s="107">
        <v>504</v>
      </c>
      <c r="K296" s="108" t="s">
        <v>945</v>
      </c>
      <c r="L296" s="107">
        <v>2203</v>
      </c>
      <c r="M296" s="111">
        <f t="shared" si="24"/>
        <v>46.936126810805341</v>
      </c>
      <c r="N296" s="111">
        <v>3966.93</v>
      </c>
      <c r="O296" s="113">
        <f t="shared" si="25"/>
        <v>0.55534128406601579</v>
      </c>
      <c r="P296" s="78"/>
      <c r="Q296" s="63"/>
      <c r="R296" s="63"/>
      <c r="S296" s="63"/>
      <c r="T296" s="63"/>
      <c r="U296" s="63"/>
      <c r="V296" s="63"/>
      <c r="W296" s="63"/>
      <c r="X296" s="63"/>
      <c r="Y296" s="63"/>
      <c r="Z296" s="63"/>
    </row>
    <row r="297" spans="1:26" ht="17.25" customHeight="1" x14ac:dyDescent="0.2">
      <c r="A297" s="104">
        <v>854</v>
      </c>
      <c r="B297" s="105" t="s">
        <v>32</v>
      </c>
      <c r="C297" s="105" t="s">
        <v>100</v>
      </c>
      <c r="D297" s="106">
        <v>229.27500000000001</v>
      </c>
      <c r="E297" s="107">
        <v>2694</v>
      </c>
      <c r="F297" s="106">
        <f t="shared" si="26"/>
        <v>230.00480769999999</v>
      </c>
      <c r="G297" s="108" t="s">
        <v>944</v>
      </c>
      <c r="H297" s="108" t="s">
        <v>946</v>
      </c>
      <c r="I297" s="107">
        <v>68</v>
      </c>
      <c r="J297" s="107">
        <v>378</v>
      </c>
      <c r="K297" s="108" t="s">
        <v>947</v>
      </c>
      <c r="L297" s="107">
        <v>5402</v>
      </c>
      <c r="M297" s="111">
        <f t="shared" si="24"/>
        <v>73.498299300051841</v>
      </c>
      <c r="N297" s="111">
        <v>2726.13</v>
      </c>
      <c r="O297" s="113">
        <f t="shared" si="25"/>
        <v>1.9815636084852886</v>
      </c>
      <c r="P297" s="78"/>
      <c r="Q297" s="63"/>
      <c r="R297" s="63"/>
      <c r="S297" s="63"/>
      <c r="T297" s="63"/>
      <c r="U297" s="63"/>
      <c r="V297" s="63"/>
      <c r="W297" s="63"/>
      <c r="X297" s="63"/>
      <c r="Y297" s="63"/>
      <c r="Z297" s="63"/>
    </row>
    <row r="298" spans="1:26" ht="17.25" customHeight="1" x14ac:dyDescent="0.2">
      <c r="A298" s="104">
        <v>855</v>
      </c>
      <c r="B298" s="105" t="s">
        <v>32</v>
      </c>
      <c r="C298" s="105" t="s">
        <v>100</v>
      </c>
      <c r="D298" s="106">
        <v>231.29</v>
      </c>
      <c r="E298" s="107">
        <v>2694</v>
      </c>
      <c r="F298" s="106">
        <f t="shared" si="26"/>
        <v>232.00630719999998</v>
      </c>
      <c r="G298" s="108" t="s">
        <v>948</v>
      </c>
      <c r="H298" s="108" t="s">
        <v>949</v>
      </c>
      <c r="I298" s="107">
        <v>70</v>
      </c>
      <c r="J298" s="107">
        <v>378</v>
      </c>
      <c r="K298" s="108" t="s">
        <v>950</v>
      </c>
      <c r="L298" s="107">
        <v>5432</v>
      </c>
      <c r="M298" s="111">
        <f t="shared" si="24"/>
        <v>73.702103090753113</v>
      </c>
      <c r="N298" s="111">
        <v>3230.43</v>
      </c>
      <c r="O298" s="113">
        <f t="shared" si="25"/>
        <v>1.68150989187198</v>
      </c>
      <c r="P298" s="78"/>
      <c r="Q298" s="63"/>
      <c r="R298" s="63"/>
      <c r="S298" s="63"/>
      <c r="T298" s="63"/>
      <c r="U298" s="63"/>
      <c r="V298" s="63"/>
      <c r="W298" s="63"/>
      <c r="X298" s="63"/>
      <c r="Y298" s="63"/>
      <c r="Z298" s="63"/>
    </row>
    <row r="299" spans="1:26" ht="17.25" customHeight="1" x14ac:dyDescent="0.2">
      <c r="A299" s="104">
        <v>856</v>
      </c>
      <c r="B299" s="105" t="s">
        <v>32</v>
      </c>
      <c r="C299" s="105" t="s">
        <v>100</v>
      </c>
      <c r="D299" s="106">
        <v>232.29</v>
      </c>
      <c r="E299" s="107">
        <v>2694</v>
      </c>
      <c r="F299" s="106">
        <f t="shared" si="26"/>
        <v>232.99960719999999</v>
      </c>
      <c r="G299" s="108" t="s">
        <v>949</v>
      </c>
      <c r="H299" s="108" t="s">
        <v>951</v>
      </c>
      <c r="I299" s="107">
        <v>71</v>
      </c>
      <c r="J299" s="107">
        <v>378</v>
      </c>
      <c r="K299" s="108" t="s">
        <v>952</v>
      </c>
      <c r="L299" s="107">
        <v>5389</v>
      </c>
      <c r="M299" s="111">
        <f t="shared" si="24"/>
        <v>73.409808608931812</v>
      </c>
      <c r="N299" s="111">
        <v>3388.1</v>
      </c>
      <c r="O299" s="113">
        <f t="shared" si="25"/>
        <v>1.5905669844455594</v>
      </c>
      <c r="P299" s="78"/>
      <c r="Q299" s="63"/>
      <c r="R299" s="63"/>
      <c r="S299" s="63"/>
      <c r="T299" s="63"/>
      <c r="U299" s="63"/>
      <c r="V299" s="63"/>
      <c r="W299" s="63"/>
      <c r="X299" s="63"/>
      <c r="Y299" s="63"/>
      <c r="Z299" s="63"/>
    </row>
    <row r="300" spans="1:26" ht="17.25" customHeight="1" x14ac:dyDescent="0.2">
      <c r="A300" s="104">
        <v>857</v>
      </c>
      <c r="B300" s="105" t="s">
        <v>32</v>
      </c>
      <c r="C300" s="105" t="s">
        <v>100</v>
      </c>
      <c r="D300" s="106">
        <v>235.298</v>
      </c>
      <c r="E300" s="107">
        <v>2694</v>
      </c>
      <c r="F300" s="106">
        <f t="shared" si="26"/>
        <v>235.98745359999998</v>
      </c>
      <c r="G300" s="108" t="s">
        <v>953</v>
      </c>
      <c r="H300" s="108" t="s">
        <v>954</v>
      </c>
      <c r="I300" s="107">
        <v>71</v>
      </c>
      <c r="J300" s="107">
        <v>378</v>
      </c>
      <c r="K300" s="108" t="s">
        <v>955</v>
      </c>
      <c r="L300" s="107">
        <v>3262</v>
      </c>
      <c r="M300" s="111">
        <f t="shared" si="24"/>
        <v>57.113921245174545</v>
      </c>
      <c r="N300" s="111">
        <v>2639.34</v>
      </c>
      <c r="O300" s="113">
        <f t="shared" si="25"/>
        <v>1.235915039365902</v>
      </c>
      <c r="P300" s="78"/>
      <c r="Q300" s="63"/>
      <c r="R300" s="63"/>
      <c r="S300" s="63"/>
      <c r="T300" s="63"/>
      <c r="U300" s="63"/>
      <c r="V300" s="63"/>
      <c r="W300" s="63"/>
      <c r="X300" s="63"/>
      <c r="Y300" s="63"/>
      <c r="Z300" s="63"/>
    </row>
    <row r="301" spans="1:26" ht="17.25" customHeight="1" x14ac:dyDescent="0.2">
      <c r="A301" s="104">
        <v>858</v>
      </c>
      <c r="B301" s="105" t="s">
        <v>32</v>
      </c>
      <c r="C301" s="105" t="s">
        <v>100</v>
      </c>
      <c r="D301" s="106">
        <v>236.8</v>
      </c>
      <c r="E301" s="107">
        <v>2694</v>
      </c>
      <c r="F301" s="106">
        <f t="shared" si="26"/>
        <v>237.47939019999998</v>
      </c>
      <c r="G301" s="108" t="s">
        <v>956</v>
      </c>
      <c r="H301" s="108" t="s">
        <v>957</v>
      </c>
      <c r="I301" s="107">
        <v>74</v>
      </c>
      <c r="J301" s="107">
        <v>126</v>
      </c>
      <c r="K301" s="108" t="s">
        <v>958</v>
      </c>
      <c r="L301" s="107">
        <v>1629</v>
      </c>
      <c r="M301" s="111">
        <f t="shared" si="24"/>
        <v>40.36087214122113</v>
      </c>
      <c r="N301" s="111">
        <v>1540.97</v>
      </c>
      <c r="O301" s="113">
        <f t="shared" si="25"/>
        <v>1.0571263554773942</v>
      </c>
      <c r="P301" s="78"/>
      <c r="Q301" s="63"/>
      <c r="R301" s="63"/>
      <c r="S301" s="63"/>
      <c r="T301" s="63"/>
      <c r="U301" s="63"/>
      <c r="V301" s="63"/>
      <c r="W301" s="63"/>
      <c r="X301" s="63"/>
      <c r="Y301" s="63"/>
      <c r="Z301" s="63"/>
    </row>
    <row r="302" spans="1:26" ht="17.25" customHeight="1" x14ac:dyDescent="0.2">
      <c r="A302" s="104">
        <v>859</v>
      </c>
      <c r="B302" s="105" t="s">
        <v>32</v>
      </c>
      <c r="C302" s="105" t="s">
        <v>100</v>
      </c>
      <c r="D302" s="106">
        <v>236.31200000000001</v>
      </c>
      <c r="E302" s="107">
        <v>2694</v>
      </c>
      <c r="F302" s="106">
        <f t="shared" si="26"/>
        <v>236.99465979999999</v>
      </c>
      <c r="G302" s="108" t="s">
        <v>959</v>
      </c>
      <c r="H302" s="108"/>
      <c r="I302" s="107">
        <v>74</v>
      </c>
      <c r="J302" s="107">
        <v>252</v>
      </c>
      <c r="K302" s="108" t="s">
        <v>960</v>
      </c>
      <c r="L302" s="107">
        <v>2101</v>
      </c>
      <c r="M302" s="111">
        <f t="shared" si="24"/>
        <v>45.836666545463359</v>
      </c>
      <c r="N302" s="111">
        <v>1860.23</v>
      </c>
      <c r="O302" s="113">
        <f t="shared" si="25"/>
        <v>1.1294302317455369</v>
      </c>
      <c r="P302" s="78"/>
      <c r="Q302" s="63"/>
      <c r="R302" s="63"/>
      <c r="S302" s="63"/>
      <c r="T302" s="63"/>
      <c r="U302" s="63"/>
      <c r="V302" s="63"/>
      <c r="W302" s="63"/>
      <c r="X302" s="63"/>
      <c r="Y302" s="63"/>
      <c r="Z302" s="63"/>
    </row>
    <row r="303" spans="1:26" ht="17.25" customHeight="1" x14ac:dyDescent="0.2">
      <c r="A303" s="104">
        <v>860</v>
      </c>
      <c r="B303" s="105" t="s">
        <v>32</v>
      </c>
      <c r="C303" s="105" t="s">
        <v>100</v>
      </c>
      <c r="D303" s="106">
        <v>237.31200000000001</v>
      </c>
      <c r="E303" s="107">
        <v>2694</v>
      </c>
      <c r="F303" s="106">
        <f t="shared" si="26"/>
        <v>237.9879598</v>
      </c>
      <c r="G303" s="108"/>
      <c r="H303" s="108"/>
      <c r="I303" s="107">
        <v>73</v>
      </c>
      <c r="J303" s="107">
        <v>252</v>
      </c>
      <c r="K303" s="108" t="s">
        <v>961</v>
      </c>
      <c r="L303" s="107">
        <v>2188</v>
      </c>
      <c r="M303" s="111">
        <f t="shared" si="24"/>
        <v>46.776062254106002</v>
      </c>
      <c r="N303" s="111">
        <v>1979.64</v>
      </c>
      <c r="O303" s="113">
        <f t="shared" si="25"/>
        <v>1.105251459861389</v>
      </c>
      <c r="P303" s="78"/>
      <c r="Q303" s="63"/>
      <c r="R303" s="63"/>
      <c r="S303" s="63"/>
      <c r="T303" s="63"/>
      <c r="U303" s="63"/>
      <c r="V303" s="63"/>
      <c r="W303" s="63"/>
      <c r="X303" s="63"/>
      <c r="Y303" s="63"/>
      <c r="Z303" s="63"/>
    </row>
    <row r="304" spans="1:26" ht="17.25" customHeight="1" x14ac:dyDescent="0.2">
      <c r="A304" s="104">
        <v>861</v>
      </c>
      <c r="B304" s="105" t="s">
        <v>32</v>
      </c>
      <c r="C304" s="105" t="s">
        <v>100</v>
      </c>
      <c r="D304" s="106">
        <v>238.30600000000001</v>
      </c>
      <c r="E304" s="107">
        <v>2694</v>
      </c>
      <c r="F304" s="106">
        <f t="shared" si="26"/>
        <v>238.9753</v>
      </c>
      <c r="G304" s="108"/>
      <c r="H304" s="108"/>
      <c r="I304" s="107">
        <v>72</v>
      </c>
      <c r="J304" s="107">
        <v>252</v>
      </c>
      <c r="K304" s="108" t="s">
        <v>962</v>
      </c>
      <c r="L304" s="107">
        <v>2203</v>
      </c>
      <c r="M304" s="111">
        <f t="shared" si="24"/>
        <v>46.936126810805341</v>
      </c>
      <c r="N304" s="111">
        <v>2022.28</v>
      </c>
      <c r="O304" s="113">
        <f t="shared" si="25"/>
        <v>1.0893644796961846</v>
      </c>
      <c r="P304" s="78"/>
      <c r="Q304" s="63"/>
      <c r="R304" s="63"/>
      <c r="S304" s="63"/>
      <c r="T304" s="63"/>
      <c r="U304" s="63"/>
      <c r="V304" s="63"/>
      <c r="W304" s="63"/>
      <c r="X304" s="63"/>
      <c r="Y304" s="63"/>
      <c r="Z304" s="63"/>
    </row>
    <row r="305" spans="1:26" ht="17.25" customHeight="1" x14ac:dyDescent="0.2">
      <c r="A305" s="104">
        <v>862</v>
      </c>
      <c r="B305" s="105" t="s">
        <v>32</v>
      </c>
      <c r="C305" s="105" t="s">
        <v>100</v>
      </c>
      <c r="D305" s="106">
        <v>240.32</v>
      </c>
      <c r="E305" s="107">
        <v>2694</v>
      </c>
      <c r="F305" s="106">
        <f t="shared" si="26"/>
        <v>240.97580619999997</v>
      </c>
      <c r="G305" s="108"/>
      <c r="H305" s="108"/>
      <c r="I305" s="107">
        <v>72</v>
      </c>
      <c r="J305" s="107">
        <v>252</v>
      </c>
      <c r="K305" s="108" t="s">
        <v>963</v>
      </c>
      <c r="L305" s="107">
        <v>1751</v>
      </c>
      <c r="M305" s="111">
        <f t="shared" si="24"/>
        <v>41.844951905815357</v>
      </c>
      <c r="N305" s="111">
        <v>1737.57</v>
      </c>
      <c r="O305" s="113">
        <f t="shared" si="25"/>
        <v>1.0077291850112513</v>
      </c>
      <c r="P305" s="78"/>
      <c r="Q305" s="63"/>
      <c r="R305" s="63"/>
      <c r="S305" s="63"/>
      <c r="T305" s="63"/>
      <c r="U305" s="63"/>
      <c r="V305" s="63"/>
      <c r="W305" s="63"/>
      <c r="X305" s="63"/>
      <c r="Y305" s="63"/>
      <c r="Z305" s="63"/>
    </row>
    <row r="306" spans="1:26" ht="17.25" customHeight="1" x14ac:dyDescent="0.2">
      <c r="A306" s="104">
        <v>863</v>
      </c>
      <c r="B306" s="105" t="s">
        <v>32</v>
      </c>
      <c r="C306" s="105" t="s">
        <v>100</v>
      </c>
      <c r="D306" s="106">
        <v>243.328</v>
      </c>
      <c r="E306" s="107">
        <v>2694</v>
      </c>
      <c r="F306" s="106">
        <f t="shared" si="26"/>
        <v>243.96365259999999</v>
      </c>
      <c r="G306" s="108"/>
      <c r="H306" s="108"/>
      <c r="I306" s="107">
        <v>74</v>
      </c>
      <c r="J306" s="107">
        <v>252</v>
      </c>
      <c r="K306" s="108" t="s">
        <v>964</v>
      </c>
      <c r="L306" s="107">
        <v>1857</v>
      </c>
      <c r="M306" s="111">
        <f t="shared" si="24"/>
        <v>43.092922852830483</v>
      </c>
      <c r="N306" s="111">
        <v>2166.4499999999998</v>
      </c>
      <c r="O306" s="113">
        <f t="shared" si="25"/>
        <v>0.85716263934085724</v>
      </c>
      <c r="P306" s="78"/>
      <c r="Q306" s="63"/>
      <c r="R306" s="63"/>
      <c r="S306" s="63"/>
      <c r="T306" s="63"/>
      <c r="U306" s="63"/>
      <c r="V306" s="63"/>
      <c r="W306" s="63"/>
      <c r="X306" s="63"/>
      <c r="Y306" s="63"/>
      <c r="Z306" s="63"/>
    </row>
    <row r="307" spans="1:26" ht="17.25" customHeight="1" x14ac:dyDescent="0.2">
      <c r="A307" s="104">
        <v>864</v>
      </c>
      <c r="B307" s="105" t="s">
        <v>32</v>
      </c>
      <c r="C307" s="105" t="s">
        <v>100</v>
      </c>
      <c r="D307" s="106">
        <v>248.34299999999999</v>
      </c>
      <c r="E307" s="107">
        <v>2694</v>
      </c>
      <c r="F307" s="106">
        <f t="shared" si="26"/>
        <v>248.94505209999997</v>
      </c>
      <c r="G307" s="108"/>
      <c r="H307" s="108"/>
      <c r="I307" s="107">
        <v>80</v>
      </c>
      <c r="J307" s="107">
        <v>252</v>
      </c>
      <c r="K307" s="108" t="s">
        <v>965</v>
      </c>
      <c r="L307" s="107">
        <v>1624</v>
      </c>
      <c r="M307" s="111">
        <f t="shared" si="24"/>
        <v>40.298883359219772</v>
      </c>
      <c r="N307" s="111">
        <v>2658.54</v>
      </c>
      <c r="O307" s="113">
        <f t="shared" si="25"/>
        <v>0.61086160072821927</v>
      </c>
      <c r="P307" s="78"/>
      <c r="Q307" s="63"/>
      <c r="R307" s="63"/>
      <c r="S307" s="63"/>
      <c r="T307" s="63"/>
      <c r="U307" s="63"/>
      <c r="V307" s="63"/>
      <c r="W307" s="63"/>
      <c r="X307" s="63"/>
      <c r="Y307" s="63"/>
      <c r="Z307" s="63"/>
    </row>
    <row r="308" spans="1:26" ht="17.25" customHeight="1" x14ac:dyDescent="0.2">
      <c r="A308" s="104">
        <v>865</v>
      </c>
      <c r="B308" s="105" t="s">
        <v>32</v>
      </c>
      <c r="C308" s="105" t="s">
        <v>100</v>
      </c>
      <c r="D308" s="106">
        <v>253.345</v>
      </c>
      <c r="E308" s="107">
        <v>2694</v>
      </c>
      <c r="F308" s="106">
        <f t="shared" si="26"/>
        <v>253.91353869999998</v>
      </c>
      <c r="G308" s="108"/>
      <c r="H308" s="108"/>
      <c r="I308" s="107">
        <v>90</v>
      </c>
      <c r="J308" s="107">
        <v>252</v>
      </c>
      <c r="K308" s="108" t="s">
        <v>966</v>
      </c>
      <c r="L308" s="107">
        <v>1609</v>
      </c>
      <c r="M308" s="111">
        <f t="shared" si="24"/>
        <v>40.11234224026316</v>
      </c>
      <c r="N308" s="111">
        <v>3055.16</v>
      </c>
      <c r="O308" s="113">
        <f t="shared" si="25"/>
        <v>0.52664999541758861</v>
      </c>
      <c r="P308" s="78"/>
      <c r="Q308" s="63"/>
      <c r="R308" s="63"/>
      <c r="S308" s="63"/>
      <c r="T308" s="63"/>
      <c r="U308" s="63"/>
      <c r="V308" s="63"/>
      <c r="W308" s="63"/>
      <c r="X308" s="63"/>
      <c r="Y308" s="63"/>
      <c r="Z308" s="63"/>
    </row>
    <row r="309" spans="1:26" ht="17.25" customHeight="1" x14ac:dyDescent="0.2">
      <c r="A309" s="104">
        <v>866</v>
      </c>
      <c r="B309" s="105" t="s">
        <v>32</v>
      </c>
      <c r="C309" s="105" t="s">
        <v>100</v>
      </c>
      <c r="D309" s="106">
        <v>258.36</v>
      </c>
      <c r="E309" s="107">
        <v>2694</v>
      </c>
      <c r="F309" s="106">
        <f t="shared" si="26"/>
        <v>258.89493820000001</v>
      </c>
      <c r="G309" s="108"/>
      <c r="H309" s="108"/>
      <c r="I309" s="107">
        <v>90</v>
      </c>
      <c r="J309" s="107">
        <v>504</v>
      </c>
      <c r="K309" s="108" t="s">
        <v>967</v>
      </c>
      <c r="L309" s="107">
        <v>2183</v>
      </c>
      <c r="M309" s="111">
        <f t="shared" si="24"/>
        <v>46.722585544894663</v>
      </c>
      <c r="N309" s="111">
        <v>4986.3999999999996</v>
      </c>
      <c r="O309" s="113">
        <f t="shared" si="25"/>
        <v>0.43779079095138779</v>
      </c>
      <c r="P309" s="78"/>
      <c r="Q309" s="63"/>
      <c r="R309" s="63"/>
      <c r="S309" s="63"/>
      <c r="T309" s="63"/>
      <c r="U309" s="63"/>
      <c r="V309" s="63"/>
      <c r="W309" s="63"/>
      <c r="X309" s="63"/>
      <c r="Y309" s="63"/>
      <c r="Z309" s="63"/>
    </row>
    <row r="310" spans="1:26" ht="17.25" customHeight="1" x14ac:dyDescent="0.2">
      <c r="A310" s="104">
        <v>867</v>
      </c>
      <c r="B310" s="105" t="s">
        <v>32</v>
      </c>
      <c r="C310" s="105" t="s">
        <v>100</v>
      </c>
      <c r="D310" s="106">
        <v>263.36200000000002</v>
      </c>
      <c r="E310" s="107">
        <v>2694</v>
      </c>
      <c r="F310" s="106">
        <f t="shared" si="26"/>
        <v>263.86342480000002</v>
      </c>
      <c r="G310" s="108"/>
      <c r="H310" s="108"/>
      <c r="I310" s="107">
        <v>101</v>
      </c>
      <c r="J310" s="107">
        <v>1133</v>
      </c>
      <c r="K310" s="108" t="s">
        <v>968</v>
      </c>
      <c r="L310" s="107">
        <v>4865</v>
      </c>
      <c r="M310" s="111">
        <f t="shared" si="24"/>
        <v>69.749551969887236</v>
      </c>
      <c r="N310" s="111">
        <v>11804.42</v>
      </c>
      <c r="O310" s="113">
        <f t="shared" si="25"/>
        <v>0.41213376006614472</v>
      </c>
      <c r="P310" s="78"/>
      <c r="Q310" s="63"/>
      <c r="R310" s="63"/>
      <c r="S310" s="63"/>
      <c r="T310" s="63"/>
      <c r="U310" s="63"/>
      <c r="V310" s="63"/>
      <c r="W310" s="63"/>
      <c r="X310" s="63"/>
      <c r="Y310" s="63"/>
      <c r="Z310" s="63"/>
    </row>
    <row r="311" spans="1:26" ht="17.25" customHeight="1" x14ac:dyDescent="0.2">
      <c r="A311" s="104">
        <v>868</v>
      </c>
      <c r="B311" s="105" t="s">
        <v>157</v>
      </c>
      <c r="C311" s="105" t="s">
        <v>100</v>
      </c>
      <c r="D311" s="106">
        <v>209.35499999999999</v>
      </c>
      <c r="E311" s="107">
        <v>2694</v>
      </c>
      <c r="F311" s="106">
        <f t="shared" si="26"/>
        <v>210.21827169999997</v>
      </c>
      <c r="G311" s="108" t="s">
        <v>969</v>
      </c>
      <c r="H311" s="108" t="s">
        <v>970</v>
      </c>
      <c r="I311" s="107">
        <v>196</v>
      </c>
      <c r="J311" s="107">
        <v>751327</v>
      </c>
      <c r="K311" s="108" t="s">
        <v>429</v>
      </c>
      <c r="L311" s="107">
        <v>225645</v>
      </c>
      <c r="M311" s="111">
        <f t="shared" si="24"/>
        <v>475.0210521650593</v>
      </c>
      <c r="N311" s="111">
        <v>17138878.890000001</v>
      </c>
      <c r="O311" s="113">
        <f t="shared" si="25"/>
        <v>1.3165680290305149E-2</v>
      </c>
      <c r="P311" s="78"/>
      <c r="Q311" s="63" t="s">
        <v>971</v>
      </c>
      <c r="R311" s="63"/>
      <c r="S311" s="63"/>
      <c r="T311" s="63"/>
      <c r="U311" s="63"/>
      <c r="V311" s="63"/>
      <c r="W311" s="63"/>
      <c r="X311" s="63"/>
      <c r="Y311" s="63"/>
      <c r="Z311" s="63"/>
    </row>
    <row r="312" spans="1:26" ht="17.25" customHeight="1" x14ac:dyDescent="0.2">
      <c r="A312" s="104">
        <v>869</v>
      </c>
      <c r="B312" s="105" t="s">
        <v>33</v>
      </c>
      <c r="C312" s="105" t="s">
        <v>100</v>
      </c>
      <c r="D312" s="106">
        <v>329.35399999999998</v>
      </c>
      <c r="E312" s="107">
        <v>2697</v>
      </c>
      <c r="F312" s="106">
        <f t="shared" si="26"/>
        <v>329.41625829999992</v>
      </c>
      <c r="G312" s="108" t="s">
        <v>972</v>
      </c>
      <c r="H312" s="108" t="s">
        <v>973</v>
      </c>
      <c r="I312" s="107">
        <v>58</v>
      </c>
      <c r="J312" s="107">
        <v>2517</v>
      </c>
      <c r="K312" s="108" t="s">
        <v>429</v>
      </c>
      <c r="L312" s="107">
        <v>2596</v>
      </c>
      <c r="M312" s="111">
        <f t="shared" si="24"/>
        <v>50.950956811427986</v>
      </c>
      <c r="N312" s="111">
        <v>14579.94</v>
      </c>
      <c r="O312" s="113">
        <f t="shared" si="25"/>
        <v>0.17805285892808886</v>
      </c>
      <c r="P312" s="78"/>
      <c r="Q312" s="63"/>
      <c r="R312" s="63"/>
      <c r="S312" s="63"/>
      <c r="T312" s="63"/>
      <c r="U312" s="63"/>
      <c r="V312" s="63"/>
      <c r="W312" s="63"/>
      <c r="X312" s="63"/>
      <c r="Y312" s="63"/>
      <c r="Z312" s="63"/>
    </row>
    <row r="313" spans="1:26" ht="17.25" customHeight="1" x14ac:dyDescent="0.2">
      <c r="A313" s="104">
        <v>870</v>
      </c>
      <c r="B313" s="105" t="s">
        <v>33</v>
      </c>
      <c r="C313" s="105" t="s">
        <v>100</v>
      </c>
      <c r="D313" s="106">
        <v>331.36099999999999</v>
      </c>
      <c r="E313" s="107">
        <v>2697</v>
      </c>
      <c r="F313" s="106">
        <f t="shared" si="26"/>
        <v>331.40981139999997</v>
      </c>
      <c r="G313" s="108" t="s">
        <v>974</v>
      </c>
      <c r="H313" s="108" t="s">
        <v>975</v>
      </c>
      <c r="I313" s="107">
        <v>58</v>
      </c>
      <c r="J313" s="107">
        <v>2014</v>
      </c>
      <c r="K313" s="108" t="s">
        <v>429</v>
      </c>
      <c r="L313" s="107">
        <v>2904</v>
      </c>
      <c r="M313" s="111">
        <f t="shared" si="24"/>
        <v>53.888774341229919</v>
      </c>
      <c r="N313" s="111">
        <v>11680.91</v>
      </c>
      <c r="O313" s="113">
        <f t="shared" si="25"/>
        <v>0.24861076748301289</v>
      </c>
      <c r="P313" s="78"/>
      <c r="Q313" s="63"/>
      <c r="R313" s="63"/>
      <c r="S313" s="63"/>
      <c r="T313" s="63"/>
      <c r="U313" s="63"/>
      <c r="V313" s="63"/>
      <c r="W313" s="63"/>
      <c r="X313" s="63"/>
      <c r="Y313" s="63"/>
      <c r="Z313" s="63"/>
    </row>
    <row r="314" spans="1:26" ht="17.25" customHeight="1" x14ac:dyDescent="0.2">
      <c r="A314" s="104">
        <v>871</v>
      </c>
      <c r="B314" s="105" t="s">
        <v>33</v>
      </c>
      <c r="C314" s="105" t="s">
        <v>100</v>
      </c>
      <c r="D314" s="106">
        <v>333.375</v>
      </c>
      <c r="E314" s="107">
        <v>2697</v>
      </c>
      <c r="F314" s="106">
        <f t="shared" si="26"/>
        <v>333.41031759999998</v>
      </c>
      <c r="G314" s="108" t="s">
        <v>975</v>
      </c>
      <c r="H314" s="108" t="s">
        <v>976</v>
      </c>
      <c r="I314" s="107">
        <v>56</v>
      </c>
      <c r="J314" s="107">
        <v>755</v>
      </c>
      <c r="K314" s="108" t="s">
        <v>429</v>
      </c>
      <c r="L314" s="107">
        <v>1607</v>
      </c>
      <c r="M314" s="111">
        <f t="shared" si="24"/>
        <v>40.087404505654888</v>
      </c>
      <c r="N314" s="111">
        <v>4429.92</v>
      </c>
      <c r="O314" s="113">
        <f t="shared" si="25"/>
        <v>0.36276050131830823</v>
      </c>
      <c r="P314" s="78"/>
      <c r="Q314" s="63"/>
      <c r="R314" s="63"/>
      <c r="S314" s="63"/>
      <c r="T314" s="63"/>
      <c r="U314" s="63"/>
      <c r="V314" s="63"/>
      <c r="W314" s="63"/>
      <c r="X314" s="63"/>
      <c r="Y314" s="63"/>
      <c r="Z314" s="63"/>
    </row>
    <row r="315" spans="1:26" ht="17.25" customHeight="1" x14ac:dyDescent="0.2">
      <c r="A315" s="104">
        <v>872</v>
      </c>
      <c r="B315" s="105" t="s">
        <v>33</v>
      </c>
      <c r="C315" s="105" t="s">
        <v>100</v>
      </c>
      <c r="D315" s="106">
        <v>335.37</v>
      </c>
      <c r="E315" s="107">
        <v>2697</v>
      </c>
      <c r="F315" s="106">
        <f t="shared" si="26"/>
        <v>335.39195109999997</v>
      </c>
      <c r="G315" s="108" t="s">
        <v>976</v>
      </c>
      <c r="H315" s="108"/>
      <c r="I315" s="107">
        <v>55</v>
      </c>
      <c r="J315" s="107">
        <v>504</v>
      </c>
      <c r="K315" s="108" t="s">
        <v>429</v>
      </c>
      <c r="L315" s="107">
        <v>1754</v>
      </c>
      <c r="M315" s="111">
        <f t="shared" si="24"/>
        <v>41.880783182743848</v>
      </c>
      <c r="N315" s="111">
        <v>3150.32</v>
      </c>
      <c r="O315" s="113">
        <f t="shared" si="25"/>
        <v>0.55676883618172124</v>
      </c>
      <c r="P315" s="78"/>
      <c r="Q315" s="63"/>
      <c r="R315" s="63"/>
      <c r="S315" s="63"/>
      <c r="T315" s="63"/>
      <c r="U315" s="63"/>
      <c r="V315" s="63"/>
      <c r="W315" s="63"/>
      <c r="X315" s="63"/>
      <c r="Y315" s="63"/>
      <c r="Z315" s="63"/>
    </row>
    <row r="316" spans="1:26" ht="17.25" customHeight="1" x14ac:dyDescent="0.2">
      <c r="A316" s="104">
        <v>873</v>
      </c>
      <c r="B316" s="105" t="s">
        <v>33</v>
      </c>
      <c r="C316" s="105" t="s">
        <v>100</v>
      </c>
      <c r="D316" s="106">
        <v>337.37700000000001</v>
      </c>
      <c r="E316" s="107">
        <v>2697</v>
      </c>
      <c r="F316" s="106">
        <f t="shared" si="26"/>
        <v>337.38550419999996</v>
      </c>
      <c r="G316" s="108"/>
      <c r="H316" s="108"/>
      <c r="I316" s="107">
        <v>55</v>
      </c>
      <c r="J316" s="107">
        <v>630</v>
      </c>
      <c r="K316" s="108" t="s">
        <v>429</v>
      </c>
      <c r="L316" s="107">
        <v>3411</v>
      </c>
      <c r="M316" s="111">
        <f t="shared" si="24"/>
        <v>58.403767001795352</v>
      </c>
      <c r="N316" s="111">
        <v>3291.91</v>
      </c>
      <c r="O316" s="113">
        <f t="shared" si="25"/>
        <v>1.0361765661880185</v>
      </c>
      <c r="P316" s="78"/>
      <c r="Q316" s="63"/>
      <c r="R316" s="63"/>
      <c r="S316" s="63"/>
      <c r="T316" s="63"/>
      <c r="U316" s="63"/>
      <c r="V316" s="63"/>
      <c r="W316" s="63"/>
      <c r="X316" s="63"/>
      <c r="Y316" s="63"/>
      <c r="Z316" s="63"/>
    </row>
    <row r="317" spans="1:26" ht="17.25" customHeight="1" x14ac:dyDescent="0.2">
      <c r="A317" s="104">
        <v>874</v>
      </c>
      <c r="B317" s="105" t="s">
        <v>33</v>
      </c>
      <c r="C317" s="105" t="s">
        <v>100</v>
      </c>
      <c r="D317" s="106">
        <v>338.37700000000001</v>
      </c>
      <c r="E317" s="107">
        <v>2697</v>
      </c>
      <c r="F317" s="106">
        <f t="shared" si="26"/>
        <v>338.37880419999999</v>
      </c>
      <c r="G317" s="108" t="s">
        <v>977</v>
      </c>
      <c r="H317" s="108"/>
      <c r="I317" s="107">
        <v>55</v>
      </c>
      <c r="J317" s="107">
        <v>252</v>
      </c>
      <c r="K317" s="108" t="s">
        <v>429</v>
      </c>
      <c r="L317" s="107">
        <v>2413</v>
      </c>
      <c r="M317" s="111">
        <f t="shared" si="24"/>
        <v>49.122296363260546</v>
      </c>
      <c r="N317" s="111">
        <v>1623.94</v>
      </c>
      <c r="O317" s="113">
        <f t="shared" si="25"/>
        <v>1.485892335923741</v>
      </c>
      <c r="P317" s="78"/>
      <c r="Q317" s="63"/>
      <c r="R317" s="63"/>
      <c r="S317" s="63"/>
      <c r="T317" s="63"/>
      <c r="U317" s="63"/>
      <c r="V317" s="63"/>
      <c r="W317" s="63"/>
      <c r="X317" s="63"/>
      <c r="Y317" s="63"/>
      <c r="Z317" s="63"/>
    </row>
    <row r="318" spans="1:26" ht="17.25" customHeight="1" x14ac:dyDescent="0.2">
      <c r="A318" s="104">
        <v>875</v>
      </c>
      <c r="B318" s="105" t="s">
        <v>33</v>
      </c>
      <c r="C318" s="105" t="s">
        <v>100</v>
      </c>
      <c r="D318" s="106">
        <v>339.37799999999999</v>
      </c>
      <c r="E318" s="107">
        <v>2697</v>
      </c>
      <c r="F318" s="106">
        <f t="shared" si="26"/>
        <v>339.37309749999997</v>
      </c>
      <c r="G318" s="108" t="s">
        <v>978</v>
      </c>
      <c r="H318" s="108"/>
      <c r="I318" s="107">
        <v>53</v>
      </c>
      <c r="J318" s="107">
        <v>755</v>
      </c>
      <c r="K318" s="108" t="s">
        <v>429</v>
      </c>
      <c r="L318" s="107">
        <v>9690</v>
      </c>
      <c r="M318" s="111">
        <f t="shared" si="24"/>
        <v>98.437797618597699</v>
      </c>
      <c r="N318" s="111">
        <v>3653.06</v>
      </c>
      <c r="O318" s="113">
        <f t="shared" si="25"/>
        <v>2.6525707215320855</v>
      </c>
      <c r="P318" s="78"/>
      <c r="Q318" s="63"/>
      <c r="R318" s="63"/>
      <c r="S318" s="63"/>
      <c r="T318" s="63"/>
      <c r="U318" s="63"/>
      <c r="V318" s="63"/>
      <c r="W318" s="63"/>
      <c r="X318" s="63"/>
      <c r="Y318" s="63"/>
      <c r="Z318" s="63"/>
    </row>
    <row r="319" spans="1:26" ht="17.25" customHeight="1" x14ac:dyDescent="0.2">
      <c r="A319" s="104">
        <v>876</v>
      </c>
      <c r="B319" s="105" t="s">
        <v>33</v>
      </c>
      <c r="C319" s="105" t="s">
        <v>100</v>
      </c>
      <c r="D319" s="106">
        <v>340.38499999999999</v>
      </c>
      <c r="E319" s="107">
        <v>2697</v>
      </c>
      <c r="F319" s="106">
        <f t="shared" si="26"/>
        <v>340.37335059999998</v>
      </c>
      <c r="G319" s="108" t="s">
        <v>979</v>
      </c>
      <c r="H319" s="108"/>
      <c r="I319" s="107">
        <v>51</v>
      </c>
      <c r="J319" s="107">
        <v>126</v>
      </c>
      <c r="K319" s="108" t="s">
        <v>429</v>
      </c>
      <c r="L319" s="107">
        <v>3811</v>
      </c>
      <c r="M319" s="111">
        <f t="shared" si="24"/>
        <v>61.733297336202611</v>
      </c>
      <c r="N319" s="111">
        <v>820.39</v>
      </c>
      <c r="O319" s="113">
        <f t="shared" si="25"/>
        <v>4.6453516010677847</v>
      </c>
      <c r="P319" s="78"/>
      <c r="Q319" s="63"/>
      <c r="R319" s="63"/>
      <c r="S319" s="63"/>
      <c r="T319" s="63"/>
      <c r="U319" s="63"/>
      <c r="V319" s="63"/>
      <c r="W319" s="63"/>
      <c r="X319" s="63"/>
      <c r="Y319" s="63"/>
      <c r="Z319" s="63"/>
    </row>
    <row r="320" spans="1:26" ht="17.25" customHeight="1" x14ac:dyDescent="0.2">
      <c r="A320" s="104">
        <v>877</v>
      </c>
      <c r="B320" s="105" t="s">
        <v>33</v>
      </c>
      <c r="C320" s="105" t="s">
        <v>100</v>
      </c>
      <c r="D320" s="106">
        <v>340.88200000000001</v>
      </c>
      <c r="E320" s="107">
        <v>2697</v>
      </c>
      <c r="F320" s="106">
        <f t="shared" si="26"/>
        <v>340.86702069999996</v>
      </c>
      <c r="G320" s="108" t="s">
        <v>980</v>
      </c>
      <c r="H320" s="108"/>
      <c r="I320" s="107">
        <v>42</v>
      </c>
      <c r="J320" s="107">
        <v>126</v>
      </c>
      <c r="K320" s="108" t="s">
        <v>429</v>
      </c>
      <c r="L320" s="107">
        <v>4495</v>
      </c>
      <c r="M320" s="111">
        <f t="shared" si="24"/>
        <v>67.044761167446936</v>
      </c>
      <c r="N320" s="111">
        <v>707.92</v>
      </c>
      <c r="O320" s="113">
        <f t="shared" si="25"/>
        <v>6.3495875240140132</v>
      </c>
      <c r="P320" s="78"/>
      <c r="Q320" s="63"/>
      <c r="R320" s="63"/>
      <c r="S320" s="63"/>
      <c r="T320" s="63"/>
      <c r="U320" s="63"/>
      <c r="V320" s="63"/>
      <c r="W320" s="63"/>
      <c r="X320" s="63"/>
      <c r="Y320" s="63"/>
      <c r="Z320" s="63"/>
    </row>
    <row r="321" spans="1:26" ht="17.25" customHeight="1" x14ac:dyDescent="0.2">
      <c r="A321" s="104">
        <v>878</v>
      </c>
      <c r="B321" s="105" t="s">
        <v>9</v>
      </c>
      <c r="C321" s="105" t="s">
        <v>100</v>
      </c>
      <c r="D321" s="106">
        <v>341.38499999999999</v>
      </c>
      <c r="E321" s="107">
        <v>2697</v>
      </c>
      <c r="F321" s="106">
        <f t="shared" si="26"/>
        <v>341.36665059999996</v>
      </c>
      <c r="G321" s="108" t="s">
        <v>981</v>
      </c>
      <c r="H321" s="108"/>
      <c r="I321" s="107">
        <v>41</v>
      </c>
      <c r="J321" s="107">
        <v>252</v>
      </c>
      <c r="K321" s="108" t="s">
        <v>429</v>
      </c>
      <c r="L321" s="107">
        <v>10523</v>
      </c>
      <c r="M321" s="111">
        <f t="shared" si="24"/>
        <v>102.58167477673582</v>
      </c>
      <c r="N321" s="111">
        <v>1184.68</v>
      </c>
      <c r="O321" s="113">
        <f t="shared" si="25"/>
        <v>8.8825674443731639</v>
      </c>
      <c r="P321" s="78"/>
      <c r="Q321" s="63" t="s">
        <v>982</v>
      </c>
      <c r="R321" s="63"/>
      <c r="S321" s="63"/>
      <c r="T321" s="63"/>
      <c r="U321" s="63"/>
      <c r="V321" s="63"/>
      <c r="W321" s="63"/>
      <c r="X321" s="63"/>
      <c r="Y321" s="63"/>
      <c r="Z321" s="63"/>
    </row>
    <row r="322" spans="1:26" ht="17.25" customHeight="1" x14ac:dyDescent="0.2">
      <c r="A322" s="104">
        <v>879</v>
      </c>
      <c r="B322" s="105" t="s">
        <v>33</v>
      </c>
      <c r="C322" s="105" t="s">
        <v>100</v>
      </c>
      <c r="D322" s="106">
        <v>341.392</v>
      </c>
      <c r="E322" s="107">
        <v>2697</v>
      </c>
      <c r="F322" s="106">
        <f t="shared" si="26"/>
        <v>341.37360369999993</v>
      </c>
      <c r="G322" s="108" t="s">
        <v>981</v>
      </c>
      <c r="H322" s="108"/>
      <c r="I322" s="107">
        <v>41</v>
      </c>
      <c r="J322" s="107">
        <v>252</v>
      </c>
      <c r="K322" s="108" t="s">
        <v>429</v>
      </c>
      <c r="L322" s="107">
        <v>8838</v>
      </c>
      <c r="M322" s="111">
        <f t="shared" si="24"/>
        <v>94.010637695954387</v>
      </c>
      <c r="N322" s="111">
        <v>1022.12</v>
      </c>
      <c r="O322" s="113">
        <f t="shared" si="25"/>
        <v>8.6467342386412547</v>
      </c>
      <c r="P322" s="78"/>
      <c r="Q322" s="63" t="s">
        <v>983</v>
      </c>
      <c r="R322" s="63"/>
      <c r="S322" s="63"/>
      <c r="T322" s="63"/>
      <c r="U322" s="63"/>
      <c r="V322" s="63"/>
      <c r="W322" s="63"/>
      <c r="X322" s="63"/>
      <c r="Y322" s="63"/>
      <c r="Z322" s="63"/>
    </row>
    <row r="323" spans="1:26" ht="17.25" customHeight="1" x14ac:dyDescent="0.2">
      <c r="A323" s="104">
        <v>880</v>
      </c>
      <c r="B323" s="105" t="s">
        <v>33</v>
      </c>
      <c r="C323" s="105" t="s">
        <v>100</v>
      </c>
      <c r="D323" s="106">
        <v>341.88900000000001</v>
      </c>
      <c r="E323" s="107">
        <v>2697</v>
      </c>
      <c r="F323" s="106">
        <f t="shared" si="26"/>
        <v>341.86727379999996</v>
      </c>
      <c r="G323" s="108" t="s">
        <v>984</v>
      </c>
      <c r="H323" s="108"/>
      <c r="I323" s="107">
        <v>41</v>
      </c>
      <c r="J323" s="107">
        <v>252</v>
      </c>
      <c r="K323" s="108" t="s">
        <v>429</v>
      </c>
      <c r="L323" s="107">
        <v>15129</v>
      </c>
      <c r="M323" s="111">
        <f t="shared" si="24"/>
        <v>123</v>
      </c>
      <c r="N323" s="111">
        <v>1424.23</v>
      </c>
      <c r="O323" s="113">
        <f t="shared" si="25"/>
        <v>10.622582026779382</v>
      </c>
      <c r="P323" s="78"/>
      <c r="Q323" s="63"/>
      <c r="R323" s="63"/>
      <c r="S323" s="63"/>
      <c r="T323" s="63"/>
      <c r="U323" s="63"/>
      <c r="V323" s="63"/>
      <c r="W323" s="63"/>
      <c r="X323" s="63"/>
      <c r="Y323" s="63"/>
      <c r="Z323" s="63"/>
    </row>
    <row r="324" spans="1:26" ht="17.25" customHeight="1" x14ac:dyDescent="0.2">
      <c r="A324" s="104">
        <v>881</v>
      </c>
      <c r="B324" s="105" t="s">
        <v>33</v>
      </c>
      <c r="C324" s="105" t="s">
        <v>100</v>
      </c>
      <c r="D324" s="106">
        <v>342.392</v>
      </c>
      <c r="E324" s="107">
        <v>2697</v>
      </c>
      <c r="F324" s="106">
        <f t="shared" si="26"/>
        <v>342.36690369999997</v>
      </c>
      <c r="G324" s="108" t="s">
        <v>985</v>
      </c>
      <c r="H324" s="108"/>
      <c r="I324" s="107">
        <v>41</v>
      </c>
      <c r="J324" s="107">
        <v>252</v>
      </c>
      <c r="K324" s="108" t="s">
        <v>429</v>
      </c>
      <c r="L324" s="107">
        <v>12431</v>
      </c>
      <c r="M324" s="111">
        <f t="shared" si="24"/>
        <v>111.49439447792879</v>
      </c>
      <c r="N324" s="111">
        <v>1049.33</v>
      </c>
      <c r="O324" s="113">
        <f t="shared" si="25"/>
        <v>11.84660688248692</v>
      </c>
      <c r="P324" s="78"/>
      <c r="Q324" s="63"/>
      <c r="R324" s="63"/>
      <c r="S324" s="63"/>
      <c r="T324" s="63"/>
      <c r="U324" s="63"/>
      <c r="V324" s="63"/>
      <c r="W324" s="63"/>
      <c r="X324" s="63"/>
      <c r="Y324" s="63"/>
      <c r="Z324" s="63"/>
    </row>
    <row r="325" spans="1:26" ht="17.25" customHeight="1" x14ac:dyDescent="0.2">
      <c r="A325" s="104">
        <v>882</v>
      </c>
      <c r="B325" s="105" t="s">
        <v>33</v>
      </c>
      <c r="C325" s="105" t="s">
        <v>100</v>
      </c>
      <c r="D325" s="106">
        <v>343.39299999999997</v>
      </c>
      <c r="E325" s="107">
        <v>2697</v>
      </c>
      <c r="F325" s="106">
        <f t="shared" si="26"/>
        <v>343.36119699999995</v>
      </c>
      <c r="G325" s="108" t="s">
        <v>985</v>
      </c>
      <c r="H325" s="108"/>
      <c r="I325" s="107">
        <v>38</v>
      </c>
      <c r="J325" s="107">
        <v>126</v>
      </c>
      <c r="K325" s="108" t="s">
        <v>429</v>
      </c>
      <c r="L325" s="107">
        <v>7205</v>
      </c>
      <c r="M325" s="111">
        <f t="shared" si="24"/>
        <v>84.882271411644027</v>
      </c>
      <c r="N325" s="111">
        <v>528.75</v>
      </c>
      <c r="O325" s="113">
        <f t="shared" si="25"/>
        <v>13.626477541371159</v>
      </c>
      <c r="P325" s="78"/>
      <c r="Q325" s="63"/>
      <c r="R325" s="63"/>
      <c r="S325" s="63"/>
      <c r="T325" s="63"/>
      <c r="U325" s="63"/>
      <c r="V325" s="63"/>
      <c r="W325" s="63"/>
      <c r="X325" s="63"/>
      <c r="Y325" s="63"/>
      <c r="Z325" s="63"/>
    </row>
    <row r="326" spans="1:26" ht="17.25" customHeight="1" x14ac:dyDescent="0.2">
      <c r="A326" s="104">
        <v>883</v>
      </c>
      <c r="B326" s="105" t="s">
        <v>33</v>
      </c>
      <c r="C326" s="105" t="s">
        <v>100</v>
      </c>
      <c r="D326" s="106">
        <v>344.39299999999997</v>
      </c>
      <c r="E326" s="107">
        <v>2697</v>
      </c>
      <c r="F326" s="106">
        <f t="shared" si="26"/>
        <v>344.35449699999992</v>
      </c>
      <c r="G326" s="108" t="s">
        <v>986</v>
      </c>
      <c r="H326" s="108"/>
      <c r="I326" s="107">
        <v>37</v>
      </c>
      <c r="J326" s="107">
        <v>504</v>
      </c>
      <c r="K326" s="108" t="s">
        <v>429</v>
      </c>
      <c r="L326" s="107">
        <v>26182</v>
      </c>
      <c r="M326" s="111">
        <f t="shared" si="24"/>
        <v>161.80852882342143</v>
      </c>
      <c r="N326" s="111">
        <v>1780.54</v>
      </c>
      <c r="O326" s="113">
        <f t="shared" si="25"/>
        <v>14.704527839868804</v>
      </c>
      <c r="P326" s="78"/>
      <c r="Q326" s="63"/>
      <c r="R326" s="63"/>
      <c r="S326" s="63"/>
      <c r="T326" s="63"/>
      <c r="U326" s="63"/>
      <c r="V326" s="63"/>
      <c r="W326" s="63"/>
      <c r="X326" s="63"/>
      <c r="Y326" s="63"/>
      <c r="Z326" s="63"/>
    </row>
    <row r="327" spans="1:26" ht="17.25" customHeight="1" x14ac:dyDescent="0.2">
      <c r="A327" s="104">
        <v>884</v>
      </c>
      <c r="B327" s="105" t="s">
        <v>33</v>
      </c>
      <c r="C327" s="105" t="s">
        <v>100</v>
      </c>
      <c r="D327" s="106">
        <v>344.89699999999999</v>
      </c>
      <c r="E327" s="107">
        <v>2697</v>
      </c>
      <c r="F327" s="106">
        <f t="shared" si="26"/>
        <v>344.85512019999993</v>
      </c>
      <c r="G327" s="108" t="s">
        <v>987</v>
      </c>
      <c r="H327" s="108"/>
      <c r="I327" s="107">
        <v>37</v>
      </c>
      <c r="J327" s="107">
        <v>504</v>
      </c>
      <c r="K327" s="108" t="s">
        <v>429</v>
      </c>
      <c r="L327" s="107">
        <v>30088</v>
      </c>
      <c r="M327" s="111">
        <f t="shared" si="24"/>
        <v>173.45892885637221</v>
      </c>
      <c r="N327" s="111">
        <v>1997.18</v>
      </c>
      <c r="O327" s="113">
        <f t="shared" si="25"/>
        <v>15.065241991207602</v>
      </c>
      <c r="P327" s="78"/>
      <c r="Q327" s="63"/>
      <c r="R327" s="63"/>
      <c r="S327" s="63"/>
      <c r="T327" s="63"/>
      <c r="U327" s="63"/>
      <c r="V327" s="63"/>
      <c r="W327" s="63"/>
      <c r="X327" s="63"/>
      <c r="Y327" s="63"/>
      <c r="Z327" s="63"/>
    </row>
    <row r="328" spans="1:26" ht="17.25" customHeight="1" x14ac:dyDescent="0.2">
      <c r="A328" s="104">
        <v>885</v>
      </c>
      <c r="B328" s="105" t="s">
        <v>33</v>
      </c>
      <c r="C328" s="105" t="s">
        <v>100</v>
      </c>
      <c r="D328" s="106">
        <v>345.39299999999997</v>
      </c>
      <c r="E328" s="107">
        <v>2697</v>
      </c>
      <c r="F328" s="106">
        <f t="shared" si="26"/>
        <v>345.34779699999996</v>
      </c>
      <c r="G328" s="108" t="s">
        <v>988</v>
      </c>
      <c r="H328" s="108"/>
      <c r="I328" s="107">
        <v>37</v>
      </c>
      <c r="J328" s="107">
        <v>378</v>
      </c>
      <c r="K328" s="108" t="s">
        <v>429</v>
      </c>
      <c r="L328" s="107">
        <v>21142</v>
      </c>
      <c r="M328" s="111">
        <f t="shared" si="24"/>
        <v>145.40288855452633</v>
      </c>
      <c r="N328" s="111">
        <v>1442.19</v>
      </c>
      <c r="O328" s="113">
        <f t="shared" si="25"/>
        <v>14.659649560737488</v>
      </c>
      <c r="P328" s="78"/>
      <c r="Q328" s="63"/>
      <c r="R328" s="63"/>
      <c r="S328" s="63"/>
      <c r="T328" s="63"/>
      <c r="U328" s="63"/>
      <c r="V328" s="63"/>
      <c r="W328" s="63"/>
      <c r="X328" s="63"/>
      <c r="Y328" s="63"/>
      <c r="Z328" s="63"/>
    </row>
    <row r="329" spans="1:26" ht="17.25" customHeight="1" x14ac:dyDescent="0.2">
      <c r="A329" s="104">
        <v>886</v>
      </c>
      <c r="B329" s="105" t="s">
        <v>33</v>
      </c>
      <c r="C329" s="105" t="s">
        <v>100</v>
      </c>
      <c r="D329" s="106">
        <v>346.40100000000001</v>
      </c>
      <c r="E329" s="107">
        <v>2697</v>
      </c>
      <c r="F329" s="106">
        <f t="shared" si="26"/>
        <v>346.34904339999997</v>
      </c>
      <c r="G329" s="108" t="s">
        <v>989</v>
      </c>
      <c r="H329" s="108"/>
      <c r="I329" s="107">
        <v>36</v>
      </c>
      <c r="J329" s="107">
        <v>126</v>
      </c>
      <c r="K329" s="108" t="s">
        <v>429</v>
      </c>
      <c r="L329" s="107">
        <v>9825</v>
      </c>
      <c r="M329" s="111">
        <f t="shared" si="24"/>
        <v>99.121138007995043</v>
      </c>
      <c r="N329" s="111">
        <v>692.64</v>
      </c>
      <c r="O329" s="113">
        <f t="shared" si="25"/>
        <v>14.184857934857936</v>
      </c>
      <c r="P329" s="78"/>
      <c r="Q329" s="63"/>
      <c r="R329" s="63"/>
      <c r="S329" s="63"/>
      <c r="T329" s="63"/>
      <c r="U329" s="63"/>
      <c r="V329" s="63"/>
      <c r="W329" s="63"/>
      <c r="X329" s="63"/>
      <c r="Y329" s="63"/>
      <c r="Z329" s="63"/>
    </row>
    <row r="330" spans="1:26" ht="17.25" customHeight="1" x14ac:dyDescent="0.2">
      <c r="A330" s="104">
        <v>887</v>
      </c>
      <c r="B330" s="105" t="s">
        <v>33</v>
      </c>
      <c r="C330" s="105" t="s">
        <v>100</v>
      </c>
      <c r="D330" s="106">
        <v>348.40100000000001</v>
      </c>
      <c r="E330" s="107">
        <v>2697</v>
      </c>
      <c r="F330" s="106">
        <f t="shared" si="26"/>
        <v>348.33564339999998</v>
      </c>
      <c r="G330" s="108" t="s">
        <v>990</v>
      </c>
      <c r="H330" s="108"/>
      <c r="I330" s="107">
        <v>41</v>
      </c>
      <c r="J330" s="107">
        <v>126</v>
      </c>
      <c r="K330" s="108" t="s">
        <v>429</v>
      </c>
      <c r="L330" s="107">
        <v>6560</v>
      </c>
      <c r="M330" s="111">
        <f t="shared" si="24"/>
        <v>80.993826925266347</v>
      </c>
      <c r="N330" s="111">
        <v>535.08000000000004</v>
      </c>
      <c r="O330" s="113">
        <f t="shared" si="25"/>
        <v>12.259848994542871</v>
      </c>
      <c r="P330" s="78"/>
      <c r="Q330" s="63"/>
      <c r="R330" s="63"/>
      <c r="S330" s="63"/>
      <c r="T330" s="63"/>
      <c r="U330" s="63"/>
      <c r="V330" s="63"/>
      <c r="W330" s="63"/>
      <c r="X330" s="63"/>
      <c r="Y330" s="63"/>
      <c r="Z330" s="63"/>
    </row>
    <row r="331" spans="1:26" ht="17.25" customHeight="1" x14ac:dyDescent="0.2">
      <c r="A331" s="104">
        <v>888</v>
      </c>
      <c r="B331" s="105" t="s">
        <v>33</v>
      </c>
      <c r="C331" s="105" t="s">
        <v>100</v>
      </c>
      <c r="D331" s="106">
        <v>350.40199999999999</v>
      </c>
      <c r="E331" s="107">
        <v>2697</v>
      </c>
      <c r="F331" s="106">
        <f t="shared" si="26"/>
        <v>350.32323669999994</v>
      </c>
      <c r="G331" s="108" t="s">
        <v>991</v>
      </c>
      <c r="H331" s="108"/>
      <c r="I331" s="107">
        <v>45</v>
      </c>
      <c r="J331" s="107">
        <v>378</v>
      </c>
      <c r="K331" s="108" t="s">
        <v>429</v>
      </c>
      <c r="L331" s="107">
        <v>16143</v>
      </c>
      <c r="M331" s="111">
        <f t="shared" si="24"/>
        <v>127.0551061547705</v>
      </c>
      <c r="N331" s="111">
        <v>1639.32</v>
      </c>
      <c r="O331" s="113">
        <f t="shared" si="25"/>
        <v>9.8473757411609704</v>
      </c>
      <c r="P331" s="78"/>
      <c r="Q331" s="63"/>
      <c r="R331" s="63"/>
      <c r="S331" s="63"/>
      <c r="T331" s="63"/>
      <c r="U331" s="63"/>
      <c r="V331" s="63"/>
      <c r="W331" s="63"/>
      <c r="X331" s="63"/>
      <c r="Y331" s="63"/>
      <c r="Z331" s="63"/>
    </row>
    <row r="332" spans="1:26" ht="17.25" customHeight="1" x14ac:dyDescent="0.2">
      <c r="A332" s="104">
        <v>889</v>
      </c>
      <c r="B332" s="105" t="s">
        <v>33</v>
      </c>
      <c r="C332" s="105" t="s">
        <v>100</v>
      </c>
      <c r="D332" s="106">
        <v>352.41</v>
      </c>
      <c r="E332" s="107">
        <v>2697</v>
      </c>
      <c r="F332" s="106">
        <f t="shared" si="26"/>
        <v>352.31778309999999</v>
      </c>
      <c r="G332" s="108" t="s">
        <v>992</v>
      </c>
      <c r="H332" s="108"/>
      <c r="I332" s="107">
        <v>50</v>
      </c>
      <c r="J332" s="107">
        <v>126</v>
      </c>
      <c r="K332" s="108" t="s">
        <v>429</v>
      </c>
      <c r="L332" s="107">
        <v>7582</v>
      </c>
      <c r="M332" s="111">
        <f t="shared" si="24"/>
        <v>87.074680590858321</v>
      </c>
      <c r="N332" s="111">
        <v>958.43</v>
      </c>
      <c r="O332" s="113">
        <f t="shared" si="25"/>
        <v>7.9108542094884342</v>
      </c>
      <c r="P332" s="78"/>
      <c r="Q332" s="63"/>
      <c r="R332" s="63"/>
      <c r="S332" s="63"/>
      <c r="T332" s="63"/>
      <c r="U332" s="63"/>
      <c r="V332" s="63"/>
      <c r="W332" s="63"/>
      <c r="X332" s="63"/>
      <c r="Y332" s="63"/>
      <c r="Z332" s="63"/>
    </row>
    <row r="333" spans="1:26" ht="17.25" customHeight="1" x14ac:dyDescent="0.2">
      <c r="A333" s="104">
        <v>890</v>
      </c>
      <c r="B333" s="105" t="s">
        <v>33</v>
      </c>
      <c r="C333" s="105" t="s">
        <v>100</v>
      </c>
      <c r="D333" s="106">
        <v>354.41</v>
      </c>
      <c r="E333" s="107">
        <v>2697</v>
      </c>
      <c r="F333" s="106">
        <f t="shared" si="26"/>
        <v>354.3043831</v>
      </c>
      <c r="G333" s="108" t="s">
        <v>993</v>
      </c>
      <c r="H333" s="108"/>
      <c r="I333" s="107">
        <v>51</v>
      </c>
      <c r="J333" s="107">
        <v>378</v>
      </c>
      <c r="K333" s="108" t="s">
        <v>429</v>
      </c>
      <c r="L333" s="107">
        <v>12818</v>
      </c>
      <c r="M333" s="111">
        <f t="shared" si="24"/>
        <v>113.21660655575224</v>
      </c>
      <c r="N333" s="111">
        <v>1934.46</v>
      </c>
      <c r="O333" s="113">
        <f t="shared" si="25"/>
        <v>6.6261385606319072</v>
      </c>
      <c r="P333" s="78"/>
      <c r="Q333" s="63"/>
      <c r="R333" s="63"/>
      <c r="S333" s="63"/>
      <c r="T333" s="63"/>
      <c r="U333" s="63"/>
      <c r="V333" s="63"/>
      <c r="W333" s="63"/>
      <c r="X333" s="63"/>
      <c r="Y333" s="63"/>
      <c r="Z333" s="63"/>
    </row>
    <row r="334" spans="1:26" ht="17.25" customHeight="1" x14ac:dyDescent="0.2">
      <c r="A334" s="104">
        <v>891</v>
      </c>
      <c r="B334" s="105" t="s">
        <v>33</v>
      </c>
      <c r="C334" s="105" t="s">
        <v>100</v>
      </c>
      <c r="D334" s="106">
        <v>356.411</v>
      </c>
      <c r="E334" s="107">
        <v>2697</v>
      </c>
      <c r="F334" s="106">
        <f t="shared" si="26"/>
        <v>356.29197639999995</v>
      </c>
      <c r="G334" s="108" t="s">
        <v>994</v>
      </c>
      <c r="H334" s="108"/>
      <c r="I334" s="107">
        <v>55</v>
      </c>
      <c r="J334" s="107">
        <v>378</v>
      </c>
      <c r="K334" s="108" t="s">
        <v>429</v>
      </c>
      <c r="L334" s="107">
        <v>11781</v>
      </c>
      <c r="M334" s="111">
        <f t="shared" si="24"/>
        <v>108.54031509075327</v>
      </c>
      <c r="N334" s="111">
        <v>2112.17</v>
      </c>
      <c r="O334" s="113">
        <f t="shared" si="25"/>
        <v>5.5776760393339551</v>
      </c>
      <c r="P334" s="78"/>
      <c r="Q334" s="63"/>
      <c r="R334" s="63"/>
      <c r="S334" s="63"/>
      <c r="T334" s="63"/>
      <c r="U334" s="63"/>
      <c r="V334" s="63"/>
      <c r="W334" s="63"/>
      <c r="X334" s="63"/>
      <c r="Y334" s="63"/>
      <c r="Z334" s="63"/>
    </row>
    <row r="335" spans="1:26" ht="17.25" customHeight="1" x14ac:dyDescent="0.2">
      <c r="A335" s="104">
        <v>892</v>
      </c>
      <c r="B335" s="105" t="s">
        <v>33</v>
      </c>
      <c r="C335" s="105" t="s">
        <v>100</v>
      </c>
      <c r="D335" s="106">
        <v>358.41899999999998</v>
      </c>
      <c r="E335" s="107">
        <v>2697</v>
      </c>
      <c r="F335" s="106">
        <f t="shared" si="26"/>
        <v>358.28652279999994</v>
      </c>
      <c r="G335" s="108" t="s">
        <v>995</v>
      </c>
      <c r="H335" s="108"/>
      <c r="I335" s="107">
        <v>56</v>
      </c>
      <c r="J335" s="107">
        <v>252</v>
      </c>
      <c r="K335" s="108" t="s">
        <v>429</v>
      </c>
      <c r="L335" s="107">
        <v>8581</v>
      </c>
      <c r="M335" s="111">
        <f t="shared" si="24"/>
        <v>92.633687176966021</v>
      </c>
      <c r="N335" s="111">
        <v>1861.29</v>
      </c>
      <c r="O335" s="113">
        <f t="shared" si="25"/>
        <v>4.6102434333177529</v>
      </c>
      <c r="P335" s="78"/>
      <c r="Q335" s="63"/>
      <c r="R335" s="63"/>
      <c r="S335" s="63"/>
      <c r="T335" s="63"/>
      <c r="U335" s="63"/>
      <c r="V335" s="63"/>
      <c r="W335" s="63"/>
      <c r="X335" s="63"/>
      <c r="Y335" s="63"/>
      <c r="Z335" s="63"/>
    </row>
    <row r="336" spans="1:26" ht="17.25" customHeight="1" x14ac:dyDescent="0.2">
      <c r="A336" s="104">
        <v>893</v>
      </c>
      <c r="B336" s="105" t="s">
        <v>33</v>
      </c>
      <c r="C336" s="105" t="s">
        <v>100</v>
      </c>
      <c r="D336" s="106">
        <v>361.42</v>
      </c>
      <c r="E336" s="107">
        <v>2697</v>
      </c>
      <c r="F336" s="106">
        <f t="shared" si="26"/>
        <v>361.26741609999999</v>
      </c>
      <c r="G336" s="108"/>
      <c r="H336" s="108"/>
      <c r="I336" s="107">
        <v>60</v>
      </c>
      <c r="J336" s="107">
        <v>378</v>
      </c>
      <c r="K336" s="108" t="s">
        <v>429</v>
      </c>
      <c r="L336" s="107">
        <v>9544</v>
      </c>
      <c r="M336" s="111">
        <f t="shared" si="24"/>
        <v>97.693397934558504</v>
      </c>
      <c r="N336" s="111">
        <v>2600.46</v>
      </c>
      <c r="O336" s="113">
        <f t="shared" si="25"/>
        <v>3.6701199018635164</v>
      </c>
      <c r="P336" s="78"/>
      <c r="Q336" s="63"/>
      <c r="R336" s="63"/>
      <c r="S336" s="63"/>
      <c r="T336" s="63"/>
      <c r="U336" s="63"/>
      <c r="V336" s="63"/>
      <c r="W336" s="63"/>
      <c r="X336" s="63"/>
      <c r="Y336" s="63"/>
      <c r="Z336" s="63"/>
    </row>
    <row r="337" spans="1:26" ht="17.25" customHeight="1" x14ac:dyDescent="0.2">
      <c r="A337" s="104">
        <v>894</v>
      </c>
      <c r="B337" s="105" t="s">
        <v>33</v>
      </c>
      <c r="C337" s="105" t="s">
        <v>100</v>
      </c>
      <c r="D337" s="106">
        <v>366.435</v>
      </c>
      <c r="E337" s="107">
        <v>2697</v>
      </c>
      <c r="F337" s="106">
        <f t="shared" si="26"/>
        <v>366.24881559999994</v>
      </c>
      <c r="G337" s="108" t="s">
        <v>996</v>
      </c>
      <c r="H337" s="108"/>
      <c r="I337" s="107">
        <v>61</v>
      </c>
      <c r="J337" s="107">
        <v>252</v>
      </c>
      <c r="K337" s="108" t="s">
        <v>429</v>
      </c>
      <c r="L337" s="107">
        <v>5481</v>
      </c>
      <c r="M337" s="111">
        <f t="shared" si="24"/>
        <v>74.033776075518389</v>
      </c>
      <c r="N337" s="111">
        <v>2087.02</v>
      </c>
      <c r="O337" s="113">
        <f t="shared" si="25"/>
        <v>2.6262326187578462</v>
      </c>
      <c r="P337" s="78"/>
      <c r="Q337" s="63"/>
      <c r="R337" s="63"/>
      <c r="S337" s="63"/>
      <c r="T337" s="63"/>
      <c r="U337" s="63"/>
      <c r="V337" s="63"/>
      <c r="W337" s="63"/>
      <c r="X337" s="63"/>
      <c r="Y337" s="63"/>
      <c r="Z337" s="63"/>
    </row>
    <row r="338" spans="1:26" ht="17.25" customHeight="1" x14ac:dyDescent="0.2">
      <c r="A338" s="104">
        <v>895</v>
      </c>
      <c r="B338" s="105" t="s">
        <v>33</v>
      </c>
      <c r="C338" s="105" t="s">
        <v>100</v>
      </c>
      <c r="D338" s="106">
        <v>371.43700000000001</v>
      </c>
      <c r="E338" s="107">
        <v>2697</v>
      </c>
      <c r="F338" s="106">
        <f t="shared" si="26"/>
        <v>371.21730219999995</v>
      </c>
      <c r="G338" s="108" t="s">
        <v>997</v>
      </c>
      <c r="H338" s="108"/>
      <c r="I338" s="107">
        <v>92</v>
      </c>
      <c r="J338" s="107">
        <v>252</v>
      </c>
      <c r="K338" s="108" t="s">
        <v>429</v>
      </c>
      <c r="L338" s="107">
        <v>5917</v>
      </c>
      <c r="M338" s="111">
        <f t="shared" si="24"/>
        <v>76.922038454528746</v>
      </c>
      <c r="N338" s="111">
        <v>2966.6</v>
      </c>
      <c r="O338" s="113">
        <f t="shared" si="25"/>
        <v>1.9945392031281604</v>
      </c>
      <c r="P338" s="78"/>
      <c r="Q338" s="63"/>
      <c r="R338" s="63"/>
      <c r="S338" s="63"/>
      <c r="T338" s="63"/>
      <c r="U338" s="63"/>
      <c r="V338" s="63"/>
      <c r="W338" s="63"/>
      <c r="X338" s="63"/>
      <c r="Y338" s="63"/>
      <c r="Z338" s="63"/>
    </row>
    <row r="339" spans="1:26" ht="17.25" customHeight="1" x14ac:dyDescent="0.2">
      <c r="A339" s="104">
        <v>896</v>
      </c>
      <c r="B339" s="105" t="s">
        <v>33</v>
      </c>
      <c r="C339" s="105" t="s">
        <v>100</v>
      </c>
      <c r="D339" s="106">
        <v>376.452</v>
      </c>
      <c r="E339" s="107">
        <v>2697</v>
      </c>
      <c r="F339" s="106">
        <f t="shared" si="26"/>
        <v>376.19870169999996</v>
      </c>
      <c r="G339" s="108" t="s">
        <v>998</v>
      </c>
      <c r="H339" s="108"/>
      <c r="I339" s="107">
        <v>99</v>
      </c>
      <c r="J339" s="107">
        <v>252</v>
      </c>
      <c r="K339" s="108" t="s">
        <v>429</v>
      </c>
      <c r="L339" s="107">
        <v>5450</v>
      </c>
      <c r="M339" s="111">
        <f t="shared" si="24"/>
        <v>73.824115301166998</v>
      </c>
      <c r="N339" s="111">
        <v>3376.79</v>
      </c>
      <c r="O339" s="113">
        <f t="shared" si="25"/>
        <v>1.6139588188782839</v>
      </c>
      <c r="P339" s="78"/>
      <c r="Q339" s="63"/>
      <c r="R339" s="63"/>
      <c r="S339" s="63"/>
      <c r="T339" s="63"/>
      <c r="U339" s="63"/>
      <c r="V339" s="63"/>
      <c r="W339" s="63"/>
      <c r="X339" s="63"/>
      <c r="Y339" s="63"/>
      <c r="Z339" s="63"/>
    </row>
    <row r="340" spans="1:26" ht="17.25" customHeight="1" x14ac:dyDescent="0.2">
      <c r="A340" s="104">
        <v>897</v>
      </c>
      <c r="B340" s="105" t="s">
        <v>33</v>
      </c>
      <c r="C340" s="105" t="s">
        <v>100</v>
      </c>
      <c r="D340" s="106">
        <v>381.447</v>
      </c>
      <c r="E340" s="107">
        <v>2697</v>
      </c>
      <c r="F340" s="106">
        <f t="shared" si="26"/>
        <v>381.16023519999999</v>
      </c>
      <c r="G340" s="108" t="s">
        <v>999</v>
      </c>
      <c r="H340" s="108"/>
      <c r="I340" s="107">
        <v>118</v>
      </c>
      <c r="J340" s="107">
        <v>881</v>
      </c>
      <c r="K340" s="108" t="s">
        <v>429</v>
      </c>
      <c r="L340" s="107">
        <v>13395</v>
      </c>
      <c r="M340" s="111">
        <f t="shared" si="24"/>
        <v>115.73677030226824</v>
      </c>
      <c r="N340" s="111">
        <v>10380.57</v>
      </c>
      <c r="O340" s="113">
        <f t="shared" si="25"/>
        <v>1.2903915680930815</v>
      </c>
      <c r="P340" s="78"/>
      <c r="Q340" s="63"/>
      <c r="R340" s="63"/>
      <c r="S340" s="63"/>
      <c r="T340" s="63"/>
      <c r="U340" s="63"/>
      <c r="V340" s="63"/>
      <c r="W340" s="63"/>
      <c r="X340" s="63"/>
      <c r="Y340" s="63"/>
      <c r="Z340" s="63"/>
    </row>
    <row r="341" spans="1:26" ht="17.25" customHeight="1" x14ac:dyDescent="0.2">
      <c r="A341" s="104">
        <v>898</v>
      </c>
      <c r="B341" s="105" t="s">
        <v>33</v>
      </c>
      <c r="C341" s="105" t="s">
        <v>100</v>
      </c>
      <c r="D341" s="106">
        <v>343.822</v>
      </c>
      <c r="E341" s="107">
        <v>2697</v>
      </c>
      <c r="F341" s="106">
        <f t="shared" si="26"/>
        <v>343.78732269999995</v>
      </c>
      <c r="G341" s="108" t="s">
        <v>1000</v>
      </c>
      <c r="H341" s="108"/>
      <c r="I341" s="107">
        <v>37</v>
      </c>
      <c r="J341" s="107">
        <v>126</v>
      </c>
      <c r="K341" s="108" t="s">
        <v>429</v>
      </c>
      <c r="L341" s="107">
        <v>10460</v>
      </c>
      <c r="M341" s="111">
        <f t="shared" ref="M341:M404" si="27">SQRT(L341)</f>
        <v>102.27414140436477</v>
      </c>
      <c r="N341" s="111">
        <v>711.98</v>
      </c>
      <c r="O341" s="113">
        <f t="shared" ref="O341:O404" si="28">L341/N341</f>
        <v>14.691423916402146</v>
      </c>
      <c r="P341" s="78"/>
      <c r="Q341" s="63"/>
      <c r="R341" s="63"/>
      <c r="S341" s="63"/>
      <c r="T341" s="63"/>
      <c r="U341" s="63"/>
      <c r="V341" s="63"/>
      <c r="W341" s="63"/>
      <c r="X341" s="63"/>
      <c r="Y341" s="63"/>
      <c r="Z341" s="63"/>
    </row>
    <row r="342" spans="1:26" ht="17.25" customHeight="1" x14ac:dyDescent="0.2">
      <c r="A342" s="104">
        <v>899</v>
      </c>
      <c r="B342" s="105" t="s">
        <v>29</v>
      </c>
      <c r="C342" s="105" t="s">
        <v>104</v>
      </c>
      <c r="D342" s="106">
        <v>329.34699999999998</v>
      </c>
      <c r="E342" s="107">
        <v>2697</v>
      </c>
      <c r="F342" s="106">
        <f t="shared" si="26"/>
        <v>329.40930519999995</v>
      </c>
      <c r="G342" s="108" t="s">
        <v>1001</v>
      </c>
      <c r="H342" s="108"/>
      <c r="I342" s="107">
        <v>50</v>
      </c>
      <c r="J342" s="107">
        <v>1385</v>
      </c>
      <c r="K342" s="108" t="s">
        <v>429</v>
      </c>
      <c r="L342" s="107">
        <v>5638</v>
      </c>
      <c r="M342" s="111">
        <f t="shared" si="27"/>
        <v>75.08661665037252</v>
      </c>
      <c r="N342" s="111">
        <v>6874.03</v>
      </c>
      <c r="O342" s="113">
        <f t="shared" si="28"/>
        <v>0.82018844840653882</v>
      </c>
      <c r="P342" s="78"/>
      <c r="Q342" s="63"/>
      <c r="R342" s="63"/>
      <c r="S342" s="63"/>
      <c r="T342" s="63"/>
      <c r="U342" s="63"/>
      <c r="V342" s="63"/>
      <c r="W342" s="63"/>
      <c r="X342" s="63"/>
      <c r="Y342" s="63"/>
      <c r="Z342" s="63"/>
    </row>
    <row r="343" spans="1:26" ht="17.25" customHeight="1" x14ac:dyDescent="0.2">
      <c r="A343" s="104">
        <v>900</v>
      </c>
      <c r="B343" s="105" t="s">
        <v>29</v>
      </c>
      <c r="C343" s="105" t="s">
        <v>104</v>
      </c>
      <c r="D343" s="106">
        <v>331.35500000000002</v>
      </c>
      <c r="E343" s="107">
        <v>2697</v>
      </c>
      <c r="F343" s="106">
        <f t="shared" si="26"/>
        <v>331.4038516</v>
      </c>
      <c r="G343" s="108" t="s">
        <v>1002</v>
      </c>
      <c r="H343" s="108"/>
      <c r="I343" s="107">
        <v>50</v>
      </c>
      <c r="J343" s="107">
        <v>1636</v>
      </c>
      <c r="K343" s="108" t="s">
        <v>429</v>
      </c>
      <c r="L343" s="107">
        <v>10084</v>
      </c>
      <c r="M343" s="111">
        <f t="shared" si="27"/>
        <v>100.41912168506553</v>
      </c>
      <c r="N343" s="111">
        <v>8868.74</v>
      </c>
      <c r="O343" s="113">
        <f t="shared" si="28"/>
        <v>1.1370273567609379</v>
      </c>
      <c r="P343" s="78"/>
      <c r="Q343" s="63"/>
      <c r="R343" s="63"/>
      <c r="S343" s="63"/>
      <c r="T343" s="63"/>
      <c r="U343" s="63"/>
      <c r="V343" s="63"/>
      <c r="W343" s="63"/>
      <c r="X343" s="63"/>
      <c r="Y343" s="63"/>
      <c r="Z343" s="63"/>
    </row>
    <row r="344" spans="1:26" ht="17.25" customHeight="1" x14ac:dyDescent="0.2">
      <c r="A344" s="104">
        <v>901</v>
      </c>
      <c r="B344" s="105" t="s">
        <v>29</v>
      </c>
      <c r="C344" s="105" t="s">
        <v>104</v>
      </c>
      <c r="D344" s="106">
        <v>333.35500000000002</v>
      </c>
      <c r="E344" s="107">
        <v>2697</v>
      </c>
      <c r="F344" s="106">
        <f t="shared" si="26"/>
        <v>333.39045160000001</v>
      </c>
      <c r="G344" s="108" t="s">
        <v>1003</v>
      </c>
      <c r="H344" s="108"/>
      <c r="I344" s="107">
        <v>51</v>
      </c>
      <c r="J344" s="107">
        <v>1510</v>
      </c>
      <c r="K344" s="108" t="s">
        <v>429</v>
      </c>
      <c r="L344" s="107">
        <v>12558</v>
      </c>
      <c r="M344" s="111">
        <f t="shared" si="27"/>
        <v>112.06248257110852</v>
      </c>
      <c r="N344" s="111">
        <v>7941.54</v>
      </c>
      <c r="O344" s="113">
        <f t="shared" si="28"/>
        <v>1.5813053891310753</v>
      </c>
      <c r="P344" s="78"/>
      <c r="Q344" s="63"/>
      <c r="R344" s="63"/>
      <c r="S344" s="63"/>
      <c r="T344" s="63"/>
      <c r="U344" s="63"/>
      <c r="V344" s="63"/>
      <c r="W344" s="63"/>
      <c r="X344" s="63"/>
      <c r="Y344" s="63"/>
      <c r="Z344" s="63"/>
    </row>
    <row r="345" spans="1:26" ht="17.25" customHeight="1" x14ac:dyDescent="0.2">
      <c r="A345" s="104">
        <v>902</v>
      </c>
      <c r="B345" s="105" t="s">
        <v>29</v>
      </c>
      <c r="C345" s="105" t="s">
        <v>104</v>
      </c>
      <c r="D345" s="106">
        <v>335.36799999999999</v>
      </c>
      <c r="E345" s="107">
        <v>2697</v>
      </c>
      <c r="F345" s="106">
        <f t="shared" si="26"/>
        <v>335.38996449999996</v>
      </c>
      <c r="G345" s="108" t="s">
        <v>1004</v>
      </c>
      <c r="H345" s="108"/>
      <c r="I345" s="107">
        <v>40</v>
      </c>
      <c r="J345" s="107">
        <v>504</v>
      </c>
      <c r="K345" s="108" t="s">
        <v>429</v>
      </c>
      <c r="L345" s="107">
        <v>5290</v>
      </c>
      <c r="M345" s="111">
        <f t="shared" si="27"/>
        <v>72.73238618387272</v>
      </c>
      <c r="N345" s="111">
        <v>2197.61</v>
      </c>
      <c r="O345" s="113">
        <f t="shared" si="28"/>
        <v>2.407160506186266</v>
      </c>
      <c r="P345" s="78"/>
      <c r="Q345" s="63"/>
      <c r="R345" s="63"/>
      <c r="S345" s="63"/>
      <c r="T345" s="63"/>
      <c r="U345" s="63"/>
      <c r="V345" s="63"/>
      <c r="W345" s="63"/>
      <c r="X345" s="63"/>
      <c r="Y345" s="63"/>
      <c r="Z345" s="63"/>
    </row>
    <row r="346" spans="1:26" ht="17.25" customHeight="1" x14ac:dyDescent="0.2">
      <c r="A346" s="104">
        <v>903</v>
      </c>
      <c r="B346" s="105" t="s">
        <v>29</v>
      </c>
      <c r="C346" s="105" t="s">
        <v>104</v>
      </c>
      <c r="D346" s="106">
        <v>337.37700000000001</v>
      </c>
      <c r="E346" s="107">
        <v>2697</v>
      </c>
      <c r="F346" s="106">
        <f t="shared" si="26"/>
        <v>337.38550419999996</v>
      </c>
      <c r="G346" s="108" t="s">
        <v>1005</v>
      </c>
      <c r="H346" s="108"/>
      <c r="I346" s="107">
        <v>40</v>
      </c>
      <c r="J346" s="107">
        <v>378</v>
      </c>
      <c r="K346" s="108" t="s">
        <v>429</v>
      </c>
      <c r="L346" s="107">
        <v>6253</v>
      </c>
      <c r="M346" s="111">
        <f t="shared" si="27"/>
        <v>79.075912893876861</v>
      </c>
      <c r="N346" s="111">
        <v>1474.25</v>
      </c>
      <c r="O346" s="113">
        <f t="shared" si="28"/>
        <v>4.2414787179921998</v>
      </c>
      <c r="P346" s="78"/>
      <c r="Q346" s="63"/>
      <c r="R346" s="63"/>
      <c r="S346" s="63"/>
      <c r="T346" s="63"/>
      <c r="U346" s="63"/>
      <c r="V346" s="63"/>
      <c r="W346" s="63"/>
      <c r="X346" s="63"/>
      <c r="Y346" s="63"/>
      <c r="Z346" s="63"/>
    </row>
    <row r="347" spans="1:26" ht="17.25" customHeight="1" x14ac:dyDescent="0.2">
      <c r="A347" s="104">
        <v>904</v>
      </c>
      <c r="B347" s="105" t="s">
        <v>29</v>
      </c>
      <c r="C347" s="105" t="s">
        <v>104</v>
      </c>
      <c r="D347" s="106">
        <v>338.37700000000001</v>
      </c>
      <c r="E347" s="107">
        <v>2697</v>
      </c>
      <c r="F347" s="106">
        <f t="shared" si="26"/>
        <v>338.37880419999999</v>
      </c>
      <c r="G347" s="108" t="s">
        <v>1006</v>
      </c>
      <c r="H347" s="108"/>
      <c r="I347" s="107">
        <v>39</v>
      </c>
      <c r="J347" s="107">
        <v>252</v>
      </c>
      <c r="K347" s="108" t="s">
        <v>429</v>
      </c>
      <c r="L347" s="107">
        <v>7241</v>
      </c>
      <c r="M347" s="111">
        <f t="shared" si="27"/>
        <v>85.094065598019228</v>
      </c>
      <c r="N347" s="111">
        <v>1170.19</v>
      </c>
      <c r="O347" s="113">
        <f t="shared" si="28"/>
        <v>6.1878840188345476</v>
      </c>
      <c r="P347" s="78"/>
      <c r="Q347" s="63"/>
      <c r="R347" s="63"/>
      <c r="S347" s="63"/>
      <c r="T347" s="63"/>
      <c r="U347" s="63"/>
      <c r="V347" s="63"/>
      <c r="W347" s="63"/>
      <c r="X347" s="63"/>
      <c r="Y347" s="63"/>
      <c r="Z347" s="63"/>
    </row>
    <row r="348" spans="1:26" ht="17.25" customHeight="1" x14ac:dyDescent="0.2">
      <c r="A348" s="104">
        <v>905</v>
      </c>
      <c r="B348" s="105" t="s">
        <v>29</v>
      </c>
      <c r="C348" s="105" t="s">
        <v>104</v>
      </c>
      <c r="D348" s="106">
        <v>339.37799999999999</v>
      </c>
      <c r="E348" s="107">
        <v>2697</v>
      </c>
      <c r="F348" s="106">
        <f t="shared" si="26"/>
        <v>339.37309749999997</v>
      </c>
      <c r="G348" s="108" t="s">
        <v>1007</v>
      </c>
      <c r="H348" s="108"/>
      <c r="I348" s="107">
        <v>30</v>
      </c>
      <c r="J348" s="107">
        <v>126</v>
      </c>
      <c r="K348" s="108" t="s">
        <v>429</v>
      </c>
      <c r="L348" s="107">
        <v>6059</v>
      </c>
      <c r="M348" s="111">
        <f t="shared" si="27"/>
        <v>77.839578621675486</v>
      </c>
      <c r="N348" s="111">
        <v>595.04</v>
      </c>
      <c r="O348" s="113">
        <f t="shared" si="28"/>
        <v>10.182508738908309</v>
      </c>
      <c r="P348" s="78"/>
      <c r="Q348" s="63"/>
      <c r="R348" s="63"/>
      <c r="S348" s="63"/>
      <c r="T348" s="63"/>
      <c r="U348" s="63"/>
      <c r="V348" s="63"/>
      <c r="W348" s="63"/>
      <c r="X348" s="63"/>
      <c r="Y348" s="63"/>
      <c r="Z348" s="63"/>
    </row>
    <row r="349" spans="1:26" ht="17.25" customHeight="1" x14ac:dyDescent="0.2">
      <c r="A349" s="104">
        <v>906</v>
      </c>
      <c r="B349" s="105" t="s">
        <v>29</v>
      </c>
      <c r="C349" s="105" t="s">
        <v>104</v>
      </c>
      <c r="D349" s="106">
        <v>340.37799999999999</v>
      </c>
      <c r="E349" s="107">
        <v>2697</v>
      </c>
      <c r="F349" s="106">
        <f t="shared" si="26"/>
        <v>340.36639749999995</v>
      </c>
      <c r="G349" s="108" t="s">
        <v>1008</v>
      </c>
      <c r="H349" s="108"/>
      <c r="I349" s="107">
        <v>30</v>
      </c>
      <c r="J349" s="107">
        <v>126</v>
      </c>
      <c r="K349" s="108" t="s">
        <v>429</v>
      </c>
      <c r="L349" s="107">
        <v>7916</v>
      </c>
      <c r="M349" s="111">
        <f t="shared" si="27"/>
        <v>88.971905678140899</v>
      </c>
      <c r="N349" s="111">
        <v>425.7</v>
      </c>
      <c r="O349" s="113">
        <f t="shared" si="28"/>
        <v>18.595254874324642</v>
      </c>
      <c r="P349" s="78"/>
      <c r="Q349" s="63"/>
      <c r="R349" s="63"/>
      <c r="S349" s="63"/>
      <c r="T349" s="63"/>
      <c r="U349" s="63"/>
      <c r="V349" s="63"/>
      <c r="W349" s="63"/>
      <c r="X349" s="63"/>
      <c r="Y349" s="63"/>
      <c r="Z349" s="63"/>
    </row>
    <row r="350" spans="1:26" ht="17.25" customHeight="1" x14ac:dyDescent="0.2">
      <c r="A350" s="104">
        <v>907</v>
      </c>
      <c r="B350" s="105" t="s">
        <v>29</v>
      </c>
      <c r="C350" s="105" t="s">
        <v>104</v>
      </c>
      <c r="D350" s="106">
        <v>340.875</v>
      </c>
      <c r="E350" s="107">
        <v>2697</v>
      </c>
      <c r="F350" s="106">
        <f t="shared" si="26"/>
        <v>340.86006759999998</v>
      </c>
      <c r="G350" s="108" t="s">
        <v>1009</v>
      </c>
      <c r="H350" s="108"/>
      <c r="I350" s="107">
        <v>25</v>
      </c>
      <c r="J350" s="107">
        <v>126</v>
      </c>
      <c r="K350" s="108" t="s">
        <v>429</v>
      </c>
      <c r="L350" s="107">
        <v>6920</v>
      </c>
      <c r="M350" s="111">
        <f t="shared" si="27"/>
        <v>83.186537372341689</v>
      </c>
      <c r="N350" s="111">
        <v>255.42</v>
      </c>
      <c r="O350" s="113">
        <f t="shared" si="28"/>
        <v>27.092631743794534</v>
      </c>
      <c r="P350" s="78"/>
      <c r="Q350" s="63"/>
      <c r="R350" s="63"/>
      <c r="S350" s="63"/>
      <c r="T350" s="63"/>
      <c r="U350" s="63"/>
      <c r="V350" s="63"/>
      <c r="W350" s="63"/>
      <c r="X350" s="63"/>
      <c r="Y350" s="63"/>
      <c r="Z350" s="63"/>
    </row>
    <row r="351" spans="1:26" ht="17.25" customHeight="1" x14ac:dyDescent="0.2">
      <c r="A351" s="104">
        <v>908</v>
      </c>
      <c r="B351" s="105" t="s">
        <v>29</v>
      </c>
      <c r="C351" s="105" t="s">
        <v>104</v>
      </c>
      <c r="D351" s="106">
        <v>341.38499999999999</v>
      </c>
      <c r="E351" s="107">
        <v>2697</v>
      </c>
      <c r="F351" s="106">
        <f t="shared" si="26"/>
        <v>341.36665059999996</v>
      </c>
      <c r="G351" s="108" t="s">
        <v>1010</v>
      </c>
      <c r="H351" s="108"/>
      <c r="I351" s="107">
        <v>15</v>
      </c>
      <c r="J351" s="107">
        <v>126</v>
      </c>
      <c r="K351" s="108" t="s">
        <v>429</v>
      </c>
      <c r="L351" s="107">
        <v>6419</v>
      </c>
      <c r="M351" s="111">
        <f t="shared" si="27"/>
        <v>80.118661995817178</v>
      </c>
      <c r="N351" s="111">
        <v>186.35</v>
      </c>
      <c r="O351" s="113">
        <f t="shared" si="28"/>
        <v>34.445935068419644</v>
      </c>
      <c r="P351" s="78"/>
      <c r="Q351" s="63"/>
      <c r="R351" s="63"/>
      <c r="S351" s="63"/>
      <c r="T351" s="63"/>
      <c r="U351" s="63"/>
      <c r="V351" s="63"/>
      <c r="W351" s="63"/>
      <c r="X351" s="63"/>
      <c r="Y351" s="63"/>
      <c r="Z351" s="63"/>
    </row>
    <row r="352" spans="1:26" ht="17.25" customHeight="1" x14ac:dyDescent="0.2">
      <c r="A352" s="104">
        <v>909</v>
      </c>
      <c r="B352" s="105" t="s">
        <v>29</v>
      </c>
      <c r="C352" s="105" t="s">
        <v>104</v>
      </c>
      <c r="D352" s="106">
        <v>341.88200000000001</v>
      </c>
      <c r="E352" s="107">
        <v>2697</v>
      </c>
      <c r="F352" s="106">
        <f t="shared" si="26"/>
        <v>341.86032069999999</v>
      </c>
      <c r="G352" s="108" t="s">
        <v>1011</v>
      </c>
      <c r="H352" s="108"/>
      <c r="I352" s="107">
        <v>12</v>
      </c>
      <c r="J352" s="107">
        <v>126</v>
      </c>
      <c r="K352" s="108" t="s">
        <v>429</v>
      </c>
      <c r="L352" s="107">
        <v>6566</v>
      </c>
      <c r="M352" s="111">
        <f t="shared" si="27"/>
        <v>81.030858319531575</v>
      </c>
      <c r="N352" s="111">
        <v>167.48</v>
      </c>
      <c r="O352" s="113">
        <f t="shared" si="28"/>
        <v>39.204681155958923</v>
      </c>
      <c r="P352" s="78"/>
      <c r="Q352" s="63"/>
      <c r="R352" s="63"/>
      <c r="S352" s="63"/>
      <c r="T352" s="63"/>
      <c r="U352" s="63"/>
      <c r="V352" s="63"/>
      <c r="W352" s="63"/>
      <c r="X352" s="63"/>
      <c r="Y352" s="63"/>
      <c r="Z352" s="63"/>
    </row>
    <row r="353" spans="1:26" ht="17.25" customHeight="1" x14ac:dyDescent="0.2">
      <c r="A353" s="104">
        <v>910</v>
      </c>
      <c r="B353" s="105" t="s">
        <v>29</v>
      </c>
      <c r="C353" s="105" t="s">
        <v>104</v>
      </c>
      <c r="D353" s="106">
        <v>342.392</v>
      </c>
      <c r="E353" s="107">
        <v>2697</v>
      </c>
      <c r="F353" s="106">
        <f t="shared" si="26"/>
        <v>342.36690369999997</v>
      </c>
      <c r="G353" s="108" t="s">
        <v>1011</v>
      </c>
      <c r="H353" s="108"/>
      <c r="I353" s="107">
        <v>11</v>
      </c>
      <c r="J353" s="107">
        <v>126</v>
      </c>
      <c r="K353" s="108" t="s">
        <v>429</v>
      </c>
      <c r="L353" s="107">
        <v>7080</v>
      </c>
      <c r="M353" s="111">
        <f t="shared" si="27"/>
        <v>84.142735871850519</v>
      </c>
      <c r="N353" s="111">
        <v>174.32</v>
      </c>
      <c r="O353" s="113">
        <f t="shared" si="28"/>
        <v>40.614960991280405</v>
      </c>
      <c r="P353" s="78"/>
      <c r="Q353" s="63"/>
      <c r="R353" s="63"/>
      <c r="S353" s="63"/>
      <c r="T353" s="63"/>
      <c r="U353" s="63"/>
      <c r="V353" s="63"/>
      <c r="W353" s="63"/>
      <c r="X353" s="63"/>
      <c r="Y353" s="63"/>
      <c r="Z353" s="63"/>
    </row>
    <row r="354" spans="1:26" ht="17.25" customHeight="1" x14ac:dyDescent="0.2">
      <c r="A354" s="104">
        <v>911</v>
      </c>
      <c r="B354" s="105" t="s">
        <v>29</v>
      </c>
      <c r="C354" s="105" t="s">
        <v>104</v>
      </c>
      <c r="D354" s="106">
        <v>342.88900000000001</v>
      </c>
      <c r="E354" s="107">
        <v>2697</v>
      </c>
      <c r="F354" s="106">
        <f t="shared" si="26"/>
        <v>342.8605738</v>
      </c>
      <c r="G354" s="108" t="s">
        <v>1012</v>
      </c>
      <c r="H354" s="108"/>
      <c r="I354" s="107">
        <v>11</v>
      </c>
      <c r="J354" s="107">
        <v>126</v>
      </c>
      <c r="K354" s="108" t="s">
        <v>429</v>
      </c>
      <c r="L354" s="107">
        <v>7408</v>
      </c>
      <c r="M354" s="111">
        <f t="shared" si="27"/>
        <v>86.069739165400051</v>
      </c>
      <c r="N354" s="111">
        <v>157.96</v>
      </c>
      <c r="O354" s="113">
        <f t="shared" si="28"/>
        <v>46.897948847809573</v>
      </c>
      <c r="P354" s="78"/>
      <c r="Q354" s="63"/>
      <c r="R354" s="63"/>
      <c r="S354" s="63"/>
      <c r="T354" s="63"/>
      <c r="U354" s="63"/>
      <c r="V354" s="63"/>
      <c r="W354" s="63"/>
      <c r="X354" s="63"/>
      <c r="Y354" s="63"/>
      <c r="Z354" s="63"/>
    </row>
    <row r="355" spans="1:26" ht="17.25" customHeight="1" x14ac:dyDescent="0.2">
      <c r="A355" s="104">
        <v>912</v>
      </c>
      <c r="B355" s="105" t="s">
        <v>29</v>
      </c>
      <c r="C355" s="105" t="s">
        <v>104</v>
      </c>
      <c r="D355" s="106">
        <v>343.38600000000002</v>
      </c>
      <c r="E355" s="107">
        <v>2697</v>
      </c>
      <c r="F355" s="106">
        <f t="shared" si="26"/>
        <v>343.35424389999997</v>
      </c>
      <c r="G355" s="108" t="s">
        <v>1013</v>
      </c>
      <c r="H355" s="108"/>
      <c r="I355" s="107">
        <v>8</v>
      </c>
      <c r="J355" s="107">
        <v>126</v>
      </c>
      <c r="K355" s="108" t="s">
        <v>429</v>
      </c>
      <c r="L355" s="107">
        <v>6839</v>
      </c>
      <c r="M355" s="111">
        <f t="shared" si="27"/>
        <v>82.698246656141393</v>
      </c>
      <c r="N355" s="111">
        <v>135.71</v>
      </c>
      <c r="O355" s="113">
        <f t="shared" si="28"/>
        <v>50.394222975462377</v>
      </c>
      <c r="P355" s="78"/>
      <c r="Q355" s="63"/>
      <c r="R355" s="63"/>
      <c r="S355" s="63"/>
      <c r="T355" s="63"/>
      <c r="U355" s="63"/>
      <c r="V355" s="63"/>
      <c r="W355" s="63"/>
      <c r="X355" s="63"/>
      <c r="Y355" s="63"/>
      <c r="Z355" s="63"/>
    </row>
    <row r="356" spans="1:26" ht="17.25" customHeight="1" x14ac:dyDescent="0.2">
      <c r="A356" s="104">
        <v>913</v>
      </c>
      <c r="B356" s="105" t="s">
        <v>29</v>
      </c>
      <c r="C356" s="105" t="s">
        <v>104</v>
      </c>
      <c r="D356" s="106">
        <v>343.88299999999998</v>
      </c>
      <c r="E356" s="107">
        <v>2697</v>
      </c>
      <c r="F356" s="106">
        <f t="shared" si="26"/>
        <v>343.84791399999995</v>
      </c>
      <c r="G356" s="108" t="s">
        <v>1013</v>
      </c>
      <c r="H356" s="108"/>
      <c r="I356" s="107">
        <v>8</v>
      </c>
      <c r="J356" s="107">
        <v>126</v>
      </c>
      <c r="K356" s="108" t="s">
        <v>429</v>
      </c>
      <c r="L356" s="107">
        <v>6712</v>
      </c>
      <c r="M356" s="111">
        <f t="shared" si="27"/>
        <v>81.926796593056167</v>
      </c>
      <c r="N356" s="111">
        <v>134.11000000000001</v>
      </c>
      <c r="O356" s="113">
        <f t="shared" si="28"/>
        <v>50.04846767578853</v>
      </c>
      <c r="P356" s="78"/>
      <c r="Q356" s="63"/>
      <c r="R356" s="63"/>
      <c r="S356" s="63"/>
      <c r="T356" s="63"/>
      <c r="U356" s="63"/>
      <c r="V356" s="63"/>
      <c r="W356" s="63"/>
      <c r="X356" s="63"/>
      <c r="Y356" s="63"/>
      <c r="Z356" s="63"/>
    </row>
    <row r="357" spans="1:26" ht="17.25" customHeight="1" x14ac:dyDescent="0.2">
      <c r="A357" s="104">
        <v>914</v>
      </c>
      <c r="B357" s="105" t="s">
        <v>29</v>
      </c>
      <c r="C357" s="105" t="s">
        <v>104</v>
      </c>
      <c r="D357" s="106">
        <v>344.89</v>
      </c>
      <c r="E357" s="107">
        <v>2697</v>
      </c>
      <c r="F357" s="106">
        <f t="shared" ref="F357:F420" si="29">0.9933*(D357+E357/1000)-0.41</f>
        <v>344.84816709999996</v>
      </c>
      <c r="G357" s="108" t="s">
        <v>1014</v>
      </c>
      <c r="H357" s="108"/>
      <c r="I357" s="107">
        <v>8</v>
      </c>
      <c r="J357" s="107">
        <v>126</v>
      </c>
      <c r="K357" s="108" t="s">
        <v>429</v>
      </c>
      <c r="L357" s="107">
        <v>6516</v>
      </c>
      <c r="M357" s="111">
        <f t="shared" si="27"/>
        <v>80.721744282442259</v>
      </c>
      <c r="N357" s="111">
        <v>118.35</v>
      </c>
      <c r="O357" s="113">
        <f t="shared" si="28"/>
        <v>55.057034220532323</v>
      </c>
      <c r="P357" s="78"/>
      <c r="Q357" s="63"/>
      <c r="R357" s="63"/>
      <c r="S357" s="63"/>
      <c r="T357" s="63"/>
      <c r="U357" s="63"/>
      <c r="V357" s="63"/>
      <c r="W357" s="63"/>
      <c r="X357" s="63"/>
      <c r="Y357" s="63"/>
      <c r="Z357" s="63"/>
    </row>
    <row r="358" spans="1:26" ht="17.25" customHeight="1" x14ac:dyDescent="0.2">
      <c r="A358" s="104">
        <v>915</v>
      </c>
      <c r="B358" s="105" t="s">
        <v>29</v>
      </c>
      <c r="C358" s="105" t="s">
        <v>104</v>
      </c>
      <c r="D358" s="106">
        <v>346.89100000000002</v>
      </c>
      <c r="E358" s="107">
        <v>2697</v>
      </c>
      <c r="F358" s="106">
        <f t="shared" si="29"/>
        <v>346.83576039999997</v>
      </c>
      <c r="G358" s="108" t="s">
        <v>1015</v>
      </c>
      <c r="H358" s="108"/>
      <c r="I358" s="107">
        <v>5</v>
      </c>
      <c r="J358" s="107">
        <v>126</v>
      </c>
      <c r="K358" s="108" t="s">
        <v>429</v>
      </c>
      <c r="L358" s="107">
        <v>6244</v>
      </c>
      <c r="M358" s="111">
        <f t="shared" si="27"/>
        <v>79.018985060553646</v>
      </c>
      <c r="N358" s="111">
        <v>111.31</v>
      </c>
      <c r="O358" s="113">
        <f t="shared" si="28"/>
        <v>56.095588895876382</v>
      </c>
      <c r="P358" s="78"/>
      <c r="Q358" s="63"/>
      <c r="R358" s="63"/>
      <c r="S358" s="63"/>
      <c r="T358" s="63"/>
      <c r="U358" s="63"/>
      <c r="V358" s="63"/>
      <c r="W358" s="63"/>
      <c r="X358" s="63"/>
      <c r="Y358" s="63"/>
      <c r="Z358" s="63"/>
    </row>
    <row r="359" spans="1:26" ht="17.25" customHeight="1" x14ac:dyDescent="0.2">
      <c r="A359" s="104">
        <v>916</v>
      </c>
      <c r="B359" s="105" t="s">
        <v>29</v>
      </c>
      <c r="C359" s="105" t="s">
        <v>104</v>
      </c>
      <c r="D359" s="106">
        <v>348.89800000000002</v>
      </c>
      <c r="E359" s="107">
        <v>2697</v>
      </c>
      <c r="F359" s="106">
        <f t="shared" si="29"/>
        <v>348.82931350000001</v>
      </c>
      <c r="G359" s="108" t="s">
        <v>1015</v>
      </c>
      <c r="H359" s="108"/>
      <c r="I359" s="107">
        <v>5</v>
      </c>
      <c r="J359" s="107">
        <v>126</v>
      </c>
      <c r="K359" s="108" t="s">
        <v>429</v>
      </c>
      <c r="L359" s="107">
        <v>6226</v>
      </c>
      <c r="M359" s="111">
        <f t="shared" si="27"/>
        <v>78.90500617831546</v>
      </c>
      <c r="N359" s="111">
        <v>110.39</v>
      </c>
      <c r="O359" s="113">
        <f t="shared" si="28"/>
        <v>56.400036235166226</v>
      </c>
      <c r="P359" s="78"/>
      <c r="Q359" s="63"/>
      <c r="R359" s="63"/>
      <c r="S359" s="63"/>
      <c r="T359" s="63"/>
      <c r="U359" s="63"/>
      <c r="V359" s="63"/>
      <c r="W359" s="63"/>
      <c r="X359" s="63"/>
      <c r="Y359" s="63"/>
      <c r="Z359" s="63"/>
    </row>
    <row r="360" spans="1:26" ht="17.25" customHeight="1" x14ac:dyDescent="0.2">
      <c r="A360" s="104">
        <v>917</v>
      </c>
      <c r="B360" s="105" t="s">
        <v>29</v>
      </c>
      <c r="C360" s="105" t="s">
        <v>104</v>
      </c>
      <c r="D360" s="106">
        <v>350.89800000000002</v>
      </c>
      <c r="E360" s="107">
        <v>2697</v>
      </c>
      <c r="F360" s="106">
        <f t="shared" si="29"/>
        <v>350.81591349999997</v>
      </c>
      <c r="G360" s="108" t="s">
        <v>1016</v>
      </c>
      <c r="H360" s="108"/>
      <c r="I360" s="107">
        <v>5</v>
      </c>
      <c r="J360" s="107">
        <v>126</v>
      </c>
      <c r="K360" s="108" t="s">
        <v>429</v>
      </c>
      <c r="L360" s="107">
        <v>7039</v>
      </c>
      <c r="M360" s="111">
        <f t="shared" si="27"/>
        <v>83.898748500797083</v>
      </c>
      <c r="N360" s="111">
        <v>120.8</v>
      </c>
      <c r="O360" s="113">
        <f t="shared" si="28"/>
        <v>58.269867549668874</v>
      </c>
      <c r="P360" s="78"/>
      <c r="Q360" s="63"/>
      <c r="R360" s="63"/>
      <c r="S360" s="63"/>
      <c r="T360" s="63"/>
      <c r="U360" s="63"/>
      <c r="V360" s="63"/>
      <c r="W360" s="63"/>
      <c r="X360" s="63"/>
      <c r="Y360" s="63"/>
      <c r="Z360" s="63"/>
    </row>
    <row r="361" spans="1:26" ht="17.25" customHeight="1" x14ac:dyDescent="0.2">
      <c r="A361" s="104">
        <v>918</v>
      </c>
      <c r="B361" s="105" t="s">
        <v>9</v>
      </c>
      <c r="C361" s="105" t="s">
        <v>104</v>
      </c>
      <c r="D361" s="106">
        <v>352.9</v>
      </c>
      <c r="E361" s="107">
        <v>2697</v>
      </c>
      <c r="F361" s="106">
        <f t="shared" si="29"/>
        <v>352.80450009999993</v>
      </c>
      <c r="G361" s="108" t="s">
        <v>1017</v>
      </c>
      <c r="H361" s="108"/>
      <c r="I361" s="107">
        <v>5</v>
      </c>
      <c r="J361" s="107">
        <v>126</v>
      </c>
      <c r="K361" s="108" t="s">
        <v>429</v>
      </c>
      <c r="L361" s="107">
        <v>6645</v>
      </c>
      <c r="M361" s="111">
        <f t="shared" si="27"/>
        <v>81.516869419771027</v>
      </c>
      <c r="N361" s="111">
        <v>185.33</v>
      </c>
      <c r="O361" s="113">
        <f t="shared" si="28"/>
        <v>35.854961420169424</v>
      </c>
      <c r="P361" s="78"/>
      <c r="Q361" s="63" t="s">
        <v>1018</v>
      </c>
      <c r="R361" s="63"/>
      <c r="S361" s="63"/>
      <c r="T361" s="63"/>
      <c r="U361" s="63"/>
      <c r="V361" s="63"/>
      <c r="W361" s="63"/>
      <c r="X361" s="63"/>
      <c r="Y361" s="63"/>
      <c r="Z361" s="63"/>
    </row>
    <row r="362" spans="1:26" ht="17.25" customHeight="1" x14ac:dyDescent="0.2">
      <c r="A362" s="104">
        <v>919</v>
      </c>
      <c r="B362" s="105" t="s">
        <v>29</v>
      </c>
      <c r="C362" s="105" t="s">
        <v>104</v>
      </c>
      <c r="D362" s="106">
        <v>351.90600000000001</v>
      </c>
      <c r="E362" s="107">
        <v>2697</v>
      </c>
      <c r="F362" s="106">
        <f t="shared" si="29"/>
        <v>351.81715989999998</v>
      </c>
      <c r="G362" s="108" t="s">
        <v>1017</v>
      </c>
      <c r="H362" s="108"/>
      <c r="I362" s="107">
        <v>5</v>
      </c>
      <c r="J362" s="107">
        <v>252</v>
      </c>
      <c r="K362" s="108" t="s">
        <v>429</v>
      </c>
      <c r="L362" s="107">
        <v>7440</v>
      </c>
      <c r="M362" s="111">
        <f t="shared" si="27"/>
        <v>86.255434611391294</v>
      </c>
      <c r="N362" s="111">
        <v>126.27</v>
      </c>
      <c r="O362" s="113">
        <f t="shared" si="28"/>
        <v>58.921358992634829</v>
      </c>
      <c r="P362" s="78"/>
      <c r="Q362" s="63"/>
      <c r="R362" s="63"/>
      <c r="S362" s="63"/>
      <c r="T362" s="63"/>
      <c r="U362" s="63"/>
      <c r="V362" s="63"/>
      <c r="W362" s="63"/>
      <c r="X362" s="63"/>
      <c r="Y362" s="63"/>
      <c r="Z362" s="63"/>
    </row>
    <row r="363" spans="1:26" ht="17.25" customHeight="1" x14ac:dyDescent="0.2">
      <c r="A363" s="104">
        <v>920</v>
      </c>
      <c r="B363" s="105" t="s">
        <v>29</v>
      </c>
      <c r="C363" s="105" t="s">
        <v>104</v>
      </c>
      <c r="D363" s="106">
        <v>351.41</v>
      </c>
      <c r="E363" s="107">
        <v>2697</v>
      </c>
      <c r="F363" s="106">
        <f t="shared" si="29"/>
        <v>351.32448310000001</v>
      </c>
      <c r="G363" s="108" t="s">
        <v>1019</v>
      </c>
      <c r="H363" s="108"/>
      <c r="I363" s="107">
        <v>5</v>
      </c>
      <c r="J363" s="107">
        <v>126</v>
      </c>
      <c r="K363" s="108" t="s">
        <v>429</v>
      </c>
      <c r="L363" s="107">
        <v>6947</v>
      </c>
      <c r="M363" s="111">
        <f t="shared" si="27"/>
        <v>83.348665256259508</v>
      </c>
      <c r="N363" s="111">
        <v>119.68</v>
      </c>
      <c r="O363" s="113">
        <f t="shared" si="28"/>
        <v>58.04645721925133</v>
      </c>
      <c r="P363" s="78"/>
      <c r="Q363" s="63"/>
      <c r="R363" s="63"/>
      <c r="S363" s="63"/>
      <c r="T363" s="63"/>
      <c r="U363" s="63"/>
      <c r="V363" s="63"/>
      <c r="W363" s="63"/>
      <c r="X363" s="63"/>
      <c r="Y363" s="63"/>
      <c r="Z363" s="63"/>
    </row>
    <row r="364" spans="1:26" ht="17.25" customHeight="1" x14ac:dyDescent="0.2">
      <c r="A364" s="104">
        <v>921</v>
      </c>
      <c r="B364" s="105" t="s">
        <v>29</v>
      </c>
      <c r="C364" s="105" t="s">
        <v>104</v>
      </c>
      <c r="D364" s="106">
        <v>352.9</v>
      </c>
      <c r="E364" s="107">
        <v>2697</v>
      </c>
      <c r="F364" s="106">
        <f t="shared" si="29"/>
        <v>352.80450009999993</v>
      </c>
      <c r="G364" s="108" t="s">
        <v>1020</v>
      </c>
      <c r="H364" s="108"/>
      <c r="I364" s="107">
        <v>5</v>
      </c>
      <c r="J364" s="107">
        <v>126</v>
      </c>
      <c r="K364" s="108" t="s">
        <v>429</v>
      </c>
      <c r="L364" s="107">
        <v>6068</v>
      </c>
      <c r="M364" s="111">
        <f t="shared" si="27"/>
        <v>77.89736837660179</v>
      </c>
      <c r="N364" s="111">
        <v>108.95</v>
      </c>
      <c r="O364" s="113">
        <f t="shared" si="28"/>
        <v>55.69527306103717</v>
      </c>
      <c r="P364" s="78"/>
      <c r="Q364" s="63"/>
      <c r="R364" s="63"/>
      <c r="S364" s="63"/>
      <c r="T364" s="63"/>
      <c r="U364" s="63"/>
      <c r="V364" s="63"/>
      <c r="W364" s="63"/>
      <c r="X364" s="63"/>
      <c r="Y364" s="63"/>
      <c r="Z364" s="63"/>
    </row>
    <row r="365" spans="1:26" ht="17.25" customHeight="1" x14ac:dyDescent="0.2">
      <c r="A365" s="104">
        <v>922</v>
      </c>
      <c r="B365" s="105" t="s">
        <v>9</v>
      </c>
      <c r="C365" s="105" t="s">
        <v>104</v>
      </c>
      <c r="D365" s="106">
        <v>354.90699999999998</v>
      </c>
      <c r="E365" s="107">
        <v>2697</v>
      </c>
      <c r="F365" s="106">
        <f t="shared" si="29"/>
        <v>354.79805319999997</v>
      </c>
      <c r="G365" s="108" t="s">
        <v>1021</v>
      </c>
      <c r="H365" s="108"/>
      <c r="I365" s="107">
        <v>5</v>
      </c>
      <c r="J365" s="107">
        <v>252</v>
      </c>
      <c r="K365" s="108" t="s">
        <v>429</v>
      </c>
      <c r="L365" s="107">
        <v>6695</v>
      </c>
      <c r="M365" s="111">
        <f t="shared" si="27"/>
        <v>81.822979657306547</v>
      </c>
      <c r="N365" s="111">
        <v>265.89999999999998</v>
      </c>
      <c r="O365" s="113">
        <f t="shared" si="28"/>
        <v>25.178638585934564</v>
      </c>
      <c r="P365" s="78"/>
      <c r="Q365" s="63" t="s">
        <v>1022</v>
      </c>
      <c r="R365" s="63"/>
      <c r="S365" s="63"/>
      <c r="T365" s="63"/>
      <c r="U365" s="63"/>
      <c r="V365" s="63"/>
      <c r="W365" s="63"/>
      <c r="X365" s="63"/>
      <c r="Y365" s="63"/>
      <c r="Z365" s="63"/>
    </row>
    <row r="366" spans="1:26" ht="17.25" customHeight="1" x14ac:dyDescent="0.2">
      <c r="A366" s="104">
        <v>923</v>
      </c>
      <c r="B366" s="105" t="s">
        <v>29</v>
      </c>
      <c r="C366" s="105" t="s">
        <v>104</v>
      </c>
      <c r="D366" s="106">
        <v>353.90699999999998</v>
      </c>
      <c r="E366" s="107">
        <v>2697</v>
      </c>
      <c r="F366" s="106">
        <f t="shared" si="29"/>
        <v>353.80475319999994</v>
      </c>
      <c r="G366" s="108" t="s">
        <v>1023</v>
      </c>
      <c r="H366" s="108"/>
      <c r="I366" s="107">
        <v>5</v>
      </c>
      <c r="J366" s="107">
        <v>126</v>
      </c>
      <c r="K366" s="108" t="s">
        <v>429</v>
      </c>
      <c r="L366" s="107">
        <v>6515</v>
      </c>
      <c r="M366" s="111">
        <f t="shared" si="27"/>
        <v>80.715549926888315</v>
      </c>
      <c r="N366" s="111">
        <v>119.18</v>
      </c>
      <c r="O366" s="113">
        <f t="shared" si="28"/>
        <v>54.665212283940257</v>
      </c>
      <c r="P366" s="78"/>
      <c r="Q366" s="63"/>
      <c r="R366" s="63"/>
      <c r="S366" s="63"/>
      <c r="T366" s="63"/>
      <c r="U366" s="63"/>
      <c r="V366" s="63"/>
      <c r="W366" s="63"/>
      <c r="X366" s="63"/>
      <c r="Y366" s="63"/>
      <c r="Z366" s="63"/>
    </row>
    <row r="367" spans="1:26" ht="17.25" customHeight="1" x14ac:dyDescent="0.2">
      <c r="A367" s="104">
        <v>924</v>
      </c>
      <c r="B367" s="105" t="s">
        <v>29</v>
      </c>
      <c r="C367" s="105" t="s">
        <v>104</v>
      </c>
      <c r="D367" s="106">
        <v>354.41</v>
      </c>
      <c r="E367" s="107">
        <v>2697</v>
      </c>
      <c r="F367" s="106">
        <f t="shared" si="29"/>
        <v>354.3043831</v>
      </c>
      <c r="G367" s="108" t="s">
        <v>1023</v>
      </c>
      <c r="H367" s="108"/>
      <c r="I367" s="107">
        <v>5</v>
      </c>
      <c r="J367" s="107">
        <v>378</v>
      </c>
      <c r="K367" s="108" t="s">
        <v>429</v>
      </c>
      <c r="L367" s="107">
        <v>10822</v>
      </c>
      <c r="M367" s="111">
        <f t="shared" si="27"/>
        <v>104.02884215447176</v>
      </c>
      <c r="N367" s="111">
        <v>200.75</v>
      </c>
      <c r="O367" s="113">
        <f t="shared" si="28"/>
        <v>53.907845579078455</v>
      </c>
      <c r="P367" s="78"/>
      <c r="Q367" s="63"/>
      <c r="R367" s="63"/>
      <c r="S367" s="63"/>
      <c r="T367" s="63"/>
      <c r="U367" s="63"/>
      <c r="V367" s="63"/>
      <c r="W367" s="63"/>
      <c r="X367" s="63"/>
      <c r="Y367" s="63"/>
      <c r="Z367" s="63"/>
    </row>
    <row r="368" spans="1:26" ht="17.25" customHeight="1" x14ac:dyDescent="0.2">
      <c r="A368" s="104">
        <v>925</v>
      </c>
      <c r="B368" s="105" t="s">
        <v>29</v>
      </c>
      <c r="C368" s="105" t="s">
        <v>104</v>
      </c>
      <c r="D368" s="106">
        <v>354.90699999999998</v>
      </c>
      <c r="E368" s="107">
        <v>2697</v>
      </c>
      <c r="F368" s="106">
        <f t="shared" si="29"/>
        <v>354.79805319999997</v>
      </c>
      <c r="G368" s="108" t="s">
        <v>1024</v>
      </c>
      <c r="H368" s="108"/>
      <c r="I368" s="107">
        <v>5</v>
      </c>
      <c r="J368" s="107">
        <v>504</v>
      </c>
      <c r="K368" s="108" t="s">
        <v>429</v>
      </c>
      <c r="L368" s="107">
        <v>13311</v>
      </c>
      <c r="M368" s="111">
        <f t="shared" si="27"/>
        <v>115.37330713817646</v>
      </c>
      <c r="N368" s="111">
        <v>242.72</v>
      </c>
      <c r="O368" s="113">
        <f t="shared" si="28"/>
        <v>54.840969017798287</v>
      </c>
      <c r="P368" s="78"/>
      <c r="Q368" s="63"/>
      <c r="R368" s="63"/>
      <c r="S368" s="63"/>
      <c r="T368" s="63"/>
      <c r="U368" s="63"/>
      <c r="V368" s="63"/>
      <c r="W368" s="63"/>
      <c r="X368" s="63"/>
      <c r="Y368" s="63"/>
      <c r="Z368" s="63"/>
    </row>
    <row r="369" spans="1:26" ht="17.25" customHeight="1" x14ac:dyDescent="0.2">
      <c r="A369" s="104">
        <v>926</v>
      </c>
      <c r="B369" s="105" t="s">
        <v>9</v>
      </c>
      <c r="C369" s="105" t="s">
        <v>104</v>
      </c>
      <c r="D369" s="106">
        <v>356.90800000000002</v>
      </c>
      <c r="E369" s="107">
        <v>2697</v>
      </c>
      <c r="F369" s="106">
        <f t="shared" si="29"/>
        <v>356.78564649999998</v>
      </c>
      <c r="G369" s="108" t="s">
        <v>1025</v>
      </c>
      <c r="H369" s="108"/>
      <c r="I369" s="107">
        <v>5</v>
      </c>
      <c r="J369" s="107">
        <v>504</v>
      </c>
      <c r="K369" s="108" t="s">
        <v>429</v>
      </c>
      <c r="L369" s="107">
        <v>13740</v>
      </c>
      <c r="M369" s="111">
        <f t="shared" si="27"/>
        <v>117.21774609674083</v>
      </c>
      <c r="N369" s="111">
        <v>410.34</v>
      </c>
      <c r="O369" s="113">
        <f t="shared" si="28"/>
        <v>33.484427547887123</v>
      </c>
      <c r="P369" s="78"/>
      <c r="Q369" s="63" t="s">
        <v>1026</v>
      </c>
      <c r="R369" s="63"/>
      <c r="S369" s="63"/>
      <c r="T369" s="63"/>
      <c r="U369" s="63"/>
      <c r="V369" s="63"/>
      <c r="W369" s="63"/>
      <c r="X369" s="63"/>
      <c r="Y369" s="63"/>
      <c r="Z369" s="63"/>
    </row>
    <row r="370" spans="1:26" ht="17.25" customHeight="1" x14ac:dyDescent="0.2">
      <c r="A370" s="104">
        <v>927</v>
      </c>
      <c r="B370" s="105" t="s">
        <v>29</v>
      </c>
      <c r="C370" s="105" t="s">
        <v>104</v>
      </c>
      <c r="D370" s="106">
        <v>356.90800000000002</v>
      </c>
      <c r="E370" s="107">
        <v>2697</v>
      </c>
      <c r="F370" s="106">
        <f t="shared" si="29"/>
        <v>356.78564649999998</v>
      </c>
      <c r="G370" s="108" t="s">
        <v>1027</v>
      </c>
      <c r="H370" s="108"/>
      <c r="I370" s="107">
        <v>5</v>
      </c>
      <c r="J370" s="107">
        <v>504</v>
      </c>
      <c r="K370" s="108" t="s">
        <v>429</v>
      </c>
      <c r="L370" s="107">
        <v>14332</v>
      </c>
      <c r="M370" s="111">
        <f t="shared" si="27"/>
        <v>119.71633138381748</v>
      </c>
      <c r="N370" s="107">
        <v>304</v>
      </c>
      <c r="O370" s="113">
        <f t="shared" si="28"/>
        <v>47.14473684210526</v>
      </c>
      <c r="P370" s="78"/>
      <c r="Q370" s="63"/>
      <c r="R370" s="63"/>
      <c r="S370" s="63"/>
      <c r="T370" s="63"/>
      <c r="U370" s="63"/>
      <c r="V370" s="63"/>
      <c r="W370" s="63"/>
      <c r="X370" s="63"/>
      <c r="Y370" s="63"/>
      <c r="Z370" s="63"/>
    </row>
    <row r="371" spans="1:26" ht="17.25" customHeight="1" x14ac:dyDescent="0.2">
      <c r="A371" s="104">
        <v>928</v>
      </c>
      <c r="B371" s="105" t="s">
        <v>29</v>
      </c>
      <c r="C371" s="105" t="s">
        <v>104</v>
      </c>
      <c r="D371" s="106">
        <v>358.91500000000002</v>
      </c>
      <c r="E371" s="107">
        <v>2697</v>
      </c>
      <c r="F371" s="106">
        <f t="shared" si="29"/>
        <v>358.77919959999997</v>
      </c>
      <c r="G371" s="108" t="s">
        <v>1028</v>
      </c>
      <c r="H371" s="108"/>
      <c r="I371" s="107">
        <v>5</v>
      </c>
      <c r="J371" s="107">
        <v>755</v>
      </c>
      <c r="K371" s="108" t="s">
        <v>429</v>
      </c>
      <c r="L371" s="107">
        <v>13167</v>
      </c>
      <c r="M371" s="111">
        <f t="shared" si="27"/>
        <v>114.74754899343166</v>
      </c>
      <c r="N371" s="111">
        <v>364.26</v>
      </c>
      <c r="O371" s="113">
        <f t="shared" si="28"/>
        <v>36.147257453467304</v>
      </c>
      <c r="P371" s="78"/>
      <c r="Q371" s="63"/>
      <c r="R371" s="63"/>
      <c r="S371" s="63"/>
      <c r="T371" s="63"/>
      <c r="U371" s="63"/>
      <c r="V371" s="63"/>
      <c r="W371" s="63"/>
      <c r="X371" s="63"/>
      <c r="Y371" s="63"/>
      <c r="Z371" s="63"/>
    </row>
    <row r="372" spans="1:26" ht="17.25" customHeight="1" x14ac:dyDescent="0.2">
      <c r="A372" s="104">
        <v>929</v>
      </c>
      <c r="B372" s="105" t="s">
        <v>29</v>
      </c>
      <c r="C372" s="105" t="s">
        <v>104</v>
      </c>
      <c r="D372" s="106">
        <v>360.923</v>
      </c>
      <c r="E372" s="107">
        <v>2697</v>
      </c>
      <c r="F372" s="106">
        <f t="shared" si="29"/>
        <v>360.77374599999996</v>
      </c>
      <c r="G372" s="108" t="s">
        <v>1029</v>
      </c>
      <c r="H372" s="108"/>
      <c r="I372" s="107">
        <v>5</v>
      </c>
      <c r="J372" s="107">
        <v>1385</v>
      </c>
      <c r="K372" s="108" t="s">
        <v>429</v>
      </c>
      <c r="L372" s="107">
        <v>21516</v>
      </c>
      <c r="M372" s="111">
        <f t="shared" si="27"/>
        <v>146.68333238647122</v>
      </c>
      <c r="N372" s="111">
        <v>750.02</v>
      </c>
      <c r="O372" s="113">
        <f t="shared" si="28"/>
        <v>28.68723500706648</v>
      </c>
      <c r="P372" s="78"/>
      <c r="Q372" s="63"/>
      <c r="R372" s="63"/>
      <c r="S372" s="63"/>
      <c r="T372" s="63"/>
      <c r="U372" s="63"/>
      <c r="V372" s="63"/>
      <c r="W372" s="63"/>
      <c r="X372" s="63"/>
      <c r="Y372" s="63"/>
      <c r="Z372" s="63"/>
    </row>
    <row r="373" spans="1:26" ht="17.25" customHeight="1" x14ac:dyDescent="0.2">
      <c r="A373" s="104">
        <v>930</v>
      </c>
      <c r="B373" s="105" t="s">
        <v>29</v>
      </c>
      <c r="C373" s="105" t="s">
        <v>104</v>
      </c>
      <c r="D373" s="106">
        <v>362.91699999999997</v>
      </c>
      <c r="E373" s="107">
        <v>2697</v>
      </c>
      <c r="F373" s="106">
        <f t="shared" si="29"/>
        <v>362.75438619999994</v>
      </c>
      <c r="G373" s="108" t="s">
        <v>1030</v>
      </c>
      <c r="H373" s="108"/>
      <c r="I373" s="107">
        <v>5</v>
      </c>
      <c r="J373" s="107">
        <v>1385</v>
      </c>
      <c r="K373" s="108" t="s">
        <v>429</v>
      </c>
      <c r="L373" s="107">
        <v>11459</v>
      </c>
      <c r="M373" s="111">
        <f t="shared" si="27"/>
        <v>107.04671877269288</v>
      </c>
      <c r="N373" s="111">
        <v>706.54</v>
      </c>
      <c r="O373" s="113">
        <f t="shared" si="28"/>
        <v>16.218473122540832</v>
      </c>
      <c r="P373" s="78"/>
      <c r="Q373" s="63"/>
      <c r="R373" s="63"/>
      <c r="S373" s="63"/>
      <c r="T373" s="63"/>
      <c r="U373" s="63"/>
      <c r="V373" s="63"/>
      <c r="W373" s="63"/>
      <c r="X373" s="63"/>
      <c r="Y373" s="63"/>
      <c r="Z373" s="63"/>
    </row>
    <row r="374" spans="1:26" ht="17.25" customHeight="1" x14ac:dyDescent="0.2">
      <c r="A374" s="104">
        <v>931</v>
      </c>
      <c r="B374" s="105" t="s">
        <v>29</v>
      </c>
      <c r="C374" s="105" t="s">
        <v>104</v>
      </c>
      <c r="D374" s="106">
        <v>364.93099999999998</v>
      </c>
      <c r="E374" s="107">
        <v>2697</v>
      </c>
      <c r="F374" s="106">
        <f t="shared" si="29"/>
        <v>364.75489239999996</v>
      </c>
      <c r="G374" s="108" t="s">
        <v>1031</v>
      </c>
      <c r="H374" s="108"/>
      <c r="I374" s="107">
        <v>5</v>
      </c>
      <c r="J374" s="107">
        <v>1133</v>
      </c>
      <c r="K374" s="108" t="s">
        <v>429</v>
      </c>
      <c r="L374" s="107">
        <v>5184</v>
      </c>
      <c r="M374" s="111">
        <f t="shared" si="27"/>
        <v>72</v>
      </c>
      <c r="N374" s="111">
        <v>581.94000000000005</v>
      </c>
      <c r="O374" s="113">
        <f t="shared" si="28"/>
        <v>8.908134859263841</v>
      </c>
      <c r="P374" s="78"/>
      <c r="Q374" s="63"/>
      <c r="R374" s="63"/>
      <c r="S374" s="63"/>
      <c r="T374" s="63"/>
      <c r="U374" s="63"/>
      <c r="V374" s="63"/>
      <c r="W374" s="63"/>
      <c r="X374" s="63"/>
      <c r="Y374" s="63"/>
      <c r="Z374" s="63"/>
    </row>
    <row r="375" spans="1:26" ht="17.25" customHeight="1" x14ac:dyDescent="0.2">
      <c r="A375" s="104">
        <v>932</v>
      </c>
      <c r="B375" s="105" t="s">
        <v>29</v>
      </c>
      <c r="C375" s="105" t="s">
        <v>104</v>
      </c>
      <c r="D375" s="106">
        <v>366.93900000000002</v>
      </c>
      <c r="E375" s="107">
        <v>2697</v>
      </c>
      <c r="F375" s="106">
        <f t="shared" si="29"/>
        <v>366.74943880000001</v>
      </c>
      <c r="G375" s="108" t="s">
        <v>1032</v>
      </c>
      <c r="H375" s="108"/>
      <c r="I375" s="107">
        <v>9</v>
      </c>
      <c r="J375" s="107">
        <v>1259</v>
      </c>
      <c r="K375" s="108" t="s">
        <v>429</v>
      </c>
      <c r="L375" s="107">
        <v>5226</v>
      </c>
      <c r="M375" s="111">
        <f t="shared" si="27"/>
        <v>72.291078287711272</v>
      </c>
      <c r="N375" s="111">
        <v>1094.18</v>
      </c>
      <c r="O375" s="113">
        <f t="shared" si="28"/>
        <v>4.7761794220329374</v>
      </c>
      <c r="P375" s="78"/>
      <c r="Q375" s="63"/>
      <c r="R375" s="63"/>
      <c r="S375" s="63"/>
      <c r="T375" s="63"/>
      <c r="U375" s="63"/>
      <c r="V375" s="63"/>
      <c r="W375" s="63"/>
      <c r="X375" s="63"/>
      <c r="Y375" s="63"/>
      <c r="Z375" s="63"/>
    </row>
    <row r="376" spans="1:26" ht="17.25" customHeight="1" x14ac:dyDescent="0.2">
      <c r="A376" s="104">
        <v>933</v>
      </c>
      <c r="B376" s="105" t="s">
        <v>29</v>
      </c>
      <c r="C376" s="105" t="s">
        <v>104</v>
      </c>
      <c r="D376" s="106">
        <v>368.93900000000002</v>
      </c>
      <c r="E376" s="107">
        <v>2697</v>
      </c>
      <c r="F376" s="106">
        <f t="shared" si="29"/>
        <v>368.73603879999996</v>
      </c>
      <c r="G376" s="108" t="s">
        <v>1033</v>
      </c>
      <c r="H376" s="108"/>
      <c r="I376" s="107">
        <v>12</v>
      </c>
      <c r="J376" s="107">
        <v>881</v>
      </c>
      <c r="K376" s="108" t="s">
        <v>429</v>
      </c>
      <c r="L376" s="107">
        <v>3212</v>
      </c>
      <c r="M376" s="111">
        <f t="shared" si="27"/>
        <v>56.674509261219015</v>
      </c>
      <c r="N376" s="111">
        <v>988.23</v>
      </c>
      <c r="O376" s="113">
        <f t="shared" si="28"/>
        <v>3.2502555073211701</v>
      </c>
      <c r="P376" s="78"/>
      <c r="Q376" s="63"/>
      <c r="R376" s="63"/>
      <c r="S376" s="63"/>
      <c r="T376" s="63"/>
      <c r="U376" s="63"/>
      <c r="V376" s="63"/>
      <c r="W376" s="63"/>
      <c r="X376" s="63"/>
      <c r="Y376" s="63"/>
      <c r="Z376" s="63"/>
    </row>
    <row r="377" spans="1:26" ht="17.25" customHeight="1" x14ac:dyDescent="0.2">
      <c r="A377" s="104">
        <v>934</v>
      </c>
      <c r="B377" s="105" t="s">
        <v>29</v>
      </c>
      <c r="C377" s="105" t="s">
        <v>104</v>
      </c>
      <c r="D377" s="106">
        <v>370.93299999999999</v>
      </c>
      <c r="E377" s="107">
        <v>2697</v>
      </c>
      <c r="F377" s="106">
        <f t="shared" si="29"/>
        <v>370.71667899999994</v>
      </c>
      <c r="G377" s="108" t="s">
        <v>1034</v>
      </c>
      <c r="H377" s="108"/>
      <c r="I377" s="107">
        <v>20</v>
      </c>
      <c r="J377" s="107">
        <v>755</v>
      </c>
      <c r="K377" s="108" t="s">
        <v>429</v>
      </c>
      <c r="L377" s="107">
        <v>3202</v>
      </c>
      <c r="M377" s="111">
        <f t="shared" si="27"/>
        <v>56.586217403180434</v>
      </c>
      <c r="N377" s="111">
        <v>1390.9</v>
      </c>
      <c r="O377" s="113">
        <f t="shared" si="28"/>
        <v>2.3021065497160111</v>
      </c>
      <c r="P377" s="78"/>
      <c r="Q377" s="63"/>
      <c r="R377" s="63"/>
      <c r="S377" s="63"/>
      <c r="T377" s="63"/>
      <c r="U377" s="63"/>
      <c r="V377" s="63"/>
      <c r="W377" s="63"/>
      <c r="X377" s="63"/>
      <c r="Y377" s="63"/>
      <c r="Z377" s="63"/>
    </row>
    <row r="378" spans="1:26" ht="17.25" customHeight="1" x14ac:dyDescent="0.2">
      <c r="A378" s="104">
        <v>935</v>
      </c>
      <c r="B378" s="105" t="s">
        <v>157</v>
      </c>
      <c r="C378" s="105" t="s">
        <v>104</v>
      </c>
      <c r="D378" s="106">
        <v>219.73500000000001</v>
      </c>
      <c r="E378" s="107">
        <v>2695</v>
      </c>
      <c r="F378" s="106">
        <f t="shared" si="29"/>
        <v>220.529719</v>
      </c>
      <c r="G378" s="108" t="s">
        <v>1035</v>
      </c>
      <c r="H378" s="108" t="s">
        <v>1036</v>
      </c>
      <c r="I378" s="107">
        <v>250</v>
      </c>
      <c r="J378" s="107">
        <v>72728</v>
      </c>
      <c r="K378" s="108" t="s">
        <v>429</v>
      </c>
      <c r="L378" s="107">
        <v>279139</v>
      </c>
      <c r="M378" s="111">
        <f t="shared" si="27"/>
        <v>528.3360672905078</v>
      </c>
      <c r="N378" s="111">
        <v>1868562.41</v>
      </c>
      <c r="O378" s="113">
        <f t="shared" si="28"/>
        <v>0.14938703599415767</v>
      </c>
      <c r="P378" s="78"/>
      <c r="Q378" s="63"/>
      <c r="R378" s="63"/>
      <c r="S378" s="63"/>
      <c r="T378" s="63"/>
      <c r="U378" s="63"/>
      <c r="V378" s="63"/>
      <c r="W378" s="63"/>
      <c r="X378" s="63"/>
      <c r="Y378" s="63"/>
      <c r="Z378" s="63"/>
    </row>
    <row r="379" spans="1:26" ht="17.25" customHeight="1" x14ac:dyDescent="0.2">
      <c r="A379" s="104">
        <v>936</v>
      </c>
      <c r="B379" s="105" t="s">
        <v>30</v>
      </c>
      <c r="C379" s="105" t="s">
        <v>104</v>
      </c>
      <c r="D379" s="106">
        <v>329.34699999999998</v>
      </c>
      <c r="E379" s="107">
        <v>2695</v>
      </c>
      <c r="F379" s="106">
        <f t="shared" si="29"/>
        <v>329.40731859999994</v>
      </c>
      <c r="G379" s="108" t="s">
        <v>1036</v>
      </c>
      <c r="H379" s="108"/>
      <c r="I379" s="107">
        <v>55</v>
      </c>
      <c r="J379" s="107">
        <v>630</v>
      </c>
      <c r="K379" s="108" t="s">
        <v>429</v>
      </c>
      <c r="L379" s="107">
        <v>1483</v>
      </c>
      <c r="M379" s="111">
        <f t="shared" si="27"/>
        <v>38.509739027939411</v>
      </c>
      <c r="N379" s="111">
        <v>3575.71</v>
      </c>
      <c r="O379" s="113">
        <f t="shared" si="28"/>
        <v>0.41474280632377902</v>
      </c>
      <c r="P379" s="78"/>
      <c r="Q379" s="63"/>
      <c r="R379" s="63"/>
      <c r="S379" s="63"/>
      <c r="T379" s="63"/>
      <c r="U379" s="63"/>
      <c r="V379" s="63"/>
      <c r="W379" s="63"/>
      <c r="X379" s="63"/>
      <c r="Y379" s="63"/>
      <c r="Z379" s="63"/>
    </row>
    <row r="380" spans="1:26" ht="17.25" customHeight="1" x14ac:dyDescent="0.2">
      <c r="A380" s="104">
        <v>937</v>
      </c>
      <c r="B380" s="105" t="s">
        <v>30</v>
      </c>
      <c r="C380" s="105" t="s">
        <v>104</v>
      </c>
      <c r="D380" s="106">
        <v>331.375</v>
      </c>
      <c r="E380" s="107">
        <v>2695</v>
      </c>
      <c r="F380" s="106">
        <f t="shared" si="29"/>
        <v>331.42173099999997</v>
      </c>
      <c r="G380" s="108" t="s">
        <v>1037</v>
      </c>
      <c r="H380" s="108"/>
      <c r="I380" s="107">
        <v>54</v>
      </c>
      <c r="J380" s="107">
        <v>378</v>
      </c>
      <c r="K380" s="108" t="s">
        <v>429</v>
      </c>
      <c r="L380" s="107">
        <v>1391</v>
      </c>
      <c r="M380" s="111">
        <f t="shared" si="27"/>
        <v>37.296112397943034</v>
      </c>
      <c r="N380" s="111">
        <v>2340.62</v>
      </c>
      <c r="O380" s="113">
        <f t="shared" si="28"/>
        <v>0.59428698379061962</v>
      </c>
      <c r="P380" s="78"/>
      <c r="Q380" s="63"/>
      <c r="R380" s="63"/>
      <c r="S380" s="63"/>
      <c r="T380" s="63"/>
      <c r="U380" s="63"/>
      <c r="V380" s="63"/>
      <c r="W380" s="63"/>
      <c r="X380" s="63"/>
      <c r="Y380" s="63"/>
      <c r="Z380" s="63"/>
    </row>
    <row r="381" spans="1:26" ht="17.25" customHeight="1" x14ac:dyDescent="0.2">
      <c r="A381" s="104">
        <v>938</v>
      </c>
      <c r="B381" s="105" t="s">
        <v>30</v>
      </c>
      <c r="C381" s="105" t="s">
        <v>104</v>
      </c>
      <c r="D381" s="106">
        <v>333.375</v>
      </c>
      <c r="E381" s="107">
        <v>2695</v>
      </c>
      <c r="F381" s="106">
        <f t="shared" si="29"/>
        <v>333.40833099999998</v>
      </c>
      <c r="G381" s="108" t="s">
        <v>1038</v>
      </c>
      <c r="H381" s="108"/>
      <c r="I381" s="107">
        <v>53</v>
      </c>
      <c r="J381" s="107">
        <v>378</v>
      </c>
      <c r="K381" s="108" t="s">
        <v>429</v>
      </c>
      <c r="L381" s="107">
        <v>1737</v>
      </c>
      <c r="M381" s="111">
        <f t="shared" si="27"/>
        <v>41.677331968349414</v>
      </c>
      <c r="N381" s="111">
        <v>1965.84</v>
      </c>
      <c r="O381" s="113">
        <f t="shared" si="28"/>
        <v>0.88359174703943355</v>
      </c>
      <c r="P381" s="78"/>
      <c r="Q381" s="63"/>
      <c r="R381" s="63"/>
      <c r="S381" s="63"/>
      <c r="T381" s="63"/>
      <c r="U381" s="63"/>
      <c r="V381" s="63"/>
      <c r="W381" s="63"/>
      <c r="X381" s="63"/>
      <c r="Y381" s="63"/>
      <c r="Z381" s="63"/>
    </row>
    <row r="382" spans="1:26" ht="17.25" customHeight="1" x14ac:dyDescent="0.2">
      <c r="A382" s="104">
        <v>939</v>
      </c>
      <c r="B382" s="105" t="s">
        <v>30</v>
      </c>
      <c r="C382" s="105" t="s">
        <v>104</v>
      </c>
      <c r="D382" s="106">
        <v>335.37</v>
      </c>
      <c r="E382" s="107">
        <v>2695</v>
      </c>
      <c r="F382" s="106">
        <f t="shared" si="29"/>
        <v>335.38996449999996</v>
      </c>
      <c r="G382" s="108" t="s">
        <v>1039</v>
      </c>
      <c r="H382" s="108"/>
      <c r="I382" s="107">
        <v>51</v>
      </c>
      <c r="J382" s="107">
        <v>252</v>
      </c>
      <c r="K382" s="108" t="s">
        <v>429</v>
      </c>
      <c r="L382" s="107">
        <v>1653</v>
      </c>
      <c r="M382" s="111">
        <f t="shared" si="27"/>
        <v>40.657102700512247</v>
      </c>
      <c r="N382" s="111">
        <v>1307.0999999999999</v>
      </c>
      <c r="O382" s="113">
        <f t="shared" si="28"/>
        <v>1.2646316272664679</v>
      </c>
      <c r="P382" s="78"/>
      <c r="Q382" s="63" t="s">
        <v>1040</v>
      </c>
      <c r="R382" s="63"/>
      <c r="S382" s="63"/>
      <c r="T382" s="63"/>
      <c r="U382" s="63"/>
      <c r="V382" s="63"/>
      <c r="W382" s="63"/>
      <c r="X382" s="63"/>
      <c r="Y382" s="63"/>
      <c r="Z382" s="63"/>
    </row>
    <row r="383" spans="1:26" ht="17.25" customHeight="1" x14ac:dyDescent="0.2">
      <c r="A383" s="104">
        <v>940</v>
      </c>
      <c r="B383" s="105" t="s">
        <v>30</v>
      </c>
      <c r="C383" s="105" t="s">
        <v>104</v>
      </c>
      <c r="D383" s="106">
        <v>337.38400000000001</v>
      </c>
      <c r="E383" s="107">
        <v>2695</v>
      </c>
      <c r="F383" s="106">
        <f t="shared" si="29"/>
        <v>337.39047069999998</v>
      </c>
      <c r="G383" s="108" t="s">
        <v>1039</v>
      </c>
      <c r="H383" s="108"/>
      <c r="I383" s="107">
        <v>50</v>
      </c>
      <c r="J383" s="107">
        <v>126</v>
      </c>
      <c r="K383" s="108" t="s">
        <v>429</v>
      </c>
      <c r="L383" s="107">
        <v>2102</v>
      </c>
      <c r="M383" s="111">
        <f t="shared" si="27"/>
        <v>45.847573545390603</v>
      </c>
      <c r="N383" s="111">
        <v>962.59</v>
      </c>
      <c r="O383" s="113">
        <f t="shared" si="28"/>
        <v>2.1836919145222784</v>
      </c>
      <c r="P383" s="78"/>
      <c r="Q383" s="63"/>
      <c r="R383" s="63"/>
      <c r="S383" s="63"/>
      <c r="T383" s="63"/>
      <c r="U383" s="63"/>
      <c r="V383" s="63"/>
      <c r="W383" s="63"/>
      <c r="X383" s="63"/>
      <c r="Y383" s="63"/>
      <c r="Z383" s="63"/>
    </row>
    <row r="384" spans="1:26" ht="17.25" customHeight="1" x14ac:dyDescent="0.2">
      <c r="A384" s="104">
        <v>941</v>
      </c>
      <c r="B384" s="105" t="s">
        <v>30</v>
      </c>
      <c r="C384" s="105" t="s">
        <v>104</v>
      </c>
      <c r="D384" s="106">
        <v>339.39100000000002</v>
      </c>
      <c r="E384" s="107">
        <v>2695</v>
      </c>
      <c r="F384" s="106">
        <f t="shared" si="29"/>
        <v>339.38402379999997</v>
      </c>
      <c r="G384" s="108" t="s">
        <v>1041</v>
      </c>
      <c r="H384" s="108"/>
      <c r="I384" s="107">
        <v>49</v>
      </c>
      <c r="J384" s="107">
        <v>126</v>
      </c>
      <c r="K384" s="108" t="s">
        <v>429</v>
      </c>
      <c r="L384" s="107">
        <v>3419</v>
      </c>
      <c r="M384" s="111">
        <f t="shared" si="27"/>
        <v>58.472215624174872</v>
      </c>
      <c r="N384" s="111">
        <v>705.46</v>
      </c>
      <c r="O384" s="113">
        <f t="shared" si="28"/>
        <v>4.8464831457488726</v>
      </c>
      <c r="P384" s="78"/>
      <c r="Q384" s="63"/>
      <c r="R384" s="63"/>
      <c r="S384" s="63"/>
      <c r="T384" s="63"/>
      <c r="U384" s="63"/>
      <c r="V384" s="63"/>
      <c r="W384" s="63"/>
      <c r="X384" s="63"/>
      <c r="Y384" s="63"/>
      <c r="Z384" s="63"/>
    </row>
    <row r="385" spans="1:26" ht="17.25" customHeight="1" x14ac:dyDescent="0.2">
      <c r="A385" s="104">
        <v>942</v>
      </c>
      <c r="B385" s="105" t="s">
        <v>30</v>
      </c>
      <c r="C385" s="105" t="s">
        <v>104</v>
      </c>
      <c r="D385" s="106">
        <v>341.392</v>
      </c>
      <c r="E385" s="107">
        <v>2695</v>
      </c>
      <c r="F385" s="106">
        <f t="shared" si="29"/>
        <v>341.37161709999992</v>
      </c>
      <c r="G385" s="108"/>
      <c r="H385" s="108"/>
      <c r="I385" s="107">
        <v>40</v>
      </c>
      <c r="J385" s="107">
        <v>252</v>
      </c>
      <c r="K385" s="108" t="s">
        <v>429</v>
      </c>
      <c r="L385" s="107">
        <v>17558</v>
      </c>
      <c r="M385" s="111">
        <f t="shared" si="27"/>
        <v>132.50660360902774</v>
      </c>
      <c r="N385" s="111">
        <v>1151.3</v>
      </c>
      <c r="O385" s="113">
        <f t="shared" si="28"/>
        <v>15.250586293754886</v>
      </c>
      <c r="P385" s="78"/>
      <c r="Q385" s="63"/>
      <c r="R385" s="63"/>
      <c r="S385" s="63"/>
      <c r="T385" s="63"/>
      <c r="U385" s="63"/>
      <c r="V385" s="63"/>
      <c r="W385" s="63"/>
      <c r="X385" s="63"/>
      <c r="Y385" s="63"/>
      <c r="Z385" s="63"/>
    </row>
    <row r="386" spans="1:26" ht="17.25" customHeight="1" x14ac:dyDescent="0.2">
      <c r="A386" s="104">
        <v>943</v>
      </c>
      <c r="B386" s="105" t="s">
        <v>30</v>
      </c>
      <c r="C386" s="105" t="s">
        <v>104</v>
      </c>
      <c r="D386" s="106">
        <v>343.39299999999997</v>
      </c>
      <c r="E386" s="107">
        <v>2695</v>
      </c>
      <c r="F386" s="106">
        <f t="shared" si="29"/>
        <v>343.35921039999994</v>
      </c>
      <c r="G386" s="108"/>
      <c r="H386" s="108"/>
      <c r="I386" s="107">
        <v>31</v>
      </c>
      <c r="J386" s="107">
        <v>126</v>
      </c>
      <c r="K386" s="108" t="s">
        <v>429</v>
      </c>
      <c r="L386" s="107">
        <v>9861</v>
      </c>
      <c r="M386" s="111">
        <f t="shared" si="27"/>
        <v>99.302567942626737</v>
      </c>
      <c r="N386" s="111">
        <v>375.57</v>
      </c>
      <c r="O386" s="113">
        <f t="shared" si="28"/>
        <v>26.25609074207205</v>
      </c>
      <c r="P386" s="78"/>
      <c r="Q386" s="63"/>
      <c r="R386" s="63"/>
      <c r="S386" s="63"/>
      <c r="T386" s="63"/>
      <c r="U386" s="63"/>
      <c r="V386" s="63"/>
      <c r="W386" s="63"/>
      <c r="X386" s="63"/>
      <c r="Y386" s="63"/>
      <c r="Z386" s="63"/>
    </row>
    <row r="387" spans="1:26" ht="17.25" customHeight="1" x14ac:dyDescent="0.2">
      <c r="A387" s="104">
        <v>944</v>
      </c>
      <c r="B387" s="105" t="s">
        <v>30</v>
      </c>
      <c r="C387" s="105" t="s">
        <v>104</v>
      </c>
      <c r="D387" s="106">
        <v>345.387</v>
      </c>
      <c r="E387" s="107">
        <v>2695</v>
      </c>
      <c r="F387" s="106">
        <f t="shared" si="29"/>
        <v>345.33985059999998</v>
      </c>
      <c r="G387" s="108"/>
      <c r="H387" s="108"/>
      <c r="I387" s="107">
        <v>20</v>
      </c>
      <c r="J387" s="107">
        <v>126</v>
      </c>
      <c r="K387" s="108" t="s">
        <v>429</v>
      </c>
      <c r="L387" s="107">
        <v>10107</v>
      </c>
      <c r="M387" s="111">
        <f t="shared" si="27"/>
        <v>100.53357648069624</v>
      </c>
      <c r="N387" s="111">
        <v>274.02</v>
      </c>
      <c r="O387" s="113">
        <f t="shared" si="28"/>
        <v>36.884169038756298</v>
      </c>
      <c r="P387" s="78"/>
      <c r="Q387" s="63" t="s">
        <v>1040</v>
      </c>
      <c r="R387" s="63"/>
      <c r="S387" s="63"/>
      <c r="T387" s="63"/>
      <c r="U387" s="63"/>
      <c r="V387" s="63"/>
      <c r="W387" s="63"/>
      <c r="X387" s="63"/>
      <c r="Y387" s="63"/>
      <c r="Z387" s="63"/>
    </row>
    <row r="388" spans="1:26" ht="17.25" customHeight="1" x14ac:dyDescent="0.2">
      <c r="A388" s="104">
        <v>945</v>
      </c>
      <c r="B388" s="105" t="s">
        <v>30</v>
      </c>
      <c r="C388" s="105" t="s">
        <v>104</v>
      </c>
      <c r="D388" s="106">
        <v>347.39400000000001</v>
      </c>
      <c r="E388" s="107">
        <v>2695</v>
      </c>
      <c r="F388" s="106">
        <f t="shared" si="29"/>
        <v>347.33340369999996</v>
      </c>
      <c r="G388" s="108"/>
      <c r="H388" s="108"/>
      <c r="I388" s="107">
        <v>12</v>
      </c>
      <c r="J388" s="107">
        <v>126</v>
      </c>
      <c r="K388" s="108" t="s">
        <v>429</v>
      </c>
      <c r="L388" s="107">
        <v>7119</v>
      </c>
      <c r="M388" s="111">
        <f t="shared" si="27"/>
        <v>84.374166662551403</v>
      </c>
      <c r="N388" s="111">
        <v>164.35</v>
      </c>
      <c r="O388" s="113">
        <f t="shared" si="28"/>
        <v>43.316093702464258</v>
      </c>
      <c r="P388" s="78"/>
      <c r="Q388" s="63"/>
      <c r="R388" s="63"/>
      <c r="S388" s="63"/>
      <c r="T388" s="63"/>
      <c r="U388" s="63"/>
      <c r="V388" s="63"/>
      <c r="W388" s="63"/>
      <c r="X388" s="63"/>
      <c r="Y388" s="63"/>
      <c r="Z388" s="63"/>
    </row>
    <row r="389" spans="1:26" ht="17.25" customHeight="1" x14ac:dyDescent="0.2">
      <c r="A389" s="104">
        <v>946</v>
      </c>
      <c r="B389" s="105" t="s">
        <v>30</v>
      </c>
      <c r="C389" s="105" t="s">
        <v>104</v>
      </c>
      <c r="D389" s="106">
        <v>349.40800000000002</v>
      </c>
      <c r="E389" s="107">
        <v>2695</v>
      </c>
      <c r="F389" s="106">
        <f t="shared" si="29"/>
        <v>349.33390989999998</v>
      </c>
      <c r="G389" s="108"/>
      <c r="H389" s="108"/>
      <c r="I389" s="107">
        <v>11</v>
      </c>
      <c r="J389" s="107">
        <v>252</v>
      </c>
      <c r="K389" s="108" t="s">
        <v>429</v>
      </c>
      <c r="L389" s="107">
        <v>11779</v>
      </c>
      <c r="M389" s="111">
        <f t="shared" si="27"/>
        <v>108.531101533155</v>
      </c>
      <c r="N389" s="111">
        <v>262.75</v>
      </c>
      <c r="O389" s="113">
        <f t="shared" si="28"/>
        <v>44.829686013320647</v>
      </c>
      <c r="P389" s="78"/>
      <c r="Q389" s="63"/>
      <c r="R389" s="63"/>
      <c r="S389" s="63"/>
      <c r="T389" s="63"/>
      <c r="U389" s="63"/>
      <c r="V389" s="63"/>
      <c r="W389" s="63"/>
      <c r="X389" s="63"/>
      <c r="Y389" s="63"/>
      <c r="Z389" s="63"/>
    </row>
    <row r="390" spans="1:26" ht="17.25" customHeight="1" x14ac:dyDescent="0.2">
      <c r="A390" s="104">
        <v>947</v>
      </c>
      <c r="B390" s="105" t="s">
        <v>30</v>
      </c>
      <c r="C390" s="105" t="s">
        <v>104</v>
      </c>
      <c r="D390" s="106">
        <v>351.40899999999999</v>
      </c>
      <c r="E390" s="107">
        <v>2695</v>
      </c>
      <c r="F390" s="106">
        <f t="shared" si="29"/>
        <v>351.32150319999994</v>
      </c>
      <c r="G390" s="108"/>
      <c r="H390" s="108"/>
      <c r="I390" s="107">
        <v>11</v>
      </c>
      <c r="J390" s="107">
        <v>252</v>
      </c>
      <c r="K390" s="108" t="s">
        <v>429</v>
      </c>
      <c r="L390" s="107">
        <v>10714</v>
      </c>
      <c r="M390" s="111">
        <f t="shared" si="27"/>
        <v>103.50845376103345</v>
      </c>
      <c r="N390" s="111">
        <v>241.8</v>
      </c>
      <c r="O390" s="113">
        <f t="shared" si="28"/>
        <v>44.309346567411083</v>
      </c>
      <c r="P390" s="78"/>
      <c r="Q390" s="63"/>
      <c r="R390" s="63"/>
      <c r="S390" s="63"/>
      <c r="T390" s="63"/>
      <c r="U390" s="63"/>
      <c r="V390" s="63"/>
      <c r="W390" s="63"/>
      <c r="X390" s="63"/>
      <c r="Y390" s="63"/>
      <c r="Z390" s="63"/>
    </row>
    <row r="391" spans="1:26" ht="17.25" customHeight="1" x14ac:dyDescent="0.2">
      <c r="A391" s="104">
        <v>948</v>
      </c>
      <c r="B391" s="105" t="s">
        <v>30</v>
      </c>
      <c r="C391" s="105" t="s">
        <v>104</v>
      </c>
      <c r="D391" s="106">
        <v>353.41</v>
      </c>
      <c r="E391" s="107">
        <v>2695</v>
      </c>
      <c r="F391" s="106">
        <f t="shared" si="29"/>
        <v>353.30909649999995</v>
      </c>
      <c r="G391" s="108"/>
      <c r="H391" s="108"/>
      <c r="I391" s="107">
        <v>11</v>
      </c>
      <c r="J391" s="107">
        <v>252</v>
      </c>
      <c r="K391" s="108" t="s">
        <v>429</v>
      </c>
      <c r="L391" s="107">
        <v>10850</v>
      </c>
      <c r="M391" s="111">
        <f t="shared" si="27"/>
        <v>104.1633332799983</v>
      </c>
      <c r="N391" s="111">
        <v>271.56</v>
      </c>
      <c r="O391" s="113">
        <f t="shared" si="28"/>
        <v>39.954337899543376</v>
      </c>
      <c r="P391" s="78"/>
      <c r="Q391" s="63"/>
      <c r="R391" s="63"/>
      <c r="S391" s="63"/>
      <c r="T391" s="63"/>
      <c r="U391" s="63"/>
      <c r="V391" s="63"/>
      <c r="W391" s="63"/>
      <c r="X391" s="63"/>
      <c r="Y391" s="63"/>
      <c r="Z391" s="63"/>
    </row>
    <row r="392" spans="1:26" ht="17.25" customHeight="1" x14ac:dyDescent="0.2">
      <c r="A392" s="104">
        <v>949</v>
      </c>
      <c r="B392" s="105" t="s">
        <v>30</v>
      </c>
      <c r="C392" s="105" t="s">
        <v>104</v>
      </c>
      <c r="D392" s="106">
        <v>355.42399999999998</v>
      </c>
      <c r="E392" s="107">
        <v>2695</v>
      </c>
      <c r="F392" s="106">
        <f t="shared" si="29"/>
        <v>355.30960269999991</v>
      </c>
      <c r="G392" s="108"/>
      <c r="H392" s="108"/>
      <c r="I392" s="107">
        <v>11</v>
      </c>
      <c r="J392" s="107">
        <v>252</v>
      </c>
      <c r="K392" s="108" t="s">
        <v>429</v>
      </c>
      <c r="L392" s="107">
        <v>11186</v>
      </c>
      <c r="M392" s="111">
        <f t="shared" si="27"/>
        <v>105.76388797694608</v>
      </c>
      <c r="N392" s="111">
        <v>327.8</v>
      </c>
      <c r="O392" s="113">
        <f t="shared" si="28"/>
        <v>34.124466137888959</v>
      </c>
      <c r="P392" s="78"/>
      <c r="Q392" s="63"/>
      <c r="R392" s="63"/>
      <c r="S392" s="63"/>
      <c r="T392" s="63"/>
      <c r="U392" s="63"/>
      <c r="V392" s="63"/>
      <c r="W392" s="63"/>
      <c r="X392" s="63"/>
      <c r="Y392" s="63"/>
      <c r="Z392" s="63"/>
    </row>
    <row r="393" spans="1:26" ht="17.25" customHeight="1" x14ac:dyDescent="0.2">
      <c r="A393" s="104">
        <v>950</v>
      </c>
      <c r="B393" s="105" t="s">
        <v>30</v>
      </c>
      <c r="C393" s="105" t="s">
        <v>104</v>
      </c>
      <c r="D393" s="106">
        <v>357.42500000000001</v>
      </c>
      <c r="E393" s="107">
        <v>2695</v>
      </c>
      <c r="F393" s="106">
        <f t="shared" si="29"/>
        <v>357.29719599999999</v>
      </c>
      <c r="G393" s="108"/>
      <c r="H393" s="108"/>
      <c r="I393" s="107">
        <v>10</v>
      </c>
      <c r="J393" s="107">
        <v>378</v>
      </c>
      <c r="K393" s="108" t="s">
        <v>429</v>
      </c>
      <c r="L393" s="107">
        <v>10748</v>
      </c>
      <c r="M393" s="111">
        <f t="shared" si="27"/>
        <v>103.67256146155549</v>
      </c>
      <c r="N393" s="111">
        <v>433.74</v>
      </c>
      <c r="O393" s="113">
        <f t="shared" si="28"/>
        <v>24.779822013187623</v>
      </c>
      <c r="P393" s="78"/>
      <c r="Q393" s="63"/>
      <c r="R393" s="63"/>
      <c r="S393" s="63"/>
      <c r="T393" s="63"/>
      <c r="U393" s="63"/>
      <c r="V393" s="63"/>
      <c r="W393" s="63"/>
      <c r="X393" s="63"/>
      <c r="Y393" s="63"/>
      <c r="Z393" s="63"/>
    </row>
    <row r="394" spans="1:26" ht="17.25" customHeight="1" x14ac:dyDescent="0.2">
      <c r="A394" s="104">
        <v>951</v>
      </c>
      <c r="B394" s="105" t="s">
        <v>30</v>
      </c>
      <c r="C394" s="105" t="s">
        <v>104</v>
      </c>
      <c r="D394" s="106">
        <v>359.392</v>
      </c>
      <c r="E394" s="107">
        <v>2695</v>
      </c>
      <c r="F394" s="106">
        <f t="shared" si="29"/>
        <v>359.25101709999996</v>
      </c>
      <c r="G394" s="108"/>
      <c r="H394" s="108"/>
      <c r="I394" s="107">
        <v>31</v>
      </c>
      <c r="J394" s="107">
        <v>252</v>
      </c>
      <c r="K394" s="108" t="s">
        <v>429</v>
      </c>
      <c r="L394" s="107">
        <v>12622</v>
      </c>
      <c r="M394" s="111">
        <f t="shared" si="27"/>
        <v>112.34767465328332</v>
      </c>
      <c r="N394" s="111">
        <v>915.98</v>
      </c>
      <c r="O394" s="113">
        <f t="shared" si="28"/>
        <v>13.779776851022948</v>
      </c>
      <c r="P394" s="78"/>
      <c r="Q394" s="63"/>
      <c r="R394" s="63"/>
      <c r="S394" s="63"/>
      <c r="T394" s="63"/>
      <c r="U394" s="63"/>
      <c r="V394" s="63"/>
      <c r="W394" s="63"/>
      <c r="X394" s="63"/>
      <c r="Y394" s="63"/>
      <c r="Z394" s="63"/>
    </row>
    <row r="395" spans="1:26" ht="17.25" customHeight="1" x14ac:dyDescent="0.2">
      <c r="A395" s="104">
        <v>952</v>
      </c>
      <c r="B395" s="105" t="s">
        <v>30</v>
      </c>
      <c r="C395" s="105" t="s">
        <v>104</v>
      </c>
      <c r="D395" s="106">
        <v>361.43299999999999</v>
      </c>
      <c r="E395" s="107">
        <v>2695</v>
      </c>
      <c r="F395" s="106">
        <f t="shared" si="29"/>
        <v>361.27834239999993</v>
      </c>
      <c r="G395" s="108"/>
      <c r="H395" s="108"/>
      <c r="I395" s="107">
        <v>32</v>
      </c>
      <c r="J395" s="107">
        <v>252</v>
      </c>
      <c r="K395" s="108" t="s">
        <v>429</v>
      </c>
      <c r="L395" s="107">
        <v>5536</v>
      </c>
      <c r="M395" s="111">
        <f t="shared" si="27"/>
        <v>74.4043009509531</v>
      </c>
      <c r="N395" s="111">
        <v>696.57</v>
      </c>
      <c r="O395" s="113">
        <f t="shared" si="28"/>
        <v>7.9475142483885319</v>
      </c>
      <c r="P395" s="78"/>
      <c r="Q395" s="63"/>
      <c r="R395" s="63"/>
      <c r="S395" s="63"/>
      <c r="T395" s="63"/>
      <c r="U395" s="63"/>
      <c r="V395" s="63"/>
      <c r="W395" s="63"/>
      <c r="X395" s="63"/>
      <c r="Y395" s="63"/>
      <c r="Z395" s="63"/>
    </row>
    <row r="396" spans="1:26" ht="17.25" customHeight="1" x14ac:dyDescent="0.2">
      <c r="A396" s="104">
        <v>953</v>
      </c>
      <c r="B396" s="105" t="s">
        <v>30</v>
      </c>
      <c r="C396" s="105" t="s">
        <v>104</v>
      </c>
      <c r="D396" s="106">
        <v>366.435</v>
      </c>
      <c r="E396" s="107">
        <v>2695</v>
      </c>
      <c r="F396" s="106">
        <f t="shared" si="29"/>
        <v>366.24682899999993</v>
      </c>
      <c r="G396" s="108"/>
      <c r="H396" s="108"/>
      <c r="I396" s="107">
        <v>50</v>
      </c>
      <c r="J396" s="107">
        <v>252</v>
      </c>
      <c r="K396" s="108" t="s">
        <v>429</v>
      </c>
      <c r="L396" s="107">
        <v>2394</v>
      </c>
      <c r="M396" s="111">
        <f t="shared" si="27"/>
        <v>48.928519290900269</v>
      </c>
      <c r="N396" s="111">
        <v>1144.2</v>
      </c>
      <c r="O396" s="113">
        <f t="shared" si="28"/>
        <v>2.0922915574200314</v>
      </c>
      <c r="P396" s="78"/>
      <c r="Q396" s="63"/>
      <c r="R396" s="63"/>
      <c r="S396" s="63"/>
      <c r="T396" s="63"/>
      <c r="U396" s="63"/>
      <c r="V396" s="63"/>
      <c r="W396" s="63"/>
      <c r="X396" s="63"/>
      <c r="Y396" s="63"/>
      <c r="Z396" s="63"/>
    </row>
    <row r="397" spans="1:26" ht="17.25" customHeight="1" x14ac:dyDescent="0.2">
      <c r="A397" s="104">
        <v>954</v>
      </c>
      <c r="B397" s="105" t="s">
        <v>30</v>
      </c>
      <c r="C397" s="105" t="s">
        <v>104</v>
      </c>
      <c r="D397" s="106">
        <v>371.43700000000001</v>
      </c>
      <c r="E397" s="107">
        <v>2695</v>
      </c>
      <c r="F397" s="106">
        <f t="shared" si="29"/>
        <v>371.21531559999994</v>
      </c>
      <c r="G397" s="108"/>
      <c r="H397" s="108"/>
      <c r="I397" s="107">
        <v>98</v>
      </c>
      <c r="J397" s="107">
        <v>252</v>
      </c>
      <c r="K397" s="108" t="s">
        <v>429</v>
      </c>
      <c r="L397" s="107">
        <v>2424</v>
      </c>
      <c r="M397" s="111">
        <f t="shared" si="27"/>
        <v>49.234134500364682</v>
      </c>
      <c r="N397" s="111">
        <v>2358.8200000000002</v>
      </c>
      <c r="O397" s="113">
        <f t="shared" si="28"/>
        <v>1.0276324602979454</v>
      </c>
      <c r="P397" s="78"/>
      <c r="Q397" s="63" t="s">
        <v>1042</v>
      </c>
      <c r="R397" s="63"/>
      <c r="S397" s="63"/>
      <c r="T397" s="63"/>
      <c r="U397" s="63"/>
      <c r="V397" s="63"/>
      <c r="W397" s="63"/>
      <c r="X397" s="63"/>
      <c r="Y397" s="63"/>
      <c r="Z397" s="63"/>
    </row>
    <row r="398" spans="1:26" ht="17.25" customHeight="1" x14ac:dyDescent="0.2">
      <c r="A398" s="104">
        <v>955</v>
      </c>
      <c r="B398" s="105" t="s">
        <v>29</v>
      </c>
      <c r="C398" s="105" t="s">
        <v>94</v>
      </c>
      <c r="D398" s="106">
        <v>329.34699999999998</v>
      </c>
      <c r="E398" s="107">
        <v>2695</v>
      </c>
      <c r="F398" s="106">
        <f t="shared" si="29"/>
        <v>329.40731859999994</v>
      </c>
      <c r="G398" s="108" t="s">
        <v>1043</v>
      </c>
      <c r="H398" s="108"/>
      <c r="I398" s="107">
        <v>36</v>
      </c>
      <c r="J398" s="107">
        <v>1733</v>
      </c>
      <c r="K398" s="108" t="s">
        <v>429</v>
      </c>
      <c r="L398" s="107">
        <v>2687</v>
      </c>
      <c r="M398" s="111">
        <f t="shared" si="27"/>
        <v>51.836280730777744</v>
      </c>
      <c r="N398" s="111">
        <v>6135.9</v>
      </c>
      <c r="O398" s="113">
        <f t="shared" si="28"/>
        <v>0.43791456835997983</v>
      </c>
      <c r="P398" s="78"/>
      <c r="Q398" s="63"/>
      <c r="R398" s="63"/>
      <c r="S398" s="63"/>
      <c r="T398" s="63"/>
      <c r="U398" s="63"/>
      <c r="V398" s="63"/>
      <c r="W398" s="63"/>
      <c r="X398" s="63"/>
      <c r="Y398" s="63"/>
      <c r="Z398" s="63"/>
    </row>
    <row r="399" spans="1:26" ht="17.25" customHeight="1" x14ac:dyDescent="0.2">
      <c r="A399" s="104">
        <v>956</v>
      </c>
      <c r="B399" s="105" t="s">
        <v>29</v>
      </c>
      <c r="C399" s="105" t="s">
        <v>94</v>
      </c>
      <c r="D399" s="106">
        <v>331.35500000000002</v>
      </c>
      <c r="E399" s="107">
        <v>2695</v>
      </c>
      <c r="F399" s="106">
        <f t="shared" si="29"/>
        <v>331.40186499999999</v>
      </c>
      <c r="G399" s="108"/>
      <c r="H399" s="108"/>
      <c r="I399" s="107">
        <v>35</v>
      </c>
      <c r="J399" s="107">
        <v>698</v>
      </c>
      <c r="K399" s="108" t="s">
        <v>429</v>
      </c>
      <c r="L399" s="107">
        <v>1353</v>
      </c>
      <c r="M399" s="111">
        <f t="shared" si="27"/>
        <v>36.783148315499041</v>
      </c>
      <c r="N399" s="111">
        <v>2318.8200000000002</v>
      </c>
      <c r="O399" s="113">
        <f t="shared" si="28"/>
        <v>0.58348642844205234</v>
      </c>
      <c r="P399" s="78"/>
      <c r="Q399" s="63"/>
      <c r="R399" s="63"/>
      <c r="S399" s="63"/>
      <c r="T399" s="63"/>
      <c r="U399" s="63"/>
      <c r="V399" s="63"/>
      <c r="W399" s="63"/>
      <c r="X399" s="63"/>
      <c r="Y399" s="63"/>
      <c r="Z399" s="63"/>
    </row>
    <row r="400" spans="1:26" ht="17.25" customHeight="1" x14ac:dyDescent="0.2">
      <c r="A400" s="104">
        <v>957</v>
      </c>
      <c r="B400" s="105" t="s">
        <v>29</v>
      </c>
      <c r="C400" s="105" t="s">
        <v>94</v>
      </c>
      <c r="D400" s="106">
        <v>333.36200000000002</v>
      </c>
      <c r="E400" s="107">
        <v>2695</v>
      </c>
      <c r="F400" s="106">
        <f t="shared" si="29"/>
        <v>333.39541809999997</v>
      </c>
      <c r="G400" s="108"/>
      <c r="H400" s="108"/>
      <c r="I400" s="107">
        <v>35</v>
      </c>
      <c r="J400" s="107">
        <v>697</v>
      </c>
      <c r="K400" s="108" t="s">
        <v>429</v>
      </c>
      <c r="L400" s="107">
        <v>1764</v>
      </c>
      <c r="M400" s="111">
        <f t="shared" si="27"/>
        <v>42</v>
      </c>
      <c r="N400" s="111">
        <v>2177.5100000000002</v>
      </c>
      <c r="O400" s="113">
        <f t="shared" si="28"/>
        <v>0.8100996091866397</v>
      </c>
      <c r="P400" s="78"/>
      <c r="Q400" s="63"/>
      <c r="R400" s="63"/>
      <c r="S400" s="63"/>
      <c r="T400" s="63"/>
      <c r="U400" s="63"/>
      <c r="V400" s="63"/>
      <c r="W400" s="63"/>
      <c r="X400" s="63"/>
      <c r="Y400" s="63"/>
      <c r="Z400" s="63"/>
    </row>
    <row r="401" spans="1:26" ht="17.25" customHeight="1" x14ac:dyDescent="0.2">
      <c r="A401" s="104">
        <v>958</v>
      </c>
      <c r="B401" s="105" t="s">
        <v>29</v>
      </c>
      <c r="C401" s="105" t="s">
        <v>94</v>
      </c>
      <c r="D401" s="106">
        <v>335.37</v>
      </c>
      <c r="E401" s="107">
        <v>2695</v>
      </c>
      <c r="F401" s="106">
        <f t="shared" si="29"/>
        <v>335.38996449999996</v>
      </c>
      <c r="G401" s="108"/>
      <c r="H401" s="108"/>
      <c r="I401" s="107">
        <v>34</v>
      </c>
      <c r="J401" s="107">
        <v>499</v>
      </c>
      <c r="K401" s="108" t="s">
        <v>429</v>
      </c>
      <c r="L401" s="107">
        <v>2011</v>
      </c>
      <c r="M401" s="111">
        <f t="shared" si="27"/>
        <v>44.844174649557324</v>
      </c>
      <c r="N401" s="111">
        <v>1583.23</v>
      </c>
      <c r="O401" s="113">
        <f t="shared" si="28"/>
        <v>1.2701881596483138</v>
      </c>
      <c r="P401" s="78"/>
      <c r="Q401" s="63"/>
      <c r="R401" s="63"/>
      <c r="S401" s="63"/>
      <c r="T401" s="63"/>
      <c r="U401" s="63"/>
      <c r="V401" s="63"/>
      <c r="W401" s="63"/>
      <c r="X401" s="63"/>
      <c r="Y401" s="63"/>
      <c r="Z401" s="63"/>
    </row>
    <row r="402" spans="1:26" ht="17.25" customHeight="1" x14ac:dyDescent="0.2">
      <c r="A402" s="104">
        <v>959</v>
      </c>
      <c r="B402" s="105" t="s">
        <v>29</v>
      </c>
      <c r="C402" s="105" t="s">
        <v>94</v>
      </c>
      <c r="D402" s="106">
        <v>337.37</v>
      </c>
      <c r="E402" s="107">
        <v>2695</v>
      </c>
      <c r="F402" s="106">
        <f t="shared" si="29"/>
        <v>337.37656449999997</v>
      </c>
      <c r="G402" s="108"/>
      <c r="H402" s="108"/>
      <c r="I402" s="107">
        <v>33</v>
      </c>
      <c r="J402" s="107">
        <v>805</v>
      </c>
      <c r="K402" s="108" t="s">
        <v>429</v>
      </c>
      <c r="L402" s="107">
        <v>5668</v>
      </c>
      <c r="M402" s="111">
        <f t="shared" si="27"/>
        <v>75.286120898874842</v>
      </c>
      <c r="N402" s="111">
        <v>2503.86</v>
      </c>
      <c r="O402" s="113">
        <f t="shared" si="28"/>
        <v>2.2637048397274606</v>
      </c>
      <c r="P402" s="78"/>
      <c r="Q402" s="63"/>
      <c r="R402" s="63"/>
      <c r="S402" s="63"/>
      <c r="T402" s="63"/>
      <c r="U402" s="63"/>
      <c r="V402" s="63"/>
      <c r="W402" s="63"/>
      <c r="X402" s="63"/>
      <c r="Y402" s="63"/>
      <c r="Z402" s="63"/>
    </row>
    <row r="403" spans="1:26" ht="17.25" customHeight="1" x14ac:dyDescent="0.2">
      <c r="A403" s="104">
        <v>960</v>
      </c>
      <c r="B403" s="105" t="s">
        <v>29</v>
      </c>
      <c r="C403" s="105" t="s">
        <v>94</v>
      </c>
      <c r="D403" s="106">
        <v>339.37099999999998</v>
      </c>
      <c r="E403" s="107">
        <v>2695</v>
      </c>
      <c r="F403" s="106">
        <f t="shared" si="29"/>
        <v>339.36415779999993</v>
      </c>
      <c r="G403" s="108"/>
      <c r="H403" s="108"/>
      <c r="I403" s="107">
        <v>32</v>
      </c>
      <c r="J403" s="107">
        <v>372</v>
      </c>
      <c r="K403" s="108" t="s">
        <v>429</v>
      </c>
      <c r="L403" s="107">
        <v>5714</v>
      </c>
      <c r="M403" s="111">
        <f t="shared" si="27"/>
        <v>75.591004755857028</v>
      </c>
      <c r="N403" s="111">
        <v>1061.24</v>
      </c>
      <c r="O403" s="113">
        <f t="shared" si="28"/>
        <v>5.3842674607063437</v>
      </c>
      <c r="P403" s="78"/>
      <c r="Q403" s="63"/>
      <c r="R403" s="63"/>
      <c r="S403" s="63"/>
      <c r="T403" s="63"/>
      <c r="U403" s="63"/>
      <c r="V403" s="63"/>
      <c r="W403" s="63"/>
      <c r="X403" s="63"/>
      <c r="Y403" s="63"/>
      <c r="Z403" s="63"/>
    </row>
    <row r="404" spans="1:26" ht="17.25" customHeight="1" x14ac:dyDescent="0.2">
      <c r="A404" s="104">
        <v>961</v>
      </c>
      <c r="B404" s="105" t="s">
        <v>29</v>
      </c>
      <c r="C404" s="105" t="s">
        <v>94</v>
      </c>
      <c r="D404" s="106">
        <v>341.37799999999999</v>
      </c>
      <c r="E404" s="107">
        <v>2695</v>
      </c>
      <c r="F404" s="106">
        <f t="shared" si="29"/>
        <v>341.35771089999992</v>
      </c>
      <c r="G404" s="108"/>
      <c r="H404" s="108"/>
      <c r="I404" s="107">
        <v>31</v>
      </c>
      <c r="J404" s="107">
        <v>273</v>
      </c>
      <c r="K404" s="108" t="s">
        <v>429</v>
      </c>
      <c r="L404" s="107">
        <v>13466</v>
      </c>
      <c r="M404" s="111">
        <f t="shared" si="27"/>
        <v>116.04309544302927</v>
      </c>
      <c r="N404" s="111">
        <v>778.46</v>
      </c>
      <c r="O404" s="113">
        <f t="shared" si="28"/>
        <v>17.29825553014927</v>
      </c>
      <c r="P404" s="78"/>
      <c r="Q404" s="63"/>
      <c r="R404" s="63"/>
      <c r="S404" s="63"/>
      <c r="T404" s="63"/>
      <c r="U404" s="63"/>
      <c r="V404" s="63"/>
      <c r="W404" s="63"/>
      <c r="X404" s="63"/>
      <c r="Y404" s="63"/>
      <c r="Z404" s="63"/>
    </row>
    <row r="405" spans="1:26" ht="17.25" customHeight="1" x14ac:dyDescent="0.2">
      <c r="A405" s="104">
        <v>962</v>
      </c>
      <c r="B405" s="105" t="s">
        <v>29</v>
      </c>
      <c r="C405" s="105" t="s">
        <v>94</v>
      </c>
      <c r="D405" s="106">
        <v>340.37799999999999</v>
      </c>
      <c r="E405" s="107">
        <v>2695</v>
      </c>
      <c r="F405" s="106">
        <f t="shared" si="29"/>
        <v>340.36441089999994</v>
      </c>
      <c r="G405" s="108"/>
      <c r="H405" s="108"/>
      <c r="I405" s="107">
        <v>32</v>
      </c>
      <c r="J405" s="107">
        <v>237</v>
      </c>
      <c r="K405" s="108" t="s">
        <v>429</v>
      </c>
      <c r="L405" s="107">
        <v>6498</v>
      </c>
      <c r="M405" s="111">
        <f t="shared" ref="M405:M468" si="30">SQRT(L405)</f>
        <v>80.610173055266415</v>
      </c>
      <c r="N405" s="111">
        <v>634.86</v>
      </c>
      <c r="O405" s="113">
        <f t="shared" ref="O405:O468" si="31">L405/N405</f>
        <v>10.235327473773745</v>
      </c>
      <c r="P405" s="78"/>
      <c r="Q405" s="63"/>
      <c r="R405" s="63"/>
      <c r="S405" s="63"/>
      <c r="T405" s="63"/>
      <c r="U405" s="63"/>
      <c r="V405" s="63"/>
      <c r="W405" s="63"/>
      <c r="X405" s="63"/>
      <c r="Y405" s="63"/>
      <c r="Z405" s="63"/>
    </row>
    <row r="406" spans="1:26" ht="17.25" customHeight="1" x14ac:dyDescent="0.2">
      <c r="A406" s="104">
        <v>963</v>
      </c>
      <c r="B406" s="105" t="s">
        <v>29</v>
      </c>
      <c r="C406" s="105" t="s">
        <v>94</v>
      </c>
      <c r="D406" s="106">
        <v>340.875</v>
      </c>
      <c r="E406" s="107">
        <v>2695</v>
      </c>
      <c r="F406" s="106">
        <f t="shared" si="29"/>
        <v>340.85808099999997</v>
      </c>
      <c r="G406" s="108"/>
      <c r="H406" s="108"/>
      <c r="I406" s="107">
        <v>32</v>
      </c>
      <c r="J406" s="107">
        <v>284</v>
      </c>
      <c r="K406" s="108" t="s">
        <v>429</v>
      </c>
      <c r="L406" s="107">
        <v>10186</v>
      </c>
      <c r="M406" s="111">
        <f t="shared" si="30"/>
        <v>100.92571525632107</v>
      </c>
      <c r="N406" s="111">
        <v>757.07</v>
      </c>
      <c r="O406" s="113">
        <f t="shared" si="31"/>
        <v>13.454502225685866</v>
      </c>
      <c r="P406" s="78"/>
      <c r="Q406" s="63"/>
      <c r="R406" s="63"/>
      <c r="S406" s="63"/>
      <c r="T406" s="63"/>
      <c r="U406" s="63"/>
      <c r="V406" s="63"/>
      <c r="W406" s="63"/>
      <c r="X406" s="63"/>
      <c r="Y406" s="63"/>
      <c r="Z406" s="63"/>
    </row>
    <row r="407" spans="1:26" ht="17.25" customHeight="1" x14ac:dyDescent="0.2">
      <c r="A407" s="104">
        <v>964</v>
      </c>
      <c r="B407" s="105" t="s">
        <v>29</v>
      </c>
      <c r="C407" s="105" t="s">
        <v>94</v>
      </c>
      <c r="D407" s="106">
        <v>342.39400000000001</v>
      </c>
      <c r="E407" s="107">
        <v>2695</v>
      </c>
      <c r="F407" s="106">
        <f t="shared" si="29"/>
        <v>342.36690369999997</v>
      </c>
      <c r="G407" s="108"/>
      <c r="H407" s="108"/>
      <c r="I407" s="107">
        <v>31</v>
      </c>
      <c r="J407" s="107">
        <v>396</v>
      </c>
      <c r="K407" s="108" t="s">
        <v>429</v>
      </c>
      <c r="L407" s="107">
        <v>27179</v>
      </c>
      <c r="M407" s="111">
        <f t="shared" si="30"/>
        <v>164.86054712999106</v>
      </c>
      <c r="N407" s="111">
        <v>1024.48</v>
      </c>
      <c r="O407" s="113">
        <f t="shared" si="31"/>
        <v>26.529556457910353</v>
      </c>
      <c r="P407" s="78"/>
      <c r="Q407" s="63"/>
      <c r="R407" s="63"/>
      <c r="S407" s="63"/>
      <c r="T407" s="63"/>
      <c r="U407" s="63"/>
      <c r="V407" s="63"/>
      <c r="W407" s="63"/>
      <c r="X407" s="63"/>
      <c r="Y407" s="63"/>
      <c r="Z407" s="63"/>
    </row>
    <row r="408" spans="1:26" ht="17.25" customHeight="1" x14ac:dyDescent="0.2">
      <c r="A408" s="104">
        <v>965</v>
      </c>
      <c r="B408" s="105" t="s">
        <v>29</v>
      </c>
      <c r="C408" s="105" t="s">
        <v>94</v>
      </c>
      <c r="D408" s="106">
        <v>341.88200000000001</v>
      </c>
      <c r="E408" s="107">
        <v>2695</v>
      </c>
      <c r="F408" s="106">
        <f t="shared" si="29"/>
        <v>341.85833409999998</v>
      </c>
      <c r="G408" s="108"/>
      <c r="H408" s="108"/>
      <c r="I408" s="107">
        <v>20</v>
      </c>
      <c r="J408" s="107">
        <v>273</v>
      </c>
      <c r="K408" s="108" t="s">
        <v>429</v>
      </c>
      <c r="L408" s="107">
        <v>11401</v>
      </c>
      <c r="M408" s="111">
        <f t="shared" si="30"/>
        <v>106.77546534667971</v>
      </c>
      <c r="N408" s="111">
        <v>487.67</v>
      </c>
      <c r="O408" s="113">
        <f t="shared" si="31"/>
        <v>23.378514159165007</v>
      </c>
      <c r="P408" s="78"/>
      <c r="Q408" s="63"/>
      <c r="R408" s="63"/>
      <c r="S408" s="63"/>
      <c r="T408" s="63"/>
      <c r="U408" s="63"/>
      <c r="V408" s="63"/>
      <c r="W408" s="63"/>
      <c r="X408" s="63"/>
      <c r="Y408" s="63"/>
      <c r="Z408" s="63"/>
    </row>
    <row r="409" spans="1:26" ht="17.25" customHeight="1" x14ac:dyDescent="0.2">
      <c r="A409" s="104">
        <v>966</v>
      </c>
      <c r="B409" s="105" t="s">
        <v>29</v>
      </c>
      <c r="C409" s="105" t="s">
        <v>94</v>
      </c>
      <c r="D409" s="106">
        <v>342.88900000000001</v>
      </c>
      <c r="E409" s="107">
        <v>2695</v>
      </c>
      <c r="F409" s="106">
        <f t="shared" si="29"/>
        <v>342.85858719999999</v>
      </c>
      <c r="G409" s="108"/>
      <c r="H409" s="108"/>
      <c r="I409" s="107">
        <v>19</v>
      </c>
      <c r="J409" s="107">
        <v>313</v>
      </c>
      <c r="K409" s="108" t="s">
        <v>429</v>
      </c>
      <c r="L409" s="107">
        <v>16553</v>
      </c>
      <c r="M409" s="111">
        <f t="shared" si="30"/>
        <v>128.65846260545786</v>
      </c>
      <c r="N409" s="111">
        <v>542.73</v>
      </c>
      <c r="O409" s="113">
        <f t="shared" si="31"/>
        <v>30.499511727746761</v>
      </c>
      <c r="P409" s="78"/>
      <c r="Q409" s="63"/>
      <c r="R409" s="63"/>
      <c r="S409" s="63"/>
      <c r="T409" s="63"/>
      <c r="U409" s="63"/>
      <c r="V409" s="63"/>
      <c r="W409" s="63"/>
      <c r="X409" s="63"/>
      <c r="Y409" s="63"/>
      <c r="Z409" s="63"/>
    </row>
    <row r="410" spans="1:26" ht="17.25" customHeight="1" x14ac:dyDescent="0.2">
      <c r="A410" s="104">
        <v>967</v>
      </c>
      <c r="B410" s="105" t="s">
        <v>29</v>
      </c>
      <c r="C410" s="105" t="s">
        <v>94</v>
      </c>
      <c r="D410" s="106">
        <v>343.89</v>
      </c>
      <c r="E410" s="107">
        <v>2695</v>
      </c>
      <c r="F410" s="106">
        <f t="shared" si="29"/>
        <v>343.85288049999997</v>
      </c>
      <c r="G410" s="108"/>
      <c r="H410" s="108"/>
      <c r="I410" s="107">
        <v>19</v>
      </c>
      <c r="J410" s="107">
        <v>249</v>
      </c>
      <c r="K410" s="108" t="s">
        <v>429</v>
      </c>
      <c r="L410" s="107">
        <v>14422</v>
      </c>
      <c r="M410" s="111">
        <f t="shared" si="30"/>
        <v>120.09163168181203</v>
      </c>
      <c r="N410" s="111">
        <v>405.24</v>
      </c>
      <c r="O410" s="113">
        <f t="shared" si="31"/>
        <v>35.588786891718485</v>
      </c>
      <c r="P410" s="78"/>
      <c r="Q410" s="63"/>
      <c r="R410" s="63"/>
      <c r="S410" s="63"/>
      <c r="T410" s="63"/>
      <c r="U410" s="63"/>
      <c r="V410" s="63"/>
      <c r="W410" s="63"/>
      <c r="X410" s="63"/>
      <c r="Y410" s="63"/>
      <c r="Z410" s="63"/>
    </row>
    <row r="411" spans="1:26" ht="17.25" customHeight="1" x14ac:dyDescent="0.2">
      <c r="A411" s="104">
        <v>968</v>
      </c>
      <c r="B411" s="105" t="s">
        <v>29</v>
      </c>
      <c r="C411" s="105" t="s">
        <v>94</v>
      </c>
      <c r="D411" s="106">
        <v>344.88299999999998</v>
      </c>
      <c r="E411" s="107">
        <v>2695</v>
      </c>
      <c r="F411" s="106">
        <f t="shared" si="29"/>
        <v>344.83922739999991</v>
      </c>
      <c r="G411" s="108"/>
      <c r="H411" s="108"/>
      <c r="I411" s="107">
        <v>15</v>
      </c>
      <c r="J411" s="107">
        <v>312</v>
      </c>
      <c r="K411" s="108" t="s">
        <v>429</v>
      </c>
      <c r="L411" s="107">
        <v>11281</v>
      </c>
      <c r="M411" s="111">
        <f t="shared" si="30"/>
        <v>106.21205204683694</v>
      </c>
      <c r="N411" s="111">
        <v>289.05</v>
      </c>
      <c r="O411" s="113">
        <f t="shared" si="31"/>
        <v>39.027849852966611</v>
      </c>
      <c r="P411" s="78"/>
      <c r="Q411" s="63"/>
      <c r="R411" s="63"/>
      <c r="S411" s="63"/>
      <c r="T411" s="63"/>
      <c r="U411" s="63"/>
      <c r="V411" s="63"/>
      <c r="W411" s="63"/>
      <c r="X411" s="63"/>
      <c r="Y411" s="63"/>
      <c r="Z411" s="63"/>
    </row>
    <row r="412" spans="1:26" ht="17.25" customHeight="1" x14ac:dyDescent="0.2">
      <c r="A412" s="104">
        <v>969</v>
      </c>
      <c r="B412" s="105" t="s">
        <v>29</v>
      </c>
      <c r="C412" s="105" t="s">
        <v>94</v>
      </c>
      <c r="D412" s="106">
        <v>345.89699999999999</v>
      </c>
      <c r="E412" s="107">
        <v>2695</v>
      </c>
      <c r="F412" s="106">
        <f t="shared" si="29"/>
        <v>345.84643359999995</v>
      </c>
      <c r="G412" s="108"/>
      <c r="H412" s="108"/>
      <c r="I412" s="107">
        <v>11</v>
      </c>
      <c r="J412" s="107">
        <v>286</v>
      </c>
      <c r="K412" s="108" t="s">
        <v>429</v>
      </c>
      <c r="L412" s="107">
        <v>11438</v>
      </c>
      <c r="M412" s="111">
        <f t="shared" si="30"/>
        <v>106.94858577840101</v>
      </c>
      <c r="N412" s="111">
        <v>285.23</v>
      </c>
      <c r="O412" s="113">
        <f t="shared" si="31"/>
        <v>40.100971146092625</v>
      </c>
      <c r="P412" s="78"/>
      <c r="Q412" s="63"/>
      <c r="R412" s="63"/>
      <c r="S412" s="63"/>
      <c r="T412" s="63"/>
      <c r="U412" s="63"/>
      <c r="V412" s="63"/>
      <c r="W412" s="63"/>
      <c r="X412" s="63"/>
      <c r="Y412" s="63"/>
      <c r="Z412" s="63"/>
    </row>
    <row r="413" spans="1:26" ht="17.25" customHeight="1" x14ac:dyDescent="0.2">
      <c r="A413" s="104">
        <v>970</v>
      </c>
      <c r="B413" s="105" t="s">
        <v>29</v>
      </c>
      <c r="C413" s="105" t="s">
        <v>94</v>
      </c>
      <c r="D413" s="106">
        <v>346.89100000000002</v>
      </c>
      <c r="E413" s="107">
        <v>2695</v>
      </c>
      <c r="F413" s="106">
        <f t="shared" si="29"/>
        <v>346.83377379999996</v>
      </c>
      <c r="G413" s="108"/>
      <c r="H413" s="108"/>
      <c r="I413" s="107">
        <v>11</v>
      </c>
      <c r="J413" s="107">
        <v>337</v>
      </c>
      <c r="K413" s="108" t="s">
        <v>429</v>
      </c>
      <c r="L413" s="107">
        <v>13764</v>
      </c>
      <c r="M413" s="111">
        <f t="shared" si="30"/>
        <v>117.32007500849971</v>
      </c>
      <c r="N413" s="111">
        <v>349.7</v>
      </c>
      <c r="O413" s="113">
        <f t="shared" si="31"/>
        <v>39.359450957963972</v>
      </c>
      <c r="P413" s="78"/>
      <c r="Q413" s="63"/>
      <c r="R413" s="63"/>
      <c r="S413" s="63"/>
      <c r="T413" s="63"/>
      <c r="U413" s="63"/>
      <c r="V413" s="63"/>
      <c r="W413" s="63"/>
      <c r="X413" s="63"/>
      <c r="Y413" s="63"/>
      <c r="Z413" s="63"/>
    </row>
    <row r="414" spans="1:26" ht="17.25" customHeight="1" x14ac:dyDescent="0.2">
      <c r="A414" s="104">
        <v>971</v>
      </c>
      <c r="B414" s="105" t="s">
        <v>29</v>
      </c>
      <c r="C414" s="105" t="s">
        <v>94</v>
      </c>
      <c r="D414" s="106">
        <v>348.90499999999997</v>
      </c>
      <c r="E414" s="107">
        <v>2695</v>
      </c>
      <c r="F414" s="106">
        <f t="shared" si="29"/>
        <v>348.83427999999992</v>
      </c>
      <c r="G414" s="108"/>
      <c r="H414" s="108"/>
      <c r="I414" s="107">
        <v>11</v>
      </c>
      <c r="J414" s="107">
        <v>324</v>
      </c>
      <c r="K414" s="108" t="s">
        <v>429</v>
      </c>
      <c r="L414" s="107">
        <v>11337</v>
      </c>
      <c r="M414" s="111">
        <f t="shared" si="30"/>
        <v>106.47534925981694</v>
      </c>
      <c r="N414" s="111">
        <v>332.9</v>
      </c>
      <c r="O414" s="113">
        <f t="shared" si="31"/>
        <v>34.055271853409437</v>
      </c>
      <c r="P414" s="78"/>
      <c r="Q414" s="63"/>
      <c r="R414" s="63"/>
      <c r="S414" s="63"/>
      <c r="T414" s="63"/>
      <c r="U414" s="63"/>
      <c r="V414" s="63"/>
      <c r="W414" s="63"/>
      <c r="X414" s="63"/>
      <c r="Y414" s="63"/>
      <c r="Z414" s="63"/>
    </row>
    <row r="415" spans="1:26" ht="17.25" customHeight="1" x14ac:dyDescent="0.2">
      <c r="A415" s="104">
        <v>972</v>
      </c>
      <c r="B415" s="105" t="s">
        <v>29</v>
      </c>
      <c r="C415" s="105" t="s">
        <v>94</v>
      </c>
      <c r="D415" s="106">
        <v>347.89100000000002</v>
      </c>
      <c r="E415" s="107">
        <v>2695</v>
      </c>
      <c r="F415" s="106">
        <f t="shared" si="29"/>
        <v>347.82707379999999</v>
      </c>
      <c r="G415" s="108"/>
      <c r="H415" s="108"/>
      <c r="I415" s="107">
        <v>11</v>
      </c>
      <c r="J415" s="107">
        <v>573</v>
      </c>
      <c r="K415" s="108" t="s">
        <v>429</v>
      </c>
      <c r="L415" s="107">
        <v>21720</v>
      </c>
      <c r="M415" s="111">
        <f t="shared" si="30"/>
        <v>147.37706741552432</v>
      </c>
      <c r="N415" s="111">
        <v>573.11</v>
      </c>
      <c r="O415" s="113">
        <f t="shared" si="31"/>
        <v>37.898483711678388</v>
      </c>
      <c r="P415" s="78"/>
      <c r="Q415" s="63"/>
      <c r="R415" s="63"/>
      <c r="S415" s="63"/>
      <c r="T415" s="63"/>
      <c r="U415" s="63"/>
      <c r="V415" s="63"/>
      <c r="W415" s="63"/>
      <c r="X415" s="63"/>
      <c r="Y415" s="63"/>
      <c r="Z415" s="63"/>
    </row>
    <row r="416" spans="1:26" ht="17.25" customHeight="1" x14ac:dyDescent="0.2">
      <c r="A416" s="104">
        <v>973</v>
      </c>
      <c r="B416" s="105" t="s">
        <v>29</v>
      </c>
      <c r="C416" s="105" t="s">
        <v>94</v>
      </c>
      <c r="D416" s="106">
        <v>349.899</v>
      </c>
      <c r="E416" s="107">
        <v>2695</v>
      </c>
      <c r="F416" s="106">
        <f t="shared" si="29"/>
        <v>349.82162019999993</v>
      </c>
      <c r="G416" s="108"/>
      <c r="H416" s="108"/>
      <c r="I416" s="107">
        <v>11</v>
      </c>
      <c r="J416" s="107">
        <v>462</v>
      </c>
      <c r="K416" s="108" t="s">
        <v>429</v>
      </c>
      <c r="L416" s="107">
        <v>14055</v>
      </c>
      <c r="M416" s="111">
        <f t="shared" si="30"/>
        <v>118.55378526221759</v>
      </c>
      <c r="N416" s="111">
        <v>441.67</v>
      </c>
      <c r="O416" s="113">
        <f t="shared" si="31"/>
        <v>31.822401340367243</v>
      </c>
      <c r="P416" s="78"/>
      <c r="Q416" s="63"/>
      <c r="R416" s="63"/>
      <c r="S416" s="63"/>
      <c r="T416" s="63"/>
      <c r="U416" s="63"/>
      <c r="V416" s="63"/>
      <c r="W416" s="63"/>
      <c r="X416" s="63"/>
      <c r="Y416" s="63"/>
      <c r="Z416" s="63"/>
    </row>
    <row r="417" spans="1:26" ht="17.25" customHeight="1" x14ac:dyDescent="0.2">
      <c r="A417" s="104">
        <v>974</v>
      </c>
      <c r="B417" s="105" t="s">
        <v>29</v>
      </c>
      <c r="C417" s="105" t="s">
        <v>94</v>
      </c>
      <c r="D417" s="106">
        <v>350.899</v>
      </c>
      <c r="E417" s="107">
        <v>2695</v>
      </c>
      <c r="F417" s="106">
        <f t="shared" si="29"/>
        <v>350.81492019999996</v>
      </c>
      <c r="G417" s="108"/>
      <c r="H417" s="108"/>
      <c r="I417" s="107">
        <v>11</v>
      </c>
      <c r="J417" s="107">
        <v>370</v>
      </c>
      <c r="K417" s="108" t="s">
        <v>429</v>
      </c>
      <c r="L417" s="107">
        <v>11092</v>
      </c>
      <c r="M417" s="111">
        <f t="shared" si="30"/>
        <v>105.31856436545269</v>
      </c>
      <c r="N417" s="111">
        <v>371.68</v>
      </c>
      <c r="O417" s="113">
        <f t="shared" si="31"/>
        <v>29.842875591907017</v>
      </c>
      <c r="P417" s="78"/>
      <c r="Q417" s="63"/>
      <c r="R417" s="63"/>
      <c r="S417" s="63"/>
      <c r="T417" s="63"/>
      <c r="U417" s="63"/>
      <c r="V417" s="63"/>
      <c r="W417" s="63"/>
      <c r="X417" s="63"/>
      <c r="Y417" s="63"/>
      <c r="Z417" s="63"/>
    </row>
    <row r="418" spans="1:26" ht="17.25" customHeight="1" x14ac:dyDescent="0.2">
      <c r="A418" s="104">
        <v>975</v>
      </c>
      <c r="B418" s="105" t="s">
        <v>29</v>
      </c>
      <c r="C418" s="105" t="s">
        <v>94</v>
      </c>
      <c r="D418" s="106">
        <v>352.90600000000001</v>
      </c>
      <c r="E418" s="107">
        <v>2695</v>
      </c>
      <c r="F418" s="106">
        <f t="shared" si="29"/>
        <v>352.80847329999995</v>
      </c>
      <c r="G418" s="108"/>
      <c r="H418" s="108"/>
      <c r="I418" s="107">
        <v>18</v>
      </c>
      <c r="J418" s="107">
        <v>474</v>
      </c>
      <c r="K418" s="108" t="s">
        <v>429</v>
      </c>
      <c r="L418" s="107">
        <v>15607</v>
      </c>
      <c r="M418" s="111">
        <f t="shared" si="30"/>
        <v>124.92797925204746</v>
      </c>
      <c r="N418" s="111">
        <v>735.22</v>
      </c>
      <c r="O418" s="113">
        <f t="shared" si="31"/>
        <v>21.227659748102607</v>
      </c>
      <c r="P418" s="78"/>
      <c r="Q418" s="63"/>
      <c r="R418" s="63"/>
      <c r="S418" s="63"/>
      <c r="T418" s="63"/>
      <c r="U418" s="63"/>
      <c r="V418" s="63"/>
      <c r="W418" s="63"/>
      <c r="X418" s="63"/>
      <c r="Y418" s="63"/>
      <c r="Z418" s="63"/>
    </row>
    <row r="419" spans="1:26" ht="17.25" customHeight="1" x14ac:dyDescent="0.2">
      <c r="A419" s="104">
        <v>976</v>
      </c>
      <c r="B419" s="105" t="s">
        <v>29</v>
      </c>
      <c r="C419" s="105" t="s">
        <v>94</v>
      </c>
      <c r="D419" s="106">
        <v>354.90699999999998</v>
      </c>
      <c r="E419" s="107">
        <v>2695</v>
      </c>
      <c r="F419" s="106">
        <f t="shared" si="29"/>
        <v>354.79606659999996</v>
      </c>
      <c r="G419" s="108"/>
      <c r="H419" s="108"/>
      <c r="I419" s="107">
        <v>17</v>
      </c>
      <c r="J419" s="107">
        <v>521</v>
      </c>
      <c r="K419" s="108" t="s">
        <v>429</v>
      </c>
      <c r="L419" s="107">
        <v>12753</v>
      </c>
      <c r="M419" s="111">
        <f t="shared" si="30"/>
        <v>112.92918134831227</v>
      </c>
      <c r="N419" s="111">
        <v>846.43</v>
      </c>
      <c r="O419" s="113">
        <f t="shared" si="31"/>
        <v>15.066810013822762</v>
      </c>
      <c r="P419" s="78"/>
      <c r="Q419" s="63"/>
      <c r="R419" s="63"/>
      <c r="S419" s="63"/>
      <c r="T419" s="63"/>
      <c r="U419" s="63"/>
      <c r="V419" s="63"/>
      <c r="W419" s="63"/>
      <c r="X419" s="63"/>
      <c r="Y419" s="63"/>
      <c r="Z419" s="63"/>
    </row>
    <row r="420" spans="1:26" ht="17.25" customHeight="1" x14ac:dyDescent="0.2">
      <c r="A420" s="104">
        <v>977</v>
      </c>
      <c r="B420" s="105" t="s">
        <v>29</v>
      </c>
      <c r="C420" s="105" t="s">
        <v>94</v>
      </c>
      <c r="D420" s="106">
        <v>356.90800000000002</v>
      </c>
      <c r="E420" s="107">
        <v>2695</v>
      </c>
      <c r="F420" s="106">
        <f t="shared" si="29"/>
        <v>356.78365989999998</v>
      </c>
      <c r="G420" s="108"/>
      <c r="H420" s="108"/>
      <c r="I420" s="107">
        <v>27</v>
      </c>
      <c r="J420" s="107">
        <v>430</v>
      </c>
      <c r="K420" s="108" t="s">
        <v>429</v>
      </c>
      <c r="L420" s="107">
        <v>10580</v>
      </c>
      <c r="M420" s="111">
        <f t="shared" si="30"/>
        <v>102.85912696499032</v>
      </c>
      <c r="N420" s="111">
        <v>1069.48</v>
      </c>
      <c r="O420" s="113">
        <f t="shared" si="31"/>
        <v>9.8926581142237353</v>
      </c>
      <c r="P420" s="78"/>
      <c r="Q420" s="63"/>
      <c r="R420" s="63"/>
      <c r="S420" s="63"/>
      <c r="T420" s="63"/>
      <c r="U420" s="63"/>
      <c r="V420" s="63"/>
      <c r="W420" s="63"/>
      <c r="X420" s="63"/>
      <c r="Y420" s="63"/>
      <c r="Z420" s="63"/>
    </row>
    <row r="421" spans="1:26" ht="17.25" customHeight="1" x14ac:dyDescent="0.2">
      <c r="A421" s="104">
        <v>978</v>
      </c>
      <c r="B421" s="105" t="s">
        <v>29</v>
      </c>
      <c r="C421" s="105" t="s">
        <v>94</v>
      </c>
      <c r="D421" s="106">
        <v>358.92200000000003</v>
      </c>
      <c r="E421" s="107">
        <v>2695</v>
      </c>
      <c r="F421" s="106">
        <f t="shared" ref="F421:F484" si="32">0.9933*(D421+E421/1000)-0.41</f>
        <v>358.78416609999999</v>
      </c>
      <c r="G421" s="108"/>
      <c r="H421" s="108"/>
      <c r="I421" s="107">
        <v>38</v>
      </c>
      <c r="J421" s="107">
        <v>571</v>
      </c>
      <c r="K421" s="108" t="s">
        <v>429</v>
      </c>
      <c r="L421" s="107">
        <v>13015</v>
      </c>
      <c r="M421" s="111">
        <f t="shared" si="30"/>
        <v>114.08330289748802</v>
      </c>
      <c r="N421" s="111">
        <v>2071.23</v>
      </c>
      <c r="O421" s="113">
        <f t="shared" si="31"/>
        <v>6.2837058173162808</v>
      </c>
      <c r="P421" s="78"/>
      <c r="Q421" s="63"/>
      <c r="R421" s="63"/>
      <c r="S421" s="63"/>
      <c r="T421" s="63"/>
      <c r="U421" s="63"/>
      <c r="V421" s="63"/>
      <c r="W421" s="63"/>
      <c r="X421" s="63"/>
      <c r="Y421" s="63"/>
      <c r="Z421" s="63"/>
    </row>
    <row r="422" spans="1:26" ht="17.25" customHeight="1" x14ac:dyDescent="0.2">
      <c r="A422" s="104">
        <v>979</v>
      </c>
      <c r="B422" s="105" t="s">
        <v>29</v>
      </c>
      <c r="C422" s="105" t="s">
        <v>94</v>
      </c>
      <c r="D422" s="106">
        <v>363.93099999999998</v>
      </c>
      <c r="E422" s="107">
        <v>2695</v>
      </c>
      <c r="F422" s="106">
        <f t="shared" si="32"/>
        <v>363.75960579999992</v>
      </c>
      <c r="G422" s="108"/>
      <c r="H422" s="108"/>
      <c r="I422" s="107">
        <v>51</v>
      </c>
      <c r="J422" s="107">
        <v>630</v>
      </c>
      <c r="K422" s="108" t="s">
        <v>429</v>
      </c>
      <c r="L422" s="107">
        <v>6352</v>
      </c>
      <c r="M422" s="111">
        <f t="shared" si="30"/>
        <v>79.699435380685102</v>
      </c>
      <c r="N422" s="111">
        <v>3003.26</v>
      </c>
      <c r="O422" s="113">
        <f t="shared" si="31"/>
        <v>2.1150349953051015</v>
      </c>
      <c r="P422" s="78"/>
      <c r="Q422" s="63"/>
      <c r="R422" s="63"/>
      <c r="S422" s="63"/>
      <c r="T422" s="63"/>
      <c r="U422" s="63"/>
      <c r="V422" s="63"/>
      <c r="W422" s="63"/>
      <c r="X422" s="63"/>
      <c r="Y422" s="63"/>
      <c r="Z422" s="63"/>
    </row>
    <row r="423" spans="1:26" ht="17.25" customHeight="1" x14ac:dyDescent="0.2">
      <c r="A423" s="104">
        <v>980</v>
      </c>
      <c r="B423" s="105" t="s">
        <v>29</v>
      </c>
      <c r="C423" s="105" t="s">
        <v>94</v>
      </c>
      <c r="D423" s="106">
        <v>368.93900000000002</v>
      </c>
      <c r="E423" s="107">
        <v>2695</v>
      </c>
      <c r="F423" s="106">
        <f t="shared" si="32"/>
        <v>368.73405219999995</v>
      </c>
      <c r="G423" s="108"/>
      <c r="H423" s="108"/>
      <c r="I423" s="107">
        <v>66</v>
      </c>
      <c r="J423" s="107">
        <v>905</v>
      </c>
      <c r="K423" s="108" t="s">
        <v>429</v>
      </c>
      <c r="L423" s="107">
        <v>5459</v>
      </c>
      <c r="M423" s="111">
        <f t="shared" si="30"/>
        <v>73.885045848263502</v>
      </c>
      <c r="N423" s="111">
        <v>5647.98</v>
      </c>
      <c r="O423" s="113">
        <f t="shared" si="31"/>
        <v>0.96654024978842001</v>
      </c>
      <c r="P423" s="78"/>
      <c r="Q423" s="63"/>
      <c r="R423" s="63"/>
      <c r="S423" s="63"/>
      <c r="T423" s="63"/>
      <c r="U423" s="63"/>
      <c r="V423" s="63"/>
      <c r="W423" s="63"/>
      <c r="X423" s="63"/>
      <c r="Y423" s="63"/>
      <c r="Z423" s="63"/>
    </row>
    <row r="424" spans="1:26" ht="17.25" customHeight="1" x14ac:dyDescent="0.2">
      <c r="A424" s="104">
        <v>981</v>
      </c>
      <c r="B424" s="105" t="s">
        <v>29</v>
      </c>
      <c r="C424" s="105" t="s">
        <v>94</v>
      </c>
      <c r="D424" s="106">
        <v>360.42599999999999</v>
      </c>
      <c r="E424" s="107">
        <v>2695</v>
      </c>
      <c r="F424" s="106">
        <f t="shared" si="32"/>
        <v>360.27808929999992</v>
      </c>
      <c r="G424" s="108"/>
      <c r="H424" s="108"/>
      <c r="I424" s="107">
        <v>46</v>
      </c>
      <c r="J424" s="107">
        <v>346</v>
      </c>
      <c r="K424" s="108" t="s">
        <v>429</v>
      </c>
      <c r="L424" s="107">
        <v>6161</v>
      </c>
      <c r="M424" s="111">
        <f t="shared" si="30"/>
        <v>78.492037812761623</v>
      </c>
      <c r="N424" s="111">
        <v>1398.86</v>
      </c>
      <c r="O424" s="113">
        <f t="shared" si="31"/>
        <v>4.4043006448107747</v>
      </c>
      <c r="P424" s="78"/>
      <c r="Q424" s="63"/>
      <c r="R424" s="63"/>
      <c r="S424" s="63"/>
      <c r="T424" s="63"/>
      <c r="U424" s="63"/>
      <c r="V424" s="63"/>
      <c r="W424" s="63"/>
      <c r="X424" s="63"/>
      <c r="Y424" s="63"/>
      <c r="Z424" s="63"/>
    </row>
    <row r="425" spans="1:26" ht="17.25" customHeight="1" x14ac:dyDescent="0.2">
      <c r="A425" s="104">
        <v>982</v>
      </c>
      <c r="B425" s="105" t="s">
        <v>29</v>
      </c>
      <c r="C425" s="105" t="s">
        <v>94</v>
      </c>
      <c r="D425" s="106">
        <v>351.90600000000001</v>
      </c>
      <c r="E425" s="107">
        <v>2695</v>
      </c>
      <c r="F425" s="106">
        <f t="shared" si="32"/>
        <v>351.81517329999997</v>
      </c>
      <c r="G425" s="108"/>
      <c r="H425" s="108"/>
      <c r="I425" s="107">
        <v>18</v>
      </c>
      <c r="J425" s="107">
        <v>509</v>
      </c>
      <c r="K425" s="108" t="s">
        <v>429</v>
      </c>
      <c r="L425" s="107">
        <v>20909</v>
      </c>
      <c r="M425" s="111">
        <f t="shared" si="30"/>
        <v>144.59944674859582</v>
      </c>
      <c r="N425" s="111">
        <v>855.87</v>
      </c>
      <c r="O425" s="113">
        <f t="shared" si="31"/>
        <v>24.430112049727178</v>
      </c>
      <c r="P425" s="78"/>
      <c r="Q425" s="63"/>
      <c r="R425" s="63"/>
      <c r="S425" s="63"/>
      <c r="T425" s="63"/>
      <c r="U425" s="63"/>
      <c r="V425" s="63"/>
      <c r="W425" s="63"/>
      <c r="X425" s="63"/>
      <c r="Y425" s="63"/>
      <c r="Z425" s="63"/>
    </row>
    <row r="426" spans="1:26" ht="17.25" customHeight="1" x14ac:dyDescent="0.2">
      <c r="A426" s="104">
        <v>983</v>
      </c>
      <c r="B426" s="105" t="s">
        <v>157</v>
      </c>
      <c r="C426" s="105" t="s">
        <v>94</v>
      </c>
      <c r="D426" s="106">
        <v>199.78100000000001</v>
      </c>
      <c r="E426" s="107">
        <v>2695</v>
      </c>
      <c r="F426" s="106">
        <f t="shared" si="32"/>
        <v>200.7094108</v>
      </c>
      <c r="G426" s="108" t="s">
        <v>1044</v>
      </c>
      <c r="H426" s="108" t="s">
        <v>1045</v>
      </c>
      <c r="I426" s="107">
        <v>223</v>
      </c>
      <c r="J426" s="107">
        <v>549537</v>
      </c>
      <c r="K426" s="108" t="s">
        <v>429</v>
      </c>
      <c r="L426" s="107">
        <v>187636</v>
      </c>
      <c r="M426" s="111">
        <f t="shared" si="30"/>
        <v>433.16971269930679</v>
      </c>
      <c r="N426" s="111">
        <v>12327568.689999999</v>
      </c>
      <c r="O426" s="113">
        <f t="shared" si="31"/>
        <v>1.5220844005696635E-2</v>
      </c>
      <c r="P426" s="78"/>
      <c r="Q426" s="63"/>
      <c r="R426" s="63"/>
      <c r="S426" s="63"/>
      <c r="T426" s="63"/>
      <c r="U426" s="63"/>
      <c r="V426" s="63"/>
      <c r="W426" s="63"/>
      <c r="X426" s="63"/>
      <c r="Y426" s="63"/>
      <c r="Z426" s="63"/>
    </row>
    <row r="427" spans="1:26" ht="17.25" customHeight="1" x14ac:dyDescent="0.2">
      <c r="A427" s="104">
        <v>984</v>
      </c>
      <c r="B427" s="105" t="s">
        <v>30</v>
      </c>
      <c r="C427" s="105" t="s">
        <v>94</v>
      </c>
      <c r="D427" s="106">
        <v>329.36099999999999</v>
      </c>
      <c r="E427" s="107">
        <v>2695</v>
      </c>
      <c r="F427" s="106">
        <f t="shared" si="32"/>
        <v>329.42122479999995</v>
      </c>
      <c r="G427" s="108" t="s">
        <v>1046</v>
      </c>
      <c r="H427" s="108" t="s">
        <v>1047</v>
      </c>
      <c r="I427" s="107">
        <v>36</v>
      </c>
      <c r="J427" s="107">
        <v>1309</v>
      </c>
      <c r="K427" s="108" t="s">
        <v>429</v>
      </c>
      <c r="L427" s="107">
        <v>1838</v>
      </c>
      <c r="M427" s="111">
        <f t="shared" si="30"/>
        <v>42.871902220452036</v>
      </c>
      <c r="N427" s="111">
        <v>4374.13</v>
      </c>
      <c r="O427" s="113">
        <f t="shared" si="31"/>
        <v>0.42019784505718849</v>
      </c>
      <c r="P427" s="78"/>
      <c r="Q427" s="63"/>
      <c r="R427" s="63"/>
      <c r="S427" s="63"/>
      <c r="T427" s="63"/>
      <c r="U427" s="63"/>
      <c r="V427" s="63"/>
      <c r="W427" s="63"/>
      <c r="X427" s="63"/>
      <c r="Y427" s="63"/>
      <c r="Z427" s="63"/>
    </row>
    <row r="428" spans="1:26" ht="17.25" customHeight="1" x14ac:dyDescent="0.2">
      <c r="A428" s="104">
        <v>985</v>
      </c>
      <c r="B428" s="105" t="s">
        <v>30</v>
      </c>
      <c r="C428" s="105" t="s">
        <v>94</v>
      </c>
      <c r="D428" s="106">
        <v>331.86500000000001</v>
      </c>
      <c r="E428" s="107">
        <v>2695</v>
      </c>
      <c r="F428" s="106">
        <f t="shared" si="32"/>
        <v>331.90844799999996</v>
      </c>
      <c r="G428" s="108" t="s">
        <v>1048</v>
      </c>
      <c r="H428" s="108" t="s">
        <v>1049</v>
      </c>
      <c r="I428" s="107">
        <v>36</v>
      </c>
      <c r="J428" s="107">
        <v>584</v>
      </c>
      <c r="K428" s="108" t="s">
        <v>429</v>
      </c>
      <c r="L428" s="107">
        <v>1189</v>
      </c>
      <c r="M428" s="111">
        <f t="shared" si="30"/>
        <v>34.481879299133332</v>
      </c>
      <c r="N428" s="111">
        <v>1894.49</v>
      </c>
      <c r="O428" s="113">
        <f t="shared" si="31"/>
        <v>0.62760954135413749</v>
      </c>
      <c r="P428" s="78"/>
      <c r="Q428" s="63"/>
      <c r="R428" s="63"/>
      <c r="S428" s="63"/>
      <c r="T428" s="63"/>
      <c r="U428" s="63"/>
      <c r="V428" s="63"/>
      <c r="W428" s="63"/>
      <c r="X428" s="63"/>
      <c r="Y428" s="63"/>
      <c r="Z428" s="63"/>
    </row>
    <row r="429" spans="1:26" ht="17.25" customHeight="1" x14ac:dyDescent="0.2">
      <c r="A429" s="104">
        <v>986</v>
      </c>
      <c r="B429" s="105" t="s">
        <v>30</v>
      </c>
      <c r="C429" s="105" t="s">
        <v>94</v>
      </c>
      <c r="D429" s="106">
        <v>333.86599999999999</v>
      </c>
      <c r="E429" s="107">
        <v>2695</v>
      </c>
      <c r="F429" s="106">
        <f t="shared" si="32"/>
        <v>333.89604129999992</v>
      </c>
      <c r="G429" s="108" t="s">
        <v>1050</v>
      </c>
      <c r="H429" s="108" t="s">
        <v>1051</v>
      </c>
      <c r="I429" s="107">
        <v>36</v>
      </c>
      <c r="J429" s="107">
        <v>712</v>
      </c>
      <c r="K429" s="108" t="s">
        <v>429</v>
      </c>
      <c r="L429" s="107">
        <v>2147</v>
      </c>
      <c r="M429" s="111">
        <f t="shared" si="30"/>
        <v>46.335731352812381</v>
      </c>
      <c r="N429" s="111">
        <v>2404.0100000000002</v>
      </c>
      <c r="O429" s="113">
        <f t="shared" si="31"/>
        <v>0.89309112690878978</v>
      </c>
      <c r="P429" s="78"/>
      <c r="Q429" s="63"/>
      <c r="R429" s="63"/>
      <c r="S429" s="63"/>
      <c r="T429" s="63"/>
      <c r="U429" s="63"/>
      <c r="V429" s="63"/>
      <c r="W429" s="63"/>
      <c r="X429" s="63"/>
      <c r="Y429" s="63"/>
      <c r="Z429" s="63"/>
    </row>
    <row r="430" spans="1:26" ht="17.25" customHeight="1" x14ac:dyDescent="0.2">
      <c r="A430" s="104">
        <v>987</v>
      </c>
      <c r="B430" s="105" t="s">
        <v>30</v>
      </c>
      <c r="C430" s="105" t="s">
        <v>94</v>
      </c>
      <c r="D430" s="106">
        <v>335.88</v>
      </c>
      <c r="E430" s="107">
        <v>2695</v>
      </c>
      <c r="F430" s="106">
        <f t="shared" si="32"/>
        <v>335.89654749999994</v>
      </c>
      <c r="G430" s="108" t="s">
        <v>1052</v>
      </c>
      <c r="H430" s="108" t="s">
        <v>1053</v>
      </c>
      <c r="I430" s="107">
        <v>36</v>
      </c>
      <c r="J430" s="107">
        <v>790</v>
      </c>
      <c r="K430" s="108" t="s">
        <v>429</v>
      </c>
      <c r="L430" s="107">
        <v>3737</v>
      </c>
      <c r="M430" s="111">
        <f t="shared" si="30"/>
        <v>61.1310068623117</v>
      </c>
      <c r="N430" s="111">
        <v>2635.86</v>
      </c>
      <c r="O430" s="113">
        <f t="shared" si="31"/>
        <v>1.4177535984460479</v>
      </c>
      <c r="P430" s="78"/>
      <c r="Q430" s="63"/>
      <c r="R430" s="63"/>
      <c r="S430" s="63"/>
      <c r="T430" s="63"/>
      <c r="U430" s="63"/>
      <c r="V430" s="63"/>
      <c r="W430" s="63"/>
      <c r="X430" s="63"/>
      <c r="Y430" s="63"/>
      <c r="Z430" s="63"/>
    </row>
    <row r="431" spans="1:26" ht="17.25" customHeight="1" x14ac:dyDescent="0.2">
      <c r="A431" s="104">
        <v>988</v>
      </c>
      <c r="B431" s="105" t="s">
        <v>30</v>
      </c>
      <c r="C431" s="105" t="s">
        <v>94</v>
      </c>
      <c r="D431" s="106">
        <v>337.887</v>
      </c>
      <c r="E431" s="107">
        <v>2695</v>
      </c>
      <c r="F431" s="106">
        <f t="shared" si="32"/>
        <v>337.89010059999998</v>
      </c>
      <c r="G431" s="108" t="s">
        <v>1054</v>
      </c>
      <c r="H431" s="108" t="s">
        <v>1055</v>
      </c>
      <c r="I431" s="107">
        <v>25</v>
      </c>
      <c r="J431" s="107">
        <v>785</v>
      </c>
      <c r="K431" s="108" t="s">
        <v>429</v>
      </c>
      <c r="L431" s="107">
        <v>4804</v>
      </c>
      <c r="M431" s="111">
        <f t="shared" si="30"/>
        <v>69.31089380465383</v>
      </c>
      <c r="N431" s="111">
        <v>1827.36</v>
      </c>
      <c r="O431" s="113">
        <f t="shared" si="31"/>
        <v>2.6289291655721918</v>
      </c>
      <c r="P431" s="78"/>
      <c r="Q431" s="63"/>
      <c r="R431" s="63"/>
      <c r="S431" s="63"/>
      <c r="T431" s="63"/>
      <c r="U431" s="63"/>
      <c r="V431" s="63"/>
      <c r="W431" s="63"/>
      <c r="X431" s="63"/>
      <c r="Y431" s="63"/>
      <c r="Z431" s="63"/>
    </row>
    <row r="432" spans="1:26" ht="17.25" customHeight="1" x14ac:dyDescent="0.2">
      <c r="A432" s="104">
        <v>989</v>
      </c>
      <c r="B432" s="105" t="s">
        <v>30</v>
      </c>
      <c r="C432" s="105" t="s">
        <v>94</v>
      </c>
      <c r="D432" s="106">
        <v>339.88799999999998</v>
      </c>
      <c r="E432" s="107">
        <v>2695</v>
      </c>
      <c r="F432" s="106">
        <f t="shared" si="32"/>
        <v>339.87769389999994</v>
      </c>
      <c r="G432" s="108" t="s">
        <v>1056</v>
      </c>
      <c r="H432" s="108" t="s">
        <v>1056</v>
      </c>
      <c r="I432" s="107">
        <v>25</v>
      </c>
      <c r="J432" s="107">
        <v>508</v>
      </c>
      <c r="K432" s="108" t="s">
        <v>429</v>
      </c>
      <c r="L432" s="107">
        <v>6845</v>
      </c>
      <c r="M432" s="111">
        <f t="shared" si="30"/>
        <v>82.734515167492219</v>
      </c>
      <c r="N432" s="111">
        <v>1128.73</v>
      </c>
      <c r="O432" s="113">
        <f t="shared" si="31"/>
        <v>6.0643377955755584</v>
      </c>
      <c r="P432" s="78"/>
      <c r="Q432" s="63"/>
      <c r="R432" s="63"/>
      <c r="S432" s="63"/>
      <c r="T432" s="63"/>
      <c r="U432" s="63"/>
      <c r="V432" s="63"/>
      <c r="W432" s="63"/>
      <c r="X432" s="63"/>
      <c r="Y432" s="63"/>
      <c r="Z432" s="63"/>
    </row>
    <row r="433" spans="1:26" ht="17.25" customHeight="1" x14ac:dyDescent="0.2">
      <c r="A433" s="104">
        <v>990</v>
      </c>
      <c r="B433" s="105" t="s">
        <v>30</v>
      </c>
      <c r="C433" s="105" t="s">
        <v>94</v>
      </c>
      <c r="D433" s="106">
        <v>341.88900000000001</v>
      </c>
      <c r="E433" s="107">
        <v>2695</v>
      </c>
      <c r="F433" s="106">
        <f t="shared" si="32"/>
        <v>341.86528719999995</v>
      </c>
      <c r="G433" s="108" t="s">
        <v>1057</v>
      </c>
      <c r="H433" s="108" t="s">
        <v>1058</v>
      </c>
      <c r="I433" s="107">
        <v>24</v>
      </c>
      <c r="J433" s="107">
        <v>409</v>
      </c>
      <c r="K433" s="108" t="s">
        <v>429</v>
      </c>
      <c r="L433" s="107">
        <v>16732</v>
      </c>
      <c r="M433" s="111">
        <f t="shared" si="30"/>
        <v>129.35223229616102</v>
      </c>
      <c r="N433" s="111">
        <v>836.9</v>
      </c>
      <c r="O433" s="113">
        <f t="shared" si="31"/>
        <v>19.992830684669613</v>
      </c>
      <c r="P433" s="78"/>
      <c r="Q433" s="63"/>
      <c r="R433" s="63"/>
      <c r="S433" s="63"/>
      <c r="T433" s="63"/>
      <c r="U433" s="63"/>
      <c r="V433" s="63"/>
      <c r="W433" s="63"/>
      <c r="X433" s="63"/>
      <c r="Y433" s="63"/>
      <c r="Z433" s="63"/>
    </row>
    <row r="434" spans="1:26" ht="17.25" customHeight="1" x14ac:dyDescent="0.2">
      <c r="A434" s="104">
        <v>991</v>
      </c>
      <c r="B434" s="105" t="s">
        <v>30</v>
      </c>
      <c r="C434" s="105" t="s">
        <v>94</v>
      </c>
      <c r="D434" s="106">
        <v>340.88200000000001</v>
      </c>
      <c r="E434" s="107">
        <v>2695</v>
      </c>
      <c r="F434" s="106">
        <f t="shared" si="32"/>
        <v>340.86503409999995</v>
      </c>
      <c r="G434" s="108" t="s">
        <v>1059</v>
      </c>
      <c r="H434" s="108" t="s">
        <v>1060</v>
      </c>
      <c r="I434" s="107">
        <v>25</v>
      </c>
      <c r="J434" s="107">
        <v>531</v>
      </c>
      <c r="K434" s="108" t="s">
        <v>429</v>
      </c>
      <c r="L434" s="107">
        <v>13253</v>
      </c>
      <c r="M434" s="111">
        <f t="shared" si="30"/>
        <v>115.12167476196652</v>
      </c>
      <c r="N434" s="111">
        <v>1191.44</v>
      </c>
      <c r="O434" s="113">
        <f t="shared" si="31"/>
        <v>11.123514402739541</v>
      </c>
      <c r="P434" s="78"/>
      <c r="Q434" s="63"/>
      <c r="R434" s="63"/>
      <c r="S434" s="63"/>
      <c r="T434" s="63"/>
      <c r="U434" s="63"/>
      <c r="V434" s="63"/>
      <c r="W434" s="63"/>
      <c r="X434" s="63"/>
      <c r="Y434" s="63"/>
      <c r="Z434" s="63"/>
    </row>
    <row r="435" spans="1:26" ht="17.25" customHeight="1" x14ac:dyDescent="0.2">
      <c r="A435" s="104">
        <v>992</v>
      </c>
      <c r="B435" s="105" t="s">
        <v>30</v>
      </c>
      <c r="C435" s="105" t="s">
        <v>94</v>
      </c>
      <c r="D435" s="106">
        <v>341.89499999999998</v>
      </c>
      <c r="E435" s="107">
        <v>2695</v>
      </c>
      <c r="F435" s="106">
        <f t="shared" si="32"/>
        <v>341.87124699999993</v>
      </c>
      <c r="G435" s="108" t="s">
        <v>1061</v>
      </c>
      <c r="H435" s="108" t="s">
        <v>1062</v>
      </c>
      <c r="I435" s="107">
        <v>15</v>
      </c>
      <c r="J435" s="107">
        <v>657</v>
      </c>
      <c r="K435" s="108" t="s">
        <v>429</v>
      </c>
      <c r="L435" s="107">
        <v>19149</v>
      </c>
      <c r="M435" s="111">
        <f t="shared" si="30"/>
        <v>138.37991183694257</v>
      </c>
      <c r="N435" s="111">
        <v>914.31</v>
      </c>
      <c r="O435" s="113">
        <f t="shared" si="31"/>
        <v>20.943662433966598</v>
      </c>
      <c r="P435" s="78"/>
      <c r="Q435" s="63"/>
      <c r="R435" s="63"/>
      <c r="S435" s="63"/>
      <c r="T435" s="63"/>
      <c r="U435" s="63"/>
      <c r="V435" s="63"/>
      <c r="W435" s="63"/>
      <c r="X435" s="63"/>
      <c r="Y435" s="63"/>
      <c r="Z435" s="63"/>
    </row>
    <row r="436" spans="1:26" ht="17.25" customHeight="1" x14ac:dyDescent="0.2">
      <c r="A436" s="104">
        <v>993</v>
      </c>
      <c r="B436" s="105" t="s">
        <v>30</v>
      </c>
      <c r="C436" s="105" t="s">
        <v>94</v>
      </c>
      <c r="D436" s="106">
        <v>342.90300000000002</v>
      </c>
      <c r="E436" s="107">
        <v>2695</v>
      </c>
      <c r="F436" s="106">
        <f t="shared" si="32"/>
        <v>342.8724934</v>
      </c>
      <c r="G436" s="108" t="s">
        <v>1063</v>
      </c>
      <c r="H436" s="108" t="s">
        <v>1063</v>
      </c>
      <c r="I436" s="107">
        <v>15</v>
      </c>
      <c r="J436" s="107">
        <v>395</v>
      </c>
      <c r="K436" s="108" t="s">
        <v>429</v>
      </c>
      <c r="L436" s="107">
        <v>12765</v>
      </c>
      <c r="M436" s="111">
        <f t="shared" si="30"/>
        <v>112.98229949863828</v>
      </c>
      <c r="N436" s="111">
        <v>420.23</v>
      </c>
      <c r="O436" s="113">
        <f t="shared" si="31"/>
        <v>30.376222544796896</v>
      </c>
      <c r="P436" s="78"/>
      <c r="Q436" s="63"/>
      <c r="R436" s="63"/>
      <c r="S436" s="63"/>
      <c r="T436" s="63"/>
      <c r="U436" s="63"/>
      <c r="V436" s="63"/>
      <c r="W436" s="63"/>
      <c r="X436" s="63"/>
      <c r="Y436" s="63"/>
      <c r="Z436" s="63"/>
    </row>
    <row r="437" spans="1:26" ht="17.25" customHeight="1" x14ac:dyDescent="0.2">
      <c r="A437" s="104">
        <v>994</v>
      </c>
      <c r="B437" s="105" t="s">
        <v>30</v>
      </c>
      <c r="C437" s="105" t="s">
        <v>94</v>
      </c>
      <c r="D437" s="106">
        <v>343.90300000000002</v>
      </c>
      <c r="E437" s="107">
        <v>2695</v>
      </c>
      <c r="F437" s="106">
        <f t="shared" si="32"/>
        <v>343.86579339999997</v>
      </c>
      <c r="G437" s="108" t="s">
        <v>1064</v>
      </c>
      <c r="H437" s="108" t="s">
        <v>1064</v>
      </c>
      <c r="I437" s="107">
        <v>15</v>
      </c>
      <c r="J437" s="107">
        <v>286</v>
      </c>
      <c r="K437" s="108" t="s">
        <v>429</v>
      </c>
      <c r="L437" s="107">
        <v>13484</v>
      </c>
      <c r="M437" s="111">
        <f t="shared" si="30"/>
        <v>116.12062693595828</v>
      </c>
      <c r="N437" s="111">
        <v>371.62</v>
      </c>
      <c r="O437" s="113">
        <f t="shared" si="31"/>
        <v>36.284376513642968</v>
      </c>
      <c r="P437" s="78"/>
      <c r="Q437" s="63"/>
      <c r="R437" s="63"/>
      <c r="S437" s="63"/>
      <c r="T437" s="63"/>
      <c r="U437" s="63"/>
      <c r="V437" s="63"/>
      <c r="W437" s="63"/>
      <c r="X437" s="63"/>
      <c r="Y437" s="63"/>
      <c r="Z437" s="63"/>
    </row>
    <row r="438" spans="1:26" ht="17.25" customHeight="1" x14ac:dyDescent="0.2">
      <c r="A438" s="104">
        <v>995</v>
      </c>
      <c r="B438" s="105" t="s">
        <v>30</v>
      </c>
      <c r="C438" s="105" t="s">
        <v>94</v>
      </c>
      <c r="D438" s="106">
        <v>344.91</v>
      </c>
      <c r="E438" s="107">
        <v>2695</v>
      </c>
      <c r="F438" s="106">
        <f t="shared" si="32"/>
        <v>344.86604649999998</v>
      </c>
      <c r="G438" s="108" t="s">
        <v>1065</v>
      </c>
      <c r="H438" s="108" t="s">
        <v>1066</v>
      </c>
      <c r="I438" s="107">
        <v>10</v>
      </c>
      <c r="J438" s="107">
        <v>349</v>
      </c>
      <c r="K438" s="108" t="s">
        <v>429</v>
      </c>
      <c r="L438" s="107">
        <v>13020</v>
      </c>
      <c r="M438" s="111">
        <f t="shared" si="30"/>
        <v>114.1052146047673</v>
      </c>
      <c r="N438" s="111">
        <v>301.33</v>
      </c>
      <c r="O438" s="113">
        <f t="shared" si="31"/>
        <v>43.208442571267383</v>
      </c>
      <c r="P438" s="78"/>
      <c r="Q438" s="63"/>
      <c r="R438" s="63"/>
      <c r="S438" s="63"/>
      <c r="T438" s="63"/>
      <c r="U438" s="63"/>
      <c r="V438" s="63"/>
      <c r="W438" s="63"/>
      <c r="X438" s="63"/>
      <c r="Y438" s="63"/>
      <c r="Z438" s="63"/>
    </row>
    <row r="439" spans="1:26" ht="17.25" customHeight="1" x14ac:dyDescent="0.2">
      <c r="A439" s="104">
        <v>996</v>
      </c>
      <c r="B439" s="105" t="s">
        <v>30</v>
      </c>
      <c r="C439" s="105" t="s">
        <v>94</v>
      </c>
      <c r="D439" s="106">
        <v>345.904</v>
      </c>
      <c r="E439" s="107">
        <v>2695</v>
      </c>
      <c r="F439" s="106">
        <f t="shared" si="32"/>
        <v>345.85338669999993</v>
      </c>
      <c r="G439" s="108" t="s">
        <v>1067</v>
      </c>
      <c r="H439" s="108"/>
      <c r="I439" s="107">
        <v>10</v>
      </c>
      <c r="J439" s="107">
        <v>297</v>
      </c>
      <c r="K439" s="108" t="s">
        <v>429</v>
      </c>
      <c r="L439" s="107">
        <v>11831</v>
      </c>
      <c r="M439" s="111">
        <f t="shared" si="30"/>
        <v>108.77040038539897</v>
      </c>
      <c r="N439" s="111">
        <v>274.37</v>
      </c>
      <c r="O439" s="113">
        <f t="shared" si="31"/>
        <v>43.120603564529652</v>
      </c>
      <c r="P439" s="78"/>
      <c r="Q439" s="63"/>
      <c r="R439" s="63"/>
      <c r="S439" s="63"/>
      <c r="T439" s="63"/>
      <c r="U439" s="63"/>
      <c r="V439" s="63"/>
      <c r="W439" s="63"/>
      <c r="X439" s="63"/>
      <c r="Y439" s="63"/>
      <c r="Z439" s="63"/>
    </row>
    <row r="440" spans="1:26" ht="17.25" customHeight="1" x14ac:dyDescent="0.2">
      <c r="A440" s="104">
        <v>997</v>
      </c>
      <c r="B440" s="105" t="s">
        <v>30</v>
      </c>
      <c r="C440" s="105" t="s">
        <v>94</v>
      </c>
      <c r="D440" s="106">
        <v>344.40600000000001</v>
      </c>
      <c r="E440" s="107">
        <v>2695</v>
      </c>
      <c r="F440" s="106">
        <f t="shared" si="32"/>
        <v>344.36542329999997</v>
      </c>
      <c r="G440" s="108" t="s">
        <v>1068</v>
      </c>
      <c r="H440" s="108" t="s">
        <v>1069</v>
      </c>
      <c r="I440" s="107">
        <v>10</v>
      </c>
      <c r="J440" s="107">
        <v>314</v>
      </c>
      <c r="K440" s="108" t="s">
        <v>429</v>
      </c>
      <c r="L440" s="107">
        <v>11255</v>
      </c>
      <c r="M440" s="111">
        <f t="shared" si="30"/>
        <v>106.0895847856895</v>
      </c>
      <c r="N440" s="111">
        <v>276.3</v>
      </c>
      <c r="O440" s="113">
        <f t="shared" si="31"/>
        <v>40.734708650018092</v>
      </c>
      <c r="P440" s="78"/>
      <c r="Q440" s="63"/>
      <c r="R440" s="63"/>
      <c r="S440" s="63"/>
      <c r="T440" s="63"/>
      <c r="U440" s="63"/>
      <c r="V440" s="63"/>
      <c r="W440" s="63"/>
      <c r="X440" s="63"/>
      <c r="Y440" s="63"/>
      <c r="Z440" s="63"/>
    </row>
    <row r="441" spans="1:26" ht="17.25" customHeight="1" x14ac:dyDescent="0.2">
      <c r="A441" s="104">
        <v>998</v>
      </c>
      <c r="B441" s="105" t="s">
        <v>30</v>
      </c>
      <c r="C441" s="105" t="s">
        <v>94</v>
      </c>
      <c r="D441" s="106">
        <v>346.904</v>
      </c>
      <c r="E441" s="107">
        <v>2695</v>
      </c>
      <c r="F441" s="106">
        <f t="shared" si="32"/>
        <v>346.84668669999996</v>
      </c>
      <c r="G441" s="108" t="s">
        <v>1070</v>
      </c>
      <c r="H441" s="108" t="s">
        <v>1071</v>
      </c>
      <c r="I441" s="107">
        <v>10</v>
      </c>
      <c r="J441" s="107">
        <v>1519</v>
      </c>
      <c r="K441" s="108" t="s">
        <v>429</v>
      </c>
      <c r="L441" s="107">
        <v>63199</v>
      </c>
      <c r="M441" s="111">
        <f t="shared" si="30"/>
        <v>251.39411289845273</v>
      </c>
      <c r="N441" s="111">
        <v>1492.37</v>
      </c>
      <c r="O441" s="113">
        <f t="shared" si="31"/>
        <v>42.348077219456307</v>
      </c>
      <c r="P441" s="78"/>
      <c r="Q441" s="63"/>
      <c r="R441" s="63"/>
      <c r="S441" s="63"/>
      <c r="T441" s="63"/>
      <c r="U441" s="63"/>
      <c r="V441" s="63"/>
      <c r="W441" s="63"/>
      <c r="X441" s="63"/>
      <c r="Y441" s="63"/>
      <c r="Z441" s="63"/>
    </row>
    <row r="442" spans="1:26" ht="17.25" customHeight="1" x14ac:dyDescent="0.2">
      <c r="A442" s="104">
        <v>999</v>
      </c>
      <c r="B442" s="105" t="s">
        <v>30</v>
      </c>
      <c r="C442" s="105" t="s">
        <v>94</v>
      </c>
      <c r="D442" s="106">
        <v>347.89100000000002</v>
      </c>
      <c r="E442" s="107">
        <v>2695</v>
      </c>
      <c r="F442" s="106">
        <f t="shared" si="32"/>
        <v>347.82707379999999</v>
      </c>
      <c r="G442" s="108" t="s">
        <v>1072</v>
      </c>
      <c r="H442" s="108" t="s">
        <v>1073</v>
      </c>
      <c r="I442" s="107">
        <v>10</v>
      </c>
      <c r="J442" s="107">
        <v>742</v>
      </c>
      <c r="K442" s="108" t="s">
        <v>429</v>
      </c>
      <c r="L442" s="107">
        <v>29030</v>
      </c>
      <c r="M442" s="111">
        <f t="shared" si="30"/>
        <v>170.38192392387168</v>
      </c>
      <c r="N442" s="111">
        <v>715.38</v>
      </c>
      <c r="O442" s="113">
        <f t="shared" si="31"/>
        <v>40.579831697838912</v>
      </c>
      <c r="P442" s="78"/>
      <c r="Q442" s="63"/>
      <c r="R442" s="63"/>
      <c r="S442" s="63"/>
      <c r="T442" s="63"/>
      <c r="U442" s="63"/>
      <c r="V442" s="63"/>
      <c r="W442" s="63"/>
      <c r="X442" s="63"/>
      <c r="Y442" s="63"/>
      <c r="Z442" s="63"/>
    </row>
    <row r="443" spans="1:26" ht="17.25" customHeight="1" x14ac:dyDescent="0.2">
      <c r="A443" s="104">
        <v>1000</v>
      </c>
      <c r="B443" s="105" t="s">
        <v>30</v>
      </c>
      <c r="C443" s="105" t="s">
        <v>94</v>
      </c>
      <c r="D443" s="106">
        <v>349.90499999999997</v>
      </c>
      <c r="E443" s="107">
        <v>2695</v>
      </c>
      <c r="F443" s="106">
        <f t="shared" si="32"/>
        <v>349.82757999999995</v>
      </c>
      <c r="G443" s="108" t="s">
        <v>1074</v>
      </c>
      <c r="H443" s="108"/>
      <c r="I443" s="107">
        <v>15</v>
      </c>
      <c r="J443" s="107">
        <v>459</v>
      </c>
      <c r="K443" s="108" t="s">
        <v>429</v>
      </c>
      <c r="L443" s="107">
        <v>20296</v>
      </c>
      <c r="M443" s="111">
        <f t="shared" si="30"/>
        <v>142.46403054806501</v>
      </c>
      <c r="N443" s="111">
        <v>617.05999999999995</v>
      </c>
      <c r="O443" s="113">
        <f t="shared" si="31"/>
        <v>32.89145301915535</v>
      </c>
      <c r="P443" s="78"/>
      <c r="Q443" s="63"/>
      <c r="R443" s="63"/>
      <c r="S443" s="63"/>
      <c r="T443" s="63"/>
      <c r="U443" s="63"/>
      <c r="V443" s="63"/>
      <c r="W443" s="63"/>
      <c r="X443" s="63"/>
      <c r="Y443" s="63"/>
      <c r="Z443" s="63"/>
    </row>
    <row r="444" spans="1:26" ht="17.25" customHeight="1" x14ac:dyDescent="0.2">
      <c r="A444" s="104">
        <v>1001</v>
      </c>
      <c r="B444" s="105" t="s">
        <v>30</v>
      </c>
      <c r="C444" s="105" t="s">
        <v>94</v>
      </c>
      <c r="D444" s="106">
        <v>348.91199999999998</v>
      </c>
      <c r="E444" s="107">
        <v>2695</v>
      </c>
      <c r="F444" s="106">
        <f t="shared" si="32"/>
        <v>348.84123309999995</v>
      </c>
      <c r="G444" s="108" t="s">
        <v>1075</v>
      </c>
      <c r="H444" s="108" t="s">
        <v>1076</v>
      </c>
      <c r="I444" s="107">
        <v>15</v>
      </c>
      <c r="J444" s="107">
        <v>646</v>
      </c>
      <c r="K444" s="108" t="s">
        <v>429</v>
      </c>
      <c r="L444" s="107">
        <v>34380</v>
      </c>
      <c r="M444" s="111">
        <f t="shared" si="30"/>
        <v>185.41844568434934</v>
      </c>
      <c r="N444" s="111">
        <v>938.21</v>
      </c>
      <c r="O444" s="113">
        <f t="shared" si="31"/>
        <v>36.644248089446926</v>
      </c>
      <c r="P444" s="78"/>
      <c r="Q444" s="63"/>
      <c r="R444" s="63"/>
      <c r="S444" s="63"/>
      <c r="T444" s="63"/>
      <c r="U444" s="63"/>
      <c r="V444" s="63"/>
      <c r="W444" s="63"/>
      <c r="X444" s="63"/>
      <c r="Y444" s="63"/>
      <c r="Z444" s="63"/>
    </row>
    <row r="445" spans="1:26" ht="17.25" customHeight="1" x14ac:dyDescent="0.2">
      <c r="A445" s="104">
        <v>1002</v>
      </c>
      <c r="B445" s="105" t="s">
        <v>30</v>
      </c>
      <c r="C445" s="105" t="s">
        <v>94</v>
      </c>
      <c r="D445" s="106">
        <v>351.91899999999998</v>
      </c>
      <c r="E445" s="107">
        <v>2695</v>
      </c>
      <c r="F445" s="106">
        <f t="shared" si="32"/>
        <v>351.82808619999992</v>
      </c>
      <c r="G445" s="108" t="s">
        <v>1077</v>
      </c>
      <c r="H445" s="108" t="s">
        <v>1078</v>
      </c>
      <c r="I445" s="107">
        <v>15</v>
      </c>
      <c r="J445" s="107">
        <v>522</v>
      </c>
      <c r="K445" s="108" t="s">
        <v>429</v>
      </c>
      <c r="L445" s="107">
        <v>18675</v>
      </c>
      <c r="M445" s="111">
        <f t="shared" si="30"/>
        <v>136.65650368716447</v>
      </c>
      <c r="N445" s="111">
        <v>702.85</v>
      </c>
      <c r="O445" s="113">
        <f t="shared" si="31"/>
        <v>26.570391975528207</v>
      </c>
      <c r="P445" s="78"/>
      <c r="Q445" s="63"/>
      <c r="R445" s="63"/>
      <c r="S445" s="63"/>
      <c r="T445" s="63"/>
      <c r="U445" s="63"/>
      <c r="V445" s="63"/>
      <c r="W445" s="63"/>
      <c r="X445" s="63"/>
      <c r="Y445" s="63"/>
      <c r="Z445" s="63"/>
    </row>
    <row r="446" spans="1:26" ht="17.25" customHeight="1" x14ac:dyDescent="0.2">
      <c r="A446" s="104">
        <v>1003</v>
      </c>
      <c r="B446" s="105" t="s">
        <v>30</v>
      </c>
      <c r="C446" s="105" t="s">
        <v>94</v>
      </c>
      <c r="D446" s="106">
        <v>353.91300000000001</v>
      </c>
      <c r="E446" s="107">
        <v>2695</v>
      </c>
      <c r="F446" s="106">
        <f t="shared" si="32"/>
        <v>353.80872639999995</v>
      </c>
      <c r="G446" s="108" t="s">
        <v>1079</v>
      </c>
      <c r="H446" s="108" t="s">
        <v>1080</v>
      </c>
      <c r="I446" s="107">
        <v>25</v>
      </c>
      <c r="J446" s="107">
        <v>396</v>
      </c>
      <c r="K446" s="108" t="s">
        <v>429</v>
      </c>
      <c r="L446" s="107">
        <v>16951</v>
      </c>
      <c r="M446" s="111">
        <f t="shared" si="30"/>
        <v>130.19600608313604</v>
      </c>
      <c r="N446" s="111">
        <v>886.77</v>
      </c>
      <c r="O446" s="113">
        <f t="shared" si="31"/>
        <v>19.115441433517148</v>
      </c>
      <c r="P446" s="78"/>
      <c r="Q446" s="63"/>
      <c r="R446" s="63"/>
      <c r="S446" s="63"/>
      <c r="T446" s="63"/>
      <c r="U446" s="63"/>
      <c r="V446" s="63"/>
      <c r="W446" s="63"/>
      <c r="X446" s="63"/>
      <c r="Y446" s="63"/>
      <c r="Z446" s="63"/>
    </row>
    <row r="447" spans="1:26" ht="17.25" customHeight="1" x14ac:dyDescent="0.2">
      <c r="A447" s="104">
        <v>1004</v>
      </c>
      <c r="B447" s="105" t="s">
        <v>30</v>
      </c>
      <c r="C447" s="105" t="s">
        <v>94</v>
      </c>
      <c r="D447" s="106">
        <v>355.928</v>
      </c>
      <c r="E447" s="107">
        <v>2695</v>
      </c>
      <c r="F447" s="106">
        <f t="shared" si="32"/>
        <v>355.81022589999998</v>
      </c>
      <c r="G447" s="108" t="s">
        <v>1081</v>
      </c>
      <c r="H447" s="108" t="s">
        <v>1082</v>
      </c>
      <c r="I447" s="107">
        <v>25</v>
      </c>
      <c r="J447" s="107">
        <v>1565</v>
      </c>
      <c r="K447" s="108" t="s">
        <v>429</v>
      </c>
      <c r="L447" s="107">
        <v>50636</v>
      </c>
      <c r="M447" s="111">
        <f t="shared" si="30"/>
        <v>225.02444311674233</v>
      </c>
      <c r="N447" s="111">
        <v>3796.3</v>
      </c>
      <c r="O447" s="113">
        <f t="shared" si="31"/>
        <v>13.338250401706924</v>
      </c>
      <c r="P447" s="78"/>
      <c r="Q447" s="63"/>
      <c r="R447" s="63"/>
      <c r="S447" s="63"/>
      <c r="T447" s="63"/>
      <c r="U447" s="63"/>
      <c r="V447" s="63"/>
      <c r="W447" s="63"/>
      <c r="X447" s="63"/>
      <c r="Y447" s="63"/>
      <c r="Z447" s="63"/>
    </row>
    <row r="448" spans="1:26" ht="17.25" customHeight="1" x14ac:dyDescent="0.2">
      <c r="A448" s="104">
        <v>1005</v>
      </c>
      <c r="B448" s="105" t="s">
        <v>30</v>
      </c>
      <c r="C448" s="105" t="s">
        <v>94</v>
      </c>
      <c r="D448" s="106">
        <v>357.928</v>
      </c>
      <c r="E448" s="107">
        <v>2695</v>
      </c>
      <c r="F448" s="106">
        <f t="shared" si="32"/>
        <v>357.79682589999993</v>
      </c>
      <c r="G448" s="108" t="s">
        <v>1083</v>
      </c>
      <c r="H448" s="108"/>
      <c r="I448" s="107">
        <v>25</v>
      </c>
      <c r="J448" s="107">
        <v>534</v>
      </c>
      <c r="K448" s="108" t="s">
        <v>429</v>
      </c>
      <c r="L448" s="107">
        <v>10396</v>
      </c>
      <c r="M448" s="111">
        <f t="shared" si="30"/>
        <v>101.96077677224709</v>
      </c>
      <c r="N448" s="111">
        <v>1199.96</v>
      </c>
      <c r="O448" s="113">
        <f t="shared" si="31"/>
        <v>8.663622120737358</v>
      </c>
      <c r="P448" s="78"/>
      <c r="Q448" s="63"/>
      <c r="R448" s="63"/>
      <c r="S448" s="63"/>
      <c r="T448" s="63"/>
      <c r="U448" s="63"/>
      <c r="V448" s="63"/>
      <c r="W448" s="63"/>
      <c r="X448" s="63"/>
      <c r="Y448" s="63"/>
      <c r="Z448" s="63"/>
    </row>
    <row r="449" spans="1:26" ht="17.25" customHeight="1" x14ac:dyDescent="0.2">
      <c r="A449" s="104">
        <v>1006</v>
      </c>
      <c r="B449" s="105" t="s">
        <v>30</v>
      </c>
      <c r="C449" s="105" t="s">
        <v>94</v>
      </c>
      <c r="D449" s="106">
        <v>359.92899999999997</v>
      </c>
      <c r="E449" s="107">
        <v>2695</v>
      </c>
      <c r="F449" s="106">
        <f t="shared" si="32"/>
        <v>359.78441919999995</v>
      </c>
      <c r="G449" s="108" t="s">
        <v>1084</v>
      </c>
      <c r="H449" s="108"/>
      <c r="I449" s="107">
        <v>31</v>
      </c>
      <c r="J449" s="107">
        <v>645</v>
      </c>
      <c r="K449" s="108" t="s">
        <v>429</v>
      </c>
      <c r="L449" s="107">
        <v>10417</v>
      </c>
      <c r="M449" s="111">
        <f t="shared" si="30"/>
        <v>102.06370559606387</v>
      </c>
      <c r="N449" s="111">
        <v>1894.94</v>
      </c>
      <c r="O449" s="113">
        <f t="shared" si="31"/>
        <v>5.4972716814252696</v>
      </c>
      <c r="P449" s="78"/>
      <c r="Q449" s="63"/>
      <c r="R449" s="63"/>
      <c r="S449" s="63"/>
      <c r="T449" s="63"/>
      <c r="U449" s="63"/>
      <c r="V449" s="63"/>
      <c r="W449" s="63"/>
      <c r="X449" s="63"/>
      <c r="Y449" s="63"/>
      <c r="Z449" s="63"/>
    </row>
    <row r="450" spans="1:26" ht="17.25" customHeight="1" x14ac:dyDescent="0.2">
      <c r="A450" s="104">
        <v>1007</v>
      </c>
      <c r="B450" s="105" t="s">
        <v>30</v>
      </c>
      <c r="C450" s="105" t="s">
        <v>94</v>
      </c>
      <c r="D450" s="106">
        <v>364.93799999999999</v>
      </c>
      <c r="E450" s="107">
        <v>2695</v>
      </c>
      <c r="F450" s="106">
        <f t="shared" si="32"/>
        <v>364.75985889999993</v>
      </c>
      <c r="G450" s="108" t="s">
        <v>1085</v>
      </c>
      <c r="H450" s="108" t="s">
        <v>1086</v>
      </c>
      <c r="I450" s="107">
        <v>35</v>
      </c>
      <c r="J450" s="107">
        <v>808</v>
      </c>
      <c r="K450" s="108" t="s">
        <v>429</v>
      </c>
      <c r="L450" s="107">
        <v>5161</v>
      </c>
      <c r="M450" s="111">
        <f t="shared" si="30"/>
        <v>71.840100222647237</v>
      </c>
      <c r="N450" s="111">
        <v>2700.83</v>
      </c>
      <c r="O450" s="113">
        <f t="shared" si="31"/>
        <v>1.91089405849313</v>
      </c>
      <c r="P450" s="78"/>
      <c r="Q450" s="63"/>
      <c r="R450" s="63"/>
      <c r="S450" s="63"/>
      <c r="T450" s="63"/>
      <c r="U450" s="63"/>
      <c r="V450" s="63"/>
      <c r="W450" s="63"/>
      <c r="X450" s="63"/>
      <c r="Y450" s="63"/>
      <c r="Z450" s="63"/>
    </row>
    <row r="451" spans="1:26" ht="17.25" customHeight="1" x14ac:dyDescent="0.2">
      <c r="A451" s="104">
        <v>1008</v>
      </c>
      <c r="B451" s="105" t="s">
        <v>30</v>
      </c>
      <c r="C451" s="105" t="s">
        <v>94</v>
      </c>
      <c r="D451" s="106">
        <v>369.95299999999997</v>
      </c>
      <c r="E451" s="107">
        <v>2695</v>
      </c>
      <c r="F451" s="106">
        <f t="shared" si="32"/>
        <v>369.74125839999994</v>
      </c>
      <c r="G451" s="108" t="s">
        <v>1087</v>
      </c>
      <c r="H451" s="108" t="s">
        <v>1088</v>
      </c>
      <c r="I451" s="107">
        <v>40</v>
      </c>
      <c r="J451" s="107">
        <v>1505</v>
      </c>
      <c r="K451" s="108" t="s">
        <v>429</v>
      </c>
      <c r="L451" s="107">
        <v>5396</v>
      </c>
      <c r="M451" s="111">
        <f t="shared" si="30"/>
        <v>73.457470688827826</v>
      </c>
      <c r="N451" s="111">
        <v>5839.79</v>
      </c>
      <c r="O451" s="113">
        <f t="shared" si="31"/>
        <v>0.9240058289767269</v>
      </c>
      <c r="P451" s="78"/>
      <c r="Q451" s="63" t="s">
        <v>1089</v>
      </c>
      <c r="R451" s="63"/>
      <c r="S451" s="63"/>
      <c r="T451" s="63"/>
      <c r="U451" s="63"/>
      <c r="V451" s="63"/>
      <c r="W451" s="63"/>
      <c r="X451" s="63"/>
      <c r="Y451" s="63"/>
      <c r="Z451" s="63"/>
    </row>
    <row r="452" spans="1:26" ht="17.25" customHeight="1" x14ac:dyDescent="0.2">
      <c r="A452" s="104">
        <v>1009</v>
      </c>
      <c r="B452" s="105" t="s">
        <v>157</v>
      </c>
      <c r="C452" s="105" t="s">
        <v>94</v>
      </c>
      <c r="D452" s="106">
        <v>189.28700000000001</v>
      </c>
      <c r="E452" s="107">
        <v>2389</v>
      </c>
      <c r="F452" s="106">
        <f t="shared" si="32"/>
        <v>189.98177080000002</v>
      </c>
      <c r="G452" s="108" t="s">
        <v>1090</v>
      </c>
      <c r="H452" s="108" t="s">
        <v>1091</v>
      </c>
      <c r="I452" s="107">
        <v>213</v>
      </c>
      <c r="J452" s="107">
        <v>13495</v>
      </c>
      <c r="K452" s="108" t="s">
        <v>429</v>
      </c>
      <c r="L452" s="107">
        <v>2004</v>
      </c>
      <c r="M452" s="111">
        <f t="shared" si="30"/>
        <v>44.766058571198784</v>
      </c>
      <c r="N452" s="111">
        <v>286137.77</v>
      </c>
      <c r="O452" s="113">
        <f t="shared" si="31"/>
        <v>7.0036192705353086E-3</v>
      </c>
      <c r="P452" s="78"/>
      <c r="Q452" s="63" t="s">
        <v>1092</v>
      </c>
      <c r="R452" s="63"/>
      <c r="S452" s="63"/>
      <c r="T452" s="63"/>
      <c r="U452" s="63"/>
      <c r="V452" s="63"/>
      <c r="W452" s="63"/>
      <c r="X452" s="63"/>
      <c r="Y452" s="63"/>
      <c r="Z452" s="63"/>
    </row>
    <row r="453" spans="1:26" ht="17.25" customHeight="1" x14ac:dyDescent="0.2">
      <c r="A453" s="104">
        <v>1010</v>
      </c>
      <c r="B453" s="105" t="s">
        <v>157</v>
      </c>
      <c r="C453" s="105" t="s">
        <v>94</v>
      </c>
      <c r="D453" s="106">
        <v>179.28700000000001</v>
      </c>
      <c r="E453" s="107">
        <v>2309</v>
      </c>
      <c r="F453" s="106">
        <f t="shared" si="32"/>
        <v>179.9693068</v>
      </c>
      <c r="G453" s="108" t="s">
        <v>1093</v>
      </c>
      <c r="H453" s="108" t="s">
        <v>1094</v>
      </c>
      <c r="I453" s="107">
        <v>191</v>
      </c>
      <c r="J453" s="107">
        <v>62454</v>
      </c>
      <c r="K453" s="108" t="s">
        <v>429</v>
      </c>
      <c r="L453" s="107">
        <v>2179</v>
      </c>
      <c r="M453" s="111">
        <f t="shared" si="30"/>
        <v>46.679760067935227</v>
      </c>
      <c r="N453" s="111">
        <v>522599.87</v>
      </c>
      <c r="O453" s="113">
        <f t="shared" si="31"/>
        <v>4.1695379679294597E-3</v>
      </c>
      <c r="P453" s="78"/>
      <c r="Q453" s="63" t="s">
        <v>1095</v>
      </c>
      <c r="R453" s="63"/>
      <c r="S453" s="63"/>
      <c r="T453" s="63"/>
      <c r="U453" s="63"/>
      <c r="V453" s="63"/>
      <c r="W453" s="63"/>
      <c r="X453" s="63"/>
      <c r="Y453" s="63"/>
      <c r="Z453" s="63"/>
    </row>
    <row r="454" spans="1:26" ht="17.25" customHeight="1" x14ac:dyDescent="0.2">
      <c r="A454" s="104">
        <v>1011</v>
      </c>
      <c r="B454" s="105" t="s">
        <v>157</v>
      </c>
      <c r="C454" s="105" t="s">
        <v>94</v>
      </c>
      <c r="D454" s="106">
        <v>159.33600000000001</v>
      </c>
      <c r="E454" s="107">
        <v>2775</v>
      </c>
      <c r="F454" s="106">
        <f t="shared" si="32"/>
        <v>160.61485630000001</v>
      </c>
      <c r="G454" s="108" t="s">
        <v>1096</v>
      </c>
      <c r="H454" s="108" t="s">
        <v>1097</v>
      </c>
      <c r="I454" s="107">
        <v>230</v>
      </c>
      <c r="J454" s="107">
        <v>32087</v>
      </c>
      <c r="K454" s="108" t="s">
        <v>429</v>
      </c>
      <c r="L454" s="107">
        <v>1022</v>
      </c>
      <c r="M454" s="111">
        <f t="shared" si="30"/>
        <v>31.968734726291562</v>
      </c>
      <c r="N454" s="111">
        <v>752156.14</v>
      </c>
      <c r="O454" s="113">
        <f t="shared" si="31"/>
        <v>1.3587604297160959E-3</v>
      </c>
      <c r="P454" s="78"/>
      <c r="Q454" s="63"/>
      <c r="R454" s="63"/>
      <c r="S454" s="63"/>
      <c r="T454" s="63"/>
      <c r="U454" s="63"/>
      <c r="V454" s="63"/>
      <c r="W454" s="63"/>
      <c r="X454" s="63"/>
      <c r="Y454" s="63"/>
      <c r="Z454" s="63"/>
    </row>
    <row r="455" spans="1:26" ht="17.25" customHeight="1" x14ac:dyDescent="0.2">
      <c r="A455" s="104">
        <v>1012</v>
      </c>
      <c r="B455" s="105" t="s">
        <v>157</v>
      </c>
      <c r="C455" s="105" t="s">
        <v>94</v>
      </c>
      <c r="D455" s="106">
        <v>139.375</v>
      </c>
      <c r="E455" s="107">
        <v>2864</v>
      </c>
      <c r="F455" s="106">
        <f t="shared" si="32"/>
        <v>140.8759987</v>
      </c>
      <c r="G455" s="108" t="s">
        <v>1098</v>
      </c>
      <c r="H455" s="108" t="s">
        <v>1099</v>
      </c>
      <c r="I455" s="107">
        <v>245</v>
      </c>
      <c r="J455" s="107">
        <v>69024</v>
      </c>
      <c r="K455" s="108" t="s">
        <v>429</v>
      </c>
      <c r="L455" s="107">
        <v>280</v>
      </c>
      <c r="M455" s="111">
        <f t="shared" si="30"/>
        <v>16.733200530681511</v>
      </c>
      <c r="N455" s="111">
        <v>1710561.45</v>
      </c>
      <c r="O455" s="113">
        <f t="shared" si="31"/>
        <v>1.6368894552136668E-4</v>
      </c>
      <c r="P455" s="78"/>
      <c r="Q455" s="63"/>
      <c r="R455" s="63"/>
      <c r="S455" s="63"/>
      <c r="T455" s="63"/>
      <c r="U455" s="63"/>
      <c r="V455" s="63"/>
      <c r="W455" s="63"/>
      <c r="X455" s="63"/>
      <c r="Y455" s="63"/>
      <c r="Z455" s="63"/>
    </row>
    <row r="456" spans="1:26" ht="17.25" customHeight="1" x14ac:dyDescent="0.2">
      <c r="A456" s="104">
        <v>1013</v>
      </c>
      <c r="B456" s="105" t="s">
        <v>157</v>
      </c>
      <c r="C456" s="105" t="s">
        <v>94</v>
      </c>
      <c r="D456" s="106">
        <v>98.447000000000003</v>
      </c>
      <c r="E456" s="107">
        <v>2785</v>
      </c>
      <c r="F456" s="106">
        <f t="shared" si="32"/>
        <v>100.1437456</v>
      </c>
      <c r="G456" s="108" t="s">
        <v>1100</v>
      </c>
      <c r="H456" s="108" t="s">
        <v>1101</v>
      </c>
      <c r="I456" s="107">
        <v>178</v>
      </c>
      <c r="J456" s="107">
        <v>551968</v>
      </c>
      <c r="K456" s="108" t="s">
        <v>429</v>
      </c>
      <c r="L456" s="107">
        <v>35</v>
      </c>
      <c r="M456" s="111">
        <f t="shared" si="30"/>
        <v>5.9160797830996161</v>
      </c>
      <c r="N456" s="111">
        <v>10002148.199999999</v>
      </c>
      <c r="O456" s="113">
        <f t="shared" si="31"/>
        <v>3.4992482914820243E-6</v>
      </c>
      <c r="P456" s="78"/>
      <c r="Q456" s="63" t="s">
        <v>1102</v>
      </c>
      <c r="R456" s="63"/>
      <c r="S456" s="63"/>
      <c r="T456" s="63"/>
      <c r="U456" s="63"/>
      <c r="V456" s="63"/>
      <c r="W456" s="63"/>
      <c r="X456" s="63"/>
      <c r="Y456" s="63"/>
      <c r="Z456" s="63"/>
    </row>
    <row r="457" spans="1:26" ht="17.25" customHeight="1" x14ac:dyDescent="0.2">
      <c r="A457" s="104">
        <v>1014</v>
      </c>
      <c r="B457" s="105" t="s">
        <v>31</v>
      </c>
      <c r="C457" s="105" t="s">
        <v>94</v>
      </c>
      <c r="D457" s="106">
        <v>329.36099999999999</v>
      </c>
      <c r="E457" s="107">
        <v>2695</v>
      </c>
      <c r="F457" s="106">
        <f t="shared" si="32"/>
        <v>329.42122479999995</v>
      </c>
      <c r="G457" s="108" t="s">
        <v>1103</v>
      </c>
      <c r="H457" s="108" t="s">
        <v>1104</v>
      </c>
      <c r="I457" s="107">
        <v>40</v>
      </c>
      <c r="J457" s="107">
        <v>947</v>
      </c>
      <c r="K457" s="108" t="s">
        <v>429</v>
      </c>
      <c r="L457" s="107">
        <v>1473</v>
      </c>
      <c r="M457" s="111">
        <f t="shared" si="30"/>
        <v>38.379682124790975</v>
      </c>
      <c r="N457" s="111">
        <v>3627.31</v>
      </c>
      <c r="O457" s="113">
        <f t="shared" si="31"/>
        <v>0.40608605274983389</v>
      </c>
      <c r="P457" s="78"/>
      <c r="Q457" s="63"/>
      <c r="R457" s="63"/>
      <c r="S457" s="63"/>
      <c r="T457" s="63"/>
      <c r="U457" s="63"/>
      <c r="V457" s="63"/>
      <c r="W457" s="63"/>
      <c r="X457" s="63"/>
      <c r="Y457" s="63"/>
      <c r="Z457" s="63"/>
    </row>
    <row r="458" spans="1:26" ht="17.25" customHeight="1" x14ac:dyDescent="0.2">
      <c r="A458" s="104">
        <v>1015</v>
      </c>
      <c r="B458" s="105" t="s">
        <v>31</v>
      </c>
      <c r="C458" s="105" t="s">
        <v>94</v>
      </c>
      <c r="D458" s="106">
        <v>331.36099999999999</v>
      </c>
      <c r="E458" s="107">
        <v>2695</v>
      </c>
      <c r="F458" s="106">
        <f t="shared" si="32"/>
        <v>331.40782479999996</v>
      </c>
      <c r="G458" s="108" t="s">
        <v>1105</v>
      </c>
      <c r="H458" s="108" t="s">
        <v>1106</v>
      </c>
      <c r="I458" s="107">
        <v>39</v>
      </c>
      <c r="J458" s="107">
        <v>611</v>
      </c>
      <c r="K458" s="108" t="s">
        <v>429</v>
      </c>
      <c r="L458" s="107">
        <v>1154</v>
      </c>
      <c r="M458" s="111">
        <f t="shared" si="30"/>
        <v>33.97057550292606</v>
      </c>
      <c r="N458" s="111">
        <v>2244.67</v>
      </c>
      <c r="O458" s="113">
        <f t="shared" si="31"/>
        <v>0.51410675065822586</v>
      </c>
      <c r="P458" s="78"/>
      <c r="Q458" s="63"/>
      <c r="R458" s="63"/>
      <c r="S458" s="63"/>
      <c r="T458" s="63"/>
      <c r="U458" s="63"/>
      <c r="V458" s="63"/>
      <c r="W458" s="63"/>
      <c r="X458" s="63"/>
      <c r="Y458" s="63"/>
      <c r="Z458" s="63"/>
    </row>
    <row r="459" spans="1:26" ht="17.25" customHeight="1" x14ac:dyDescent="0.2">
      <c r="A459" s="104">
        <v>1016</v>
      </c>
      <c r="B459" s="105" t="s">
        <v>31</v>
      </c>
      <c r="C459" s="105" t="s">
        <v>94</v>
      </c>
      <c r="D459" s="106">
        <v>333.375</v>
      </c>
      <c r="E459" s="107">
        <v>2695</v>
      </c>
      <c r="F459" s="106">
        <f t="shared" si="32"/>
        <v>333.40833099999998</v>
      </c>
      <c r="G459" s="108" t="s">
        <v>1107</v>
      </c>
      <c r="H459" s="108" t="s">
        <v>1108</v>
      </c>
      <c r="I459" s="107">
        <v>40</v>
      </c>
      <c r="J459" s="107">
        <v>1098</v>
      </c>
      <c r="K459" s="108" t="s">
        <v>429</v>
      </c>
      <c r="L459" s="107">
        <v>3416</v>
      </c>
      <c r="M459" s="111">
        <f t="shared" si="30"/>
        <v>58.446556784809829</v>
      </c>
      <c r="N459" s="111">
        <v>4243.42</v>
      </c>
      <c r="O459" s="113">
        <f t="shared" si="31"/>
        <v>0.80501105240584248</v>
      </c>
      <c r="P459" s="78"/>
      <c r="Q459" s="63"/>
      <c r="R459" s="63"/>
      <c r="S459" s="63"/>
      <c r="T459" s="63"/>
      <c r="U459" s="63"/>
      <c r="V459" s="63"/>
      <c r="W459" s="63"/>
      <c r="X459" s="63"/>
      <c r="Y459" s="63"/>
      <c r="Z459" s="63"/>
    </row>
    <row r="460" spans="1:26" ht="17.25" customHeight="1" x14ac:dyDescent="0.2">
      <c r="A460" s="104">
        <v>1017</v>
      </c>
      <c r="B460" s="105" t="s">
        <v>31</v>
      </c>
      <c r="C460" s="105" t="s">
        <v>94</v>
      </c>
      <c r="D460" s="106">
        <v>335.37599999999998</v>
      </c>
      <c r="E460" s="107">
        <v>2695</v>
      </c>
      <c r="F460" s="106">
        <f t="shared" si="32"/>
        <v>335.39592429999993</v>
      </c>
      <c r="G460" s="108" t="s">
        <v>1109</v>
      </c>
      <c r="H460" s="108"/>
      <c r="I460" s="107">
        <v>40</v>
      </c>
      <c r="J460" s="107">
        <v>386</v>
      </c>
      <c r="K460" s="108" t="s">
        <v>429</v>
      </c>
      <c r="L460" s="107">
        <v>1656</v>
      </c>
      <c r="M460" s="111">
        <f t="shared" si="30"/>
        <v>40.693979898751607</v>
      </c>
      <c r="N460" s="111">
        <v>1414.27</v>
      </c>
      <c r="O460" s="113">
        <f t="shared" si="31"/>
        <v>1.1709221011546593</v>
      </c>
      <c r="P460" s="78"/>
      <c r="Q460" s="63"/>
      <c r="R460" s="63"/>
      <c r="S460" s="63"/>
      <c r="T460" s="63"/>
      <c r="U460" s="63"/>
      <c r="V460" s="63"/>
      <c r="W460" s="63"/>
      <c r="X460" s="63"/>
      <c r="Y460" s="63"/>
      <c r="Z460" s="63"/>
    </row>
    <row r="461" spans="1:26" ht="17.25" customHeight="1" x14ac:dyDescent="0.2">
      <c r="A461" s="104">
        <v>1018</v>
      </c>
      <c r="B461" s="105" t="s">
        <v>31</v>
      </c>
      <c r="C461" s="105" t="s">
        <v>94</v>
      </c>
      <c r="D461" s="106">
        <v>337.37700000000001</v>
      </c>
      <c r="E461" s="107">
        <v>2695</v>
      </c>
      <c r="F461" s="106">
        <f t="shared" si="32"/>
        <v>337.38351759999995</v>
      </c>
      <c r="G461" s="108" t="s">
        <v>1110</v>
      </c>
      <c r="H461" s="108" t="s">
        <v>1111</v>
      </c>
      <c r="I461" s="107">
        <v>25</v>
      </c>
      <c r="J461" s="107">
        <v>609</v>
      </c>
      <c r="K461" s="108" t="s">
        <v>429</v>
      </c>
      <c r="L461" s="107">
        <v>2685</v>
      </c>
      <c r="M461" s="111">
        <f t="shared" si="30"/>
        <v>51.81698563212646</v>
      </c>
      <c r="N461" s="111">
        <v>1324.37</v>
      </c>
      <c r="O461" s="113">
        <f t="shared" si="31"/>
        <v>2.0273790557019566</v>
      </c>
      <c r="P461" s="78"/>
      <c r="Q461" s="63"/>
      <c r="R461" s="63"/>
      <c r="S461" s="63"/>
      <c r="T461" s="63"/>
      <c r="U461" s="63"/>
      <c r="V461" s="63"/>
      <c r="W461" s="63"/>
      <c r="X461" s="63"/>
      <c r="Y461" s="63"/>
      <c r="Z461" s="63"/>
    </row>
    <row r="462" spans="1:26" ht="17.25" customHeight="1" x14ac:dyDescent="0.2">
      <c r="A462" s="104">
        <v>1019</v>
      </c>
      <c r="B462" s="105" t="s">
        <v>31</v>
      </c>
      <c r="C462" s="105" t="s">
        <v>94</v>
      </c>
      <c r="D462" s="106">
        <v>339.37799999999999</v>
      </c>
      <c r="E462" s="107">
        <v>2695</v>
      </c>
      <c r="F462" s="106">
        <f t="shared" si="32"/>
        <v>339.37111089999996</v>
      </c>
      <c r="G462" s="108" t="s">
        <v>1112</v>
      </c>
      <c r="H462" s="108" t="s">
        <v>1113</v>
      </c>
      <c r="I462" s="109"/>
      <c r="J462" s="107">
        <v>755</v>
      </c>
      <c r="K462" s="108" t="s">
        <v>429</v>
      </c>
      <c r="L462" s="107">
        <v>7543</v>
      </c>
      <c r="M462" s="111">
        <f t="shared" si="30"/>
        <v>86.850446170414116</v>
      </c>
      <c r="N462" s="111">
        <v>1778.46</v>
      </c>
      <c r="O462" s="113">
        <f t="shared" si="31"/>
        <v>4.241309897326901</v>
      </c>
      <c r="P462" s="78"/>
      <c r="Q462" s="63"/>
      <c r="R462" s="63"/>
      <c r="S462" s="63"/>
      <c r="T462" s="63"/>
      <c r="U462" s="63"/>
      <c r="V462" s="63"/>
      <c r="W462" s="63"/>
      <c r="X462" s="63"/>
      <c r="Y462" s="63"/>
      <c r="Z462" s="63"/>
    </row>
    <row r="463" spans="1:26" ht="17.25" customHeight="1" x14ac:dyDescent="0.2">
      <c r="A463" s="104">
        <v>1020</v>
      </c>
      <c r="B463" s="105" t="s">
        <v>31</v>
      </c>
      <c r="C463" s="105" t="s">
        <v>94</v>
      </c>
      <c r="D463" s="106">
        <v>340.38499999999999</v>
      </c>
      <c r="E463" s="107">
        <v>2695</v>
      </c>
      <c r="F463" s="106">
        <f t="shared" si="32"/>
        <v>340.37136399999997</v>
      </c>
      <c r="G463" s="108" t="s">
        <v>1113</v>
      </c>
      <c r="H463" s="108" t="s">
        <v>1114</v>
      </c>
      <c r="I463" s="107">
        <v>25</v>
      </c>
      <c r="J463" s="107">
        <v>413</v>
      </c>
      <c r="K463" s="108" t="s">
        <v>429</v>
      </c>
      <c r="L463" s="107">
        <v>6582</v>
      </c>
      <c r="M463" s="111">
        <f t="shared" si="30"/>
        <v>81.129526067887269</v>
      </c>
      <c r="N463" s="111">
        <v>932.76</v>
      </c>
      <c r="O463" s="113">
        <f t="shared" si="31"/>
        <v>7.0564775504953046</v>
      </c>
      <c r="P463" s="78"/>
      <c r="Q463" s="63"/>
      <c r="R463" s="63"/>
      <c r="S463" s="63"/>
      <c r="T463" s="63"/>
      <c r="U463" s="63"/>
      <c r="V463" s="63"/>
      <c r="W463" s="63"/>
      <c r="X463" s="63"/>
      <c r="Y463" s="63"/>
      <c r="Z463" s="63"/>
    </row>
    <row r="464" spans="1:26" ht="17.25" customHeight="1" x14ac:dyDescent="0.2">
      <c r="A464" s="104">
        <v>1021</v>
      </c>
      <c r="B464" s="105" t="s">
        <v>31</v>
      </c>
      <c r="C464" s="105" t="s">
        <v>94</v>
      </c>
      <c r="D464" s="106">
        <v>341.392</v>
      </c>
      <c r="E464" s="107">
        <v>2695</v>
      </c>
      <c r="F464" s="106">
        <f t="shared" si="32"/>
        <v>341.37161709999992</v>
      </c>
      <c r="G464" s="108" t="s">
        <v>1115</v>
      </c>
      <c r="H464" s="108" t="s">
        <v>1116</v>
      </c>
      <c r="I464" s="107">
        <v>15</v>
      </c>
      <c r="J464" s="107">
        <v>322</v>
      </c>
      <c r="K464" s="108" t="s">
        <v>429</v>
      </c>
      <c r="L464" s="107">
        <v>5647</v>
      </c>
      <c r="M464" s="111">
        <f t="shared" si="30"/>
        <v>75.146523539016755</v>
      </c>
      <c r="N464" s="111">
        <v>421.9</v>
      </c>
      <c r="O464" s="113">
        <f t="shared" si="31"/>
        <v>13.384688314766533</v>
      </c>
      <c r="P464" s="78"/>
      <c r="Q464" s="63"/>
      <c r="R464" s="63"/>
      <c r="S464" s="63"/>
      <c r="T464" s="63"/>
      <c r="U464" s="63"/>
      <c r="V464" s="63"/>
      <c r="W464" s="63"/>
      <c r="X464" s="63"/>
      <c r="Y464" s="63"/>
      <c r="Z464" s="63"/>
    </row>
    <row r="465" spans="1:26" ht="17.25" customHeight="1" x14ac:dyDescent="0.2">
      <c r="A465" s="104">
        <v>1022</v>
      </c>
      <c r="B465" s="105" t="s">
        <v>31</v>
      </c>
      <c r="C465" s="105" t="s">
        <v>94</v>
      </c>
      <c r="D465" s="106">
        <v>342.392</v>
      </c>
      <c r="E465" s="107">
        <v>2695</v>
      </c>
      <c r="F465" s="106">
        <f t="shared" si="32"/>
        <v>342.36491709999996</v>
      </c>
      <c r="G465" s="108" t="s">
        <v>1117</v>
      </c>
      <c r="H465" s="108" t="s">
        <v>1118</v>
      </c>
      <c r="I465" s="107">
        <v>15</v>
      </c>
      <c r="J465" s="107">
        <v>210</v>
      </c>
      <c r="K465" s="108" t="s">
        <v>429</v>
      </c>
      <c r="L465" s="107">
        <v>6129</v>
      </c>
      <c r="M465" s="111">
        <f t="shared" si="30"/>
        <v>78.287930104199333</v>
      </c>
      <c r="N465" s="111">
        <v>253.11</v>
      </c>
      <c r="O465" s="113">
        <f t="shared" si="31"/>
        <v>24.21476828256489</v>
      </c>
      <c r="P465" s="78"/>
      <c r="Q465" s="63"/>
      <c r="R465" s="63"/>
      <c r="S465" s="63"/>
      <c r="T465" s="63"/>
      <c r="U465" s="63"/>
      <c r="V465" s="63"/>
      <c r="W465" s="63"/>
      <c r="X465" s="63"/>
      <c r="Y465" s="63"/>
      <c r="Z465" s="63"/>
    </row>
    <row r="466" spans="1:26" ht="17.25" customHeight="1" x14ac:dyDescent="0.2">
      <c r="A466" s="104">
        <v>1023</v>
      </c>
      <c r="B466" s="105" t="s">
        <v>31</v>
      </c>
      <c r="C466" s="105" t="s">
        <v>94</v>
      </c>
      <c r="D466" s="106">
        <v>343.39299999999997</v>
      </c>
      <c r="E466" s="107">
        <v>2695</v>
      </c>
      <c r="F466" s="106">
        <f t="shared" si="32"/>
        <v>343.35921039999994</v>
      </c>
      <c r="G466" s="108" t="s">
        <v>1118</v>
      </c>
      <c r="H466" s="108"/>
      <c r="I466" s="107">
        <v>15</v>
      </c>
      <c r="J466" s="107">
        <v>185</v>
      </c>
      <c r="K466" s="108" t="s">
        <v>429</v>
      </c>
      <c r="L466" s="107">
        <v>7510</v>
      </c>
      <c r="M466" s="111">
        <f t="shared" si="30"/>
        <v>86.660256173173181</v>
      </c>
      <c r="N466" s="111">
        <v>237.58</v>
      </c>
      <c r="O466" s="113">
        <f t="shared" si="31"/>
        <v>31.610404916238739</v>
      </c>
      <c r="P466" s="78"/>
      <c r="Q466" s="63"/>
      <c r="R466" s="63"/>
      <c r="S466" s="63"/>
      <c r="T466" s="63"/>
      <c r="U466" s="63"/>
      <c r="V466" s="63"/>
      <c r="W466" s="63"/>
      <c r="X466" s="63"/>
      <c r="Y466" s="63"/>
      <c r="Z466" s="63"/>
    </row>
    <row r="467" spans="1:26" ht="17.25" customHeight="1" x14ac:dyDescent="0.2">
      <c r="A467" s="104">
        <v>1024</v>
      </c>
      <c r="B467" s="105" t="s">
        <v>31</v>
      </c>
      <c r="C467" s="105" t="s">
        <v>94</v>
      </c>
      <c r="D467" s="106">
        <v>344.39299999999997</v>
      </c>
      <c r="E467" s="107">
        <v>2695</v>
      </c>
      <c r="F467" s="106">
        <f t="shared" si="32"/>
        <v>344.35251039999991</v>
      </c>
      <c r="G467" s="108" t="s">
        <v>1119</v>
      </c>
      <c r="H467" s="108"/>
      <c r="I467" s="107">
        <v>10</v>
      </c>
      <c r="J467" s="107">
        <v>273</v>
      </c>
      <c r="K467" s="108" t="s">
        <v>429</v>
      </c>
      <c r="L467" s="107">
        <v>11024</v>
      </c>
      <c r="M467" s="111">
        <f t="shared" si="30"/>
        <v>104.9952379872535</v>
      </c>
      <c r="N467" s="111">
        <v>271.01</v>
      </c>
      <c r="O467" s="113">
        <f t="shared" si="31"/>
        <v>40.677465776170621</v>
      </c>
      <c r="P467" s="78"/>
      <c r="Q467" s="63"/>
      <c r="R467" s="63"/>
      <c r="S467" s="63"/>
      <c r="T467" s="63"/>
      <c r="U467" s="63"/>
      <c r="V467" s="63"/>
      <c r="W467" s="63"/>
      <c r="X467" s="63"/>
      <c r="Y467" s="63"/>
      <c r="Z467" s="63"/>
    </row>
    <row r="468" spans="1:26" ht="17.25" customHeight="1" x14ac:dyDescent="0.2">
      <c r="A468" s="104">
        <v>1025</v>
      </c>
      <c r="B468" s="105" t="s">
        <v>31</v>
      </c>
      <c r="C468" s="105" t="s">
        <v>94</v>
      </c>
      <c r="D468" s="106">
        <v>343.89600000000002</v>
      </c>
      <c r="E468" s="107">
        <v>2695</v>
      </c>
      <c r="F468" s="106">
        <f t="shared" si="32"/>
        <v>343.8588403</v>
      </c>
      <c r="G468" s="108" t="s">
        <v>1120</v>
      </c>
      <c r="H468" s="108"/>
      <c r="I468" s="107">
        <v>10</v>
      </c>
      <c r="J468" s="107">
        <v>301</v>
      </c>
      <c r="K468" s="108" t="s">
        <v>429</v>
      </c>
      <c r="L468" s="107">
        <v>10769</v>
      </c>
      <c r="M468" s="111">
        <f t="shared" si="30"/>
        <v>103.77379245262264</v>
      </c>
      <c r="N468" s="111">
        <v>292.58</v>
      </c>
      <c r="O468" s="113">
        <f t="shared" si="31"/>
        <v>36.807027137876823</v>
      </c>
      <c r="P468" s="78"/>
      <c r="Q468" s="63"/>
      <c r="R468" s="63"/>
      <c r="S468" s="63"/>
      <c r="T468" s="63"/>
      <c r="U468" s="63"/>
      <c r="V468" s="63"/>
      <c r="W468" s="63"/>
      <c r="X468" s="63"/>
      <c r="Y468" s="63"/>
      <c r="Z468" s="63"/>
    </row>
    <row r="469" spans="1:26" ht="17.25" customHeight="1" x14ac:dyDescent="0.2">
      <c r="A469" s="104">
        <v>1026</v>
      </c>
      <c r="B469" s="105" t="s">
        <v>31</v>
      </c>
      <c r="C469" s="105" t="s">
        <v>94</v>
      </c>
      <c r="D469" s="106">
        <v>344.89699999999999</v>
      </c>
      <c r="E469" s="107">
        <v>2695</v>
      </c>
      <c r="F469" s="106">
        <f t="shared" si="32"/>
        <v>344.85313359999992</v>
      </c>
      <c r="G469" s="108" t="s">
        <v>1121</v>
      </c>
      <c r="H469" s="108"/>
      <c r="I469" s="107">
        <v>10</v>
      </c>
      <c r="J469" s="107">
        <v>273</v>
      </c>
      <c r="K469" s="108" t="s">
        <v>429</v>
      </c>
      <c r="L469" s="107">
        <v>10722</v>
      </c>
      <c r="M469" s="111">
        <f t="shared" ref="M469:M532" si="33">SQRT(L469)</f>
        <v>103.54709073653397</v>
      </c>
      <c r="N469" s="111">
        <v>251.83</v>
      </c>
      <c r="O469" s="113">
        <f t="shared" ref="O469:O532" si="34">L469/N469</f>
        <v>42.576341182543779</v>
      </c>
      <c r="P469" s="78"/>
      <c r="Q469" s="63"/>
      <c r="R469" s="63"/>
      <c r="S469" s="63"/>
      <c r="T469" s="63"/>
      <c r="U469" s="63"/>
      <c r="V469" s="63"/>
      <c r="W469" s="63"/>
      <c r="X469" s="63"/>
      <c r="Y469" s="63"/>
      <c r="Z469" s="63"/>
    </row>
    <row r="470" spans="1:26" ht="17.25" customHeight="1" x14ac:dyDescent="0.2">
      <c r="A470" s="104">
        <v>1027</v>
      </c>
      <c r="B470" s="105" t="s">
        <v>31</v>
      </c>
      <c r="C470" s="105" t="s">
        <v>94</v>
      </c>
      <c r="D470" s="106">
        <v>345.40699999999998</v>
      </c>
      <c r="E470" s="107">
        <v>2695</v>
      </c>
      <c r="F470" s="106">
        <f t="shared" si="32"/>
        <v>345.35971659999996</v>
      </c>
      <c r="G470" s="108" t="s">
        <v>1122</v>
      </c>
      <c r="H470" s="108"/>
      <c r="I470" s="107">
        <v>10</v>
      </c>
      <c r="J470" s="107">
        <v>270</v>
      </c>
      <c r="K470" s="108" t="s">
        <v>429</v>
      </c>
      <c r="L470" s="107">
        <v>11090</v>
      </c>
      <c r="M470" s="111">
        <f t="shared" si="33"/>
        <v>105.30906893520614</v>
      </c>
      <c r="N470" s="111">
        <v>273.70999999999998</v>
      </c>
      <c r="O470" s="113">
        <f t="shared" si="34"/>
        <v>40.517335866427977</v>
      </c>
      <c r="P470" s="78"/>
      <c r="Q470" s="63"/>
      <c r="R470" s="63"/>
      <c r="S470" s="63"/>
      <c r="T470" s="63"/>
      <c r="U470" s="63"/>
      <c r="V470" s="63"/>
      <c r="W470" s="63"/>
      <c r="X470" s="63"/>
      <c r="Y470" s="63"/>
      <c r="Z470" s="63"/>
    </row>
    <row r="471" spans="1:26" ht="17.25" customHeight="1" x14ac:dyDescent="0.2">
      <c r="A471" s="104">
        <v>1028</v>
      </c>
      <c r="B471" s="105" t="s">
        <v>31</v>
      </c>
      <c r="C471" s="105" t="s">
        <v>94</v>
      </c>
      <c r="D471" s="106">
        <v>345.89699999999999</v>
      </c>
      <c r="E471" s="107">
        <v>2695</v>
      </c>
      <c r="F471" s="106">
        <f t="shared" si="32"/>
        <v>345.84643359999995</v>
      </c>
      <c r="G471" s="108" t="s">
        <v>1123</v>
      </c>
      <c r="H471" s="108"/>
      <c r="I471" s="107">
        <v>10</v>
      </c>
      <c r="J471" s="107">
        <v>271</v>
      </c>
      <c r="K471" s="108" t="s">
        <v>429</v>
      </c>
      <c r="L471" s="107">
        <v>11522</v>
      </c>
      <c r="M471" s="111">
        <f t="shared" si="33"/>
        <v>107.34057946554975</v>
      </c>
      <c r="N471" s="111">
        <v>250.86</v>
      </c>
      <c r="O471" s="113">
        <f t="shared" si="34"/>
        <v>45.930000797257435</v>
      </c>
      <c r="P471" s="78"/>
      <c r="Q471" s="63"/>
      <c r="R471" s="63"/>
      <c r="S471" s="63"/>
      <c r="T471" s="63"/>
      <c r="U471" s="63"/>
      <c r="V471" s="63"/>
      <c r="W471" s="63"/>
      <c r="X471" s="63"/>
      <c r="Y471" s="63"/>
      <c r="Z471" s="63"/>
    </row>
    <row r="472" spans="1:26" ht="17.25" customHeight="1" x14ac:dyDescent="0.2">
      <c r="A472" s="104">
        <v>1029</v>
      </c>
      <c r="B472" s="105" t="s">
        <v>31</v>
      </c>
      <c r="C472" s="105" t="s">
        <v>94</v>
      </c>
      <c r="D472" s="106">
        <v>345.387</v>
      </c>
      <c r="E472" s="107">
        <v>2695</v>
      </c>
      <c r="F472" s="106">
        <f t="shared" si="32"/>
        <v>345.33985059999998</v>
      </c>
      <c r="G472" s="108" t="s">
        <v>1124</v>
      </c>
      <c r="H472" s="108"/>
      <c r="I472" s="107">
        <v>10</v>
      </c>
      <c r="J472" s="107">
        <v>296</v>
      </c>
      <c r="K472" s="108" t="s">
        <v>429</v>
      </c>
      <c r="L472" s="107">
        <v>11612</v>
      </c>
      <c r="M472" s="111">
        <f t="shared" si="33"/>
        <v>107.75899034419355</v>
      </c>
      <c r="N472" s="111">
        <v>270.49</v>
      </c>
      <c r="O472" s="113">
        <f t="shared" si="34"/>
        <v>42.929498317867569</v>
      </c>
      <c r="P472" s="78"/>
      <c r="Q472" s="63"/>
      <c r="R472" s="63"/>
      <c r="S472" s="63"/>
      <c r="T472" s="63"/>
      <c r="U472" s="63"/>
      <c r="V472" s="63"/>
      <c r="W472" s="63"/>
      <c r="X472" s="63"/>
      <c r="Y472" s="63"/>
      <c r="Z472" s="63"/>
    </row>
    <row r="473" spans="1:26" ht="17.25" customHeight="1" x14ac:dyDescent="0.2">
      <c r="A473" s="104">
        <v>1030</v>
      </c>
      <c r="B473" s="105" t="s">
        <v>31</v>
      </c>
      <c r="C473" s="105" t="s">
        <v>94</v>
      </c>
      <c r="D473" s="106">
        <v>345.89699999999999</v>
      </c>
      <c r="E473" s="107">
        <v>2695</v>
      </c>
      <c r="F473" s="106">
        <f t="shared" si="32"/>
        <v>345.84643359999995</v>
      </c>
      <c r="G473" s="108" t="s">
        <v>1124</v>
      </c>
      <c r="H473" s="108"/>
      <c r="I473" s="107">
        <v>10</v>
      </c>
      <c r="J473" s="107">
        <v>287</v>
      </c>
      <c r="K473" s="108" t="s">
        <v>429</v>
      </c>
      <c r="L473" s="107">
        <v>11631</v>
      </c>
      <c r="M473" s="111">
        <f t="shared" si="33"/>
        <v>107.84711400867434</v>
      </c>
      <c r="N473" s="111">
        <v>261.75</v>
      </c>
      <c r="O473" s="113">
        <f t="shared" si="34"/>
        <v>44.435530085959883</v>
      </c>
      <c r="P473" s="78"/>
      <c r="Q473" s="63"/>
      <c r="R473" s="63"/>
      <c r="S473" s="63"/>
      <c r="T473" s="63"/>
      <c r="U473" s="63"/>
      <c r="V473" s="63"/>
      <c r="W473" s="63"/>
      <c r="X473" s="63"/>
      <c r="Y473" s="63"/>
      <c r="Z473" s="63"/>
    </row>
    <row r="474" spans="1:26" ht="17.25" customHeight="1" x14ac:dyDescent="0.2">
      <c r="A474" s="104">
        <v>1031</v>
      </c>
      <c r="B474" s="105" t="s">
        <v>31</v>
      </c>
      <c r="C474" s="105" t="s">
        <v>94</v>
      </c>
      <c r="D474" s="106">
        <v>346.40100000000001</v>
      </c>
      <c r="E474" s="107">
        <v>2695</v>
      </c>
      <c r="F474" s="106">
        <f t="shared" si="32"/>
        <v>346.34705679999996</v>
      </c>
      <c r="G474" s="108" t="s">
        <v>1125</v>
      </c>
      <c r="H474" s="108"/>
      <c r="I474" s="107">
        <v>10</v>
      </c>
      <c r="J474" s="107">
        <v>288</v>
      </c>
      <c r="K474" s="108" t="s">
        <v>429</v>
      </c>
      <c r="L474" s="107">
        <v>11116</v>
      </c>
      <c r="M474" s="111">
        <f t="shared" si="33"/>
        <v>105.43244282477761</v>
      </c>
      <c r="N474" s="111">
        <v>260.62</v>
      </c>
      <c r="O474" s="113">
        <f t="shared" si="34"/>
        <v>42.65213721126544</v>
      </c>
      <c r="P474" s="78"/>
      <c r="Q474" s="63"/>
      <c r="R474" s="63"/>
      <c r="S474" s="63"/>
      <c r="T474" s="63"/>
      <c r="U474" s="63"/>
      <c r="V474" s="63"/>
      <c r="W474" s="63"/>
      <c r="X474" s="63"/>
      <c r="Y474" s="63"/>
      <c r="Z474" s="63"/>
    </row>
    <row r="475" spans="1:26" ht="17.25" customHeight="1" x14ac:dyDescent="0.2">
      <c r="A475" s="104">
        <v>1032</v>
      </c>
      <c r="B475" s="105" t="s">
        <v>31</v>
      </c>
      <c r="C475" s="105" t="s">
        <v>94</v>
      </c>
      <c r="D475" s="106">
        <v>346.89699999999999</v>
      </c>
      <c r="E475" s="107">
        <v>2695</v>
      </c>
      <c r="F475" s="106">
        <f t="shared" si="32"/>
        <v>346.83973359999993</v>
      </c>
      <c r="G475" s="108" t="s">
        <v>1126</v>
      </c>
      <c r="H475" s="108"/>
      <c r="I475" s="107">
        <v>10</v>
      </c>
      <c r="J475" s="107">
        <v>284</v>
      </c>
      <c r="K475" s="108" t="s">
        <v>429</v>
      </c>
      <c r="L475" s="107">
        <v>11226</v>
      </c>
      <c r="M475" s="111">
        <f t="shared" si="33"/>
        <v>105.95281968876525</v>
      </c>
      <c r="N475" s="111">
        <v>263.11</v>
      </c>
      <c r="O475" s="113">
        <f t="shared" si="34"/>
        <v>42.666565314887308</v>
      </c>
      <c r="P475" s="78"/>
      <c r="Q475" s="63"/>
      <c r="R475" s="63"/>
      <c r="S475" s="63"/>
      <c r="T475" s="63"/>
      <c r="U475" s="63"/>
      <c r="V475" s="63"/>
      <c r="W475" s="63"/>
      <c r="X475" s="63"/>
      <c r="Y475" s="63"/>
      <c r="Z475" s="63"/>
    </row>
    <row r="476" spans="1:26" ht="17.25" customHeight="1" x14ac:dyDescent="0.2">
      <c r="A476" s="104">
        <v>1033</v>
      </c>
      <c r="B476" s="105" t="s">
        <v>31</v>
      </c>
      <c r="C476" s="105" t="s">
        <v>94</v>
      </c>
      <c r="D476" s="106">
        <v>347.911</v>
      </c>
      <c r="E476" s="107">
        <v>2695</v>
      </c>
      <c r="F476" s="106">
        <f t="shared" si="32"/>
        <v>347.84693979999997</v>
      </c>
      <c r="G476" s="108" t="s">
        <v>1127</v>
      </c>
      <c r="H476" s="108"/>
      <c r="I476" s="107">
        <v>10</v>
      </c>
      <c r="J476" s="107">
        <v>299</v>
      </c>
      <c r="K476" s="108" t="s">
        <v>429</v>
      </c>
      <c r="L476" s="107">
        <v>11858</v>
      </c>
      <c r="M476" s="111">
        <f t="shared" si="33"/>
        <v>108.89444430272832</v>
      </c>
      <c r="N476" s="111">
        <v>288.16000000000003</v>
      </c>
      <c r="O476" s="113">
        <f t="shared" si="34"/>
        <v>41.150749583564682</v>
      </c>
      <c r="P476" s="78"/>
      <c r="Q476" s="63"/>
      <c r="R476" s="63"/>
      <c r="S476" s="63"/>
      <c r="T476" s="63"/>
      <c r="U476" s="63"/>
      <c r="V476" s="63"/>
      <c r="W476" s="63"/>
      <c r="X476" s="63"/>
      <c r="Y476" s="63"/>
      <c r="Z476" s="63"/>
    </row>
    <row r="477" spans="1:26" ht="17.25" customHeight="1" x14ac:dyDescent="0.2">
      <c r="A477" s="104">
        <v>1034</v>
      </c>
      <c r="B477" s="105" t="s">
        <v>31</v>
      </c>
      <c r="C477" s="105" t="s">
        <v>94</v>
      </c>
      <c r="D477" s="106">
        <v>348.90499999999997</v>
      </c>
      <c r="E477" s="107">
        <v>2695</v>
      </c>
      <c r="F477" s="106">
        <f t="shared" si="32"/>
        <v>348.83427999999992</v>
      </c>
      <c r="G477" s="108" t="s">
        <v>1128</v>
      </c>
      <c r="H477" s="108"/>
      <c r="I477" s="107">
        <v>10</v>
      </c>
      <c r="J477" s="107">
        <v>324</v>
      </c>
      <c r="K477" s="108" t="s">
        <v>429</v>
      </c>
      <c r="L477" s="107">
        <v>11369</v>
      </c>
      <c r="M477" s="111">
        <f t="shared" si="33"/>
        <v>106.62551289442879</v>
      </c>
      <c r="N477" s="111">
        <v>297.05</v>
      </c>
      <c r="O477" s="113">
        <f t="shared" si="34"/>
        <v>38.273018010435955</v>
      </c>
      <c r="P477" s="78"/>
      <c r="Q477" s="63"/>
      <c r="R477" s="63"/>
      <c r="S477" s="63"/>
      <c r="T477" s="63"/>
      <c r="U477" s="63"/>
      <c r="V477" s="63"/>
      <c r="W477" s="63"/>
      <c r="X477" s="63"/>
      <c r="Y477" s="63"/>
      <c r="Z477" s="63"/>
    </row>
    <row r="478" spans="1:26" ht="17.25" customHeight="1" x14ac:dyDescent="0.2">
      <c r="A478" s="104">
        <v>1035</v>
      </c>
      <c r="B478" s="105" t="s">
        <v>31</v>
      </c>
      <c r="C478" s="105" t="s">
        <v>94</v>
      </c>
      <c r="D478" s="106">
        <v>350.90600000000001</v>
      </c>
      <c r="E478" s="107">
        <v>2695</v>
      </c>
      <c r="F478" s="106">
        <f t="shared" si="32"/>
        <v>350.82187329999994</v>
      </c>
      <c r="G478" s="108" t="s">
        <v>1129</v>
      </c>
      <c r="H478" s="108"/>
      <c r="I478" s="107">
        <v>15</v>
      </c>
      <c r="J478" s="107">
        <v>298</v>
      </c>
      <c r="K478" s="108" t="s">
        <v>429</v>
      </c>
      <c r="L478" s="107">
        <v>11932</v>
      </c>
      <c r="M478" s="111">
        <f t="shared" si="33"/>
        <v>109.23369443537099</v>
      </c>
      <c r="N478" s="111">
        <v>405.97</v>
      </c>
      <c r="O478" s="113">
        <f t="shared" si="34"/>
        <v>29.391334335049386</v>
      </c>
      <c r="P478" s="78"/>
      <c r="Q478" s="63"/>
      <c r="R478" s="63"/>
      <c r="S478" s="63"/>
      <c r="T478" s="63"/>
      <c r="U478" s="63"/>
      <c r="V478" s="63"/>
      <c r="W478" s="63"/>
      <c r="X478" s="63"/>
      <c r="Y478" s="63"/>
      <c r="Z478" s="63"/>
    </row>
    <row r="479" spans="1:26" ht="17.25" customHeight="1" x14ac:dyDescent="0.2">
      <c r="A479" s="104">
        <v>1036</v>
      </c>
      <c r="B479" s="105" t="s">
        <v>31</v>
      </c>
      <c r="C479" s="105" t="s">
        <v>94</v>
      </c>
      <c r="D479" s="106">
        <v>352.91300000000001</v>
      </c>
      <c r="E479" s="107">
        <v>2695</v>
      </c>
      <c r="F479" s="106">
        <f t="shared" si="32"/>
        <v>352.81542639999998</v>
      </c>
      <c r="G479" s="108" t="s">
        <v>1130</v>
      </c>
      <c r="H479" s="108"/>
      <c r="I479" s="107">
        <v>25</v>
      </c>
      <c r="J479" s="107">
        <v>248</v>
      </c>
      <c r="K479" s="108" t="s">
        <v>429</v>
      </c>
      <c r="L479" s="107">
        <v>11344</v>
      </c>
      <c r="M479" s="111">
        <f t="shared" si="33"/>
        <v>106.50821564555478</v>
      </c>
      <c r="N479" s="107">
        <v>522</v>
      </c>
      <c r="O479" s="113">
        <f t="shared" si="34"/>
        <v>21.731800766283524</v>
      </c>
      <c r="P479" s="78"/>
      <c r="Q479" s="63"/>
      <c r="R479" s="63"/>
      <c r="S479" s="63"/>
      <c r="T479" s="63"/>
      <c r="U479" s="63"/>
      <c r="V479" s="63"/>
      <c r="W479" s="63"/>
      <c r="X479" s="63"/>
      <c r="Y479" s="63"/>
      <c r="Z479" s="63"/>
    </row>
    <row r="480" spans="1:26" ht="17.25" customHeight="1" x14ac:dyDescent="0.2">
      <c r="A480" s="104">
        <v>1037</v>
      </c>
      <c r="B480" s="105" t="s">
        <v>31</v>
      </c>
      <c r="C480" s="105" t="s">
        <v>94</v>
      </c>
      <c r="D480" s="106">
        <v>354.92099999999999</v>
      </c>
      <c r="E480" s="107">
        <v>2695</v>
      </c>
      <c r="F480" s="106">
        <f t="shared" si="32"/>
        <v>354.80997279999997</v>
      </c>
      <c r="G480" s="108" t="s">
        <v>1131</v>
      </c>
      <c r="H480" s="108"/>
      <c r="I480" s="107">
        <v>25</v>
      </c>
      <c r="J480" s="107">
        <v>309</v>
      </c>
      <c r="K480" s="108" t="s">
        <v>429</v>
      </c>
      <c r="L480" s="107">
        <v>10586</v>
      </c>
      <c r="M480" s="111">
        <f t="shared" si="33"/>
        <v>102.88828893513586</v>
      </c>
      <c r="N480" s="111">
        <v>699.19</v>
      </c>
      <c r="O480" s="113">
        <f t="shared" si="34"/>
        <v>15.140376721635034</v>
      </c>
      <c r="P480" s="78"/>
      <c r="Q480" s="63"/>
      <c r="R480" s="63"/>
      <c r="S480" s="63"/>
      <c r="T480" s="63"/>
      <c r="U480" s="63"/>
      <c r="V480" s="63"/>
      <c r="W480" s="63"/>
      <c r="X480" s="63"/>
      <c r="Y480" s="63"/>
      <c r="Z480" s="63"/>
    </row>
    <row r="481" spans="1:26" ht="17.25" customHeight="1" x14ac:dyDescent="0.2">
      <c r="A481" s="104">
        <v>1038</v>
      </c>
      <c r="B481" s="105" t="s">
        <v>31</v>
      </c>
      <c r="C481" s="105" t="s">
        <v>94</v>
      </c>
      <c r="D481" s="106">
        <v>356.90800000000002</v>
      </c>
      <c r="E481" s="107">
        <v>2695</v>
      </c>
      <c r="F481" s="106">
        <f t="shared" si="32"/>
        <v>356.78365989999998</v>
      </c>
      <c r="G481" s="108" t="s">
        <v>1132</v>
      </c>
      <c r="H481" s="108"/>
      <c r="I481" s="107">
        <v>25</v>
      </c>
      <c r="J481" s="107">
        <v>301</v>
      </c>
      <c r="K481" s="108" t="s">
        <v>429</v>
      </c>
      <c r="L481" s="107">
        <v>6633</v>
      </c>
      <c r="M481" s="111">
        <f t="shared" si="33"/>
        <v>81.44323176298937</v>
      </c>
      <c r="N481" s="111">
        <v>639.16</v>
      </c>
      <c r="O481" s="113">
        <f t="shared" si="34"/>
        <v>10.377683209212091</v>
      </c>
      <c r="P481" s="78"/>
      <c r="Q481" s="63"/>
      <c r="R481" s="63"/>
      <c r="S481" s="63"/>
      <c r="T481" s="63"/>
      <c r="U481" s="63"/>
      <c r="V481" s="63"/>
      <c r="W481" s="63"/>
      <c r="X481" s="63"/>
      <c r="Y481" s="63"/>
      <c r="Z481" s="63"/>
    </row>
    <row r="482" spans="1:26" ht="17.25" customHeight="1" x14ac:dyDescent="0.2">
      <c r="A482" s="104">
        <v>1039</v>
      </c>
      <c r="B482" s="105" t="s">
        <v>31</v>
      </c>
      <c r="C482" s="105" t="s">
        <v>94</v>
      </c>
      <c r="D482" s="106">
        <v>358.92200000000003</v>
      </c>
      <c r="E482" s="107">
        <v>2695</v>
      </c>
      <c r="F482" s="106">
        <f t="shared" si="32"/>
        <v>358.78416609999999</v>
      </c>
      <c r="G482" s="108" t="s">
        <v>1133</v>
      </c>
      <c r="H482" s="108"/>
      <c r="I482" s="107">
        <v>40</v>
      </c>
      <c r="J482" s="107">
        <v>248</v>
      </c>
      <c r="K482" s="108" t="s">
        <v>429</v>
      </c>
      <c r="L482" s="107">
        <v>5424</v>
      </c>
      <c r="M482" s="111">
        <f t="shared" si="33"/>
        <v>73.647810558087869</v>
      </c>
      <c r="N482" s="111">
        <v>872.15</v>
      </c>
      <c r="O482" s="113">
        <f t="shared" si="34"/>
        <v>6.2191136845726085</v>
      </c>
      <c r="P482" s="78"/>
      <c r="Q482" s="63"/>
      <c r="R482" s="63"/>
      <c r="S482" s="63"/>
      <c r="T482" s="63"/>
      <c r="U482" s="63"/>
      <c r="V482" s="63"/>
      <c r="W482" s="63"/>
      <c r="X482" s="63"/>
      <c r="Y482" s="63"/>
      <c r="Z482" s="63"/>
    </row>
    <row r="483" spans="1:26" ht="17.25" customHeight="1" x14ac:dyDescent="0.2">
      <c r="A483" s="104">
        <v>1040</v>
      </c>
      <c r="B483" s="105" t="s">
        <v>31</v>
      </c>
      <c r="C483" s="105" t="s">
        <v>94</v>
      </c>
      <c r="D483" s="106">
        <v>363.91699999999997</v>
      </c>
      <c r="E483" s="107">
        <v>2695</v>
      </c>
      <c r="F483" s="106">
        <f t="shared" si="32"/>
        <v>363.74569959999991</v>
      </c>
      <c r="G483" s="108" t="s">
        <v>1134</v>
      </c>
      <c r="H483" s="108"/>
      <c r="I483" s="107">
        <v>40</v>
      </c>
      <c r="J483" s="107">
        <v>518</v>
      </c>
      <c r="K483" s="108" t="s">
        <v>429</v>
      </c>
      <c r="L483" s="107">
        <v>4199</v>
      </c>
      <c r="M483" s="111">
        <f t="shared" si="33"/>
        <v>64.79969135728966</v>
      </c>
      <c r="N483" s="111">
        <v>1942.78</v>
      </c>
      <c r="O483" s="113">
        <f t="shared" si="34"/>
        <v>2.1613358177457047</v>
      </c>
      <c r="P483" s="78"/>
      <c r="Q483" s="63"/>
      <c r="R483" s="63"/>
      <c r="S483" s="63"/>
      <c r="T483" s="63"/>
      <c r="U483" s="63"/>
      <c r="V483" s="63"/>
      <c r="W483" s="63"/>
      <c r="X483" s="63"/>
      <c r="Y483" s="63"/>
      <c r="Z483" s="63"/>
    </row>
    <row r="484" spans="1:26" ht="17.25" customHeight="1" x14ac:dyDescent="0.2">
      <c r="A484" s="104">
        <v>1041</v>
      </c>
      <c r="B484" s="105" t="s">
        <v>31</v>
      </c>
      <c r="C484" s="105" t="s">
        <v>94</v>
      </c>
      <c r="D484" s="106">
        <v>368.93900000000002</v>
      </c>
      <c r="E484" s="107">
        <v>2695</v>
      </c>
      <c r="F484" s="106">
        <f t="shared" si="32"/>
        <v>368.73405219999995</v>
      </c>
      <c r="G484" s="108" t="s">
        <v>1135</v>
      </c>
      <c r="H484" s="108"/>
      <c r="I484" s="107">
        <v>50</v>
      </c>
      <c r="J484" s="107">
        <v>573</v>
      </c>
      <c r="K484" s="108" t="s">
        <v>429</v>
      </c>
      <c r="L484" s="107">
        <v>2608</v>
      </c>
      <c r="M484" s="111">
        <f t="shared" si="33"/>
        <v>51.068581339214816</v>
      </c>
      <c r="N484" s="111">
        <v>2694.13</v>
      </c>
      <c r="O484" s="113">
        <f t="shared" si="34"/>
        <v>0.96803049593004042</v>
      </c>
      <c r="P484" s="78"/>
      <c r="Q484" s="63"/>
      <c r="R484" s="63"/>
      <c r="S484" s="63"/>
      <c r="T484" s="63"/>
      <c r="U484" s="63"/>
      <c r="V484" s="63"/>
      <c r="W484" s="63"/>
      <c r="X484" s="63"/>
      <c r="Y484" s="63"/>
      <c r="Z484" s="63"/>
    </row>
    <row r="485" spans="1:26" ht="17.25" customHeight="1" x14ac:dyDescent="0.2">
      <c r="A485" s="104">
        <v>1042</v>
      </c>
      <c r="B485" s="105" t="s">
        <v>31</v>
      </c>
      <c r="C485" s="105" t="s">
        <v>94</v>
      </c>
      <c r="D485" s="106">
        <v>219.73500000000001</v>
      </c>
      <c r="E485" s="107">
        <v>2695</v>
      </c>
      <c r="F485" s="106">
        <f t="shared" ref="F485:F548" si="35">0.9933*(D485+E485/1000)-0.41</f>
        <v>220.529719</v>
      </c>
      <c r="G485" s="108" t="s">
        <v>1136</v>
      </c>
      <c r="H485" s="108"/>
      <c r="I485" s="107">
        <v>75</v>
      </c>
      <c r="J485" s="107">
        <v>1376</v>
      </c>
      <c r="K485" s="108" t="s">
        <v>429</v>
      </c>
      <c r="L485" s="107">
        <v>1029</v>
      </c>
      <c r="M485" s="111">
        <f t="shared" si="33"/>
        <v>32.078029864690883</v>
      </c>
      <c r="N485" s="111">
        <v>9827.56</v>
      </c>
      <c r="O485" s="113">
        <f t="shared" si="34"/>
        <v>0.1047055423726744</v>
      </c>
      <c r="P485" s="78"/>
      <c r="Q485" s="63"/>
      <c r="R485" s="63"/>
      <c r="S485" s="63"/>
      <c r="T485" s="63"/>
      <c r="U485" s="63"/>
      <c r="V485" s="63"/>
      <c r="W485" s="63"/>
      <c r="X485" s="63"/>
      <c r="Y485" s="63"/>
      <c r="Z485" s="63"/>
    </row>
    <row r="486" spans="1:26" ht="17.25" customHeight="1" x14ac:dyDescent="0.2">
      <c r="A486" s="104">
        <v>1043</v>
      </c>
      <c r="B486" s="105" t="s">
        <v>31</v>
      </c>
      <c r="C486" s="105" t="s">
        <v>94</v>
      </c>
      <c r="D486" s="106">
        <v>221.749</v>
      </c>
      <c r="E486" s="107">
        <v>2695</v>
      </c>
      <c r="F486" s="106">
        <f t="shared" si="35"/>
        <v>222.53022519999999</v>
      </c>
      <c r="G486" s="108" t="s">
        <v>1136</v>
      </c>
      <c r="H486" s="108"/>
      <c r="I486" s="107">
        <v>71</v>
      </c>
      <c r="J486" s="107">
        <v>1098</v>
      </c>
      <c r="K486" s="108" t="s">
        <v>429</v>
      </c>
      <c r="L486" s="107">
        <v>1281</v>
      </c>
      <c r="M486" s="111">
        <f t="shared" si="33"/>
        <v>35.791060336346561</v>
      </c>
      <c r="N486" s="111">
        <v>7434.5</v>
      </c>
      <c r="O486" s="113">
        <f t="shared" si="34"/>
        <v>0.1723047952115139</v>
      </c>
      <c r="P486" s="78"/>
      <c r="Q486" s="63"/>
      <c r="R486" s="63"/>
      <c r="S486" s="63"/>
      <c r="T486" s="63"/>
      <c r="U486" s="63"/>
      <c r="V486" s="63"/>
      <c r="W486" s="63"/>
      <c r="X486" s="63"/>
      <c r="Y486" s="63"/>
      <c r="Z486" s="63"/>
    </row>
    <row r="487" spans="1:26" ht="17.25" customHeight="1" x14ac:dyDescent="0.2">
      <c r="A487" s="104">
        <v>1044</v>
      </c>
      <c r="B487" s="105" t="s">
        <v>31</v>
      </c>
      <c r="C487" s="105" t="s">
        <v>94</v>
      </c>
      <c r="D487" s="106">
        <v>223.75</v>
      </c>
      <c r="E487" s="107">
        <v>2695</v>
      </c>
      <c r="F487" s="106">
        <f t="shared" si="35"/>
        <v>224.51781849999998</v>
      </c>
      <c r="G487" s="108" t="s">
        <v>1137</v>
      </c>
      <c r="H487" s="108"/>
      <c r="I487" s="107">
        <v>70</v>
      </c>
      <c r="J487" s="107">
        <v>399</v>
      </c>
      <c r="K487" s="108" t="s">
        <v>429</v>
      </c>
      <c r="L487" s="107">
        <v>1113</v>
      </c>
      <c r="M487" s="111">
        <f t="shared" si="33"/>
        <v>33.361654635224554</v>
      </c>
      <c r="N487" s="111">
        <v>2371.66</v>
      </c>
      <c r="O487" s="113">
        <f t="shared" si="34"/>
        <v>0.46929155106549847</v>
      </c>
      <c r="P487" s="78"/>
      <c r="Q487" s="63"/>
      <c r="R487" s="63"/>
      <c r="S487" s="63"/>
      <c r="T487" s="63"/>
      <c r="U487" s="63"/>
      <c r="V487" s="63"/>
      <c r="W487" s="63"/>
      <c r="X487" s="63"/>
      <c r="Y487" s="63"/>
      <c r="Z487" s="63"/>
    </row>
    <row r="488" spans="1:26" ht="17.25" customHeight="1" x14ac:dyDescent="0.2">
      <c r="A488" s="104">
        <v>1045</v>
      </c>
      <c r="B488" s="105" t="s">
        <v>31</v>
      </c>
      <c r="C488" s="105" t="s">
        <v>94</v>
      </c>
      <c r="D488" s="106">
        <v>225.75700000000001</v>
      </c>
      <c r="E488" s="107">
        <v>2695</v>
      </c>
      <c r="F488" s="106">
        <f t="shared" si="35"/>
        <v>226.51137159999999</v>
      </c>
      <c r="G488" s="108" t="s">
        <v>1138</v>
      </c>
      <c r="H488" s="108"/>
      <c r="I488" s="107">
        <v>65</v>
      </c>
      <c r="J488" s="107">
        <v>360</v>
      </c>
      <c r="K488" s="108" t="s">
        <v>429</v>
      </c>
      <c r="L488" s="107">
        <v>6081</v>
      </c>
      <c r="M488" s="111">
        <f t="shared" si="33"/>
        <v>77.980766859527606</v>
      </c>
      <c r="N488" s="111">
        <v>2197.04</v>
      </c>
      <c r="O488" s="113">
        <f t="shared" si="34"/>
        <v>2.7678148781997596</v>
      </c>
      <c r="P488" s="78"/>
      <c r="Q488" s="63"/>
      <c r="R488" s="63"/>
      <c r="S488" s="63"/>
      <c r="T488" s="63"/>
      <c r="U488" s="63"/>
      <c r="V488" s="63"/>
      <c r="W488" s="63"/>
      <c r="X488" s="63"/>
      <c r="Y488" s="63"/>
      <c r="Z488" s="63"/>
    </row>
    <row r="489" spans="1:26" ht="17.25" customHeight="1" x14ac:dyDescent="0.2">
      <c r="A489" s="104">
        <v>1046</v>
      </c>
      <c r="B489" s="105" t="s">
        <v>31</v>
      </c>
      <c r="C489" s="105" t="s">
        <v>94</v>
      </c>
      <c r="D489" s="106">
        <v>226.75800000000001</v>
      </c>
      <c r="E489" s="107">
        <v>2695</v>
      </c>
      <c r="F489" s="106">
        <f t="shared" si="35"/>
        <v>227.5056649</v>
      </c>
      <c r="G489" s="108" t="s">
        <v>1139</v>
      </c>
      <c r="H489" s="108"/>
      <c r="I489" s="107">
        <v>45</v>
      </c>
      <c r="J489" s="107">
        <v>311</v>
      </c>
      <c r="K489" s="108" t="s">
        <v>429</v>
      </c>
      <c r="L489" s="107">
        <v>5446</v>
      </c>
      <c r="M489" s="111">
        <f t="shared" si="33"/>
        <v>73.797018909980366</v>
      </c>
      <c r="N489" s="111">
        <v>1254.57</v>
      </c>
      <c r="O489" s="113">
        <f t="shared" si="34"/>
        <v>4.3409295615230716</v>
      </c>
      <c r="P489" s="78"/>
      <c r="Q489" s="63"/>
      <c r="R489" s="63"/>
      <c r="S489" s="63"/>
      <c r="T489" s="63"/>
      <c r="U489" s="63"/>
      <c r="V489" s="63"/>
      <c r="W489" s="63"/>
      <c r="X489" s="63"/>
      <c r="Y489" s="63"/>
      <c r="Z489" s="63"/>
    </row>
    <row r="490" spans="1:26" ht="17.25" customHeight="1" x14ac:dyDescent="0.2">
      <c r="A490" s="104">
        <v>1047</v>
      </c>
      <c r="B490" s="105" t="s">
        <v>31</v>
      </c>
      <c r="C490" s="105" t="s">
        <v>94</v>
      </c>
      <c r="D490" s="106">
        <v>227.77799999999999</v>
      </c>
      <c r="E490" s="107">
        <v>2695</v>
      </c>
      <c r="F490" s="106">
        <f t="shared" si="35"/>
        <v>228.51883089999998</v>
      </c>
      <c r="G490" s="108" t="s">
        <v>1140</v>
      </c>
      <c r="H490" s="108"/>
      <c r="I490" s="107">
        <v>44</v>
      </c>
      <c r="J490" s="107">
        <v>284</v>
      </c>
      <c r="K490" s="108" t="s">
        <v>429</v>
      </c>
      <c r="L490" s="107">
        <v>5640</v>
      </c>
      <c r="M490" s="111">
        <f t="shared" si="33"/>
        <v>75.099933422074344</v>
      </c>
      <c r="N490" s="111">
        <v>1098.6400000000001</v>
      </c>
      <c r="O490" s="113">
        <f t="shared" si="34"/>
        <v>5.1336197480521371</v>
      </c>
      <c r="P490" s="78"/>
      <c r="Q490" s="63"/>
      <c r="R490" s="63"/>
      <c r="S490" s="63"/>
      <c r="T490" s="63"/>
      <c r="U490" s="63"/>
      <c r="V490" s="63"/>
      <c r="W490" s="63"/>
      <c r="X490" s="63"/>
      <c r="Y490" s="63"/>
      <c r="Z490" s="63"/>
    </row>
    <row r="491" spans="1:26" ht="17.25" customHeight="1" x14ac:dyDescent="0.2">
      <c r="A491" s="104">
        <v>1048</v>
      </c>
      <c r="B491" s="105" t="s">
        <v>31</v>
      </c>
      <c r="C491" s="105" t="s">
        <v>94</v>
      </c>
      <c r="D491" s="106">
        <v>229.77199999999999</v>
      </c>
      <c r="E491" s="107">
        <v>2695</v>
      </c>
      <c r="F491" s="106">
        <f t="shared" si="35"/>
        <v>230.49947109999997</v>
      </c>
      <c r="G491" s="108" t="s">
        <v>1141</v>
      </c>
      <c r="H491" s="108"/>
      <c r="I491" s="107">
        <v>30</v>
      </c>
      <c r="J491" s="107">
        <v>398</v>
      </c>
      <c r="K491" s="108" t="s">
        <v>429</v>
      </c>
      <c r="L491" s="107">
        <v>5789</v>
      </c>
      <c r="M491" s="111">
        <f t="shared" si="33"/>
        <v>76.085478246509041</v>
      </c>
      <c r="N491" s="111">
        <v>1065.01</v>
      </c>
      <c r="O491" s="113">
        <f t="shared" si="34"/>
        <v>5.4356297123970672</v>
      </c>
      <c r="P491" s="78"/>
      <c r="Q491" s="63"/>
      <c r="R491" s="63"/>
      <c r="S491" s="63"/>
      <c r="T491" s="63"/>
      <c r="U491" s="63"/>
      <c r="V491" s="63"/>
      <c r="W491" s="63"/>
      <c r="X491" s="63"/>
      <c r="Y491" s="63"/>
      <c r="Z491" s="63"/>
    </row>
    <row r="492" spans="1:26" ht="17.25" customHeight="1" x14ac:dyDescent="0.2">
      <c r="A492" s="104">
        <v>1049</v>
      </c>
      <c r="B492" s="105" t="s">
        <v>31</v>
      </c>
      <c r="C492" s="105" t="s">
        <v>94</v>
      </c>
      <c r="D492" s="106">
        <v>231.786</v>
      </c>
      <c r="E492" s="107">
        <v>2695</v>
      </c>
      <c r="F492" s="106">
        <f t="shared" si="35"/>
        <v>232.49997729999998</v>
      </c>
      <c r="G492" s="108" t="s">
        <v>1142</v>
      </c>
      <c r="H492" s="108"/>
      <c r="I492" s="107">
        <v>28</v>
      </c>
      <c r="J492" s="107">
        <v>398</v>
      </c>
      <c r="K492" s="108" t="s">
        <v>429</v>
      </c>
      <c r="L492" s="107">
        <v>5439</v>
      </c>
      <c r="M492" s="111">
        <f t="shared" si="33"/>
        <v>73.749576269969168</v>
      </c>
      <c r="N492" s="111">
        <v>1072.44</v>
      </c>
      <c r="O492" s="113">
        <f t="shared" si="34"/>
        <v>5.0716123978963852</v>
      </c>
      <c r="P492" s="78"/>
      <c r="Q492" s="63"/>
      <c r="R492" s="63"/>
      <c r="S492" s="63"/>
      <c r="T492" s="63"/>
      <c r="U492" s="63"/>
      <c r="V492" s="63"/>
      <c r="W492" s="63"/>
      <c r="X492" s="63"/>
      <c r="Y492" s="63"/>
      <c r="Z492" s="63"/>
    </row>
    <row r="493" spans="1:26" ht="17.25" customHeight="1" x14ac:dyDescent="0.2">
      <c r="A493" s="104">
        <v>1050</v>
      </c>
      <c r="B493" s="105" t="s">
        <v>31</v>
      </c>
      <c r="C493" s="105" t="s">
        <v>94</v>
      </c>
      <c r="D493" s="106">
        <v>230.773</v>
      </c>
      <c r="E493" s="107">
        <v>2695</v>
      </c>
      <c r="F493" s="106">
        <f t="shared" si="35"/>
        <v>231.49376439999998</v>
      </c>
      <c r="G493" s="108" t="s">
        <v>1143</v>
      </c>
      <c r="H493" s="108"/>
      <c r="I493" s="107">
        <v>29</v>
      </c>
      <c r="J493" s="107">
        <v>361</v>
      </c>
      <c r="K493" s="108" t="s">
        <v>429</v>
      </c>
      <c r="L493" s="107">
        <v>5395</v>
      </c>
      <c r="M493" s="111">
        <f t="shared" si="33"/>
        <v>73.450663713815416</v>
      </c>
      <c r="N493" s="111">
        <v>980.09</v>
      </c>
      <c r="O493" s="113">
        <f t="shared" si="34"/>
        <v>5.5045965166464299</v>
      </c>
      <c r="P493" s="78"/>
      <c r="Q493" s="63"/>
      <c r="R493" s="63"/>
      <c r="S493" s="63"/>
      <c r="T493" s="63"/>
      <c r="U493" s="63"/>
      <c r="V493" s="63"/>
      <c r="W493" s="63"/>
      <c r="X493" s="63"/>
      <c r="Y493" s="63"/>
      <c r="Z493" s="63"/>
    </row>
    <row r="494" spans="1:26" ht="17.25" customHeight="1" x14ac:dyDescent="0.2">
      <c r="A494" s="104">
        <v>1051</v>
      </c>
      <c r="B494" s="105" t="s">
        <v>31</v>
      </c>
      <c r="C494" s="105" t="s">
        <v>94</v>
      </c>
      <c r="D494" s="106">
        <v>230.28899999999999</v>
      </c>
      <c r="E494" s="107">
        <v>2695</v>
      </c>
      <c r="F494" s="106">
        <f t="shared" si="35"/>
        <v>231.01300719999998</v>
      </c>
      <c r="G494" s="108" t="s">
        <v>1144</v>
      </c>
      <c r="H494" s="108"/>
      <c r="I494" s="107">
        <v>29</v>
      </c>
      <c r="J494" s="107">
        <v>389</v>
      </c>
      <c r="K494" s="108" t="s">
        <v>429</v>
      </c>
      <c r="L494" s="107">
        <v>5436</v>
      </c>
      <c r="M494" s="111">
        <f t="shared" si="33"/>
        <v>73.72923436466705</v>
      </c>
      <c r="N494" s="111">
        <v>1014.52</v>
      </c>
      <c r="O494" s="113">
        <f t="shared" si="34"/>
        <v>5.3581989512281671</v>
      </c>
      <c r="P494" s="78"/>
      <c r="Q494" s="63"/>
      <c r="R494" s="63"/>
      <c r="S494" s="63"/>
      <c r="T494" s="63"/>
      <c r="U494" s="63"/>
      <c r="V494" s="63"/>
      <c r="W494" s="63"/>
      <c r="X494" s="63"/>
      <c r="Y494" s="63"/>
      <c r="Z494" s="63"/>
    </row>
    <row r="495" spans="1:26" ht="17.25" customHeight="1" x14ac:dyDescent="0.2">
      <c r="A495" s="104">
        <v>1052</v>
      </c>
      <c r="B495" s="105" t="s">
        <v>31</v>
      </c>
      <c r="C495" s="105" t="s">
        <v>94</v>
      </c>
      <c r="D495" s="106">
        <v>228.779</v>
      </c>
      <c r="E495" s="107">
        <v>2695</v>
      </c>
      <c r="F495" s="106">
        <f t="shared" si="35"/>
        <v>229.51312419999999</v>
      </c>
      <c r="G495" s="108" t="s">
        <v>1145</v>
      </c>
      <c r="H495" s="108"/>
      <c r="I495" s="107">
        <v>30</v>
      </c>
      <c r="J495" s="107">
        <v>375</v>
      </c>
      <c r="K495" s="108" t="s">
        <v>429</v>
      </c>
      <c r="L495" s="107">
        <v>5600</v>
      </c>
      <c r="M495" s="111">
        <f t="shared" si="33"/>
        <v>74.833147735478832</v>
      </c>
      <c r="N495" s="111">
        <v>1013.81</v>
      </c>
      <c r="O495" s="113">
        <f t="shared" si="34"/>
        <v>5.5237174618518265</v>
      </c>
      <c r="P495" s="78"/>
      <c r="Q495" s="63"/>
      <c r="R495" s="63"/>
      <c r="S495" s="63"/>
      <c r="T495" s="63"/>
      <c r="U495" s="63"/>
      <c r="V495" s="63"/>
      <c r="W495" s="63"/>
      <c r="X495" s="63"/>
      <c r="Y495" s="63"/>
      <c r="Z495" s="63"/>
    </row>
    <row r="496" spans="1:26" ht="17.25" customHeight="1" x14ac:dyDescent="0.2">
      <c r="A496" s="104">
        <v>1053</v>
      </c>
      <c r="B496" s="105" t="s">
        <v>31</v>
      </c>
      <c r="C496" s="105" t="s">
        <v>94</v>
      </c>
      <c r="D496" s="106">
        <v>224.75700000000001</v>
      </c>
      <c r="E496" s="107">
        <v>2695</v>
      </c>
      <c r="F496" s="106">
        <f t="shared" si="35"/>
        <v>225.51807159999998</v>
      </c>
      <c r="G496" s="108" t="s">
        <v>1146</v>
      </c>
      <c r="H496" s="108"/>
      <c r="I496" s="107">
        <v>32</v>
      </c>
      <c r="J496" s="107">
        <v>813</v>
      </c>
      <c r="K496" s="108" t="s">
        <v>429</v>
      </c>
      <c r="L496" s="107">
        <v>3089</v>
      </c>
      <c r="M496" s="111">
        <f t="shared" si="33"/>
        <v>55.578772926361012</v>
      </c>
      <c r="N496" s="111">
        <v>2413.73</v>
      </c>
      <c r="O496" s="113">
        <f t="shared" si="34"/>
        <v>1.2797620280644479</v>
      </c>
      <c r="P496" s="78"/>
      <c r="Q496" s="63"/>
      <c r="R496" s="63"/>
      <c r="S496" s="63"/>
      <c r="T496" s="63"/>
      <c r="U496" s="63"/>
      <c r="V496" s="63"/>
      <c r="W496" s="63"/>
      <c r="X496" s="63"/>
      <c r="Y496" s="63"/>
      <c r="Z496" s="63"/>
    </row>
    <row r="497" spans="1:26" ht="17.25" customHeight="1" x14ac:dyDescent="0.2">
      <c r="A497" s="104">
        <v>1054</v>
      </c>
      <c r="B497" s="105" t="s">
        <v>31</v>
      </c>
      <c r="C497" s="105" t="s">
        <v>94</v>
      </c>
      <c r="D497" s="106">
        <v>226.274</v>
      </c>
      <c r="E497" s="107">
        <v>2695</v>
      </c>
      <c r="F497" s="106">
        <f t="shared" si="35"/>
        <v>227.0249077</v>
      </c>
      <c r="G497" s="108" t="s">
        <v>1146</v>
      </c>
      <c r="H497" s="108"/>
      <c r="I497" s="107">
        <v>30</v>
      </c>
      <c r="J497" s="107">
        <v>536</v>
      </c>
      <c r="K497" s="108" t="s">
        <v>429</v>
      </c>
      <c r="L497" s="107">
        <v>5320</v>
      </c>
      <c r="M497" s="111">
        <f t="shared" si="33"/>
        <v>72.938330115241882</v>
      </c>
      <c r="N497" s="111">
        <v>1422.95</v>
      </c>
      <c r="O497" s="113">
        <f t="shared" si="34"/>
        <v>3.7387118310552019</v>
      </c>
      <c r="P497" s="78"/>
      <c r="Q497" s="63"/>
      <c r="R497" s="63"/>
      <c r="S497" s="63"/>
      <c r="T497" s="63"/>
      <c r="U497" s="63"/>
      <c r="V497" s="63"/>
      <c r="W497" s="63"/>
      <c r="X497" s="63"/>
      <c r="Y497" s="63"/>
      <c r="Z497" s="63"/>
    </row>
    <row r="498" spans="1:26" ht="17.25" customHeight="1" x14ac:dyDescent="0.2">
      <c r="A498" s="104">
        <v>1055</v>
      </c>
      <c r="B498" s="105" t="s">
        <v>31</v>
      </c>
      <c r="C498" s="105" t="s">
        <v>94</v>
      </c>
      <c r="D498" s="106">
        <v>232.78700000000001</v>
      </c>
      <c r="E498" s="107">
        <v>2695</v>
      </c>
      <c r="F498" s="106">
        <f t="shared" si="35"/>
        <v>233.49427059999999</v>
      </c>
      <c r="G498" s="108" t="s">
        <v>1147</v>
      </c>
      <c r="H498" s="108"/>
      <c r="I498" s="107">
        <v>39</v>
      </c>
      <c r="J498" s="107">
        <v>448</v>
      </c>
      <c r="K498" s="108" t="s">
        <v>429</v>
      </c>
      <c r="L498" s="107">
        <v>7188</v>
      </c>
      <c r="M498" s="111">
        <f t="shared" si="33"/>
        <v>84.782073576906569</v>
      </c>
      <c r="N498" s="111">
        <v>1608.26</v>
      </c>
      <c r="O498" s="113">
        <f t="shared" si="34"/>
        <v>4.4694265852536281</v>
      </c>
      <c r="P498" s="78"/>
      <c r="Q498" s="63"/>
      <c r="R498" s="63"/>
      <c r="S498" s="63"/>
      <c r="T498" s="63"/>
      <c r="U498" s="63"/>
      <c r="V498" s="63"/>
      <c r="W498" s="63"/>
      <c r="X498" s="63"/>
      <c r="Y498" s="63"/>
      <c r="Z498" s="63"/>
    </row>
    <row r="499" spans="1:26" ht="17.25" customHeight="1" x14ac:dyDescent="0.2">
      <c r="A499" s="104">
        <v>1056</v>
      </c>
      <c r="B499" s="105" t="s">
        <v>31</v>
      </c>
      <c r="C499" s="105" t="s">
        <v>94</v>
      </c>
      <c r="D499" s="106">
        <v>233.78700000000001</v>
      </c>
      <c r="E499" s="107">
        <v>2695</v>
      </c>
      <c r="F499" s="106">
        <f t="shared" si="35"/>
        <v>234.4875706</v>
      </c>
      <c r="G499" s="108" t="s">
        <v>1148</v>
      </c>
      <c r="H499" s="108"/>
      <c r="I499" s="107">
        <v>44</v>
      </c>
      <c r="J499" s="107">
        <v>364</v>
      </c>
      <c r="K499" s="108" t="s">
        <v>429</v>
      </c>
      <c r="L499" s="107">
        <v>5517</v>
      </c>
      <c r="M499" s="111">
        <f t="shared" si="33"/>
        <v>74.276510418839678</v>
      </c>
      <c r="N499" s="111">
        <v>1335.19</v>
      </c>
      <c r="O499" s="113">
        <f t="shared" si="34"/>
        <v>4.1319961952980471</v>
      </c>
      <c r="P499" s="78"/>
      <c r="Q499" s="63"/>
      <c r="R499" s="63"/>
      <c r="S499" s="63"/>
      <c r="T499" s="63"/>
      <c r="U499" s="63"/>
      <c r="V499" s="63"/>
      <c r="W499" s="63"/>
      <c r="X499" s="63"/>
      <c r="Y499" s="63"/>
      <c r="Z499" s="63"/>
    </row>
    <row r="500" spans="1:26" ht="17.25" customHeight="1" x14ac:dyDescent="0.2">
      <c r="A500" s="104">
        <v>1057</v>
      </c>
      <c r="B500" s="105" t="s">
        <v>31</v>
      </c>
      <c r="C500" s="105" t="s">
        <v>94</v>
      </c>
      <c r="D500" s="106">
        <v>234.79400000000001</v>
      </c>
      <c r="E500" s="107">
        <v>2695</v>
      </c>
      <c r="F500" s="106">
        <f t="shared" si="35"/>
        <v>235.48782370000001</v>
      </c>
      <c r="G500" s="108" t="s">
        <v>1149</v>
      </c>
      <c r="H500" s="108"/>
      <c r="I500" s="107">
        <v>60</v>
      </c>
      <c r="J500" s="107">
        <v>326</v>
      </c>
      <c r="K500" s="108" t="s">
        <v>429</v>
      </c>
      <c r="L500" s="107">
        <v>5615</v>
      </c>
      <c r="M500" s="111">
        <f t="shared" si="33"/>
        <v>74.933303677336951</v>
      </c>
      <c r="N500" s="111">
        <v>1470.81</v>
      </c>
      <c r="O500" s="113">
        <f t="shared" si="34"/>
        <v>3.8176243022552199</v>
      </c>
      <c r="P500" s="78"/>
      <c r="Q500" s="63"/>
      <c r="R500" s="63"/>
      <c r="S500" s="63"/>
      <c r="T500" s="63"/>
      <c r="U500" s="63"/>
      <c r="V500" s="63"/>
      <c r="W500" s="63"/>
      <c r="X500" s="63"/>
      <c r="Y500" s="63"/>
      <c r="Z500" s="63"/>
    </row>
    <row r="501" spans="1:26" ht="17.25" customHeight="1" x14ac:dyDescent="0.2">
      <c r="A501" s="104">
        <v>1058</v>
      </c>
      <c r="B501" s="105" t="s">
        <v>31</v>
      </c>
      <c r="C501" s="105" t="s">
        <v>94</v>
      </c>
      <c r="D501" s="106">
        <v>235.79499999999999</v>
      </c>
      <c r="E501" s="107">
        <v>2695</v>
      </c>
      <c r="F501" s="106">
        <f t="shared" si="35"/>
        <v>236.48211699999999</v>
      </c>
      <c r="G501" s="108" t="s">
        <v>1149</v>
      </c>
      <c r="H501" s="108"/>
      <c r="I501" s="107">
        <v>59</v>
      </c>
      <c r="J501" s="107">
        <v>327</v>
      </c>
      <c r="K501" s="108" t="s">
        <v>429</v>
      </c>
      <c r="L501" s="107">
        <v>5447</v>
      </c>
      <c r="M501" s="111">
        <f t="shared" si="33"/>
        <v>73.803793940420164</v>
      </c>
      <c r="N501" s="111">
        <v>1650.19</v>
      </c>
      <c r="O501" s="113">
        <f t="shared" si="34"/>
        <v>3.3008320254031354</v>
      </c>
      <c r="P501" s="78"/>
      <c r="Q501" s="63"/>
      <c r="R501" s="63"/>
      <c r="S501" s="63"/>
      <c r="T501" s="63"/>
      <c r="U501" s="63"/>
      <c r="V501" s="63"/>
      <c r="W501" s="63"/>
      <c r="X501" s="63"/>
      <c r="Y501" s="63"/>
      <c r="Z501" s="63"/>
    </row>
    <row r="502" spans="1:26" ht="17.25" customHeight="1" x14ac:dyDescent="0.2">
      <c r="A502" s="104">
        <v>1059</v>
      </c>
      <c r="B502" s="105" t="s">
        <v>31</v>
      </c>
      <c r="C502" s="105" t="s">
        <v>94</v>
      </c>
      <c r="D502" s="106">
        <v>236.80199999999999</v>
      </c>
      <c r="E502" s="107">
        <v>2695</v>
      </c>
      <c r="F502" s="106">
        <f t="shared" si="35"/>
        <v>237.48237009999997</v>
      </c>
      <c r="G502" s="108" t="s">
        <v>1150</v>
      </c>
      <c r="H502" s="108"/>
      <c r="I502" s="107">
        <v>58</v>
      </c>
      <c r="J502" s="107">
        <v>372</v>
      </c>
      <c r="K502" s="108" t="s">
        <v>429</v>
      </c>
      <c r="L502" s="107">
        <v>5557</v>
      </c>
      <c r="M502" s="111">
        <f t="shared" si="33"/>
        <v>74.545288248151536</v>
      </c>
      <c r="N502" s="111">
        <v>1915.03</v>
      </c>
      <c r="O502" s="113">
        <f t="shared" si="34"/>
        <v>2.9017822175109527</v>
      </c>
      <c r="P502" s="78"/>
      <c r="Q502" s="63"/>
      <c r="R502" s="63"/>
      <c r="S502" s="63"/>
      <c r="T502" s="63"/>
      <c r="U502" s="63"/>
      <c r="V502" s="63"/>
      <c r="W502" s="63"/>
      <c r="X502" s="63"/>
      <c r="Y502" s="63"/>
      <c r="Z502" s="63"/>
    </row>
    <row r="503" spans="1:26" ht="17.25" customHeight="1" x14ac:dyDescent="0.2">
      <c r="A503" s="104">
        <v>1060</v>
      </c>
      <c r="B503" s="105" t="s">
        <v>31</v>
      </c>
      <c r="C503" s="105" t="s">
        <v>94</v>
      </c>
      <c r="D503" s="106">
        <v>238.809</v>
      </c>
      <c r="E503" s="107">
        <v>2695</v>
      </c>
      <c r="F503" s="106">
        <f t="shared" si="35"/>
        <v>239.47592319999998</v>
      </c>
      <c r="G503" s="108" t="s">
        <v>1151</v>
      </c>
      <c r="H503" s="108"/>
      <c r="I503" s="107">
        <v>76</v>
      </c>
      <c r="J503" s="107">
        <v>570</v>
      </c>
      <c r="K503" s="108" t="s">
        <v>429</v>
      </c>
      <c r="L503" s="107">
        <v>9135</v>
      </c>
      <c r="M503" s="111">
        <f t="shared" si="33"/>
        <v>95.577193932443947</v>
      </c>
      <c r="N503" s="107">
        <v>3889</v>
      </c>
      <c r="O503" s="113">
        <f t="shared" si="34"/>
        <v>2.3489328876317819</v>
      </c>
      <c r="P503" s="78"/>
      <c r="Q503" s="63"/>
      <c r="R503" s="63"/>
      <c r="S503" s="63"/>
      <c r="T503" s="63"/>
      <c r="U503" s="63"/>
      <c r="V503" s="63"/>
      <c r="W503" s="63"/>
      <c r="X503" s="63"/>
      <c r="Y503" s="63"/>
      <c r="Z503" s="63"/>
    </row>
    <row r="504" spans="1:26" ht="17.25" customHeight="1" x14ac:dyDescent="0.2">
      <c r="A504" s="104">
        <v>1061</v>
      </c>
      <c r="B504" s="105" t="s">
        <v>31</v>
      </c>
      <c r="C504" s="105" t="s">
        <v>94</v>
      </c>
      <c r="D504" s="106">
        <v>240.81700000000001</v>
      </c>
      <c r="E504" s="107">
        <v>2695</v>
      </c>
      <c r="F504" s="106">
        <f t="shared" si="35"/>
        <v>241.4704696</v>
      </c>
      <c r="G504" s="108" t="s">
        <v>1152</v>
      </c>
      <c r="H504" s="108"/>
      <c r="I504" s="107">
        <v>98</v>
      </c>
      <c r="J504" s="107">
        <v>338</v>
      </c>
      <c r="K504" s="108" t="s">
        <v>429</v>
      </c>
      <c r="L504" s="107">
        <v>5548</v>
      </c>
      <c r="M504" s="111">
        <f t="shared" si="33"/>
        <v>74.484897798144289</v>
      </c>
      <c r="N504" s="111">
        <v>2628.86</v>
      </c>
      <c r="O504" s="113">
        <f t="shared" si="34"/>
        <v>2.1104204864465963</v>
      </c>
      <c r="P504" s="78"/>
      <c r="Q504" s="63"/>
      <c r="R504" s="63"/>
      <c r="S504" s="63"/>
      <c r="T504" s="63"/>
      <c r="U504" s="63"/>
      <c r="V504" s="63"/>
      <c r="W504" s="63"/>
      <c r="X504" s="63"/>
      <c r="Y504" s="63"/>
      <c r="Z504" s="63"/>
    </row>
    <row r="505" spans="1:26" ht="17.25" customHeight="1" x14ac:dyDescent="0.2">
      <c r="A505" s="104">
        <v>1062</v>
      </c>
      <c r="B505" s="105" t="s">
        <v>31</v>
      </c>
      <c r="C505" s="105" t="s">
        <v>94</v>
      </c>
      <c r="D505" s="106">
        <v>242.81700000000001</v>
      </c>
      <c r="E505" s="107">
        <v>2695</v>
      </c>
      <c r="F505" s="106">
        <f t="shared" si="35"/>
        <v>243.45706959999998</v>
      </c>
      <c r="G505" s="108" t="s">
        <v>1153</v>
      </c>
      <c r="H505" s="108"/>
      <c r="I505" s="107">
        <v>123</v>
      </c>
      <c r="J505" s="107">
        <v>360</v>
      </c>
      <c r="K505" s="108" t="s">
        <v>429</v>
      </c>
      <c r="L505" s="107">
        <v>5428</v>
      </c>
      <c r="M505" s="111">
        <f t="shared" si="33"/>
        <v>73.674961825575451</v>
      </c>
      <c r="N505" s="111">
        <v>3573.09</v>
      </c>
      <c r="O505" s="113">
        <f t="shared" si="34"/>
        <v>1.519133299189217</v>
      </c>
      <c r="P505" s="78"/>
      <c r="Q505" s="63"/>
      <c r="R505" s="63"/>
      <c r="S505" s="63"/>
      <c r="T505" s="63"/>
      <c r="U505" s="63"/>
      <c r="V505" s="63"/>
      <c r="W505" s="63"/>
      <c r="X505" s="63"/>
      <c r="Y505" s="63"/>
      <c r="Z505" s="63"/>
    </row>
    <row r="506" spans="1:26" ht="17.25" customHeight="1" x14ac:dyDescent="0.2">
      <c r="A506" s="104">
        <v>1063</v>
      </c>
      <c r="B506" s="105" t="s">
        <v>31</v>
      </c>
      <c r="C506" s="105" t="s">
        <v>94</v>
      </c>
      <c r="D506" s="106">
        <v>241.81700000000001</v>
      </c>
      <c r="E506" s="107">
        <v>2695</v>
      </c>
      <c r="F506" s="106">
        <f t="shared" si="35"/>
        <v>242.46376960000001</v>
      </c>
      <c r="G506" s="108" t="s">
        <v>1154</v>
      </c>
      <c r="H506" s="108"/>
      <c r="I506" s="107">
        <v>122</v>
      </c>
      <c r="J506" s="107">
        <v>350</v>
      </c>
      <c r="K506" s="108" t="s">
        <v>429</v>
      </c>
      <c r="L506" s="107">
        <v>5556</v>
      </c>
      <c r="M506" s="111">
        <f t="shared" si="33"/>
        <v>74.538580614336894</v>
      </c>
      <c r="N506" s="111">
        <v>3082.51</v>
      </c>
      <c r="O506" s="113">
        <f t="shared" si="34"/>
        <v>1.8024272427340056</v>
      </c>
      <c r="P506" s="78"/>
      <c r="Q506" s="63"/>
      <c r="R506" s="63"/>
      <c r="S506" s="63"/>
      <c r="T506" s="63"/>
      <c r="U506" s="63"/>
      <c r="V506" s="63"/>
      <c r="W506" s="63"/>
      <c r="X506" s="63"/>
      <c r="Y506" s="63"/>
      <c r="Z506" s="63"/>
    </row>
    <row r="507" spans="1:26" ht="17.25" customHeight="1" x14ac:dyDescent="0.2">
      <c r="A507" s="104">
        <v>1064</v>
      </c>
      <c r="B507" s="105" t="s">
        <v>31</v>
      </c>
      <c r="C507" s="105" t="s">
        <v>94</v>
      </c>
      <c r="D507" s="106">
        <v>239.81</v>
      </c>
      <c r="E507" s="107">
        <v>2695</v>
      </c>
      <c r="F507" s="106">
        <f t="shared" si="35"/>
        <v>240.47021649999999</v>
      </c>
      <c r="G507" s="108" t="s">
        <v>1155</v>
      </c>
      <c r="H507" s="108"/>
      <c r="I507" s="107">
        <v>132</v>
      </c>
      <c r="J507" s="107">
        <v>287</v>
      </c>
      <c r="K507" s="108" t="s">
        <v>429</v>
      </c>
      <c r="L507" s="107">
        <v>5903</v>
      </c>
      <c r="M507" s="111">
        <f t="shared" si="33"/>
        <v>76.830983333548446</v>
      </c>
      <c r="N507" s="111">
        <v>2646.62</v>
      </c>
      <c r="O507" s="113">
        <f t="shared" si="34"/>
        <v>2.2303919716468554</v>
      </c>
      <c r="P507" s="78"/>
      <c r="Q507" s="63"/>
      <c r="R507" s="63"/>
      <c r="S507" s="63"/>
      <c r="T507" s="63"/>
      <c r="U507" s="63"/>
      <c r="V507" s="63"/>
      <c r="W507" s="63"/>
      <c r="X507" s="63"/>
      <c r="Y507" s="63"/>
      <c r="Z507" s="63"/>
    </row>
    <row r="508" spans="1:26" ht="17.25" customHeight="1" x14ac:dyDescent="0.2">
      <c r="A508" s="104">
        <v>1065</v>
      </c>
      <c r="B508" s="105" t="s">
        <v>31</v>
      </c>
      <c r="C508" s="105" t="s">
        <v>94</v>
      </c>
      <c r="D508" s="106">
        <v>237.80199999999999</v>
      </c>
      <c r="E508" s="107">
        <v>2695</v>
      </c>
      <c r="F508" s="106">
        <f t="shared" si="35"/>
        <v>238.47567009999997</v>
      </c>
      <c r="G508" s="108" t="s">
        <v>1156</v>
      </c>
      <c r="H508" s="108"/>
      <c r="I508" s="107">
        <v>137</v>
      </c>
      <c r="J508" s="107">
        <v>261</v>
      </c>
      <c r="K508" s="108" t="s">
        <v>429</v>
      </c>
      <c r="L508" s="107">
        <v>6443</v>
      </c>
      <c r="M508" s="111">
        <f t="shared" si="33"/>
        <v>80.268300094121841</v>
      </c>
      <c r="N508" s="111">
        <v>2468.9299999999998</v>
      </c>
      <c r="O508" s="113">
        <f t="shared" si="34"/>
        <v>2.6096325128699478</v>
      </c>
      <c r="P508" s="78"/>
      <c r="Q508" s="63"/>
      <c r="R508" s="63"/>
      <c r="S508" s="63"/>
      <c r="T508" s="63"/>
      <c r="U508" s="63"/>
      <c r="V508" s="63"/>
      <c r="W508" s="63"/>
      <c r="X508" s="63"/>
      <c r="Y508" s="63"/>
      <c r="Z508" s="63"/>
    </row>
    <row r="509" spans="1:26" ht="17.25" customHeight="1" x14ac:dyDescent="0.2">
      <c r="A509" s="104">
        <v>1066</v>
      </c>
      <c r="B509" s="105" t="s">
        <v>31</v>
      </c>
      <c r="C509" s="105" t="s">
        <v>94</v>
      </c>
      <c r="D509" s="106">
        <v>244.82499999999999</v>
      </c>
      <c r="E509" s="107">
        <v>2695</v>
      </c>
      <c r="F509" s="106">
        <f t="shared" si="35"/>
        <v>245.45161599999997</v>
      </c>
      <c r="G509" s="108" t="s">
        <v>1157</v>
      </c>
      <c r="H509" s="108"/>
      <c r="I509" s="107">
        <v>119</v>
      </c>
      <c r="J509" s="107">
        <v>448</v>
      </c>
      <c r="K509" s="108" t="s">
        <v>429</v>
      </c>
      <c r="L509" s="107">
        <v>5426</v>
      </c>
      <c r="M509" s="111">
        <f t="shared" si="33"/>
        <v>73.661387442811588</v>
      </c>
      <c r="N509" s="111">
        <v>4776.91</v>
      </c>
      <c r="O509" s="113">
        <f t="shared" si="34"/>
        <v>1.135880726243534</v>
      </c>
      <c r="P509" s="78"/>
      <c r="Q509" s="63"/>
      <c r="R509" s="63"/>
      <c r="S509" s="63"/>
      <c r="T509" s="63"/>
      <c r="U509" s="63"/>
      <c r="V509" s="63"/>
      <c r="W509" s="63"/>
      <c r="X509" s="63"/>
      <c r="Y509" s="63"/>
      <c r="Z509" s="63"/>
    </row>
    <row r="510" spans="1:26" ht="17.25" customHeight="1" x14ac:dyDescent="0.2">
      <c r="A510" s="104">
        <v>1067</v>
      </c>
      <c r="B510" s="105" t="s">
        <v>31</v>
      </c>
      <c r="C510" s="105" t="s">
        <v>94</v>
      </c>
      <c r="D510" s="106">
        <v>247.82599999999999</v>
      </c>
      <c r="E510" s="107">
        <v>2695</v>
      </c>
      <c r="F510" s="106">
        <f t="shared" si="35"/>
        <v>248.43250929999999</v>
      </c>
      <c r="G510" s="108" t="s">
        <v>1158</v>
      </c>
      <c r="H510" s="108"/>
      <c r="I510" s="107">
        <v>144</v>
      </c>
      <c r="J510" s="107">
        <v>311</v>
      </c>
      <c r="K510" s="108" t="s">
        <v>429</v>
      </c>
      <c r="L510" s="107">
        <v>2703</v>
      </c>
      <c r="M510" s="111">
        <f t="shared" si="33"/>
        <v>51.990383726223833</v>
      </c>
      <c r="N510" s="111">
        <v>3750.18</v>
      </c>
      <c r="O510" s="113">
        <f t="shared" si="34"/>
        <v>0.72076540326064353</v>
      </c>
      <c r="P510" s="78"/>
      <c r="Q510" s="63"/>
      <c r="R510" s="63"/>
      <c r="S510" s="63"/>
      <c r="T510" s="63"/>
      <c r="U510" s="63"/>
      <c r="V510" s="63"/>
      <c r="W510" s="63"/>
      <c r="X510" s="63"/>
      <c r="Y510" s="63"/>
      <c r="Z510" s="63"/>
    </row>
    <row r="511" spans="1:26" ht="17.25" customHeight="1" x14ac:dyDescent="0.2">
      <c r="A511" s="104">
        <v>1068</v>
      </c>
      <c r="B511" s="105" t="s">
        <v>31</v>
      </c>
      <c r="C511" s="105" t="s">
        <v>94</v>
      </c>
      <c r="D511" s="106">
        <v>250.84100000000001</v>
      </c>
      <c r="E511" s="107">
        <v>2695</v>
      </c>
      <c r="F511" s="106">
        <f t="shared" si="35"/>
        <v>251.42730879999999</v>
      </c>
      <c r="G511" s="108" t="s">
        <v>1158</v>
      </c>
      <c r="H511" s="108"/>
      <c r="I511" s="107">
        <v>167</v>
      </c>
      <c r="J511" s="107">
        <v>421</v>
      </c>
      <c r="K511" s="108" t="s">
        <v>429</v>
      </c>
      <c r="L511" s="107">
        <v>3146</v>
      </c>
      <c r="M511" s="111">
        <f t="shared" si="33"/>
        <v>56.089214649520635</v>
      </c>
      <c r="N511" s="111">
        <v>6133.55</v>
      </c>
      <c r="O511" s="113">
        <f t="shared" si="34"/>
        <v>0.51291666327004748</v>
      </c>
      <c r="P511" s="78"/>
      <c r="Q511" s="63"/>
      <c r="R511" s="63"/>
      <c r="S511" s="63"/>
      <c r="T511" s="63"/>
      <c r="U511" s="63"/>
      <c r="V511" s="63"/>
      <c r="W511" s="63"/>
      <c r="X511" s="63"/>
      <c r="Y511" s="63"/>
      <c r="Z511" s="63"/>
    </row>
    <row r="512" spans="1:26" ht="17.25" customHeight="1" x14ac:dyDescent="0.2">
      <c r="A512" s="104">
        <v>1069</v>
      </c>
      <c r="B512" s="105" t="s">
        <v>31</v>
      </c>
      <c r="C512" s="105" t="s">
        <v>94</v>
      </c>
      <c r="D512" s="106">
        <v>253.84800000000001</v>
      </c>
      <c r="E512" s="107">
        <v>2695</v>
      </c>
      <c r="F512" s="106">
        <f t="shared" si="35"/>
        <v>254.41416190000001</v>
      </c>
      <c r="G512" s="108" t="s">
        <v>1159</v>
      </c>
      <c r="H512" s="108"/>
      <c r="I512" s="107">
        <v>189</v>
      </c>
      <c r="J512" s="107">
        <v>399</v>
      </c>
      <c r="K512" s="108" t="s">
        <v>429</v>
      </c>
      <c r="L512" s="107">
        <v>2726</v>
      </c>
      <c r="M512" s="111">
        <f t="shared" si="33"/>
        <v>52.211109928826453</v>
      </c>
      <c r="N512" s="111">
        <v>6415.07</v>
      </c>
      <c r="O512" s="113">
        <f t="shared" si="34"/>
        <v>0.42493690637826248</v>
      </c>
      <c r="P512" s="78"/>
      <c r="Q512" s="63"/>
      <c r="R512" s="63"/>
      <c r="S512" s="63"/>
      <c r="T512" s="63"/>
      <c r="U512" s="63"/>
      <c r="V512" s="63"/>
      <c r="W512" s="63"/>
      <c r="X512" s="63"/>
      <c r="Y512" s="63"/>
      <c r="Z512" s="63"/>
    </row>
    <row r="513" spans="1:26" ht="17.25" customHeight="1" x14ac:dyDescent="0.2">
      <c r="A513" s="104">
        <v>1070</v>
      </c>
      <c r="B513" s="105" t="s">
        <v>157</v>
      </c>
      <c r="C513" s="105"/>
      <c r="D513" s="106">
        <v>229.732</v>
      </c>
      <c r="E513" s="107">
        <v>2695</v>
      </c>
      <c r="F513" s="106">
        <f t="shared" si="35"/>
        <v>230.45973909999998</v>
      </c>
      <c r="G513" s="108" t="s">
        <v>1160</v>
      </c>
      <c r="H513" s="108" t="s">
        <v>1161</v>
      </c>
      <c r="I513" s="107">
        <v>300</v>
      </c>
      <c r="J513" s="107">
        <v>734879</v>
      </c>
      <c r="K513" s="108" t="s">
        <v>429</v>
      </c>
      <c r="L513" s="107">
        <v>129272711</v>
      </c>
      <c r="M513" s="111">
        <f t="shared" si="33"/>
        <v>11369.815785666889</v>
      </c>
      <c r="N513" s="111">
        <v>22317874.07</v>
      </c>
      <c r="O513" s="113">
        <f t="shared" si="34"/>
        <v>5.7923398346337205</v>
      </c>
      <c r="P513" s="78"/>
      <c r="Q513" s="63"/>
      <c r="R513" s="63"/>
      <c r="S513" s="63"/>
      <c r="T513" s="63"/>
      <c r="U513" s="63"/>
      <c r="V513" s="63"/>
      <c r="W513" s="63"/>
      <c r="X513" s="63"/>
      <c r="Y513" s="63"/>
      <c r="Z513" s="63"/>
    </row>
    <row r="514" spans="1:26" ht="17.25" customHeight="1" x14ac:dyDescent="0.2">
      <c r="A514" s="104">
        <v>1071</v>
      </c>
      <c r="B514" s="105" t="s">
        <v>32</v>
      </c>
      <c r="C514" s="105" t="s">
        <v>94</v>
      </c>
      <c r="D514" s="106">
        <v>329.37400000000002</v>
      </c>
      <c r="E514" s="107">
        <v>2697</v>
      </c>
      <c r="F514" s="106">
        <f t="shared" si="35"/>
        <v>329.43612429999996</v>
      </c>
      <c r="G514" s="108" t="s">
        <v>1162</v>
      </c>
      <c r="H514" s="108" t="s">
        <v>1163</v>
      </c>
      <c r="I514" s="107">
        <v>42</v>
      </c>
      <c r="J514" s="107">
        <v>1841</v>
      </c>
      <c r="K514" s="108" t="s">
        <v>429</v>
      </c>
      <c r="L514" s="107">
        <v>3044</v>
      </c>
      <c r="M514" s="111">
        <f t="shared" si="33"/>
        <v>55.172456896534889</v>
      </c>
      <c r="N514" s="111">
        <v>7494.51</v>
      </c>
      <c r="O514" s="113">
        <f t="shared" si="34"/>
        <v>0.40616397869907439</v>
      </c>
      <c r="P514" s="78"/>
      <c r="Q514" s="63"/>
      <c r="R514" s="63"/>
      <c r="S514" s="63"/>
      <c r="T514" s="63"/>
      <c r="U514" s="63"/>
      <c r="V514" s="63"/>
      <c r="W514" s="63"/>
      <c r="X514" s="63"/>
      <c r="Y514" s="63"/>
      <c r="Z514" s="63"/>
    </row>
    <row r="515" spans="1:26" ht="17.25" customHeight="1" x14ac:dyDescent="0.2">
      <c r="A515" s="104">
        <v>1072</v>
      </c>
      <c r="B515" s="105" t="s">
        <v>32</v>
      </c>
      <c r="C515" s="105" t="s">
        <v>94</v>
      </c>
      <c r="D515" s="106">
        <v>331.38099999999997</v>
      </c>
      <c r="E515" s="107">
        <v>2697</v>
      </c>
      <c r="F515" s="106">
        <f t="shared" si="35"/>
        <v>331.42967739999995</v>
      </c>
      <c r="G515" s="108" t="s">
        <v>1164</v>
      </c>
      <c r="H515" s="108" t="s">
        <v>1165</v>
      </c>
      <c r="I515" s="107">
        <v>45</v>
      </c>
      <c r="J515" s="107">
        <v>1340</v>
      </c>
      <c r="K515" s="108" t="s">
        <v>429</v>
      </c>
      <c r="L515" s="107">
        <v>3225</v>
      </c>
      <c r="M515" s="111">
        <f t="shared" si="33"/>
        <v>56.789083458002736</v>
      </c>
      <c r="N515" s="111">
        <v>5845.58</v>
      </c>
      <c r="O515" s="113">
        <f t="shared" si="34"/>
        <v>0.55169889044371989</v>
      </c>
      <c r="P515" s="78"/>
      <c r="Q515" s="63"/>
      <c r="R515" s="63"/>
      <c r="S515" s="63"/>
      <c r="T515" s="63"/>
      <c r="U515" s="63"/>
      <c r="V515" s="63"/>
      <c r="W515" s="63"/>
      <c r="X515" s="63"/>
      <c r="Y515" s="63"/>
      <c r="Z515" s="63"/>
    </row>
    <row r="516" spans="1:26" ht="17.25" customHeight="1" x14ac:dyDescent="0.2">
      <c r="A516" s="104">
        <v>1073</v>
      </c>
      <c r="B516" s="105" t="s">
        <v>32</v>
      </c>
      <c r="C516" s="105" t="s">
        <v>94</v>
      </c>
      <c r="D516" s="106">
        <v>333.39600000000002</v>
      </c>
      <c r="E516" s="107">
        <v>2697</v>
      </c>
      <c r="F516" s="106">
        <f t="shared" si="35"/>
        <v>333.43117689999997</v>
      </c>
      <c r="G516" s="108" t="s">
        <v>1166</v>
      </c>
      <c r="H516" s="108" t="s">
        <v>1167</v>
      </c>
      <c r="I516" s="107">
        <v>44</v>
      </c>
      <c r="J516" s="107">
        <v>1073</v>
      </c>
      <c r="K516" s="108" t="s">
        <v>429</v>
      </c>
      <c r="L516" s="107">
        <v>3433</v>
      </c>
      <c r="M516" s="111">
        <f t="shared" si="33"/>
        <v>58.591808301161009</v>
      </c>
      <c r="N516" s="111">
        <v>4524.38</v>
      </c>
      <c r="O516" s="113">
        <f t="shared" si="34"/>
        <v>0.75877799831137083</v>
      </c>
      <c r="P516" s="78"/>
      <c r="Q516" s="63"/>
      <c r="R516" s="63"/>
      <c r="S516" s="63"/>
      <c r="T516" s="63"/>
      <c r="U516" s="63"/>
      <c r="V516" s="63"/>
      <c r="W516" s="63"/>
      <c r="X516" s="63"/>
      <c r="Y516" s="63"/>
      <c r="Z516" s="63"/>
    </row>
    <row r="517" spans="1:26" ht="17.25" customHeight="1" x14ac:dyDescent="0.2">
      <c r="A517" s="104">
        <v>1074</v>
      </c>
      <c r="B517" s="105" t="s">
        <v>32</v>
      </c>
      <c r="C517" s="105" t="s">
        <v>94</v>
      </c>
      <c r="D517" s="106">
        <v>335.39</v>
      </c>
      <c r="E517" s="107">
        <v>2697</v>
      </c>
      <c r="F517" s="106">
        <f t="shared" si="35"/>
        <v>335.41181709999995</v>
      </c>
      <c r="G517" s="108" t="s">
        <v>1168</v>
      </c>
      <c r="H517" s="108"/>
      <c r="I517" s="107">
        <v>43</v>
      </c>
      <c r="J517" s="107">
        <v>756</v>
      </c>
      <c r="K517" s="108" t="s">
        <v>429</v>
      </c>
      <c r="L517" s="107">
        <v>3418</v>
      </c>
      <c r="M517" s="111">
        <f t="shared" si="33"/>
        <v>58.463663928973865</v>
      </c>
      <c r="N517" s="111">
        <v>2978.42</v>
      </c>
      <c r="O517" s="113">
        <f t="shared" si="34"/>
        <v>1.1475883186387412</v>
      </c>
      <c r="P517" s="78"/>
      <c r="Q517" s="63"/>
      <c r="R517" s="63"/>
      <c r="S517" s="63"/>
      <c r="T517" s="63"/>
      <c r="U517" s="63"/>
      <c r="V517" s="63"/>
      <c r="W517" s="63"/>
      <c r="X517" s="63"/>
      <c r="Y517" s="63"/>
      <c r="Z517" s="63"/>
    </row>
    <row r="518" spans="1:26" ht="17.25" customHeight="1" x14ac:dyDescent="0.2">
      <c r="A518" s="104">
        <v>1075</v>
      </c>
      <c r="B518" s="105" t="s">
        <v>32</v>
      </c>
      <c r="C518" s="105" t="s">
        <v>94</v>
      </c>
      <c r="D518" s="106">
        <v>337.39</v>
      </c>
      <c r="E518" s="107">
        <v>2697</v>
      </c>
      <c r="F518" s="106">
        <f t="shared" si="35"/>
        <v>337.39841709999996</v>
      </c>
      <c r="G518" s="108" t="s">
        <v>1169</v>
      </c>
      <c r="H518" s="108"/>
      <c r="I518" s="107">
        <v>42</v>
      </c>
      <c r="J518" s="107">
        <v>919</v>
      </c>
      <c r="K518" s="108" t="s">
        <v>429</v>
      </c>
      <c r="L518" s="107">
        <v>7313</v>
      </c>
      <c r="M518" s="111">
        <f t="shared" si="33"/>
        <v>85.516080359193268</v>
      </c>
      <c r="N518" s="107">
        <v>3695</v>
      </c>
      <c r="O518" s="113">
        <f t="shared" si="34"/>
        <v>1.9791610284167793</v>
      </c>
      <c r="P518" s="78"/>
      <c r="Q518" s="63"/>
      <c r="R518" s="63"/>
      <c r="S518" s="63"/>
      <c r="T518" s="63"/>
      <c r="U518" s="63"/>
      <c r="V518" s="63"/>
      <c r="W518" s="63"/>
      <c r="X518" s="63"/>
      <c r="Y518" s="63"/>
      <c r="Z518" s="63"/>
    </row>
    <row r="519" spans="1:26" ht="17.25" customHeight="1" x14ac:dyDescent="0.2">
      <c r="A519" s="104">
        <v>1076</v>
      </c>
      <c r="B519" s="105" t="s">
        <v>32</v>
      </c>
      <c r="C519" s="105" t="s">
        <v>94</v>
      </c>
      <c r="D519" s="106">
        <v>339.39800000000002</v>
      </c>
      <c r="E519" s="107">
        <v>2697</v>
      </c>
      <c r="F519" s="106">
        <f t="shared" si="35"/>
        <v>339.39296350000001</v>
      </c>
      <c r="G519" s="108" t="s">
        <v>1170</v>
      </c>
      <c r="H519" s="108"/>
      <c r="I519" s="107">
        <v>26</v>
      </c>
      <c r="J519" s="107">
        <v>593</v>
      </c>
      <c r="K519" s="108" t="s">
        <v>429</v>
      </c>
      <c r="L519" s="107">
        <v>5694</v>
      </c>
      <c r="M519" s="111">
        <f t="shared" si="33"/>
        <v>75.458597919653926</v>
      </c>
      <c r="N519" s="111">
        <v>1432.98</v>
      </c>
      <c r="O519" s="113">
        <f t="shared" si="34"/>
        <v>3.9735376627726833</v>
      </c>
      <c r="P519" s="78"/>
      <c r="Q519" s="63"/>
      <c r="R519" s="63"/>
      <c r="S519" s="63"/>
      <c r="T519" s="63"/>
      <c r="U519" s="63"/>
      <c r="V519" s="63"/>
      <c r="W519" s="63"/>
      <c r="X519" s="63"/>
      <c r="Y519" s="63"/>
      <c r="Z519" s="63"/>
    </row>
    <row r="520" spans="1:26" ht="17.25" customHeight="1" x14ac:dyDescent="0.2">
      <c r="A520" s="104">
        <v>1077</v>
      </c>
      <c r="B520" s="105" t="s">
        <v>32</v>
      </c>
      <c r="C520" s="105" t="s">
        <v>94</v>
      </c>
      <c r="D520" s="106">
        <v>340.39800000000002</v>
      </c>
      <c r="E520" s="107">
        <v>2697</v>
      </c>
      <c r="F520" s="106">
        <f t="shared" si="35"/>
        <v>340.38626349999998</v>
      </c>
      <c r="G520" s="108" t="s">
        <v>1171</v>
      </c>
      <c r="H520" s="108"/>
      <c r="I520" s="107">
        <v>25</v>
      </c>
      <c r="J520" s="107">
        <v>869</v>
      </c>
      <c r="K520" s="108" t="s">
        <v>429</v>
      </c>
      <c r="L520" s="107">
        <v>14115</v>
      </c>
      <c r="M520" s="111">
        <f t="shared" si="33"/>
        <v>118.80656547514535</v>
      </c>
      <c r="N520" s="111">
        <v>2093.81</v>
      </c>
      <c r="O520" s="113">
        <f t="shared" si="34"/>
        <v>6.7412993538095627</v>
      </c>
      <c r="P520" s="78"/>
      <c r="Q520" s="63"/>
      <c r="R520" s="63"/>
      <c r="S520" s="63"/>
      <c r="T520" s="63"/>
      <c r="U520" s="63"/>
      <c r="V520" s="63"/>
      <c r="W520" s="63"/>
      <c r="X520" s="63"/>
      <c r="Y520" s="63"/>
      <c r="Z520" s="63"/>
    </row>
    <row r="521" spans="1:26" ht="17.25" customHeight="1" x14ac:dyDescent="0.2">
      <c r="A521" s="104">
        <v>1078</v>
      </c>
      <c r="B521" s="105" t="s">
        <v>32</v>
      </c>
      <c r="C521" s="105" t="s">
        <v>94</v>
      </c>
      <c r="D521" s="106">
        <v>341.399</v>
      </c>
      <c r="E521" s="107">
        <v>2697</v>
      </c>
      <c r="F521" s="106">
        <f t="shared" si="35"/>
        <v>341.38055679999997</v>
      </c>
      <c r="G521" s="108" t="s">
        <v>1172</v>
      </c>
      <c r="H521" s="108"/>
      <c r="I521" s="107">
        <v>25</v>
      </c>
      <c r="J521" s="107">
        <v>396</v>
      </c>
      <c r="K521" s="108" t="s">
        <v>429</v>
      </c>
      <c r="L521" s="107">
        <v>10654</v>
      </c>
      <c r="M521" s="111">
        <f t="shared" si="33"/>
        <v>103.21821544669332</v>
      </c>
      <c r="N521" s="111">
        <v>874.74</v>
      </c>
      <c r="O521" s="113">
        <f t="shared" si="34"/>
        <v>12.179619086814368</v>
      </c>
      <c r="P521" s="78"/>
      <c r="Q521" s="63"/>
      <c r="R521" s="63"/>
      <c r="S521" s="63"/>
      <c r="T521" s="63"/>
      <c r="U521" s="63"/>
      <c r="V521" s="63"/>
      <c r="W521" s="63"/>
      <c r="X521" s="63"/>
      <c r="Y521" s="63"/>
      <c r="Z521" s="63"/>
    </row>
    <row r="522" spans="1:26" ht="17.25" customHeight="1" x14ac:dyDescent="0.2">
      <c r="A522" s="104">
        <v>1079</v>
      </c>
      <c r="B522" s="105" t="s">
        <v>32</v>
      </c>
      <c r="C522" s="105" t="s">
        <v>94</v>
      </c>
      <c r="D522" s="106">
        <v>342.399</v>
      </c>
      <c r="E522" s="107">
        <v>2697</v>
      </c>
      <c r="F522" s="106">
        <f t="shared" si="35"/>
        <v>342.37385679999994</v>
      </c>
      <c r="G522" s="108" t="s">
        <v>1173</v>
      </c>
      <c r="H522" s="108"/>
      <c r="I522" s="107">
        <v>25</v>
      </c>
      <c r="J522" s="107">
        <v>448</v>
      </c>
      <c r="K522" s="108" t="s">
        <v>429</v>
      </c>
      <c r="L522" s="107">
        <v>22435</v>
      </c>
      <c r="M522" s="111">
        <f t="shared" si="33"/>
        <v>149.78317662541411</v>
      </c>
      <c r="N522" s="111">
        <v>1026.03</v>
      </c>
      <c r="O522" s="113">
        <f t="shared" si="34"/>
        <v>21.865832383068721</v>
      </c>
      <c r="P522" s="78"/>
      <c r="Q522" s="63"/>
      <c r="R522" s="63"/>
      <c r="S522" s="63"/>
      <c r="T522" s="63"/>
      <c r="U522" s="63"/>
      <c r="V522" s="63"/>
      <c r="W522" s="63"/>
      <c r="X522" s="63"/>
      <c r="Y522" s="63"/>
      <c r="Z522" s="63"/>
    </row>
    <row r="523" spans="1:26" ht="17.25" customHeight="1" x14ac:dyDescent="0.2">
      <c r="A523" s="104">
        <v>1080</v>
      </c>
      <c r="B523" s="105" t="s">
        <v>32</v>
      </c>
      <c r="C523" s="105" t="s">
        <v>94</v>
      </c>
      <c r="D523" s="106">
        <v>343.41300000000001</v>
      </c>
      <c r="E523" s="107">
        <v>2697</v>
      </c>
      <c r="F523" s="106">
        <f t="shared" si="35"/>
        <v>343.38106299999998</v>
      </c>
      <c r="G523" s="108" t="s">
        <v>1174</v>
      </c>
      <c r="H523" s="108"/>
      <c r="I523" s="107">
        <v>15</v>
      </c>
      <c r="J523" s="107">
        <v>247</v>
      </c>
      <c r="K523" s="108" t="s">
        <v>429</v>
      </c>
      <c r="L523" s="107">
        <v>10695</v>
      </c>
      <c r="M523" s="111">
        <f t="shared" si="33"/>
        <v>103.41663309158736</v>
      </c>
      <c r="N523" s="111">
        <v>345.6</v>
      </c>
      <c r="O523" s="113">
        <f t="shared" si="34"/>
        <v>30.946180555555554</v>
      </c>
      <c r="P523" s="78"/>
      <c r="Q523" s="63"/>
      <c r="R523" s="63"/>
      <c r="S523" s="63"/>
      <c r="T523" s="63"/>
      <c r="U523" s="63"/>
      <c r="V523" s="63"/>
      <c r="W523" s="63"/>
      <c r="X523" s="63"/>
      <c r="Y523" s="63"/>
      <c r="Z523" s="63"/>
    </row>
    <row r="524" spans="1:26" ht="17.25" customHeight="1" x14ac:dyDescent="0.2">
      <c r="A524" s="104">
        <v>1081</v>
      </c>
      <c r="B524" s="105" t="s">
        <v>32</v>
      </c>
      <c r="C524" s="105" t="s">
        <v>94</v>
      </c>
      <c r="D524" s="106">
        <v>343.90300000000002</v>
      </c>
      <c r="E524" s="107">
        <v>2697</v>
      </c>
      <c r="F524" s="106">
        <f t="shared" si="35"/>
        <v>343.86777999999998</v>
      </c>
      <c r="G524" s="108" t="s">
        <v>1175</v>
      </c>
      <c r="H524" s="108"/>
      <c r="I524" s="107">
        <v>15</v>
      </c>
      <c r="J524" s="107">
        <v>235</v>
      </c>
      <c r="K524" s="108" t="s">
        <v>429</v>
      </c>
      <c r="L524" s="107">
        <v>12084</v>
      </c>
      <c r="M524" s="111">
        <f t="shared" si="33"/>
        <v>109.92724866929036</v>
      </c>
      <c r="N524" s="111">
        <v>328.22</v>
      </c>
      <c r="O524" s="113">
        <f t="shared" si="34"/>
        <v>36.816769240143806</v>
      </c>
      <c r="P524" s="78"/>
      <c r="Q524" s="63"/>
      <c r="R524" s="63"/>
      <c r="S524" s="63"/>
      <c r="T524" s="63"/>
      <c r="U524" s="63"/>
      <c r="V524" s="63"/>
      <c r="W524" s="63"/>
      <c r="X524" s="63"/>
      <c r="Y524" s="63"/>
      <c r="Z524" s="63"/>
    </row>
    <row r="525" spans="1:26" ht="17.25" customHeight="1" x14ac:dyDescent="0.2">
      <c r="A525" s="104">
        <v>1082</v>
      </c>
      <c r="B525" s="105" t="s">
        <v>32</v>
      </c>
      <c r="C525" s="105" t="s">
        <v>94</v>
      </c>
      <c r="D525" s="106">
        <v>344.4</v>
      </c>
      <c r="E525" s="107">
        <v>2697</v>
      </c>
      <c r="F525" s="106">
        <f t="shared" si="35"/>
        <v>344.36145009999996</v>
      </c>
      <c r="G525" s="108" t="s">
        <v>1176</v>
      </c>
      <c r="H525" s="108"/>
      <c r="I525" s="107">
        <v>15</v>
      </c>
      <c r="J525" s="107">
        <v>234</v>
      </c>
      <c r="K525" s="108" t="s">
        <v>429</v>
      </c>
      <c r="L525" s="107">
        <v>12596</v>
      </c>
      <c r="M525" s="111">
        <f t="shared" si="33"/>
        <v>112.2319027727856</v>
      </c>
      <c r="N525" s="111">
        <v>325.82</v>
      </c>
      <c r="O525" s="113">
        <f t="shared" si="34"/>
        <v>38.659382481124545</v>
      </c>
      <c r="P525" s="78"/>
      <c r="Q525" s="63"/>
      <c r="R525" s="63"/>
      <c r="S525" s="63"/>
      <c r="T525" s="63"/>
      <c r="U525" s="63"/>
      <c r="V525" s="63"/>
      <c r="W525" s="63"/>
      <c r="X525" s="63"/>
      <c r="Y525" s="63"/>
      <c r="Z525" s="63"/>
    </row>
    <row r="526" spans="1:26" ht="17.25" customHeight="1" x14ac:dyDescent="0.2">
      <c r="A526" s="104">
        <v>1083</v>
      </c>
      <c r="B526" s="105" t="s">
        <v>32</v>
      </c>
      <c r="C526" s="105" t="s">
        <v>94</v>
      </c>
      <c r="D526" s="106">
        <v>344.91</v>
      </c>
      <c r="E526" s="107">
        <v>2697</v>
      </c>
      <c r="F526" s="106">
        <f t="shared" si="35"/>
        <v>344.86803309999999</v>
      </c>
      <c r="G526" s="108" t="s">
        <v>1177</v>
      </c>
      <c r="H526" s="108"/>
      <c r="I526" s="107">
        <v>15</v>
      </c>
      <c r="J526" s="107">
        <v>376</v>
      </c>
      <c r="K526" s="108" t="s">
        <v>429</v>
      </c>
      <c r="L526" s="107">
        <v>20858</v>
      </c>
      <c r="M526" s="111">
        <f t="shared" si="33"/>
        <v>144.42298985964803</v>
      </c>
      <c r="N526" s="111">
        <v>501.46</v>
      </c>
      <c r="O526" s="113">
        <f t="shared" si="34"/>
        <v>41.594543931719379</v>
      </c>
      <c r="P526" s="78"/>
      <c r="Q526" s="63"/>
      <c r="R526" s="63"/>
      <c r="S526" s="63"/>
      <c r="T526" s="63"/>
      <c r="U526" s="63"/>
      <c r="V526" s="63"/>
      <c r="W526" s="63"/>
      <c r="X526" s="63"/>
      <c r="Y526" s="63"/>
      <c r="Z526" s="63"/>
    </row>
    <row r="527" spans="1:26" ht="17.25" customHeight="1" x14ac:dyDescent="0.2">
      <c r="A527" s="104">
        <v>1084</v>
      </c>
      <c r="B527" s="105" t="s">
        <v>32</v>
      </c>
      <c r="C527" s="105" t="s">
        <v>94</v>
      </c>
      <c r="D527" s="106">
        <v>345.40699999999998</v>
      </c>
      <c r="E527" s="107">
        <v>2697</v>
      </c>
      <c r="F527" s="106">
        <f t="shared" si="35"/>
        <v>345.36170319999997</v>
      </c>
      <c r="G527" s="108" t="s">
        <v>1178</v>
      </c>
      <c r="H527" s="108"/>
      <c r="I527" s="107">
        <v>15</v>
      </c>
      <c r="J527" s="107">
        <v>405</v>
      </c>
      <c r="K527" s="108" t="s">
        <v>429</v>
      </c>
      <c r="L527" s="107">
        <v>23545</v>
      </c>
      <c r="M527" s="111">
        <f t="shared" si="33"/>
        <v>153.44380078712857</v>
      </c>
      <c r="N527" s="111">
        <v>529.80999999999995</v>
      </c>
      <c r="O527" s="113">
        <f t="shared" si="34"/>
        <v>44.440459787470985</v>
      </c>
      <c r="P527" s="78"/>
      <c r="Q527" s="63"/>
      <c r="R527" s="63"/>
      <c r="S527" s="63"/>
      <c r="T527" s="63"/>
      <c r="U527" s="63"/>
      <c r="V527" s="63"/>
      <c r="W527" s="63"/>
      <c r="X527" s="63"/>
      <c r="Y527" s="63"/>
      <c r="Z527" s="63"/>
    </row>
    <row r="528" spans="1:26" ht="17.25" customHeight="1" x14ac:dyDescent="0.2">
      <c r="A528" s="104">
        <v>1085</v>
      </c>
      <c r="B528" s="105" t="s">
        <v>32</v>
      </c>
      <c r="C528" s="105" t="s">
        <v>94</v>
      </c>
      <c r="D528" s="106">
        <v>345.91</v>
      </c>
      <c r="E528" s="107">
        <v>2697</v>
      </c>
      <c r="F528" s="106">
        <f t="shared" si="35"/>
        <v>345.86133309999997</v>
      </c>
      <c r="G528" s="108" t="s">
        <v>1179</v>
      </c>
      <c r="H528" s="108"/>
      <c r="I528" s="107">
        <v>15</v>
      </c>
      <c r="J528" s="107">
        <v>397</v>
      </c>
      <c r="K528" s="108" t="s">
        <v>429</v>
      </c>
      <c r="L528" s="107">
        <v>20685</v>
      </c>
      <c r="M528" s="111">
        <f t="shared" si="33"/>
        <v>143.82280764885658</v>
      </c>
      <c r="N528" s="111">
        <v>483.85</v>
      </c>
      <c r="O528" s="113">
        <f t="shared" si="34"/>
        <v>42.750852536943263</v>
      </c>
      <c r="P528" s="78"/>
      <c r="Q528" s="63"/>
      <c r="R528" s="63"/>
      <c r="S528" s="63"/>
      <c r="T528" s="63"/>
      <c r="U528" s="63"/>
      <c r="V528" s="63"/>
      <c r="W528" s="63"/>
      <c r="X528" s="63"/>
      <c r="Y528" s="63"/>
      <c r="Z528" s="63"/>
    </row>
    <row r="529" spans="1:26" ht="17.25" customHeight="1" x14ac:dyDescent="0.2">
      <c r="A529" s="104">
        <v>1086</v>
      </c>
      <c r="B529" s="105" t="s">
        <v>32</v>
      </c>
      <c r="C529" s="105" t="s">
        <v>94</v>
      </c>
      <c r="D529" s="106">
        <v>346.40699999999998</v>
      </c>
      <c r="E529" s="107">
        <v>2697</v>
      </c>
      <c r="F529" s="106">
        <f t="shared" si="35"/>
        <v>346.35500319999994</v>
      </c>
      <c r="G529" s="108" t="s">
        <v>1180</v>
      </c>
      <c r="H529" s="108"/>
      <c r="I529" s="107">
        <v>15</v>
      </c>
      <c r="J529" s="107">
        <v>313</v>
      </c>
      <c r="K529" s="108" t="s">
        <v>429</v>
      </c>
      <c r="L529" s="107">
        <v>17678</v>
      </c>
      <c r="M529" s="111">
        <f t="shared" si="33"/>
        <v>132.95864018558552</v>
      </c>
      <c r="N529" s="111">
        <v>393.48</v>
      </c>
      <c r="O529" s="113">
        <f t="shared" si="34"/>
        <v>44.927315238385681</v>
      </c>
      <c r="P529" s="78"/>
      <c r="Q529" s="63"/>
      <c r="R529" s="63"/>
      <c r="S529" s="63"/>
      <c r="T529" s="63"/>
      <c r="U529" s="63"/>
      <c r="V529" s="63"/>
      <c r="W529" s="63"/>
      <c r="X529" s="63"/>
      <c r="Y529" s="63"/>
      <c r="Z529" s="63"/>
    </row>
    <row r="530" spans="1:26" ht="17.25" customHeight="1" x14ac:dyDescent="0.2">
      <c r="A530" s="104">
        <v>1087</v>
      </c>
      <c r="B530" s="105" t="s">
        <v>32</v>
      </c>
      <c r="C530" s="105" t="s">
        <v>94</v>
      </c>
      <c r="D530" s="106">
        <v>346.91</v>
      </c>
      <c r="E530" s="107">
        <v>2697</v>
      </c>
      <c r="F530" s="106">
        <f t="shared" si="35"/>
        <v>346.8546331</v>
      </c>
      <c r="G530" s="108" t="s">
        <v>1181</v>
      </c>
      <c r="H530" s="108"/>
      <c r="I530" s="107">
        <v>14</v>
      </c>
      <c r="J530" s="107">
        <v>431</v>
      </c>
      <c r="K530" s="108" t="s">
        <v>429</v>
      </c>
      <c r="L530" s="107">
        <v>24405</v>
      </c>
      <c r="M530" s="111">
        <f t="shared" si="33"/>
        <v>156.22099730830041</v>
      </c>
      <c r="N530" s="111">
        <v>562.66</v>
      </c>
      <c r="O530" s="113">
        <f t="shared" si="34"/>
        <v>43.374329079728433</v>
      </c>
      <c r="P530" s="78"/>
      <c r="Q530" s="63"/>
      <c r="R530" s="63"/>
      <c r="S530" s="63"/>
      <c r="T530" s="63"/>
      <c r="U530" s="63"/>
      <c r="V530" s="63"/>
      <c r="W530" s="63"/>
      <c r="X530" s="63"/>
      <c r="Y530" s="63"/>
      <c r="Z530" s="63"/>
    </row>
    <row r="531" spans="1:26" ht="17.25" customHeight="1" x14ac:dyDescent="0.2">
      <c r="A531" s="104">
        <v>1088</v>
      </c>
      <c r="B531" s="105" t="s">
        <v>32</v>
      </c>
      <c r="C531" s="105" t="s">
        <v>94</v>
      </c>
      <c r="D531" s="106">
        <v>347.904</v>
      </c>
      <c r="E531" s="107">
        <v>2697</v>
      </c>
      <c r="F531" s="106">
        <f t="shared" si="35"/>
        <v>347.84197329999995</v>
      </c>
      <c r="G531" s="108" t="s">
        <v>1182</v>
      </c>
      <c r="H531" s="108"/>
      <c r="I531" s="107">
        <v>14</v>
      </c>
      <c r="J531" s="107">
        <v>371</v>
      </c>
      <c r="K531" s="108" t="s">
        <v>429</v>
      </c>
      <c r="L531" s="107">
        <v>20851</v>
      </c>
      <c r="M531" s="111">
        <f t="shared" si="33"/>
        <v>144.39875345722345</v>
      </c>
      <c r="N531" s="111">
        <v>522.82000000000005</v>
      </c>
      <c r="O531" s="113">
        <f t="shared" si="34"/>
        <v>39.881794881603611</v>
      </c>
      <c r="P531" s="78"/>
      <c r="Q531" s="63"/>
      <c r="R531" s="63"/>
      <c r="S531" s="63"/>
      <c r="T531" s="63"/>
      <c r="U531" s="63"/>
      <c r="V531" s="63"/>
      <c r="W531" s="63"/>
      <c r="X531" s="63"/>
      <c r="Y531" s="63"/>
      <c r="Z531" s="63"/>
    </row>
    <row r="532" spans="1:26" ht="17.25" customHeight="1" x14ac:dyDescent="0.2">
      <c r="A532" s="104">
        <v>1089</v>
      </c>
      <c r="B532" s="105" t="s">
        <v>32</v>
      </c>
      <c r="C532" s="105" t="s">
        <v>94</v>
      </c>
      <c r="D532" s="106">
        <v>348.91199999999998</v>
      </c>
      <c r="E532" s="107">
        <v>2697</v>
      </c>
      <c r="F532" s="106">
        <f t="shared" si="35"/>
        <v>348.84321969999996</v>
      </c>
      <c r="G532" s="108" t="s">
        <v>1183</v>
      </c>
      <c r="H532" s="108"/>
      <c r="I532" s="107">
        <v>14</v>
      </c>
      <c r="J532" s="107">
        <v>423</v>
      </c>
      <c r="K532" s="108" t="s">
        <v>429</v>
      </c>
      <c r="L532" s="107">
        <v>20990</v>
      </c>
      <c r="M532" s="111">
        <f t="shared" si="33"/>
        <v>144.87926007541591</v>
      </c>
      <c r="N532" s="111">
        <v>553.67999999999995</v>
      </c>
      <c r="O532" s="113">
        <f t="shared" si="34"/>
        <v>37.909984106343018</v>
      </c>
      <c r="P532" s="78"/>
      <c r="Q532" s="63"/>
      <c r="R532" s="63"/>
      <c r="S532" s="63"/>
      <c r="T532" s="63"/>
      <c r="U532" s="63"/>
      <c r="V532" s="63"/>
      <c r="W532" s="63"/>
      <c r="X532" s="63"/>
      <c r="Y532" s="63"/>
      <c r="Z532" s="63"/>
    </row>
    <row r="533" spans="1:26" ht="17.25" customHeight="1" x14ac:dyDescent="0.2">
      <c r="A533" s="104">
        <v>1090</v>
      </c>
      <c r="B533" s="105" t="s">
        <v>9</v>
      </c>
      <c r="C533" s="105" t="s">
        <v>94</v>
      </c>
      <c r="D533" s="106">
        <v>350.91199999999998</v>
      </c>
      <c r="E533" s="107">
        <v>2697</v>
      </c>
      <c r="F533" s="106">
        <f t="shared" si="35"/>
        <v>350.82981969999992</v>
      </c>
      <c r="G533" s="108" t="s">
        <v>1184</v>
      </c>
      <c r="H533" s="108"/>
      <c r="I533" s="107">
        <v>20</v>
      </c>
      <c r="J533" s="107">
        <v>236</v>
      </c>
      <c r="K533" s="108" t="s">
        <v>429</v>
      </c>
      <c r="L533" s="107">
        <v>11597</v>
      </c>
      <c r="M533" s="111">
        <f t="shared" ref="M533:M567" si="36">SQRT(L533)</f>
        <v>107.68936809174804</v>
      </c>
      <c r="N533" s="111">
        <v>382.94</v>
      </c>
      <c r="O533" s="113">
        <f t="shared" ref="O533:O567" si="37">L533/N533</f>
        <v>30.284117616336761</v>
      </c>
      <c r="P533" s="78"/>
      <c r="Q533" s="63"/>
      <c r="R533" s="63"/>
      <c r="S533" s="63"/>
      <c r="T533" s="63"/>
      <c r="U533" s="63"/>
      <c r="V533" s="63"/>
      <c r="W533" s="63"/>
      <c r="X533" s="63"/>
      <c r="Y533" s="63"/>
      <c r="Z533" s="63"/>
    </row>
    <row r="534" spans="1:26" ht="17.25" customHeight="1" x14ac:dyDescent="0.2">
      <c r="A534" s="104">
        <v>1091</v>
      </c>
      <c r="B534" s="105" t="s">
        <v>9</v>
      </c>
      <c r="C534" s="105" t="s">
        <v>94</v>
      </c>
      <c r="D534" s="106">
        <v>352.92</v>
      </c>
      <c r="E534" s="107">
        <v>2697</v>
      </c>
      <c r="F534" s="106">
        <f t="shared" si="35"/>
        <v>352.82436609999996</v>
      </c>
      <c r="G534" s="108" t="s">
        <v>1185</v>
      </c>
      <c r="H534" s="108"/>
      <c r="I534" s="107">
        <v>20</v>
      </c>
      <c r="J534" s="107">
        <v>549</v>
      </c>
      <c r="K534" s="108" t="s">
        <v>429</v>
      </c>
      <c r="L534" s="107">
        <v>21120</v>
      </c>
      <c r="M534" s="111">
        <f t="shared" si="36"/>
        <v>145.3272169966796</v>
      </c>
      <c r="N534" s="111">
        <v>966.85</v>
      </c>
      <c r="O534" s="113">
        <f t="shared" si="37"/>
        <v>21.844133009256865</v>
      </c>
      <c r="P534" s="78"/>
      <c r="Q534" s="63"/>
      <c r="R534" s="63"/>
      <c r="S534" s="63"/>
      <c r="T534" s="63"/>
      <c r="U534" s="63"/>
      <c r="V534" s="63"/>
      <c r="W534" s="63"/>
      <c r="X534" s="63"/>
      <c r="Y534" s="63"/>
      <c r="Z534" s="63"/>
    </row>
    <row r="535" spans="1:26" ht="17.25" customHeight="1" x14ac:dyDescent="0.2">
      <c r="A535" s="104">
        <v>1092</v>
      </c>
      <c r="B535" s="105" t="s">
        <v>32</v>
      </c>
      <c r="C535" s="105" t="s">
        <v>94</v>
      </c>
      <c r="D535" s="106">
        <v>354.92099999999999</v>
      </c>
      <c r="E535" s="107">
        <v>2697</v>
      </c>
      <c r="F535" s="106">
        <f t="shared" si="35"/>
        <v>354.81195939999998</v>
      </c>
      <c r="G535" s="108" t="s">
        <v>1186</v>
      </c>
      <c r="H535" s="108"/>
      <c r="I535" s="107">
        <v>30</v>
      </c>
      <c r="J535" s="107">
        <v>2115</v>
      </c>
      <c r="K535" s="108" t="s">
        <v>429</v>
      </c>
      <c r="L535" s="107">
        <v>95667</v>
      </c>
      <c r="M535" s="111">
        <f t="shared" si="36"/>
        <v>309.30082444119029</v>
      </c>
      <c r="N535" s="107">
        <v>6276</v>
      </c>
      <c r="O535" s="113">
        <f t="shared" si="37"/>
        <v>15.243307839388144</v>
      </c>
      <c r="P535" s="78"/>
      <c r="Q535" s="63"/>
      <c r="R535" s="63"/>
      <c r="S535" s="63"/>
      <c r="T535" s="63"/>
      <c r="U535" s="63"/>
      <c r="V535" s="63"/>
      <c r="W535" s="63"/>
      <c r="X535" s="63"/>
      <c r="Y535" s="63"/>
      <c r="Z535" s="63"/>
    </row>
    <row r="536" spans="1:26" ht="17.25" customHeight="1" x14ac:dyDescent="0.2">
      <c r="A536" s="104">
        <v>1093</v>
      </c>
      <c r="B536" s="105" t="s">
        <v>32</v>
      </c>
      <c r="C536" s="105" t="s">
        <v>94</v>
      </c>
      <c r="D536" s="106">
        <v>356.92099999999999</v>
      </c>
      <c r="E536" s="107">
        <v>2697</v>
      </c>
      <c r="F536" s="106">
        <f t="shared" si="35"/>
        <v>356.79855939999993</v>
      </c>
      <c r="G536" s="108" t="s">
        <v>1187</v>
      </c>
      <c r="H536" s="108"/>
      <c r="I536" s="107">
        <v>29</v>
      </c>
      <c r="J536" s="107">
        <v>1224</v>
      </c>
      <c r="K536" s="108" t="s">
        <v>429</v>
      </c>
      <c r="L536" s="107">
        <v>34988</v>
      </c>
      <c r="M536" s="111">
        <f t="shared" si="36"/>
        <v>187.05079524022347</v>
      </c>
      <c r="N536" s="111">
        <v>3483.15</v>
      </c>
      <c r="O536" s="113">
        <f t="shared" si="37"/>
        <v>10.0449305944332</v>
      </c>
      <c r="P536" s="78"/>
      <c r="Q536" s="63"/>
      <c r="R536" s="63"/>
      <c r="S536" s="63"/>
      <c r="T536" s="63"/>
      <c r="U536" s="63"/>
      <c r="V536" s="63"/>
      <c r="W536" s="63"/>
      <c r="X536" s="63"/>
      <c r="Y536" s="63"/>
      <c r="Z536" s="63"/>
    </row>
    <row r="537" spans="1:26" ht="17.25" customHeight="1" x14ac:dyDescent="0.2">
      <c r="A537" s="104">
        <v>1094</v>
      </c>
      <c r="B537" s="105" t="s">
        <v>32</v>
      </c>
      <c r="C537" s="105" t="s">
        <v>94</v>
      </c>
      <c r="D537" s="106">
        <v>358.92899999999997</v>
      </c>
      <c r="E537" s="107">
        <v>2697</v>
      </c>
      <c r="F537" s="106">
        <f t="shared" si="35"/>
        <v>358.79310579999992</v>
      </c>
      <c r="G537" s="108" t="s">
        <v>1188</v>
      </c>
      <c r="H537" s="108"/>
      <c r="I537" s="107">
        <v>35</v>
      </c>
      <c r="J537" s="107">
        <v>2935</v>
      </c>
      <c r="K537" s="108" t="s">
        <v>429</v>
      </c>
      <c r="L537" s="107">
        <v>64066</v>
      </c>
      <c r="M537" s="111">
        <f t="shared" si="36"/>
        <v>253.11262315419987</v>
      </c>
      <c r="N537" s="111">
        <v>10180.75</v>
      </c>
      <c r="O537" s="113">
        <f t="shared" si="37"/>
        <v>6.292856616653979</v>
      </c>
      <c r="P537" s="78"/>
      <c r="Q537" s="63"/>
      <c r="R537" s="63"/>
      <c r="S537" s="63"/>
      <c r="T537" s="63"/>
      <c r="U537" s="63"/>
      <c r="V537" s="63"/>
      <c r="W537" s="63"/>
      <c r="X537" s="63"/>
      <c r="Y537" s="63"/>
      <c r="Z537" s="63"/>
    </row>
    <row r="538" spans="1:26" ht="17.25" customHeight="1" x14ac:dyDescent="0.2">
      <c r="A538" s="104">
        <v>1095</v>
      </c>
      <c r="B538" s="105" t="s">
        <v>32</v>
      </c>
      <c r="C538" s="105" t="s">
        <v>94</v>
      </c>
      <c r="D538" s="106">
        <v>363.94400000000002</v>
      </c>
      <c r="E538" s="107">
        <v>2697</v>
      </c>
      <c r="F538" s="106">
        <f t="shared" si="35"/>
        <v>363.77450529999999</v>
      </c>
      <c r="G538" s="108" t="s">
        <v>1189</v>
      </c>
      <c r="H538" s="108"/>
      <c r="I538" s="107">
        <v>63</v>
      </c>
      <c r="J538" s="107">
        <v>822</v>
      </c>
      <c r="K538" s="108" t="s">
        <v>429</v>
      </c>
      <c r="L538" s="107">
        <v>10582</v>
      </c>
      <c r="M538" s="111">
        <f t="shared" si="36"/>
        <v>102.86884854026509</v>
      </c>
      <c r="N538" s="111">
        <v>5093.17</v>
      </c>
      <c r="O538" s="113">
        <f t="shared" si="37"/>
        <v>2.0776844283619043</v>
      </c>
      <c r="P538" s="78"/>
      <c r="Q538" s="63"/>
      <c r="R538" s="63"/>
      <c r="S538" s="63"/>
      <c r="T538" s="63"/>
      <c r="U538" s="63"/>
      <c r="V538" s="63"/>
      <c r="W538" s="63"/>
      <c r="X538" s="63"/>
      <c r="Y538" s="63"/>
      <c r="Z538" s="63"/>
    </row>
    <row r="539" spans="1:26" ht="17.25" customHeight="1" x14ac:dyDescent="0.2">
      <c r="A539" s="104">
        <v>1096</v>
      </c>
      <c r="B539" s="105" t="s">
        <v>32</v>
      </c>
      <c r="C539" s="105" t="s">
        <v>94</v>
      </c>
      <c r="D539" s="106">
        <v>368.94600000000003</v>
      </c>
      <c r="E539" s="107">
        <v>2697</v>
      </c>
      <c r="F539" s="106">
        <f t="shared" si="35"/>
        <v>368.74299189999999</v>
      </c>
      <c r="G539" s="108" t="s">
        <v>1190</v>
      </c>
      <c r="H539" s="108"/>
      <c r="I539" s="107">
        <v>75</v>
      </c>
      <c r="J539" s="107">
        <v>1437</v>
      </c>
      <c r="K539" s="108" t="s">
        <v>429</v>
      </c>
      <c r="L539" s="107">
        <v>10309</v>
      </c>
      <c r="M539" s="111">
        <f t="shared" si="36"/>
        <v>101.53324578678651</v>
      </c>
      <c r="N539" s="111">
        <v>10444.11</v>
      </c>
      <c r="O539" s="113">
        <f t="shared" si="37"/>
        <v>0.98706352192767022</v>
      </c>
      <c r="P539" s="78"/>
      <c r="Q539" s="63"/>
      <c r="R539" s="63"/>
      <c r="S539" s="63"/>
      <c r="T539" s="63"/>
      <c r="U539" s="63"/>
      <c r="V539" s="63"/>
      <c r="W539" s="63"/>
      <c r="X539" s="63"/>
      <c r="Y539" s="63"/>
      <c r="Z539" s="63"/>
    </row>
    <row r="540" spans="1:26" ht="17.25" customHeight="1" x14ac:dyDescent="0.2">
      <c r="A540" s="104">
        <v>1097</v>
      </c>
      <c r="B540" s="105" t="s">
        <v>157</v>
      </c>
      <c r="C540" s="105" t="s">
        <v>94</v>
      </c>
      <c r="D540" s="106">
        <v>234.36500000000001</v>
      </c>
      <c r="E540" s="107">
        <v>2697</v>
      </c>
      <c r="F540" s="106">
        <f t="shared" si="35"/>
        <v>235.06368460000002</v>
      </c>
      <c r="G540" s="108" t="s">
        <v>1191</v>
      </c>
      <c r="H540" s="108" t="s">
        <v>1192</v>
      </c>
      <c r="I540" s="107">
        <v>307</v>
      </c>
      <c r="J540" s="107">
        <v>261668</v>
      </c>
      <c r="K540" s="108" t="s">
        <v>429</v>
      </c>
      <c r="L540" s="107">
        <v>33162990</v>
      </c>
      <c r="M540" s="111">
        <f t="shared" si="36"/>
        <v>5758.731631184075</v>
      </c>
      <c r="N540" s="111">
        <v>8209046.7300000004</v>
      </c>
      <c r="O540" s="113">
        <f t="shared" si="37"/>
        <v>4.039810113250506</v>
      </c>
      <c r="P540" s="78"/>
      <c r="Q540" s="63" t="s">
        <v>1193</v>
      </c>
      <c r="R540" s="63"/>
      <c r="S540" s="63"/>
      <c r="T540" s="63"/>
      <c r="U540" s="63"/>
      <c r="V540" s="63"/>
      <c r="W540" s="63"/>
      <c r="X540" s="63"/>
      <c r="Y540" s="63"/>
      <c r="Z540" s="63"/>
    </row>
    <row r="541" spans="1:26" ht="17.25" customHeight="1" x14ac:dyDescent="0.2">
      <c r="A541" s="104">
        <v>1098</v>
      </c>
      <c r="B541" s="105" t="s">
        <v>157</v>
      </c>
      <c r="C541" s="105" t="s">
        <v>94</v>
      </c>
      <c r="D541" s="106">
        <v>224.24</v>
      </c>
      <c r="E541" s="107">
        <v>2697</v>
      </c>
      <c r="F541" s="106">
        <f t="shared" si="35"/>
        <v>225.00652210000001</v>
      </c>
      <c r="G541" s="108" t="s">
        <v>1194</v>
      </c>
      <c r="H541" s="108" t="s">
        <v>1195</v>
      </c>
      <c r="I541" s="107">
        <v>297</v>
      </c>
      <c r="J541" s="107">
        <v>518487</v>
      </c>
      <c r="K541" s="108" t="s">
        <v>429</v>
      </c>
      <c r="L541" s="107">
        <v>7386090</v>
      </c>
      <c r="M541" s="111">
        <f t="shared" si="36"/>
        <v>2717.7361902877915</v>
      </c>
      <c r="N541" s="111">
        <v>15452987.130000001</v>
      </c>
      <c r="O541" s="113">
        <f t="shared" si="37"/>
        <v>0.47797166579274825</v>
      </c>
      <c r="P541" s="78"/>
      <c r="Q541" s="63"/>
      <c r="R541" s="63"/>
      <c r="S541" s="63"/>
      <c r="T541" s="63"/>
      <c r="U541" s="63"/>
      <c r="V541" s="63"/>
      <c r="W541" s="63"/>
      <c r="X541" s="63"/>
      <c r="Y541" s="63"/>
      <c r="Z541" s="63"/>
    </row>
    <row r="542" spans="1:26" ht="17.25" customHeight="1" x14ac:dyDescent="0.2">
      <c r="A542" s="104">
        <v>1099</v>
      </c>
      <c r="B542" s="105" t="s">
        <v>33</v>
      </c>
      <c r="C542" s="105" t="s">
        <v>94</v>
      </c>
      <c r="D542" s="106">
        <v>329.36700000000002</v>
      </c>
      <c r="E542" s="107">
        <v>2697</v>
      </c>
      <c r="F542" s="106">
        <f t="shared" si="35"/>
        <v>329.42917119999998</v>
      </c>
      <c r="G542" s="108" t="s">
        <v>1196</v>
      </c>
      <c r="H542" s="108"/>
      <c r="I542" s="107">
        <v>50</v>
      </c>
      <c r="J542" s="107">
        <v>2958</v>
      </c>
      <c r="K542" s="108" t="s">
        <v>429</v>
      </c>
      <c r="L542" s="107">
        <v>5772</v>
      </c>
      <c r="M542" s="111">
        <f t="shared" si="36"/>
        <v>75.973679652890311</v>
      </c>
      <c r="N542" s="111">
        <v>15194.68</v>
      </c>
      <c r="O542" s="113">
        <f t="shared" si="37"/>
        <v>0.37986979653405006</v>
      </c>
      <c r="P542" s="78"/>
      <c r="Q542" s="63"/>
      <c r="R542" s="63"/>
      <c r="S542" s="63"/>
      <c r="T542" s="63"/>
      <c r="U542" s="63"/>
      <c r="V542" s="63"/>
      <c r="W542" s="63"/>
      <c r="X542" s="63"/>
      <c r="Y542" s="63"/>
      <c r="Z542" s="63"/>
    </row>
    <row r="543" spans="1:26" ht="17.25" customHeight="1" x14ac:dyDescent="0.2">
      <c r="A543" s="104">
        <v>1100</v>
      </c>
      <c r="B543" s="105" t="s">
        <v>33</v>
      </c>
      <c r="C543" s="105" t="s">
        <v>94</v>
      </c>
      <c r="D543" s="106">
        <v>331.375</v>
      </c>
      <c r="E543" s="107">
        <v>2697</v>
      </c>
      <c r="F543" s="106">
        <f t="shared" si="35"/>
        <v>331.42371759999997</v>
      </c>
      <c r="G543" s="108" t="s">
        <v>1197</v>
      </c>
      <c r="H543" s="108"/>
      <c r="I543" s="107">
        <v>52</v>
      </c>
      <c r="J543" s="107">
        <v>1369</v>
      </c>
      <c r="K543" s="108" t="s">
        <v>429</v>
      </c>
      <c r="L543" s="107">
        <v>3515</v>
      </c>
      <c r="M543" s="111">
        <f t="shared" si="36"/>
        <v>59.287435431126553</v>
      </c>
      <c r="N543" s="107">
        <v>6911</v>
      </c>
      <c r="O543" s="113">
        <f t="shared" si="37"/>
        <v>0.50860946317464906</v>
      </c>
      <c r="P543" s="78"/>
      <c r="Q543" s="63"/>
      <c r="R543" s="63"/>
      <c r="S543" s="63"/>
      <c r="T543" s="63"/>
      <c r="U543" s="63"/>
      <c r="V543" s="63"/>
      <c r="W543" s="63"/>
      <c r="X543" s="63"/>
      <c r="Y543" s="63"/>
      <c r="Z543" s="63"/>
    </row>
    <row r="544" spans="1:26" ht="17.25" customHeight="1" x14ac:dyDescent="0.2">
      <c r="A544" s="104">
        <v>1101</v>
      </c>
      <c r="B544" s="105" t="s">
        <v>33</v>
      </c>
      <c r="C544" s="105" t="s">
        <v>94</v>
      </c>
      <c r="D544" s="106">
        <v>333.38900000000001</v>
      </c>
      <c r="E544" s="107">
        <v>2697</v>
      </c>
      <c r="F544" s="106">
        <f t="shared" si="35"/>
        <v>333.42422379999999</v>
      </c>
      <c r="G544" s="108" t="s">
        <v>1198</v>
      </c>
      <c r="H544" s="108"/>
      <c r="I544" s="107">
        <v>50</v>
      </c>
      <c r="J544" s="107">
        <v>745</v>
      </c>
      <c r="K544" s="108" t="s">
        <v>429</v>
      </c>
      <c r="L544" s="107">
        <v>2657</v>
      </c>
      <c r="M544" s="111">
        <f t="shared" si="36"/>
        <v>51.546095875439491</v>
      </c>
      <c r="N544" s="111">
        <v>3600.29</v>
      </c>
      <c r="O544" s="113">
        <f t="shared" si="37"/>
        <v>0.73799610586924946</v>
      </c>
      <c r="P544" s="78"/>
      <c r="Q544" s="63"/>
      <c r="R544" s="63"/>
      <c r="S544" s="63"/>
      <c r="T544" s="63"/>
      <c r="U544" s="63"/>
      <c r="V544" s="63"/>
      <c r="W544" s="63"/>
      <c r="X544" s="63"/>
      <c r="Y544" s="63"/>
      <c r="Z544" s="63"/>
    </row>
    <row r="545" spans="1:26" ht="17.25" customHeight="1" x14ac:dyDescent="0.2">
      <c r="A545" s="104">
        <v>1102</v>
      </c>
      <c r="B545" s="105" t="s">
        <v>33</v>
      </c>
      <c r="C545" s="105" t="s">
        <v>94</v>
      </c>
      <c r="D545" s="106">
        <v>335.38299999999998</v>
      </c>
      <c r="E545" s="107">
        <v>2697</v>
      </c>
      <c r="F545" s="106">
        <f t="shared" si="35"/>
        <v>335.40486399999992</v>
      </c>
      <c r="G545" s="108" t="s">
        <v>1199</v>
      </c>
      <c r="H545" s="108"/>
      <c r="I545" s="107">
        <v>45</v>
      </c>
      <c r="J545" s="107">
        <v>1044</v>
      </c>
      <c r="K545" s="108" t="s">
        <v>429</v>
      </c>
      <c r="L545" s="107">
        <v>5178</v>
      </c>
      <c r="M545" s="111">
        <f t="shared" si="36"/>
        <v>71.958321270024086</v>
      </c>
      <c r="N545" s="111">
        <v>4545.4799999999996</v>
      </c>
      <c r="O545" s="113">
        <f t="shared" si="37"/>
        <v>1.1391536207397239</v>
      </c>
      <c r="P545" s="78"/>
      <c r="Q545" s="63"/>
      <c r="R545" s="63"/>
      <c r="S545" s="63"/>
      <c r="T545" s="63"/>
      <c r="U545" s="63"/>
      <c r="V545" s="63"/>
      <c r="W545" s="63"/>
      <c r="X545" s="63"/>
      <c r="Y545" s="63"/>
      <c r="Z545" s="63"/>
    </row>
    <row r="546" spans="1:26" ht="17.25" customHeight="1" x14ac:dyDescent="0.2">
      <c r="A546" s="104">
        <v>1103</v>
      </c>
      <c r="B546" s="105" t="s">
        <v>33</v>
      </c>
      <c r="C546" s="105" t="s">
        <v>94</v>
      </c>
      <c r="D546" s="106">
        <v>337.38400000000001</v>
      </c>
      <c r="E546" s="107">
        <v>2697</v>
      </c>
      <c r="F546" s="106">
        <f t="shared" si="35"/>
        <v>337.39245729999999</v>
      </c>
      <c r="G546" s="108" t="s">
        <v>1200</v>
      </c>
      <c r="H546" s="108"/>
      <c r="I546" s="107">
        <v>44</v>
      </c>
      <c r="J546" s="107">
        <v>953</v>
      </c>
      <c r="K546" s="108" t="s">
        <v>429</v>
      </c>
      <c r="L546" s="107">
        <v>7678</v>
      </c>
      <c r="M546" s="111">
        <f t="shared" si="36"/>
        <v>87.624197571218872</v>
      </c>
      <c r="N546" s="111">
        <v>4113.7700000000004</v>
      </c>
      <c r="O546" s="113">
        <f t="shared" si="37"/>
        <v>1.8664145054293262</v>
      </c>
      <c r="P546" s="78"/>
      <c r="Q546" s="63"/>
      <c r="R546" s="63"/>
      <c r="S546" s="63"/>
      <c r="T546" s="63"/>
      <c r="U546" s="63"/>
      <c r="V546" s="63"/>
      <c r="W546" s="63"/>
      <c r="X546" s="63"/>
      <c r="Y546" s="63"/>
      <c r="Z546" s="63"/>
    </row>
    <row r="547" spans="1:26" ht="17.25" customHeight="1" x14ac:dyDescent="0.2">
      <c r="A547" s="104">
        <v>1104</v>
      </c>
      <c r="B547" s="105" t="s">
        <v>33</v>
      </c>
      <c r="C547" s="105" t="s">
        <v>94</v>
      </c>
      <c r="D547" s="106">
        <v>339.39100000000002</v>
      </c>
      <c r="E547" s="107">
        <v>2697</v>
      </c>
      <c r="F547" s="106">
        <f t="shared" si="35"/>
        <v>339.38601039999998</v>
      </c>
      <c r="G547" s="108" t="s">
        <v>1201</v>
      </c>
      <c r="H547" s="108"/>
      <c r="I547" s="107">
        <v>34</v>
      </c>
      <c r="J547" s="107">
        <v>824</v>
      </c>
      <c r="K547" s="108" t="s">
        <v>429</v>
      </c>
      <c r="L547" s="107">
        <v>10279</v>
      </c>
      <c r="M547" s="111">
        <f t="shared" si="36"/>
        <v>101.38540328863914</v>
      </c>
      <c r="N547" s="111">
        <v>2777.31</v>
      </c>
      <c r="O547" s="113">
        <f t="shared" si="37"/>
        <v>3.7010632590528245</v>
      </c>
      <c r="P547" s="78"/>
      <c r="Q547" s="63"/>
      <c r="R547" s="63"/>
      <c r="S547" s="63"/>
      <c r="T547" s="63"/>
      <c r="U547" s="63"/>
      <c r="V547" s="63"/>
      <c r="W547" s="63"/>
      <c r="X547" s="63"/>
      <c r="Y547" s="63"/>
      <c r="Z547" s="63"/>
    </row>
    <row r="548" spans="1:26" ht="17.25" customHeight="1" x14ac:dyDescent="0.2">
      <c r="A548" s="104">
        <v>1105</v>
      </c>
      <c r="B548" s="105" t="s">
        <v>33</v>
      </c>
      <c r="C548" s="105" t="s">
        <v>94</v>
      </c>
      <c r="D548" s="106">
        <v>340.38499999999999</v>
      </c>
      <c r="E548" s="107">
        <v>2697</v>
      </c>
      <c r="F548" s="106">
        <f t="shared" si="35"/>
        <v>340.37335059999998</v>
      </c>
      <c r="G548" s="108" t="s">
        <v>1202</v>
      </c>
      <c r="H548" s="108"/>
      <c r="I548" s="107">
        <v>34</v>
      </c>
      <c r="J548" s="107">
        <v>532</v>
      </c>
      <c r="K548" s="108" t="s">
        <v>429</v>
      </c>
      <c r="L548" s="107">
        <v>10324</v>
      </c>
      <c r="M548" s="111">
        <f t="shared" si="36"/>
        <v>101.6070863670443</v>
      </c>
      <c r="N548" s="111">
        <v>1707.71</v>
      </c>
      <c r="O548" s="113">
        <f t="shared" si="37"/>
        <v>6.0455229517892377</v>
      </c>
      <c r="P548" s="78"/>
      <c r="Q548" s="63"/>
      <c r="R548" s="63"/>
      <c r="S548" s="63"/>
      <c r="T548" s="63"/>
      <c r="U548" s="63"/>
      <c r="V548" s="63"/>
      <c r="W548" s="63"/>
      <c r="X548" s="63"/>
      <c r="Y548" s="63"/>
      <c r="Z548" s="63"/>
    </row>
    <row r="549" spans="1:26" ht="17.25" customHeight="1" x14ac:dyDescent="0.2">
      <c r="A549" s="104">
        <v>1106</v>
      </c>
      <c r="B549" s="105" t="s">
        <v>33</v>
      </c>
      <c r="C549" s="105" t="s">
        <v>94</v>
      </c>
      <c r="D549" s="106">
        <v>341.392</v>
      </c>
      <c r="E549" s="107">
        <v>2697</v>
      </c>
      <c r="F549" s="106">
        <f t="shared" ref="F549:F612" si="38">0.9933*(D549+E549/1000)-0.41</f>
        <v>341.37360369999993</v>
      </c>
      <c r="G549" s="108" t="s">
        <v>1203</v>
      </c>
      <c r="H549" s="108"/>
      <c r="I549" s="107">
        <v>34</v>
      </c>
      <c r="J549" s="107">
        <v>731</v>
      </c>
      <c r="K549" s="108" t="s">
        <v>429</v>
      </c>
      <c r="L549" s="107">
        <v>26276</v>
      </c>
      <c r="M549" s="111">
        <f t="shared" si="36"/>
        <v>162.09873534361705</v>
      </c>
      <c r="N549" s="111">
        <v>2397.83</v>
      </c>
      <c r="O549" s="113">
        <f t="shared" si="37"/>
        <v>10.95824140994149</v>
      </c>
      <c r="P549" s="78"/>
      <c r="Q549" s="63"/>
      <c r="R549" s="63"/>
      <c r="S549" s="63"/>
      <c r="T549" s="63"/>
      <c r="U549" s="63"/>
      <c r="V549" s="63"/>
      <c r="W549" s="63"/>
      <c r="X549" s="63"/>
      <c r="Y549" s="63"/>
      <c r="Z549" s="63"/>
    </row>
    <row r="550" spans="1:26" ht="17.25" customHeight="1" x14ac:dyDescent="0.2">
      <c r="A550" s="104">
        <v>1107</v>
      </c>
      <c r="B550" s="105" t="s">
        <v>33</v>
      </c>
      <c r="C550" s="105" t="s">
        <v>94</v>
      </c>
      <c r="D550" s="106">
        <v>342.392</v>
      </c>
      <c r="E550" s="107">
        <v>2697</v>
      </c>
      <c r="F550" s="106">
        <f t="shared" si="38"/>
        <v>342.36690369999997</v>
      </c>
      <c r="G550" s="108" t="s">
        <v>1204</v>
      </c>
      <c r="H550" s="108"/>
      <c r="I550" s="107">
        <v>25</v>
      </c>
      <c r="J550" s="107">
        <v>459</v>
      </c>
      <c r="K550" s="108" t="s">
        <v>429</v>
      </c>
      <c r="L550" s="107">
        <v>20962</v>
      </c>
      <c r="M550" s="111">
        <f t="shared" si="36"/>
        <v>144.78259563911678</v>
      </c>
      <c r="N550" s="111">
        <v>1072.58</v>
      </c>
      <c r="O550" s="113">
        <f t="shared" si="37"/>
        <v>19.543530552499583</v>
      </c>
      <c r="P550" s="78"/>
      <c r="Q550" s="63"/>
      <c r="R550" s="63"/>
      <c r="S550" s="63"/>
      <c r="T550" s="63"/>
      <c r="U550" s="63"/>
      <c r="V550" s="63"/>
      <c r="W550" s="63"/>
      <c r="X550" s="63"/>
      <c r="Y550" s="63"/>
      <c r="Z550" s="63"/>
    </row>
    <row r="551" spans="1:26" ht="17.25" customHeight="1" x14ac:dyDescent="0.2">
      <c r="A551" s="104">
        <v>1108</v>
      </c>
      <c r="B551" s="105" t="s">
        <v>33</v>
      </c>
      <c r="C551" s="105" t="s">
        <v>94</v>
      </c>
      <c r="D551" s="106">
        <v>343.399</v>
      </c>
      <c r="E551" s="107">
        <v>2697</v>
      </c>
      <c r="F551" s="106">
        <f t="shared" si="38"/>
        <v>343.36715679999998</v>
      </c>
      <c r="G551" s="108" t="s">
        <v>1205</v>
      </c>
      <c r="H551" s="108"/>
      <c r="I551" s="107">
        <v>25</v>
      </c>
      <c r="J551" s="107">
        <v>359</v>
      </c>
      <c r="K551" s="108" t="s">
        <v>429</v>
      </c>
      <c r="L551" s="107">
        <v>23860</v>
      </c>
      <c r="M551" s="111">
        <f t="shared" si="36"/>
        <v>154.46682491719702</v>
      </c>
      <c r="N551" s="111">
        <v>815.14</v>
      </c>
      <c r="O551" s="113">
        <f t="shared" si="37"/>
        <v>29.271045464582773</v>
      </c>
      <c r="P551" s="78"/>
      <c r="Q551" s="63"/>
      <c r="R551" s="63"/>
      <c r="S551" s="63"/>
      <c r="T551" s="63"/>
      <c r="U551" s="63"/>
      <c r="V551" s="63"/>
      <c r="W551" s="63"/>
      <c r="X551" s="63"/>
      <c r="Y551" s="63"/>
      <c r="Z551" s="63"/>
    </row>
    <row r="552" spans="1:26" ht="17.25" customHeight="1" x14ac:dyDescent="0.2">
      <c r="A552" s="104">
        <v>1109</v>
      </c>
      <c r="B552" s="105" t="s">
        <v>33</v>
      </c>
      <c r="C552" s="105" t="s">
        <v>94</v>
      </c>
      <c r="D552" s="106">
        <v>343.89600000000002</v>
      </c>
      <c r="E552" s="107">
        <v>2697</v>
      </c>
      <c r="F552" s="106">
        <f t="shared" si="38"/>
        <v>343.86082690000001</v>
      </c>
      <c r="G552" s="108" t="s">
        <v>1206</v>
      </c>
      <c r="H552" s="108"/>
      <c r="I552" s="107">
        <v>25</v>
      </c>
      <c r="J552" s="107">
        <v>285</v>
      </c>
      <c r="K552" s="108" t="s">
        <v>429</v>
      </c>
      <c r="L552" s="107">
        <v>21169</v>
      </c>
      <c r="M552" s="111">
        <f t="shared" si="36"/>
        <v>145.49570440394453</v>
      </c>
      <c r="N552" s="111">
        <v>620.88</v>
      </c>
      <c r="O552" s="113">
        <f t="shared" si="37"/>
        <v>34.09515526349697</v>
      </c>
      <c r="P552" s="78"/>
      <c r="Q552" s="63"/>
      <c r="R552" s="63"/>
      <c r="S552" s="63"/>
      <c r="T552" s="63"/>
      <c r="U552" s="63"/>
      <c r="V552" s="63"/>
      <c r="W552" s="63"/>
      <c r="X552" s="63"/>
      <c r="Y552" s="63"/>
      <c r="Z552" s="63"/>
    </row>
    <row r="553" spans="1:26" ht="17.25" customHeight="1" x14ac:dyDescent="0.2">
      <c r="A553" s="104">
        <v>1110</v>
      </c>
      <c r="B553" s="105" t="s">
        <v>33</v>
      </c>
      <c r="C553" s="105" t="s">
        <v>94</v>
      </c>
      <c r="D553" s="106">
        <v>344.39299999999997</v>
      </c>
      <c r="E553" s="107">
        <v>2697</v>
      </c>
      <c r="F553" s="106">
        <f t="shared" si="38"/>
        <v>344.35449699999992</v>
      </c>
      <c r="G553" s="108" t="s">
        <v>1207</v>
      </c>
      <c r="H553" s="108"/>
      <c r="I553" s="107">
        <v>15</v>
      </c>
      <c r="J553" s="107">
        <v>247</v>
      </c>
      <c r="K553" s="108" t="s">
        <v>429</v>
      </c>
      <c r="L553" s="107">
        <v>12543</v>
      </c>
      <c r="M553" s="111">
        <f t="shared" si="36"/>
        <v>111.99553562530964</v>
      </c>
      <c r="N553" s="111">
        <v>333.86</v>
      </c>
      <c r="O553" s="113">
        <f t="shared" si="37"/>
        <v>37.569639968849216</v>
      </c>
      <c r="P553" s="78"/>
      <c r="Q553" s="63"/>
      <c r="R553" s="63"/>
      <c r="S553" s="63"/>
      <c r="T553" s="63"/>
      <c r="U553" s="63"/>
      <c r="V553" s="63"/>
      <c r="W553" s="63"/>
      <c r="X553" s="63"/>
      <c r="Y553" s="63"/>
      <c r="Z553" s="63"/>
    </row>
    <row r="554" spans="1:26" ht="17.25" customHeight="1" x14ac:dyDescent="0.2">
      <c r="A554" s="104">
        <v>1111</v>
      </c>
      <c r="B554" s="105" t="s">
        <v>33</v>
      </c>
      <c r="C554" s="105" t="s">
        <v>94</v>
      </c>
      <c r="D554" s="106">
        <v>344.90300000000002</v>
      </c>
      <c r="E554" s="107">
        <v>2697</v>
      </c>
      <c r="F554" s="106">
        <f t="shared" si="38"/>
        <v>344.86107999999996</v>
      </c>
      <c r="G554" s="108" t="s">
        <v>1208</v>
      </c>
      <c r="H554" s="108"/>
      <c r="I554" s="107">
        <v>15</v>
      </c>
      <c r="J554" s="107">
        <v>399</v>
      </c>
      <c r="K554" s="108" t="s">
        <v>429</v>
      </c>
      <c r="L554" s="107">
        <v>22222</v>
      </c>
      <c r="M554" s="111">
        <f t="shared" si="36"/>
        <v>149.07045314213008</v>
      </c>
      <c r="N554" s="111">
        <v>550.59</v>
      </c>
      <c r="O554" s="113">
        <f t="shared" si="37"/>
        <v>40.360340725403653</v>
      </c>
      <c r="P554" s="78"/>
      <c r="Q554" s="63"/>
      <c r="R554" s="63"/>
      <c r="S554" s="63"/>
      <c r="T554" s="63"/>
      <c r="U554" s="63"/>
      <c r="V554" s="63"/>
      <c r="W554" s="63"/>
      <c r="X554" s="63"/>
      <c r="Y554" s="63"/>
      <c r="Z554" s="63"/>
    </row>
    <row r="555" spans="1:26" ht="17.25" customHeight="1" x14ac:dyDescent="0.2">
      <c r="A555" s="104">
        <v>1112</v>
      </c>
      <c r="B555" s="105" t="s">
        <v>33</v>
      </c>
      <c r="C555" s="105" t="s">
        <v>94</v>
      </c>
      <c r="D555" s="106">
        <v>345.4</v>
      </c>
      <c r="E555" s="107">
        <v>2697</v>
      </c>
      <c r="F555" s="106">
        <f t="shared" si="38"/>
        <v>345.35475009999993</v>
      </c>
      <c r="G555" s="108" t="s">
        <v>1209</v>
      </c>
      <c r="H555" s="108"/>
      <c r="I555" s="107">
        <v>15</v>
      </c>
      <c r="J555" s="107">
        <v>299</v>
      </c>
      <c r="K555" s="108" t="s">
        <v>429</v>
      </c>
      <c r="L555" s="107">
        <v>17186</v>
      </c>
      <c r="M555" s="111">
        <f t="shared" si="36"/>
        <v>131.09538512091109</v>
      </c>
      <c r="N555" s="111">
        <v>407.85</v>
      </c>
      <c r="O555" s="113">
        <f t="shared" si="37"/>
        <v>42.138040946426379</v>
      </c>
      <c r="P555" s="78"/>
      <c r="Q555" s="63"/>
      <c r="R555" s="63"/>
      <c r="S555" s="63"/>
      <c r="T555" s="63"/>
      <c r="U555" s="63"/>
      <c r="V555" s="63"/>
      <c r="W555" s="63"/>
      <c r="X555" s="63"/>
      <c r="Y555" s="63"/>
      <c r="Z555" s="63"/>
    </row>
    <row r="556" spans="1:26" ht="17.25" customHeight="1" x14ac:dyDescent="0.2">
      <c r="A556" s="104">
        <v>1113</v>
      </c>
      <c r="B556" s="105" t="s">
        <v>33</v>
      </c>
      <c r="C556" s="105" t="s">
        <v>94</v>
      </c>
      <c r="D556" s="106">
        <v>345.89699999999999</v>
      </c>
      <c r="E556" s="107">
        <v>2697</v>
      </c>
      <c r="F556" s="106">
        <f t="shared" si="38"/>
        <v>345.84842019999996</v>
      </c>
      <c r="G556" s="108" t="s">
        <v>1210</v>
      </c>
      <c r="H556" s="108"/>
      <c r="I556" s="107">
        <v>15</v>
      </c>
      <c r="J556" s="107">
        <v>671</v>
      </c>
      <c r="K556" s="108" t="s">
        <v>429</v>
      </c>
      <c r="L556" s="107">
        <v>41729</v>
      </c>
      <c r="M556" s="111">
        <f t="shared" si="36"/>
        <v>204.27677303110113</v>
      </c>
      <c r="N556" s="111">
        <v>967.42</v>
      </c>
      <c r="O556" s="113">
        <f t="shared" si="37"/>
        <v>43.134316015794589</v>
      </c>
      <c r="P556" s="78"/>
      <c r="Q556" s="63"/>
      <c r="R556" s="63"/>
      <c r="S556" s="63"/>
      <c r="T556" s="63"/>
      <c r="U556" s="63"/>
      <c r="V556" s="63"/>
      <c r="W556" s="63"/>
      <c r="X556" s="63"/>
      <c r="Y556" s="63"/>
      <c r="Z556" s="63"/>
    </row>
    <row r="557" spans="1:26" ht="17.25" customHeight="1" x14ac:dyDescent="0.2">
      <c r="A557" s="104">
        <v>1114</v>
      </c>
      <c r="B557" s="105" t="s">
        <v>33</v>
      </c>
      <c r="C557" s="105" t="s">
        <v>94</v>
      </c>
      <c r="D557" s="106">
        <v>346.40699999999998</v>
      </c>
      <c r="E557" s="107">
        <v>2697</v>
      </c>
      <c r="F557" s="106">
        <f t="shared" si="38"/>
        <v>346.35500319999994</v>
      </c>
      <c r="G557" s="108" t="s">
        <v>1210</v>
      </c>
      <c r="H557" s="108"/>
      <c r="I557" s="107">
        <v>10</v>
      </c>
      <c r="J557" s="107">
        <v>592</v>
      </c>
      <c r="K557" s="108" t="s">
        <v>429</v>
      </c>
      <c r="L557" s="107">
        <v>26046</v>
      </c>
      <c r="M557" s="111">
        <f t="shared" si="36"/>
        <v>161.38773187575319</v>
      </c>
      <c r="N557" s="111">
        <v>579.5</v>
      </c>
      <c r="O557" s="113">
        <f t="shared" si="37"/>
        <v>44.945642795513372</v>
      </c>
      <c r="P557" s="78"/>
      <c r="Q557" s="63"/>
      <c r="R557" s="63"/>
      <c r="S557" s="63"/>
      <c r="T557" s="63"/>
      <c r="U557" s="63"/>
      <c r="V557" s="63"/>
      <c r="W557" s="63"/>
      <c r="X557" s="63"/>
      <c r="Y557" s="63"/>
      <c r="Z557" s="63"/>
    </row>
    <row r="558" spans="1:26" ht="17.25" customHeight="1" x14ac:dyDescent="0.2">
      <c r="A558" s="104">
        <v>1115</v>
      </c>
      <c r="B558" s="105" t="s">
        <v>33</v>
      </c>
      <c r="C558" s="105" t="s">
        <v>94</v>
      </c>
      <c r="D558" s="106">
        <v>346.904</v>
      </c>
      <c r="E558" s="107">
        <v>2697</v>
      </c>
      <c r="F558" s="106">
        <f t="shared" si="38"/>
        <v>346.84867329999997</v>
      </c>
      <c r="G558" s="108" t="s">
        <v>1211</v>
      </c>
      <c r="H558" s="108"/>
      <c r="I558" s="107">
        <v>10</v>
      </c>
      <c r="J558" s="107">
        <v>757</v>
      </c>
      <c r="K558" s="108" t="s">
        <v>429</v>
      </c>
      <c r="L558" s="107">
        <v>33294</v>
      </c>
      <c r="M558" s="111">
        <f t="shared" si="36"/>
        <v>182.46643526961336</v>
      </c>
      <c r="N558" s="111">
        <v>746.37</v>
      </c>
      <c r="O558" s="113">
        <f t="shared" si="37"/>
        <v>44.607902246874872</v>
      </c>
      <c r="P558" s="78"/>
      <c r="Q558" s="63"/>
      <c r="R558" s="63"/>
      <c r="S558" s="63"/>
      <c r="T558" s="63"/>
      <c r="U558" s="63"/>
      <c r="V558" s="63"/>
      <c r="W558" s="63"/>
      <c r="X558" s="63"/>
      <c r="Y558" s="63"/>
      <c r="Z558" s="63"/>
    </row>
    <row r="559" spans="1:26" ht="17.25" customHeight="1" x14ac:dyDescent="0.2">
      <c r="A559" s="104">
        <v>1116</v>
      </c>
      <c r="B559" s="105" t="s">
        <v>33</v>
      </c>
      <c r="C559" s="105" t="s">
        <v>94</v>
      </c>
      <c r="D559" s="106">
        <v>347.904</v>
      </c>
      <c r="E559" s="107">
        <v>2697</v>
      </c>
      <c r="F559" s="106">
        <f t="shared" si="38"/>
        <v>347.84197329999995</v>
      </c>
      <c r="G559" s="108" t="s">
        <v>1212</v>
      </c>
      <c r="H559" s="108"/>
      <c r="I559" s="107">
        <v>10</v>
      </c>
      <c r="J559" s="107">
        <v>636</v>
      </c>
      <c r="K559" s="108" t="s">
        <v>429</v>
      </c>
      <c r="L559" s="107">
        <v>25527</v>
      </c>
      <c r="M559" s="111">
        <f t="shared" si="36"/>
        <v>159.77171213953989</v>
      </c>
      <c r="N559" s="111">
        <v>607.19000000000005</v>
      </c>
      <c r="O559" s="113">
        <f t="shared" si="37"/>
        <v>42.041206212223514</v>
      </c>
      <c r="P559" s="78"/>
      <c r="Q559" s="63"/>
      <c r="R559" s="63"/>
      <c r="S559" s="63"/>
      <c r="T559" s="63"/>
      <c r="U559" s="63"/>
      <c r="V559" s="63"/>
      <c r="W559" s="63"/>
      <c r="X559" s="63"/>
      <c r="Y559" s="63"/>
      <c r="Z559" s="63"/>
    </row>
    <row r="560" spans="1:26" ht="17.25" customHeight="1" x14ac:dyDescent="0.2">
      <c r="A560" s="104">
        <v>1117</v>
      </c>
      <c r="B560" s="105" t="s">
        <v>33</v>
      </c>
      <c r="C560" s="105" t="s">
        <v>94</v>
      </c>
      <c r="D560" s="106">
        <v>348.90499999999997</v>
      </c>
      <c r="E560" s="107">
        <v>2697</v>
      </c>
      <c r="F560" s="106">
        <f t="shared" si="38"/>
        <v>348.83626659999993</v>
      </c>
      <c r="G560" s="108" t="s">
        <v>1213</v>
      </c>
      <c r="H560" s="108"/>
      <c r="I560" s="107">
        <v>15</v>
      </c>
      <c r="J560" s="107">
        <v>211</v>
      </c>
      <c r="K560" s="108" t="s">
        <v>429</v>
      </c>
      <c r="L560" s="107">
        <v>10475</v>
      </c>
      <c r="M560" s="111">
        <f t="shared" si="36"/>
        <v>102.34744745229361</v>
      </c>
      <c r="N560" s="111">
        <v>272.56</v>
      </c>
      <c r="O560" s="113">
        <f t="shared" si="37"/>
        <v>38.431904901673029</v>
      </c>
      <c r="P560" s="78"/>
      <c r="Q560" s="63"/>
      <c r="R560" s="63"/>
      <c r="S560" s="63"/>
      <c r="T560" s="63"/>
      <c r="U560" s="63"/>
      <c r="V560" s="63"/>
      <c r="W560" s="63"/>
      <c r="X560" s="63"/>
      <c r="Y560" s="63"/>
      <c r="Z560" s="63"/>
    </row>
    <row r="561" spans="1:26" ht="17.25" customHeight="1" x14ac:dyDescent="0.2">
      <c r="A561" s="104">
        <v>1118</v>
      </c>
      <c r="B561" s="105" t="s">
        <v>33</v>
      </c>
      <c r="C561" s="105" t="s">
        <v>94</v>
      </c>
      <c r="D561" s="106">
        <v>350.91199999999998</v>
      </c>
      <c r="E561" s="107">
        <v>2697</v>
      </c>
      <c r="F561" s="106">
        <f t="shared" si="38"/>
        <v>350.82981969999992</v>
      </c>
      <c r="G561" s="108" t="s">
        <v>1214</v>
      </c>
      <c r="H561" s="108"/>
      <c r="I561" s="107">
        <v>15</v>
      </c>
      <c r="J561" s="107">
        <v>510</v>
      </c>
      <c r="K561" s="108" t="s">
        <v>429</v>
      </c>
      <c r="L561" s="107">
        <v>21240</v>
      </c>
      <c r="M561" s="111">
        <f t="shared" si="36"/>
        <v>145.73949361789343</v>
      </c>
      <c r="N561" s="111">
        <v>728.28</v>
      </c>
      <c r="O561" s="113">
        <f t="shared" si="37"/>
        <v>29.1646070192783</v>
      </c>
      <c r="P561" s="78"/>
      <c r="Q561" s="63"/>
      <c r="R561" s="63"/>
      <c r="S561" s="63"/>
      <c r="T561" s="63"/>
      <c r="U561" s="63"/>
      <c r="V561" s="63"/>
      <c r="W561" s="63"/>
      <c r="X561" s="63"/>
      <c r="Y561" s="63"/>
      <c r="Z561" s="63"/>
    </row>
    <row r="562" spans="1:26" ht="17.25" customHeight="1" x14ac:dyDescent="0.2">
      <c r="A562" s="104">
        <v>1119</v>
      </c>
      <c r="B562" s="105" t="s">
        <v>33</v>
      </c>
      <c r="C562" s="105" t="s">
        <v>94</v>
      </c>
      <c r="D562" s="106">
        <v>352.91300000000001</v>
      </c>
      <c r="E562" s="107">
        <v>2697</v>
      </c>
      <c r="F562" s="106">
        <f t="shared" si="38"/>
        <v>352.81741299999999</v>
      </c>
      <c r="G562" s="108" t="s">
        <v>1215</v>
      </c>
      <c r="H562" s="108"/>
      <c r="I562" s="107">
        <v>25</v>
      </c>
      <c r="J562" s="107">
        <v>536</v>
      </c>
      <c r="K562" s="108" t="s">
        <v>429</v>
      </c>
      <c r="L562" s="107">
        <v>26132</v>
      </c>
      <c r="M562" s="111">
        <f t="shared" si="36"/>
        <v>161.6539513899985</v>
      </c>
      <c r="N562" s="111">
        <v>1241.28</v>
      </c>
      <c r="O562" s="113">
        <f t="shared" si="37"/>
        <v>21.052461974735756</v>
      </c>
      <c r="P562" s="78"/>
      <c r="Q562" s="63"/>
      <c r="R562" s="63"/>
      <c r="S562" s="63"/>
      <c r="T562" s="63"/>
      <c r="U562" s="63"/>
      <c r="V562" s="63"/>
      <c r="W562" s="63"/>
      <c r="X562" s="63"/>
      <c r="Y562" s="63"/>
      <c r="Z562" s="63"/>
    </row>
    <row r="563" spans="1:26" ht="17.25" customHeight="1" x14ac:dyDescent="0.2">
      <c r="A563" s="104">
        <v>1120</v>
      </c>
      <c r="B563" s="105" t="s">
        <v>33</v>
      </c>
      <c r="C563" s="105" t="s">
        <v>94</v>
      </c>
      <c r="D563" s="106">
        <v>354.91399999999999</v>
      </c>
      <c r="E563" s="107">
        <v>2697</v>
      </c>
      <c r="F563" s="106">
        <f t="shared" si="38"/>
        <v>354.80500629999995</v>
      </c>
      <c r="G563" s="108" t="s">
        <v>1216</v>
      </c>
      <c r="H563" s="108"/>
      <c r="I563" s="107">
        <v>25</v>
      </c>
      <c r="J563" s="107">
        <v>348</v>
      </c>
      <c r="K563" s="108" t="s">
        <v>429</v>
      </c>
      <c r="L563" s="107">
        <v>11188</v>
      </c>
      <c r="M563" s="111">
        <f t="shared" si="36"/>
        <v>105.77334257741882</v>
      </c>
      <c r="N563" s="111">
        <v>768.8</v>
      </c>
      <c r="O563" s="113">
        <f t="shared" si="37"/>
        <v>14.552549427679502</v>
      </c>
      <c r="P563" s="78"/>
      <c r="Q563" s="63"/>
      <c r="R563" s="63"/>
      <c r="S563" s="63"/>
      <c r="T563" s="63"/>
      <c r="U563" s="63"/>
      <c r="V563" s="63"/>
      <c r="W563" s="63"/>
      <c r="X563" s="63"/>
      <c r="Y563" s="63"/>
      <c r="Z563" s="63"/>
    </row>
    <row r="564" spans="1:26" ht="17.25" customHeight="1" x14ac:dyDescent="0.2">
      <c r="A564" s="104">
        <v>1121</v>
      </c>
      <c r="B564" s="105" t="s">
        <v>33</v>
      </c>
      <c r="C564" s="105" t="s">
        <v>94</v>
      </c>
      <c r="D564" s="106">
        <v>356.92099999999999</v>
      </c>
      <c r="E564" s="107">
        <v>2697</v>
      </c>
      <c r="F564" s="106">
        <f t="shared" si="38"/>
        <v>356.79855939999993</v>
      </c>
      <c r="G564" s="108" t="s">
        <v>1217</v>
      </c>
      <c r="H564" s="108"/>
      <c r="I564" s="107">
        <v>41</v>
      </c>
      <c r="J564" s="107">
        <v>421</v>
      </c>
      <c r="K564" s="108" t="s">
        <v>429</v>
      </c>
      <c r="L564" s="107">
        <v>15513</v>
      </c>
      <c r="M564" s="111">
        <f t="shared" si="36"/>
        <v>124.55119429375216</v>
      </c>
      <c r="N564" s="111">
        <v>1646.29</v>
      </c>
      <c r="O564" s="113">
        <f t="shared" si="37"/>
        <v>9.4230056672882672</v>
      </c>
      <c r="P564" s="78"/>
      <c r="Q564" s="63"/>
      <c r="R564" s="63"/>
      <c r="S564" s="63"/>
      <c r="T564" s="63"/>
      <c r="U564" s="63"/>
      <c r="V564" s="63"/>
      <c r="W564" s="63"/>
      <c r="X564" s="63"/>
      <c r="Y564" s="63"/>
      <c r="Z564" s="63"/>
    </row>
    <row r="565" spans="1:26" ht="17.25" customHeight="1" x14ac:dyDescent="0.2">
      <c r="A565" s="104">
        <v>1122</v>
      </c>
      <c r="B565" s="105" t="s">
        <v>33</v>
      </c>
      <c r="C565" s="105" t="s">
        <v>94</v>
      </c>
      <c r="D565" s="106">
        <v>358.42500000000001</v>
      </c>
      <c r="E565" s="107">
        <v>2697</v>
      </c>
      <c r="F565" s="106">
        <f t="shared" si="38"/>
        <v>358.29248259999997</v>
      </c>
      <c r="G565" s="108" t="s">
        <v>1218</v>
      </c>
      <c r="H565" s="108"/>
      <c r="I565" s="107">
        <v>40</v>
      </c>
      <c r="J565" s="107">
        <v>235</v>
      </c>
      <c r="K565" s="108" t="s">
        <v>429</v>
      </c>
      <c r="L565" s="107">
        <v>5545</v>
      </c>
      <c r="M565" s="111">
        <f t="shared" si="36"/>
        <v>74.464756764525859</v>
      </c>
      <c r="N565" s="111">
        <v>850.86</v>
      </c>
      <c r="O565" s="113">
        <f t="shared" si="37"/>
        <v>6.5169358061255673</v>
      </c>
      <c r="P565" s="78"/>
      <c r="Q565" s="63"/>
      <c r="R565" s="63"/>
      <c r="S565" s="63"/>
      <c r="T565" s="63"/>
      <c r="U565" s="63"/>
      <c r="V565" s="63"/>
      <c r="W565" s="63"/>
      <c r="X565" s="63"/>
      <c r="Y565" s="63"/>
      <c r="Z565" s="63"/>
    </row>
    <row r="566" spans="1:26" ht="17.25" customHeight="1" x14ac:dyDescent="0.2">
      <c r="A566" s="104">
        <v>1123</v>
      </c>
      <c r="B566" s="105" t="s">
        <v>33</v>
      </c>
      <c r="C566" s="105" t="s">
        <v>94</v>
      </c>
      <c r="D566" s="106">
        <v>363.44099999999997</v>
      </c>
      <c r="E566" s="107">
        <v>2697</v>
      </c>
      <c r="F566" s="106">
        <f t="shared" si="38"/>
        <v>363.27487539999993</v>
      </c>
      <c r="G566" s="108" t="s">
        <v>1219</v>
      </c>
      <c r="H566" s="108"/>
      <c r="I566" s="107">
        <v>70</v>
      </c>
      <c r="J566" s="107">
        <v>385</v>
      </c>
      <c r="K566" s="108" t="s">
        <v>429</v>
      </c>
      <c r="L566" s="107">
        <v>5155</v>
      </c>
      <c r="M566" s="111">
        <f t="shared" si="36"/>
        <v>71.798328671355577</v>
      </c>
      <c r="N566" s="111">
        <v>2446.71</v>
      </c>
      <c r="O566" s="113">
        <f t="shared" si="37"/>
        <v>2.1069109130219763</v>
      </c>
      <c r="P566" s="78"/>
      <c r="Q566" s="63"/>
      <c r="R566" s="63"/>
      <c r="S566" s="63"/>
      <c r="T566" s="63"/>
      <c r="U566" s="63"/>
      <c r="V566" s="63"/>
      <c r="W566" s="63"/>
      <c r="X566" s="63"/>
      <c r="Y566" s="63"/>
      <c r="Z566" s="63"/>
    </row>
    <row r="567" spans="1:26" ht="17.25" customHeight="1" x14ac:dyDescent="0.2">
      <c r="A567" s="104">
        <v>1124</v>
      </c>
      <c r="B567" s="105" t="s">
        <v>33</v>
      </c>
      <c r="C567" s="105" t="s">
        <v>94</v>
      </c>
      <c r="D567" s="106">
        <v>368.44299999999998</v>
      </c>
      <c r="E567" s="107">
        <v>2697</v>
      </c>
      <c r="F567" s="106">
        <f t="shared" si="38"/>
        <v>368.24336199999993</v>
      </c>
      <c r="G567" s="108" t="s">
        <v>1220</v>
      </c>
      <c r="H567" s="108"/>
      <c r="I567" s="107">
        <v>129</v>
      </c>
      <c r="J567" s="107">
        <v>432</v>
      </c>
      <c r="K567" s="108" t="s">
        <v>429</v>
      </c>
      <c r="L567" s="107">
        <v>5112</v>
      </c>
      <c r="M567" s="111">
        <f t="shared" si="36"/>
        <v>71.498251726877911</v>
      </c>
      <c r="N567" s="111">
        <v>5288.11</v>
      </c>
      <c r="O567" s="113">
        <f t="shared" si="37"/>
        <v>0.96669698625785017</v>
      </c>
      <c r="P567" s="78"/>
      <c r="Q567" s="63"/>
      <c r="R567" s="63"/>
      <c r="S567" s="63"/>
      <c r="T567" s="63"/>
      <c r="U567" s="63"/>
      <c r="V567" s="63"/>
      <c r="W567" s="63"/>
      <c r="X567" s="63"/>
      <c r="Y567" s="63"/>
      <c r="Z567" s="63"/>
    </row>
    <row r="568" spans="1:26" ht="17.25" customHeight="1" x14ac:dyDescent="0.2">
      <c r="A568" s="104">
        <v>1125</v>
      </c>
      <c r="B568" s="105" t="s">
        <v>33</v>
      </c>
      <c r="C568" s="105" t="s">
        <v>94</v>
      </c>
      <c r="D568" s="106">
        <v>345.83</v>
      </c>
      <c r="E568" s="107">
        <v>2697</v>
      </c>
      <c r="F568" s="106">
        <f t="shared" si="38"/>
        <v>345.78186909999994</v>
      </c>
      <c r="G568" s="108" t="s">
        <v>1221</v>
      </c>
      <c r="H568" s="108" t="s">
        <v>1222</v>
      </c>
      <c r="I568" s="109"/>
      <c r="J568" s="110"/>
      <c r="K568" s="108"/>
      <c r="L568" s="110"/>
      <c r="M568" s="111"/>
      <c r="N568" s="109"/>
      <c r="O568" s="113"/>
      <c r="P568" s="78"/>
      <c r="Q568" s="63" t="s">
        <v>1223</v>
      </c>
      <c r="R568" s="63"/>
      <c r="S568" s="63"/>
      <c r="T568" s="63"/>
      <c r="U568" s="63"/>
      <c r="V568" s="63"/>
      <c r="W568" s="63"/>
      <c r="X568" s="63"/>
      <c r="Y568" s="63"/>
      <c r="Z568" s="63"/>
    </row>
    <row r="569" spans="1:26" ht="17.25" customHeight="1" x14ac:dyDescent="0.2">
      <c r="A569" s="104">
        <v>1126</v>
      </c>
      <c r="B569" s="105" t="s">
        <v>29</v>
      </c>
      <c r="C569" s="105" t="s">
        <v>98</v>
      </c>
      <c r="D569" s="106">
        <v>329.34699999999998</v>
      </c>
      <c r="E569" s="107">
        <v>2697</v>
      </c>
      <c r="F569" s="106">
        <f t="shared" si="38"/>
        <v>329.40930519999995</v>
      </c>
      <c r="G569" s="108" t="s">
        <v>1224</v>
      </c>
      <c r="H569" s="108"/>
      <c r="I569" s="107">
        <v>122</v>
      </c>
      <c r="J569" s="107">
        <v>1925</v>
      </c>
      <c r="K569" s="108" t="s">
        <v>429</v>
      </c>
      <c r="L569" s="107">
        <v>4965</v>
      </c>
      <c r="M569" s="111">
        <f t="shared" ref="M569:M600" si="39">SQRT(L569)</f>
        <v>70.46275611981126</v>
      </c>
      <c r="N569" s="111">
        <v>22026.65</v>
      </c>
      <c r="O569" s="113">
        <f t="shared" ref="O569:O600" si="40">L569/N569</f>
        <v>0.22540876619912695</v>
      </c>
      <c r="P569" s="78"/>
      <c r="Q569" s="63"/>
      <c r="R569" s="63"/>
      <c r="S569" s="63"/>
      <c r="T569" s="63"/>
      <c r="U569" s="63"/>
      <c r="V569" s="63"/>
      <c r="W569" s="63"/>
      <c r="X569" s="63"/>
      <c r="Y569" s="63"/>
      <c r="Z569" s="63"/>
    </row>
    <row r="570" spans="1:26" ht="17.25" customHeight="1" x14ac:dyDescent="0.2">
      <c r="A570" s="104">
        <v>1127</v>
      </c>
      <c r="B570" s="105" t="s">
        <v>29</v>
      </c>
      <c r="C570" s="105" t="s">
        <v>98</v>
      </c>
      <c r="D570" s="106">
        <v>331.36099999999999</v>
      </c>
      <c r="E570" s="107">
        <v>2697</v>
      </c>
      <c r="F570" s="106">
        <f t="shared" si="38"/>
        <v>331.40981139999997</v>
      </c>
      <c r="G570" s="108" t="s">
        <v>1225</v>
      </c>
      <c r="H570" s="108"/>
      <c r="I570" s="107">
        <v>114</v>
      </c>
      <c r="J570" s="107">
        <v>1663</v>
      </c>
      <c r="K570" s="108" t="s">
        <v>429</v>
      </c>
      <c r="L570" s="107">
        <v>5616</v>
      </c>
      <c r="M570" s="111">
        <f t="shared" si="39"/>
        <v>74.939975980780773</v>
      </c>
      <c r="N570" s="111">
        <v>18612.22</v>
      </c>
      <c r="O570" s="113">
        <f t="shared" si="40"/>
        <v>0.30173724574499977</v>
      </c>
      <c r="P570" s="78"/>
      <c r="Q570" s="63"/>
      <c r="R570" s="63"/>
      <c r="S570" s="63"/>
      <c r="T570" s="63"/>
      <c r="U570" s="63"/>
      <c r="V570" s="63"/>
      <c r="W570" s="63"/>
      <c r="X570" s="63"/>
      <c r="Y570" s="63"/>
      <c r="Z570" s="63"/>
    </row>
    <row r="571" spans="1:26" ht="17.25" customHeight="1" x14ac:dyDescent="0.2">
      <c r="A571" s="104">
        <v>1128</v>
      </c>
      <c r="B571" s="105" t="s">
        <v>29</v>
      </c>
      <c r="C571" s="105" t="s">
        <v>98</v>
      </c>
      <c r="D571" s="106">
        <v>333.38200000000001</v>
      </c>
      <c r="E571" s="107">
        <v>2697</v>
      </c>
      <c r="F571" s="106">
        <f t="shared" si="38"/>
        <v>333.41727069999996</v>
      </c>
      <c r="G571" s="108" t="s">
        <v>1226</v>
      </c>
      <c r="H571" s="108"/>
      <c r="I571" s="107">
        <v>93</v>
      </c>
      <c r="J571" s="107">
        <v>1314</v>
      </c>
      <c r="K571" s="108" t="s">
        <v>429</v>
      </c>
      <c r="L571" s="107">
        <v>5088</v>
      </c>
      <c r="M571" s="111">
        <f t="shared" si="39"/>
        <v>71.330218000508026</v>
      </c>
      <c r="N571" s="111">
        <v>11983.83</v>
      </c>
      <c r="O571" s="113">
        <f t="shared" si="40"/>
        <v>0.42457211091946401</v>
      </c>
      <c r="P571" s="78"/>
      <c r="Q571" s="63"/>
      <c r="R571" s="63"/>
      <c r="S571" s="63"/>
      <c r="T571" s="63"/>
      <c r="U571" s="63"/>
      <c r="V571" s="63"/>
      <c r="W571" s="63"/>
      <c r="X571" s="63"/>
      <c r="Y571" s="63"/>
      <c r="Z571" s="63"/>
    </row>
    <row r="572" spans="1:26" ht="17.25" customHeight="1" x14ac:dyDescent="0.2">
      <c r="A572" s="104">
        <v>1129</v>
      </c>
      <c r="B572" s="105" t="s">
        <v>29</v>
      </c>
      <c r="C572" s="105" t="s">
        <v>98</v>
      </c>
      <c r="D572" s="106">
        <v>335.37599999999998</v>
      </c>
      <c r="E572" s="107">
        <v>2697</v>
      </c>
      <c r="F572" s="106">
        <f t="shared" si="38"/>
        <v>335.39791089999994</v>
      </c>
      <c r="G572" s="108" t="s">
        <v>1227</v>
      </c>
      <c r="H572" s="108"/>
      <c r="I572" s="107">
        <v>73</v>
      </c>
      <c r="J572" s="107">
        <v>1075</v>
      </c>
      <c r="K572" s="108" t="s">
        <v>429</v>
      </c>
      <c r="L572" s="107">
        <v>5118</v>
      </c>
      <c r="M572" s="111">
        <f t="shared" si="39"/>
        <v>71.540198490079689</v>
      </c>
      <c r="N572" s="111">
        <v>7880.38</v>
      </c>
      <c r="O572" s="113">
        <f t="shared" si="40"/>
        <v>0.64946106659831127</v>
      </c>
      <c r="P572" s="78"/>
      <c r="Q572" s="63" t="s">
        <v>1228</v>
      </c>
      <c r="R572" s="63"/>
      <c r="S572" s="63"/>
      <c r="T572" s="63"/>
      <c r="U572" s="63"/>
      <c r="V572" s="63"/>
      <c r="W572" s="63"/>
      <c r="X572" s="63"/>
      <c r="Y572" s="63"/>
      <c r="Z572" s="63"/>
    </row>
    <row r="573" spans="1:26" ht="17.25" customHeight="1" x14ac:dyDescent="0.2">
      <c r="A573" s="104">
        <v>1130</v>
      </c>
      <c r="B573" s="105" t="s">
        <v>29</v>
      </c>
      <c r="C573" s="105" t="s">
        <v>98</v>
      </c>
      <c r="D573" s="106">
        <v>337.38400000000001</v>
      </c>
      <c r="E573" s="107">
        <v>2697</v>
      </c>
      <c r="F573" s="106">
        <f t="shared" si="38"/>
        <v>337.39245729999999</v>
      </c>
      <c r="G573" s="108" t="s">
        <v>1229</v>
      </c>
      <c r="H573" s="108"/>
      <c r="I573" s="107">
        <v>72</v>
      </c>
      <c r="J573" s="107">
        <v>658</v>
      </c>
      <c r="K573" s="108" t="s">
        <v>429</v>
      </c>
      <c r="L573" s="107">
        <v>5328</v>
      </c>
      <c r="M573" s="111">
        <f t="shared" si="39"/>
        <v>72.993150363578636</v>
      </c>
      <c r="N573" s="111">
        <v>4516.4799999999996</v>
      </c>
      <c r="O573" s="113">
        <f t="shared" si="40"/>
        <v>1.179679750602239</v>
      </c>
      <c r="P573" s="78"/>
      <c r="Q573" s="63"/>
      <c r="R573" s="63"/>
      <c r="S573" s="63"/>
      <c r="T573" s="63"/>
      <c r="U573" s="63"/>
      <c r="V573" s="63"/>
      <c r="W573" s="63"/>
      <c r="X573" s="63"/>
      <c r="Y573" s="63"/>
      <c r="Z573" s="63"/>
    </row>
    <row r="574" spans="1:26" ht="17.25" customHeight="1" x14ac:dyDescent="0.2">
      <c r="A574" s="104">
        <v>1131</v>
      </c>
      <c r="B574" s="105" t="s">
        <v>29</v>
      </c>
      <c r="C574" s="105" t="s">
        <v>98</v>
      </c>
      <c r="D574" s="106">
        <v>339.37799999999999</v>
      </c>
      <c r="E574" s="107">
        <v>2697</v>
      </c>
      <c r="F574" s="106">
        <f t="shared" si="38"/>
        <v>339.37309749999997</v>
      </c>
      <c r="G574" s="108" t="s">
        <v>1230</v>
      </c>
      <c r="H574" s="108"/>
      <c r="I574" s="107">
        <v>61</v>
      </c>
      <c r="J574" s="107">
        <v>545</v>
      </c>
      <c r="K574" s="108" t="s">
        <v>429</v>
      </c>
      <c r="L574" s="107">
        <v>9250</v>
      </c>
      <c r="M574" s="111">
        <f t="shared" si="39"/>
        <v>96.176920308356728</v>
      </c>
      <c r="N574" s="111">
        <v>3124.19</v>
      </c>
      <c r="O574" s="113">
        <f t="shared" si="40"/>
        <v>2.9607674309180938</v>
      </c>
      <c r="P574" s="78"/>
      <c r="Q574" s="63"/>
      <c r="R574" s="63"/>
      <c r="S574" s="63"/>
      <c r="T574" s="63"/>
      <c r="U574" s="63"/>
      <c r="V574" s="63"/>
      <c r="W574" s="63"/>
      <c r="X574" s="63"/>
      <c r="Y574" s="63"/>
      <c r="Z574" s="63"/>
    </row>
    <row r="575" spans="1:26" ht="17.25" customHeight="1" x14ac:dyDescent="0.2">
      <c r="A575" s="104">
        <v>1132</v>
      </c>
      <c r="B575" s="105" t="s">
        <v>29</v>
      </c>
      <c r="C575" s="105" t="s">
        <v>98</v>
      </c>
      <c r="D575" s="106">
        <v>340.392</v>
      </c>
      <c r="E575" s="107">
        <v>2697</v>
      </c>
      <c r="F575" s="106">
        <f t="shared" si="38"/>
        <v>340.38030369999996</v>
      </c>
      <c r="G575" s="108" t="s">
        <v>1231</v>
      </c>
      <c r="H575" s="108"/>
      <c r="I575" s="107">
        <v>48</v>
      </c>
      <c r="J575" s="107">
        <v>311</v>
      </c>
      <c r="K575" s="108" t="s">
        <v>429</v>
      </c>
      <c r="L575" s="107">
        <v>7615</v>
      </c>
      <c r="M575" s="111">
        <f t="shared" si="39"/>
        <v>87.263967363396901</v>
      </c>
      <c r="N575" s="111">
        <v>1347.3</v>
      </c>
      <c r="O575" s="113">
        <f t="shared" si="40"/>
        <v>5.652044830401544</v>
      </c>
      <c r="P575" s="78"/>
      <c r="Q575" s="63"/>
      <c r="R575" s="63"/>
      <c r="S575" s="63"/>
      <c r="T575" s="63"/>
      <c r="U575" s="63"/>
      <c r="V575" s="63"/>
      <c r="W575" s="63"/>
      <c r="X575" s="63"/>
      <c r="Y575" s="63"/>
      <c r="Z575" s="63"/>
    </row>
    <row r="576" spans="1:26" ht="17.25" customHeight="1" x14ac:dyDescent="0.2">
      <c r="A576" s="104">
        <v>1133</v>
      </c>
      <c r="B576" s="105" t="s">
        <v>29</v>
      </c>
      <c r="C576" s="105" t="s">
        <v>98</v>
      </c>
      <c r="D576" s="106">
        <v>341.38499999999999</v>
      </c>
      <c r="E576" s="107">
        <v>2697</v>
      </c>
      <c r="F576" s="106">
        <f t="shared" si="38"/>
        <v>341.36665059999996</v>
      </c>
      <c r="G576" s="108" t="s">
        <v>1232</v>
      </c>
      <c r="H576" s="108"/>
      <c r="I576" s="107">
        <v>39</v>
      </c>
      <c r="J576" s="107">
        <v>457</v>
      </c>
      <c r="K576" s="108" t="s">
        <v>429</v>
      </c>
      <c r="L576" s="107">
        <v>16367</v>
      </c>
      <c r="M576" s="111">
        <f t="shared" si="39"/>
        <v>127.93357651531517</v>
      </c>
      <c r="N576" s="111">
        <v>1646.04</v>
      </c>
      <c r="O576" s="113">
        <f t="shared" si="40"/>
        <v>9.9432577580131714</v>
      </c>
      <c r="P576" s="78"/>
      <c r="Q576" s="63"/>
      <c r="R576" s="63"/>
      <c r="S576" s="63"/>
      <c r="T576" s="63"/>
      <c r="U576" s="63"/>
      <c r="V576" s="63"/>
      <c r="W576" s="63"/>
      <c r="X576" s="63"/>
      <c r="Y576" s="63"/>
      <c r="Z576" s="63"/>
    </row>
    <row r="577" spans="1:26" ht="17.25" customHeight="1" x14ac:dyDescent="0.2">
      <c r="A577" s="104">
        <v>1134</v>
      </c>
      <c r="B577" s="105" t="s">
        <v>29</v>
      </c>
      <c r="C577" s="105" t="s">
        <v>98</v>
      </c>
      <c r="D577" s="106">
        <v>342.392</v>
      </c>
      <c r="E577" s="107">
        <v>2697</v>
      </c>
      <c r="F577" s="106">
        <f t="shared" si="38"/>
        <v>342.36690369999997</v>
      </c>
      <c r="G577" s="108" t="s">
        <v>1233</v>
      </c>
      <c r="H577" s="108"/>
      <c r="I577" s="107">
        <v>40</v>
      </c>
      <c r="J577" s="107">
        <v>388</v>
      </c>
      <c r="K577" s="108" t="s">
        <v>429</v>
      </c>
      <c r="L577" s="107">
        <v>16329</v>
      </c>
      <c r="M577" s="111">
        <f t="shared" si="39"/>
        <v>127.78497564267875</v>
      </c>
      <c r="N577" s="111">
        <v>1336.49</v>
      </c>
      <c r="O577" s="113">
        <f t="shared" si="40"/>
        <v>12.217824300967459</v>
      </c>
      <c r="P577" s="78"/>
      <c r="Q577" s="63"/>
      <c r="R577" s="63"/>
      <c r="S577" s="63"/>
      <c r="T577" s="63"/>
      <c r="U577" s="63"/>
      <c r="V577" s="63"/>
      <c r="W577" s="63"/>
      <c r="X577" s="63"/>
      <c r="Y577" s="63"/>
      <c r="Z577" s="63"/>
    </row>
    <row r="578" spans="1:26" ht="17.25" customHeight="1" x14ac:dyDescent="0.2">
      <c r="A578" s="104">
        <v>1135</v>
      </c>
      <c r="B578" s="105" t="s">
        <v>29</v>
      </c>
      <c r="C578" s="105" t="s">
        <v>98</v>
      </c>
      <c r="D578" s="106">
        <v>343.399</v>
      </c>
      <c r="E578" s="107">
        <v>2697</v>
      </c>
      <c r="F578" s="106">
        <f t="shared" si="38"/>
        <v>343.36715679999998</v>
      </c>
      <c r="G578" s="108" t="s">
        <v>1234</v>
      </c>
      <c r="H578" s="108"/>
      <c r="I578" s="107">
        <v>39</v>
      </c>
      <c r="J578" s="107">
        <v>321</v>
      </c>
      <c r="K578" s="108" t="s">
        <v>429</v>
      </c>
      <c r="L578" s="107">
        <v>14498</v>
      </c>
      <c r="M578" s="111">
        <f t="shared" si="39"/>
        <v>120.40764095355411</v>
      </c>
      <c r="N578" s="107">
        <v>1094</v>
      </c>
      <c r="O578" s="113">
        <f t="shared" si="40"/>
        <v>13.252285191956124</v>
      </c>
      <c r="P578" s="78"/>
      <c r="Q578" s="63"/>
      <c r="R578" s="63"/>
      <c r="S578" s="63"/>
      <c r="T578" s="63"/>
      <c r="U578" s="63"/>
      <c r="V578" s="63"/>
      <c r="W578" s="63"/>
      <c r="X578" s="63"/>
      <c r="Y578" s="63"/>
      <c r="Z578" s="63"/>
    </row>
    <row r="579" spans="1:26" ht="17.25" customHeight="1" x14ac:dyDescent="0.2">
      <c r="A579" s="104">
        <v>1136</v>
      </c>
      <c r="B579" s="105" t="s">
        <v>29</v>
      </c>
      <c r="C579" s="105" t="s">
        <v>98</v>
      </c>
      <c r="D579" s="106">
        <v>344.39299999999997</v>
      </c>
      <c r="E579" s="107">
        <v>2697</v>
      </c>
      <c r="F579" s="106">
        <f t="shared" si="38"/>
        <v>344.35449699999992</v>
      </c>
      <c r="G579" s="108" t="s">
        <v>1235</v>
      </c>
      <c r="H579" s="108"/>
      <c r="I579" s="107">
        <v>39</v>
      </c>
      <c r="J579" s="107">
        <v>352</v>
      </c>
      <c r="K579" s="108" t="s">
        <v>429</v>
      </c>
      <c r="L579" s="107">
        <v>16003</v>
      </c>
      <c r="M579" s="111">
        <f t="shared" si="39"/>
        <v>126.5029643921438</v>
      </c>
      <c r="N579" s="111">
        <v>1161.2</v>
      </c>
      <c r="O579" s="113">
        <f t="shared" si="40"/>
        <v>13.781433000344471</v>
      </c>
      <c r="P579" s="78"/>
      <c r="Q579" s="63"/>
      <c r="R579" s="63"/>
      <c r="S579" s="63"/>
      <c r="T579" s="63"/>
      <c r="U579" s="63"/>
      <c r="V579" s="63"/>
      <c r="W579" s="63"/>
      <c r="X579" s="63"/>
      <c r="Y579" s="63"/>
      <c r="Z579" s="63"/>
    </row>
    <row r="580" spans="1:26" ht="17.25" customHeight="1" x14ac:dyDescent="0.2">
      <c r="A580" s="104">
        <v>1137</v>
      </c>
      <c r="B580" s="105" t="s">
        <v>29</v>
      </c>
      <c r="C580" s="105" t="s">
        <v>98</v>
      </c>
      <c r="D580" s="106">
        <v>346.40100000000001</v>
      </c>
      <c r="E580" s="107">
        <v>2697</v>
      </c>
      <c r="F580" s="106">
        <f t="shared" si="38"/>
        <v>346.34904339999997</v>
      </c>
      <c r="G580" s="108" t="s">
        <v>1236</v>
      </c>
      <c r="H580" s="108"/>
      <c r="I580" s="107">
        <v>38</v>
      </c>
      <c r="J580" s="107">
        <v>297</v>
      </c>
      <c r="K580" s="108" t="s">
        <v>429</v>
      </c>
      <c r="L580" s="107">
        <v>12976</v>
      </c>
      <c r="M580" s="111">
        <f t="shared" si="39"/>
        <v>113.91224692718514</v>
      </c>
      <c r="N580" s="111">
        <v>956.61</v>
      </c>
      <c r="O580" s="113">
        <f t="shared" si="40"/>
        <v>13.564566542269054</v>
      </c>
      <c r="P580" s="78"/>
      <c r="Q580" s="63"/>
      <c r="R580" s="63"/>
      <c r="S580" s="63"/>
      <c r="T580" s="63"/>
      <c r="U580" s="63"/>
      <c r="V580" s="63"/>
      <c r="W580" s="63"/>
      <c r="X580" s="63"/>
      <c r="Y580" s="63"/>
      <c r="Z580" s="63"/>
    </row>
    <row r="581" spans="1:26" ht="17.25" customHeight="1" x14ac:dyDescent="0.2">
      <c r="A581" s="104">
        <v>1138</v>
      </c>
      <c r="B581" s="105" t="s">
        <v>29</v>
      </c>
      <c r="C581" s="105" t="s">
        <v>98</v>
      </c>
      <c r="D581" s="106">
        <v>349.40800000000002</v>
      </c>
      <c r="E581" s="107">
        <v>2697</v>
      </c>
      <c r="F581" s="106">
        <f t="shared" si="38"/>
        <v>349.33589649999999</v>
      </c>
      <c r="G581" s="108" t="s">
        <v>1237</v>
      </c>
      <c r="H581" s="108"/>
      <c r="I581" s="107">
        <v>37</v>
      </c>
      <c r="J581" s="107">
        <v>384</v>
      </c>
      <c r="K581" s="108" t="s">
        <v>429</v>
      </c>
      <c r="L581" s="107">
        <v>16625</v>
      </c>
      <c r="M581" s="111">
        <f t="shared" si="39"/>
        <v>128.93796958227628</v>
      </c>
      <c r="N581" s="111">
        <v>1232.78</v>
      </c>
      <c r="O581" s="113">
        <f t="shared" si="40"/>
        <v>13.485780106750596</v>
      </c>
      <c r="P581" s="78"/>
      <c r="Q581" s="63"/>
      <c r="R581" s="63"/>
      <c r="S581" s="63"/>
      <c r="T581" s="63"/>
      <c r="U581" s="63"/>
      <c r="V581" s="63"/>
      <c r="W581" s="63"/>
      <c r="X581" s="63"/>
      <c r="Y581" s="63"/>
      <c r="Z581" s="63"/>
    </row>
    <row r="582" spans="1:26" ht="17.25" customHeight="1" x14ac:dyDescent="0.2">
      <c r="A582" s="104">
        <v>1139</v>
      </c>
      <c r="B582" s="105" t="s">
        <v>29</v>
      </c>
      <c r="C582" s="105" t="s">
        <v>98</v>
      </c>
      <c r="D582" s="106">
        <v>352.41</v>
      </c>
      <c r="E582" s="107">
        <v>2697</v>
      </c>
      <c r="F582" s="106">
        <f t="shared" si="38"/>
        <v>352.31778309999999</v>
      </c>
      <c r="G582" s="108" t="s">
        <v>1238</v>
      </c>
      <c r="H582" s="108"/>
      <c r="I582" s="107">
        <v>36</v>
      </c>
      <c r="J582" s="107">
        <v>309</v>
      </c>
      <c r="K582" s="108" t="s">
        <v>429</v>
      </c>
      <c r="L582" s="107">
        <v>13005</v>
      </c>
      <c r="M582" s="111">
        <f t="shared" si="39"/>
        <v>114.03946685248927</v>
      </c>
      <c r="N582" s="111">
        <v>971.09</v>
      </c>
      <c r="O582" s="113">
        <f t="shared" si="40"/>
        <v>13.392167564283433</v>
      </c>
      <c r="P582" s="78"/>
      <c r="Q582" s="63"/>
      <c r="R582" s="63"/>
      <c r="S582" s="63"/>
      <c r="T582" s="63"/>
      <c r="U582" s="63"/>
      <c r="V582" s="63"/>
      <c r="W582" s="63"/>
      <c r="X582" s="63"/>
      <c r="Y582" s="63"/>
      <c r="Z582" s="63"/>
    </row>
    <row r="583" spans="1:26" ht="17.25" customHeight="1" x14ac:dyDescent="0.2">
      <c r="A583" s="104">
        <v>1140</v>
      </c>
      <c r="B583" s="105" t="s">
        <v>29</v>
      </c>
      <c r="C583" s="105" t="s">
        <v>98</v>
      </c>
      <c r="D583" s="106">
        <v>355.42399999999998</v>
      </c>
      <c r="E583" s="107">
        <v>2697</v>
      </c>
      <c r="F583" s="106">
        <f t="shared" si="38"/>
        <v>355.31158929999992</v>
      </c>
      <c r="G583" s="108" t="s">
        <v>1239</v>
      </c>
      <c r="H583" s="108"/>
      <c r="I583" s="107">
        <v>35</v>
      </c>
      <c r="J583" s="107">
        <v>398</v>
      </c>
      <c r="K583" s="108" t="s">
        <v>429</v>
      </c>
      <c r="L583" s="107">
        <v>16347</v>
      </c>
      <c r="M583" s="111">
        <f t="shared" si="39"/>
        <v>127.85538705897378</v>
      </c>
      <c r="N583" s="107">
        <v>1283</v>
      </c>
      <c r="O583" s="113">
        <f t="shared" si="40"/>
        <v>12.741231488698363</v>
      </c>
      <c r="P583" s="78"/>
      <c r="Q583" s="63"/>
      <c r="R583" s="63"/>
      <c r="S583" s="63"/>
      <c r="T583" s="63"/>
      <c r="U583" s="63"/>
      <c r="V583" s="63"/>
      <c r="W583" s="63"/>
      <c r="X583" s="63"/>
      <c r="Y583" s="63"/>
      <c r="Z583" s="63"/>
    </row>
    <row r="584" spans="1:26" ht="17.25" customHeight="1" x14ac:dyDescent="0.2">
      <c r="A584" s="104">
        <v>1141</v>
      </c>
      <c r="B584" s="105" t="s">
        <v>29</v>
      </c>
      <c r="C584" s="105" t="s">
        <v>98</v>
      </c>
      <c r="D584" s="106">
        <v>358.42500000000001</v>
      </c>
      <c r="E584" s="107">
        <v>2697</v>
      </c>
      <c r="F584" s="106">
        <f t="shared" si="38"/>
        <v>358.29248259999997</v>
      </c>
      <c r="G584" s="108" t="s">
        <v>1240</v>
      </c>
      <c r="H584" s="108"/>
      <c r="I584" s="107">
        <v>34</v>
      </c>
      <c r="J584" s="107">
        <v>271</v>
      </c>
      <c r="K584" s="108" t="s">
        <v>429</v>
      </c>
      <c r="L584" s="107">
        <v>10543</v>
      </c>
      <c r="M584" s="111">
        <f t="shared" si="39"/>
        <v>102.67911179982032</v>
      </c>
      <c r="N584" s="111">
        <v>830.04</v>
      </c>
      <c r="O584" s="113">
        <f t="shared" si="40"/>
        <v>12.70179750373476</v>
      </c>
      <c r="P584" s="78"/>
      <c r="Q584" s="63"/>
      <c r="R584" s="63"/>
      <c r="S584" s="63"/>
      <c r="T584" s="63"/>
      <c r="U584" s="63"/>
      <c r="V584" s="63"/>
      <c r="W584" s="63"/>
      <c r="X584" s="63"/>
      <c r="Y584" s="63"/>
      <c r="Z584" s="63"/>
    </row>
    <row r="585" spans="1:26" ht="17.25" customHeight="1" x14ac:dyDescent="0.2">
      <c r="A585" s="104">
        <v>1142</v>
      </c>
      <c r="B585" s="105" t="s">
        <v>29</v>
      </c>
      <c r="C585" s="105" t="s">
        <v>98</v>
      </c>
      <c r="D585" s="106">
        <v>363.42700000000002</v>
      </c>
      <c r="E585" s="107">
        <v>2697</v>
      </c>
      <c r="F585" s="106">
        <f t="shared" si="38"/>
        <v>363.26096919999998</v>
      </c>
      <c r="G585" s="108" t="s">
        <v>1241</v>
      </c>
      <c r="H585" s="108"/>
      <c r="I585" s="107">
        <v>33</v>
      </c>
      <c r="J585" s="107">
        <v>447</v>
      </c>
      <c r="K585" s="108" t="s">
        <v>429</v>
      </c>
      <c r="L585" s="107">
        <v>15919</v>
      </c>
      <c r="M585" s="111">
        <f t="shared" si="39"/>
        <v>126.17051953606278</v>
      </c>
      <c r="N585" s="111">
        <v>1354.71</v>
      </c>
      <c r="O585" s="113">
        <f t="shared" si="40"/>
        <v>11.750854426408603</v>
      </c>
      <c r="P585" s="78"/>
      <c r="Q585" s="63"/>
      <c r="R585" s="63"/>
      <c r="S585" s="63"/>
      <c r="T585" s="63"/>
      <c r="U585" s="63"/>
      <c r="V585" s="63"/>
      <c r="W585" s="63"/>
      <c r="X585" s="63"/>
      <c r="Y585" s="63"/>
      <c r="Z585" s="63"/>
    </row>
    <row r="586" spans="1:26" ht="17.25" customHeight="1" x14ac:dyDescent="0.2">
      <c r="A586" s="104">
        <v>1143</v>
      </c>
      <c r="B586" s="105" t="s">
        <v>29</v>
      </c>
      <c r="C586" s="105" t="s">
        <v>98</v>
      </c>
      <c r="D586" s="106">
        <v>368.44900000000001</v>
      </c>
      <c r="E586" s="107">
        <v>2697</v>
      </c>
      <c r="F586" s="106">
        <f t="shared" si="38"/>
        <v>368.24932179999996</v>
      </c>
      <c r="G586" s="108" t="s">
        <v>1242</v>
      </c>
      <c r="H586" s="108"/>
      <c r="I586" s="107">
        <v>31</v>
      </c>
      <c r="J586" s="107">
        <v>323</v>
      </c>
      <c r="K586" s="108" t="s">
        <v>429</v>
      </c>
      <c r="L586" s="107">
        <v>10533</v>
      </c>
      <c r="M586" s="111">
        <f t="shared" si="39"/>
        <v>102.63040485158382</v>
      </c>
      <c r="N586" s="111">
        <v>946.54</v>
      </c>
      <c r="O586" s="113">
        <f t="shared" si="40"/>
        <v>11.127897394721829</v>
      </c>
      <c r="P586" s="78"/>
      <c r="Q586" s="63"/>
      <c r="R586" s="63"/>
      <c r="S586" s="63"/>
      <c r="T586" s="63"/>
      <c r="U586" s="63"/>
      <c r="V586" s="63"/>
      <c r="W586" s="63"/>
      <c r="X586" s="63"/>
      <c r="Y586" s="63"/>
      <c r="Z586" s="63"/>
    </row>
    <row r="587" spans="1:26" ht="17.25" customHeight="1" x14ac:dyDescent="0.2">
      <c r="A587" s="104">
        <v>1144</v>
      </c>
      <c r="B587" s="105" t="s">
        <v>29</v>
      </c>
      <c r="C587" s="105" t="s">
        <v>98</v>
      </c>
      <c r="D587" s="106">
        <v>373.44400000000002</v>
      </c>
      <c r="E587" s="107">
        <v>2697</v>
      </c>
      <c r="F587" s="106">
        <f t="shared" si="38"/>
        <v>373.21085529999999</v>
      </c>
      <c r="G587" s="108" t="s">
        <v>1243</v>
      </c>
      <c r="H587" s="108"/>
      <c r="I587" s="107">
        <v>30</v>
      </c>
      <c r="J587" s="107">
        <v>533</v>
      </c>
      <c r="K587" s="108" t="s">
        <v>429</v>
      </c>
      <c r="L587" s="107">
        <v>15736</v>
      </c>
      <c r="M587" s="111">
        <f t="shared" si="39"/>
        <v>125.44321424453376</v>
      </c>
      <c r="N587" s="111">
        <v>1538.46</v>
      </c>
      <c r="O587" s="113">
        <f t="shared" si="40"/>
        <v>10.228410228410228</v>
      </c>
      <c r="P587" s="78"/>
      <c r="Q587" s="63"/>
      <c r="R587" s="63"/>
      <c r="S587" s="63"/>
      <c r="T587" s="63"/>
      <c r="U587" s="63"/>
      <c r="V587" s="63"/>
      <c r="W587" s="63"/>
      <c r="X587" s="63"/>
      <c r="Y587" s="63"/>
      <c r="Z587" s="63"/>
    </row>
    <row r="588" spans="1:26" ht="17.25" customHeight="1" x14ac:dyDescent="0.2">
      <c r="A588" s="104">
        <v>1145</v>
      </c>
      <c r="B588" s="105" t="s">
        <v>29</v>
      </c>
      <c r="C588" s="105" t="s">
        <v>98</v>
      </c>
      <c r="D588" s="106">
        <v>378.46600000000001</v>
      </c>
      <c r="E588" s="107">
        <v>2697</v>
      </c>
      <c r="F588" s="106">
        <f t="shared" si="38"/>
        <v>378.19920789999998</v>
      </c>
      <c r="G588" s="108" t="s">
        <v>1244</v>
      </c>
      <c r="H588" s="108"/>
      <c r="I588" s="107">
        <v>29</v>
      </c>
      <c r="J588" s="107">
        <v>423</v>
      </c>
      <c r="K588" s="108" t="s">
        <v>429</v>
      </c>
      <c r="L588" s="107">
        <v>10645</v>
      </c>
      <c r="M588" s="111">
        <f t="shared" si="39"/>
        <v>103.1746092796091</v>
      </c>
      <c r="N588" s="111">
        <v>1104.51</v>
      </c>
      <c r="O588" s="113">
        <f t="shared" si="40"/>
        <v>9.6377579198015404</v>
      </c>
      <c r="P588" s="78"/>
      <c r="Q588" s="63"/>
      <c r="R588" s="63"/>
      <c r="S588" s="63"/>
      <c r="T588" s="63"/>
      <c r="U588" s="63"/>
      <c r="V588" s="63"/>
      <c r="W588" s="63"/>
      <c r="X588" s="63"/>
      <c r="Y588" s="63"/>
      <c r="Z588" s="63"/>
    </row>
    <row r="589" spans="1:26" ht="17.25" customHeight="1" x14ac:dyDescent="0.2">
      <c r="A589" s="104">
        <v>1146</v>
      </c>
      <c r="B589" s="105" t="s">
        <v>29</v>
      </c>
      <c r="C589" s="105" t="s">
        <v>98</v>
      </c>
      <c r="D589" s="106">
        <v>383.46800000000002</v>
      </c>
      <c r="E589" s="107">
        <v>2697</v>
      </c>
      <c r="F589" s="106">
        <f t="shared" si="38"/>
        <v>383.16769449999998</v>
      </c>
      <c r="G589" s="108" t="s">
        <v>1245</v>
      </c>
      <c r="H589" s="108"/>
      <c r="I589" s="107">
        <v>28</v>
      </c>
      <c r="J589" s="107">
        <v>668</v>
      </c>
      <c r="K589" s="108" t="s">
        <v>429</v>
      </c>
      <c r="L589" s="107">
        <v>15327</v>
      </c>
      <c r="M589" s="111">
        <f t="shared" si="39"/>
        <v>123.80226169178009</v>
      </c>
      <c r="N589" s="111">
        <v>1787.03</v>
      </c>
      <c r="O589" s="113">
        <f t="shared" si="40"/>
        <v>8.5768006133081141</v>
      </c>
      <c r="P589" s="78"/>
      <c r="Q589" s="63"/>
      <c r="R589" s="63"/>
      <c r="S589" s="63"/>
      <c r="T589" s="63"/>
      <c r="U589" s="63"/>
      <c r="V589" s="63"/>
      <c r="W589" s="63"/>
      <c r="X589" s="63"/>
      <c r="Y589" s="63"/>
      <c r="Z589" s="63"/>
    </row>
    <row r="590" spans="1:26" ht="17.25" customHeight="1" x14ac:dyDescent="0.2">
      <c r="A590" s="104">
        <v>1147</v>
      </c>
      <c r="B590" s="105" t="s">
        <v>29</v>
      </c>
      <c r="C590" s="105" t="s">
        <v>98</v>
      </c>
      <c r="D590" s="106">
        <v>388.47699999999998</v>
      </c>
      <c r="E590" s="107">
        <v>2697</v>
      </c>
      <c r="F590" s="106">
        <f t="shared" si="38"/>
        <v>388.14313419999996</v>
      </c>
      <c r="G590" s="108" t="s">
        <v>1246</v>
      </c>
      <c r="H590" s="108"/>
      <c r="I590" s="107">
        <v>27</v>
      </c>
      <c r="J590" s="107">
        <v>309</v>
      </c>
      <c r="K590" s="108" t="s">
        <v>429</v>
      </c>
      <c r="L590" s="107">
        <v>5846</v>
      </c>
      <c r="M590" s="111">
        <f t="shared" si="39"/>
        <v>76.459139414461106</v>
      </c>
      <c r="N590" s="111">
        <v>786.4</v>
      </c>
      <c r="O590" s="113">
        <f t="shared" si="40"/>
        <v>7.4338758901322484</v>
      </c>
      <c r="P590" s="78"/>
      <c r="Q590" s="63" t="s">
        <v>1247</v>
      </c>
      <c r="R590" s="63"/>
      <c r="S590" s="63"/>
      <c r="T590" s="63"/>
      <c r="U590" s="63"/>
      <c r="V590" s="63"/>
      <c r="W590" s="63"/>
      <c r="X590" s="63"/>
      <c r="Y590" s="63"/>
      <c r="Z590" s="63"/>
    </row>
    <row r="591" spans="1:26" ht="17.25" customHeight="1" x14ac:dyDescent="0.2">
      <c r="A591" s="104">
        <v>1148</v>
      </c>
      <c r="B591" s="105" t="s">
        <v>29</v>
      </c>
      <c r="C591" s="105" t="s">
        <v>98</v>
      </c>
      <c r="D591" s="106">
        <v>393.47899999999998</v>
      </c>
      <c r="E591" s="107">
        <v>2697</v>
      </c>
      <c r="F591" s="106">
        <f t="shared" si="38"/>
        <v>393.11162079999997</v>
      </c>
      <c r="G591" s="108" t="s">
        <v>1248</v>
      </c>
      <c r="H591" s="108"/>
      <c r="I591" s="107">
        <v>26</v>
      </c>
      <c r="J591" s="107">
        <v>645</v>
      </c>
      <c r="K591" s="108" t="s">
        <v>429</v>
      </c>
      <c r="L591" s="107">
        <v>10401</v>
      </c>
      <c r="M591" s="111">
        <f t="shared" si="39"/>
        <v>101.98529305738157</v>
      </c>
      <c r="N591" s="111">
        <v>1589.36</v>
      </c>
      <c r="O591" s="113">
        <f t="shared" si="40"/>
        <v>6.5441435546383451</v>
      </c>
      <c r="P591" s="78"/>
      <c r="Q591" s="63"/>
      <c r="R591" s="63"/>
      <c r="S591" s="63"/>
      <c r="T591" s="63"/>
      <c r="U591" s="63"/>
      <c r="V591" s="63"/>
      <c r="W591" s="63"/>
      <c r="X591" s="63"/>
      <c r="Y591" s="63"/>
      <c r="Z591" s="63"/>
    </row>
    <row r="592" spans="1:26" ht="17.25" customHeight="1" x14ac:dyDescent="0.2">
      <c r="A592" s="104">
        <v>1149</v>
      </c>
      <c r="B592" s="105" t="s">
        <v>29</v>
      </c>
      <c r="C592" s="105" t="s">
        <v>98</v>
      </c>
      <c r="D592" s="106">
        <v>398.488</v>
      </c>
      <c r="E592" s="107">
        <v>2697</v>
      </c>
      <c r="F592" s="106">
        <f t="shared" si="38"/>
        <v>398.08706049999995</v>
      </c>
      <c r="G592" s="108" t="s">
        <v>1249</v>
      </c>
      <c r="H592" s="108"/>
      <c r="I592" s="107">
        <v>25</v>
      </c>
      <c r="J592" s="107">
        <v>845</v>
      </c>
      <c r="K592" s="108" t="s">
        <v>429</v>
      </c>
      <c r="L592" s="107">
        <v>11540</v>
      </c>
      <c r="M592" s="111">
        <f t="shared" si="39"/>
        <v>107.42439201596628</v>
      </c>
      <c r="N592" s="111">
        <v>1985.58</v>
      </c>
      <c r="O592" s="113">
        <f t="shared" si="40"/>
        <v>5.8119038265897123</v>
      </c>
      <c r="P592" s="78"/>
      <c r="Q592" s="63"/>
      <c r="R592" s="63"/>
      <c r="S592" s="63"/>
      <c r="T592" s="63"/>
      <c r="U592" s="63"/>
      <c r="V592" s="63"/>
      <c r="W592" s="63"/>
      <c r="X592" s="63"/>
      <c r="Y592" s="63"/>
      <c r="Z592" s="63"/>
    </row>
    <row r="593" spans="1:26" ht="17.25" customHeight="1" x14ac:dyDescent="0.2">
      <c r="A593" s="104">
        <v>1150</v>
      </c>
      <c r="B593" s="105" t="s">
        <v>157</v>
      </c>
      <c r="C593" s="105" t="s">
        <v>98</v>
      </c>
      <c r="D593" s="106">
        <v>344.803</v>
      </c>
      <c r="E593" s="107">
        <v>2694</v>
      </c>
      <c r="F593" s="106">
        <f t="shared" si="38"/>
        <v>344.75877009999999</v>
      </c>
      <c r="G593" s="108" t="s">
        <v>1250</v>
      </c>
      <c r="H593" s="108" t="s">
        <v>1251</v>
      </c>
      <c r="I593" s="107">
        <v>50</v>
      </c>
      <c r="J593" s="107">
        <v>64652</v>
      </c>
      <c r="K593" s="108" t="s">
        <v>429</v>
      </c>
      <c r="L593" s="107">
        <v>4296410</v>
      </c>
      <c r="M593" s="111">
        <f t="shared" si="39"/>
        <v>2072.7783287172797</v>
      </c>
      <c r="N593" s="111">
        <v>318371.09999999998</v>
      </c>
      <c r="O593" s="113">
        <f t="shared" si="40"/>
        <v>13.49497488936653</v>
      </c>
      <c r="P593" s="78"/>
      <c r="Q593" s="63" t="s">
        <v>1252</v>
      </c>
      <c r="R593" s="63"/>
      <c r="S593" s="63"/>
      <c r="T593" s="63"/>
      <c r="U593" s="63"/>
      <c r="V593" s="63"/>
      <c r="W593" s="63"/>
      <c r="X593" s="63"/>
      <c r="Y593" s="63"/>
      <c r="Z593" s="63"/>
    </row>
    <row r="594" spans="1:26" ht="17.25" customHeight="1" x14ac:dyDescent="0.2">
      <c r="A594" s="104">
        <v>1151</v>
      </c>
      <c r="B594" s="105" t="s">
        <v>30</v>
      </c>
      <c r="C594" s="105" t="s">
        <v>98</v>
      </c>
      <c r="D594" s="106">
        <v>219.73500000000001</v>
      </c>
      <c r="E594" s="107">
        <v>2695</v>
      </c>
      <c r="F594" s="106">
        <f t="shared" si="38"/>
        <v>220.529719</v>
      </c>
      <c r="G594" s="108" t="s">
        <v>1253</v>
      </c>
      <c r="H594" s="108"/>
      <c r="I594" s="107">
        <v>68</v>
      </c>
      <c r="J594" s="107">
        <v>2501</v>
      </c>
      <c r="K594" s="108" t="s">
        <v>429</v>
      </c>
      <c r="L594" s="107">
        <v>1021</v>
      </c>
      <c r="M594" s="111">
        <f t="shared" si="39"/>
        <v>31.953090617340916</v>
      </c>
      <c r="N594" s="111">
        <v>16229.86</v>
      </c>
      <c r="O594" s="113">
        <f t="shared" si="40"/>
        <v>6.2908737352016589E-2</v>
      </c>
      <c r="P594" s="78"/>
      <c r="Q594" s="63"/>
      <c r="R594" s="63"/>
      <c r="S594" s="63"/>
      <c r="T594" s="63"/>
      <c r="U594" s="63"/>
      <c r="V594" s="63"/>
      <c r="W594" s="63"/>
      <c r="X594" s="63"/>
      <c r="Y594" s="63"/>
      <c r="Z594" s="63"/>
    </row>
    <row r="595" spans="1:26" ht="17.25" customHeight="1" x14ac:dyDescent="0.2">
      <c r="A595" s="104">
        <v>1152</v>
      </c>
      <c r="B595" s="105" t="s">
        <v>30</v>
      </c>
      <c r="C595" s="105" t="s">
        <v>98</v>
      </c>
      <c r="D595" s="106">
        <v>221.756</v>
      </c>
      <c r="E595" s="107">
        <v>2695</v>
      </c>
      <c r="F595" s="106">
        <f t="shared" si="38"/>
        <v>222.53717829999999</v>
      </c>
      <c r="G595" s="108" t="s">
        <v>1254</v>
      </c>
      <c r="H595" s="108"/>
      <c r="I595" s="107">
        <v>68</v>
      </c>
      <c r="J595" s="107">
        <v>1456</v>
      </c>
      <c r="K595" s="108" t="s">
        <v>429</v>
      </c>
      <c r="L595" s="107">
        <v>1021</v>
      </c>
      <c r="M595" s="111">
        <f t="shared" si="39"/>
        <v>31.953090617340916</v>
      </c>
      <c r="N595" s="111">
        <v>9061.4599999999991</v>
      </c>
      <c r="O595" s="113">
        <f t="shared" si="40"/>
        <v>0.1126749993930338</v>
      </c>
      <c r="P595" s="78"/>
      <c r="Q595" s="63"/>
      <c r="R595" s="63"/>
      <c r="S595" s="63"/>
      <c r="T595" s="63"/>
      <c r="U595" s="63"/>
      <c r="V595" s="63"/>
      <c r="W595" s="63"/>
      <c r="X595" s="63"/>
      <c r="Y595" s="63"/>
      <c r="Z595" s="63"/>
    </row>
    <row r="596" spans="1:26" ht="17.25" customHeight="1" x14ac:dyDescent="0.2">
      <c r="A596" s="104">
        <v>1153</v>
      </c>
      <c r="B596" s="105" t="s">
        <v>30</v>
      </c>
      <c r="C596" s="105" t="s">
        <v>98</v>
      </c>
      <c r="D596" s="106">
        <v>223.76300000000001</v>
      </c>
      <c r="E596" s="107">
        <v>2695</v>
      </c>
      <c r="F596" s="106">
        <f t="shared" si="38"/>
        <v>224.53073139999998</v>
      </c>
      <c r="G596" s="108" t="s">
        <v>1255</v>
      </c>
      <c r="H596" s="108"/>
      <c r="I596" s="107">
        <v>61</v>
      </c>
      <c r="J596" s="107">
        <v>274</v>
      </c>
      <c r="K596" s="108" t="s">
        <v>429</v>
      </c>
      <c r="L596" s="107">
        <v>1205</v>
      </c>
      <c r="M596" s="111">
        <f t="shared" si="39"/>
        <v>34.713109915419565</v>
      </c>
      <c r="N596" s="111">
        <v>1486.81</v>
      </c>
      <c r="O596" s="113">
        <f t="shared" si="40"/>
        <v>0.81045997807386283</v>
      </c>
      <c r="P596" s="78"/>
      <c r="Q596" s="63"/>
      <c r="R596" s="63"/>
      <c r="S596" s="63"/>
      <c r="T596" s="63"/>
      <c r="U596" s="63"/>
      <c r="V596" s="63"/>
      <c r="W596" s="63"/>
      <c r="X596" s="63"/>
      <c r="Y596" s="63"/>
      <c r="Z596" s="63"/>
    </row>
    <row r="597" spans="1:26" ht="17.25" customHeight="1" x14ac:dyDescent="0.2">
      <c r="A597" s="104">
        <v>1154</v>
      </c>
      <c r="B597" s="105" t="s">
        <v>30</v>
      </c>
      <c r="C597" s="105" t="s">
        <v>98</v>
      </c>
      <c r="D597" s="106">
        <v>225.77099999999999</v>
      </c>
      <c r="E597" s="107">
        <v>2695</v>
      </c>
      <c r="F597" s="106">
        <f t="shared" si="38"/>
        <v>226.52527779999997</v>
      </c>
      <c r="G597" s="108" t="s">
        <v>1255</v>
      </c>
      <c r="H597" s="108"/>
      <c r="I597" s="107">
        <v>58</v>
      </c>
      <c r="J597" s="107">
        <v>248</v>
      </c>
      <c r="K597" s="108" t="s">
        <v>429</v>
      </c>
      <c r="L597" s="107">
        <v>2149</v>
      </c>
      <c r="M597" s="111">
        <f t="shared" si="39"/>
        <v>46.357307945997036</v>
      </c>
      <c r="N597" s="111">
        <v>1261.81</v>
      </c>
      <c r="O597" s="113">
        <f t="shared" si="40"/>
        <v>1.7031090259230788</v>
      </c>
      <c r="P597" s="78"/>
      <c r="Q597" s="63"/>
      <c r="R597" s="63"/>
      <c r="S597" s="63"/>
      <c r="T597" s="63"/>
      <c r="U597" s="63"/>
      <c r="V597" s="63"/>
      <c r="W597" s="63"/>
      <c r="X597" s="63"/>
      <c r="Y597" s="63"/>
      <c r="Z597" s="63"/>
    </row>
    <row r="598" spans="1:26" ht="17.25" customHeight="1" x14ac:dyDescent="0.2">
      <c r="A598" s="104">
        <v>1155</v>
      </c>
      <c r="B598" s="105" t="s">
        <v>30</v>
      </c>
      <c r="C598" s="105" t="s">
        <v>98</v>
      </c>
      <c r="D598" s="106">
        <v>226.77099999999999</v>
      </c>
      <c r="E598" s="107">
        <v>2695</v>
      </c>
      <c r="F598" s="106">
        <f t="shared" si="38"/>
        <v>227.51857779999997</v>
      </c>
      <c r="G598" s="108" t="s">
        <v>1256</v>
      </c>
      <c r="H598" s="108"/>
      <c r="I598" s="107">
        <v>56</v>
      </c>
      <c r="J598" s="107">
        <v>570</v>
      </c>
      <c r="K598" s="108" t="s">
        <v>429</v>
      </c>
      <c r="L598" s="107">
        <v>5401</v>
      </c>
      <c r="M598" s="111">
        <f t="shared" si="39"/>
        <v>73.491496106692509</v>
      </c>
      <c r="N598" s="111">
        <v>3000.59</v>
      </c>
      <c r="O598" s="113">
        <f t="shared" si="40"/>
        <v>1.7999793373969786</v>
      </c>
      <c r="P598" s="78"/>
      <c r="Q598" s="63"/>
      <c r="R598" s="63"/>
      <c r="S598" s="63"/>
      <c r="T598" s="63"/>
      <c r="U598" s="63"/>
      <c r="V598" s="63"/>
      <c r="W598" s="63"/>
      <c r="X598" s="63"/>
      <c r="Y598" s="63"/>
      <c r="Z598" s="63"/>
    </row>
    <row r="599" spans="1:26" ht="17.25" customHeight="1" x14ac:dyDescent="0.2">
      <c r="A599" s="104">
        <v>1156</v>
      </c>
      <c r="B599" s="105" t="s">
        <v>30</v>
      </c>
      <c r="C599" s="105" t="s">
        <v>98</v>
      </c>
      <c r="D599" s="106">
        <v>227.77799999999999</v>
      </c>
      <c r="E599" s="107">
        <v>2695</v>
      </c>
      <c r="F599" s="106">
        <f t="shared" si="38"/>
        <v>228.51883089999998</v>
      </c>
      <c r="G599" s="108" t="s">
        <v>1257</v>
      </c>
      <c r="H599" s="108"/>
      <c r="I599" s="107">
        <v>56</v>
      </c>
      <c r="J599" s="107">
        <v>597</v>
      </c>
      <c r="K599" s="108" t="s">
        <v>429</v>
      </c>
      <c r="L599" s="107">
        <v>5326</v>
      </c>
      <c r="M599" s="111">
        <f t="shared" si="39"/>
        <v>72.979449162075753</v>
      </c>
      <c r="N599" s="111">
        <v>3074.89</v>
      </c>
      <c r="O599" s="113">
        <f t="shared" si="40"/>
        <v>1.7320944814286041</v>
      </c>
      <c r="P599" s="78"/>
      <c r="Q599" s="63"/>
      <c r="R599" s="63"/>
      <c r="S599" s="63"/>
      <c r="T599" s="63"/>
      <c r="U599" s="63"/>
      <c r="V599" s="63"/>
      <c r="W599" s="63"/>
      <c r="X599" s="63"/>
      <c r="Y599" s="63"/>
      <c r="Z599" s="63"/>
    </row>
    <row r="600" spans="1:26" ht="17.25" customHeight="1" x14ac:dyDescent="0.2">
      <c r="A600" s="104">
        <v>1157</v>
      </c>
      <c r="B600" s="105" t="s">
        <v>30</v>
      </c>
      <c r="C600" s="105" t="s">
        <v>98</v>
      </c>
      <c r="D600" s="106">
        <v>228.77199999999999</v>
      </c>
      <c r="E600" s="107">
        <v>2695</v>
      </c>
      <c r="F600" s="106">
        <f t="shared" si="38"/>
        <v>229.50617109999999</v>
      </c>
      <c r="G600" s="108" t="s">
        <v>1258</v>
      </c>
      <c r="H600" s="108"/>
      <c r="I600" s="107">
        <v>54</v>
      </c>
      <c r="J600" s="107">
        <v>644</v>
      </c>
      <c r="K600" s="108" t="s">
        <v>429</v>
      </c>
      <c r="L600" s="107">
        <v>5448</v>
      </c>
      <c r="M600" s="111">
        <f t="shared" si="39"/>
        <v>73.810568348983736</v>
      </c>
      <c r="N600" s="111">
        <v>3273.98</v>
      </c>
      <c r="O600" s="113">
        <f t="shared" si="40"/>
        <v>1.6640297130709412</v>
      </c>
      <c r="P600" s="78"/>
      <c r="Q600" s="63"/>
      <c r="R600" s="63"/>
      <c r="S600" s="63"/>
      <c r="T600" s="63"/>
      <c r="U600" s="63"/>
      <c r="V600" s="63"/>
      <c r="W600" s="63"/>
      <c r="X600" s="63"/>
      <c r="Y600" s="63"/>
      <c r="Z600" s="63"/>
    </row>
    <row r="601" spans="1:26" ht="17.25" customHeight="1" x14ac:dyDescent="0.2">
      <c r="A601" s="104">
        <v>1158</v>
      </c>
      <c r="B601" s="105" t="s">
        <v>30</v>
      </c>
      <c r="C601" s="105" t="s">
        <v>98</v>
      </c>
      <c r="D601" s="106">
        <v>230.786</v>
      </c>
      <c r="E601" s="107">
        <v>2695</v>
      </c>
      <c r="F601" s="106">
        <f t="shared" si="38"/>
        <v>231.50667729999998</v>
      </c>
      <c r="G601" s="108" t="s">
        <v>1259</v>
      </c>
      <c r="H601" s="108"/>
      <c r="I601" s="107">
        <v>52</v>
      </c>
      <c r="J601" s="107">
        <v>642</v>
      </c>
      <c r="K601" s="108" t="s">
        <v>429</v>
      </c>
      <c r="L601" s="107">
        <v>5450</v>
      </c>
      <c r="M601" s="111">
        <f t="shared" ref="M601:M632" si="41">SQRT(L601)</f>
        <v>73.824115301166998</v>
      </c>
      <c r="N601" s="111">
        <v>3205.07</v>
      </c>
      <c r="O601" s="113">
        <f t="shared" ref="O601:O632" si="42">L601/N601</f>
        <v>1.7004308798247776</v>
      </c>
      <c r="P601" s="78"/>
      <c r="Q601" s="63"/>
      <c r="R601" s="63"/>
      <c r="S601" s="63"/>
      <c r="T601" s="63"/>
      <c r="U601" s="63"/>
      <c r="V601" s="63"/>
      <c r="W601" s="63"/>
      <c r="X601" s="63"/>
      <c r="Y601" s="63"/>
      <c r="Z601" s="63"/>
    </row>
    <row r="602" spans="1:26" ht="17.25" customHeight="1" x14ac:dyDescent="0.2">
      <c r="A602" s="104">
        <v>1159</v>
      </c>
      <c r="B602" s="105" t="s">
        <v>30</v>
      </c>
      <c r="C602" s="105" t="s">
        <v>98</v>
      </c>
      <c r="D602" s="106">
        <v>233.78700000000001</v>
      </c>
      <c r="E602" s="107">
        <v>2695</v>
      </c>
      <c r="F602" s="106">
        <f t="shared" si="38"/>
        <v>234.4875706</v>
      </c>
      <c r="G602" s="108" t="s">
        <v>1260</v>
      </c>
      <c r="H602" s="108"/>
      <c r="I602" s="107">
        <v>52</v>
      </c>
      <c r="J602" s="107">
        <v>693</v>
      </c>
      <c r="K602" s="108" t="s">
        <v>429</v>
      </c>
      <c r="L602" s="107">
        <v>5468</v>
      </c>
      <c r="M602" s="111">
        <f t="shared" si="41"/>
        <v>73.945926189344604</v>
      </c>
      <c r="N602" s="111">
        <v>3388.21</v>
      </c>
      <c r="O602" s="113">
        <f t="shared" si="42"/>
        <v>1.6138314921448198</v>
      </c>
      <c r="P602" s="78"/>
      <c r="Q602" s="63"/>
      <c r="R602" s="63"/>
      <c r="S602" s="63"/>
      <c r="T602" s="63"/>
      <c r="U602" s="63"/>
      <c r="V602" s="63"/>
      <c r="W602" s="63"/>
      <c r="X602" s="63"/>
      <c r="Y602" s="63"/>
      <c r="Z602" s="63"/>
    </row>
    <row r="603" spans="1:26" ht="17.25" customHeight="1" x14ac:dyDescent="0.2">
      <c r="A603" s="104">
        <v>1160</v>
      </c>
      <c r="B603" s="105" t="s">
        <v>30</v>
      </c>
      <c r="C603" s="105" t="s">
        <v>98</v>
      </c>
      <c r="D603" s="106">
        <v>236.80799999999999</v>
      </c>
      <c r="E603" s="107">
        <v>2695</v>
      </c>
      <c r="F603" s="106">
        <f t="shared" si="38"/>
        <v>237.48832989999997</v>
      </c>
      <c r="G603" s="108" t="s">
        <v>1261</v>
      </c>
      <c r="H603" s="108"/>
      <c r="I603" s="107">
        <v>53</v>
      </c>
      <c r="J603" s="107">
        <v>696</v>
      </c>
      <c r="K603" s="108" t="s">
        <v>429</v>
      </c>
      <c r="L603" s="107">
        <v>5512</v>
      </c>
      <c r="M603" s="111">
        <f t="shared" si="41"/>
        <v>74.242844773082339</v>
      </c>
      <c r="N603" s="111">
        <v>3421.53</v>
      </c>
      <c r="O603" s="113">
        <f t="shared" si="42"/>
        <v>1.6109752069980388</v>
      </c>
      <c r="P603" s="78"/>
      <c r="Q603" s="63"/>
      <c r="R603" s="63"/>
      <c r="S603" s="63"/>
      <c r="T603" s="63"/>
      <c r="U603" s="63"/>
      <c r="V603" s="63"/>
      <c r="W603" s="63"/>
      <c r="X603" s="63"/>
      <c r="Y603" s="63"/>
      <c r="Z603" s="63"/>
    </row>
    <row r="604" spans="1:26" ht="17.25" customHeight="1" x14ac:dyDescent="0.2">
      <c r="A604" s="104">
        <v>1161</v>
      </c>
      <c r="B604" s="105" t="s">
        <v>30</v>
      </c>
      <c r="C604" s="105" t="s">
        <v>98</v>
      </c>
      <c r="D604" s="106">
        <v>239.816</v>
      </c>
      <c r="E604" s="107">
        <v>2695</v>
      </c>
      <c r="F604" s="106">
        <f t="shared" si="38"/>
        <v>240.47617629999999</v>
      </c>
      <c r="G604" s="108" t="s">
        <v>1262</v>
      </c>
      <c r="H604" s="108"/>
      <c r="I604" s="107">
        <v>53</v>
      </c>
      <c r="J604" s="107">
        <v>709</v>
      </c>
      <c r="K604" s="108" t="s">
        <v>429</v>
      </c>
      <c r="L604" s="107">
        <v>6131</v>
      </c>
      <c r="M604" s="111">
        <f t="shared" si="41"/>
        <v>78.300702423413796</v>
      </c>
      <c r="N604" s="111">
        <v>3508.69</v>
      </c>
      <c r="O604" s="113">
        <f t="shared" si="42"/>
        <v>1.7473758012249585</v>
      </c>
      <c r="P604" s="78"/>
      <c r="Q604" s="63"/>
      <c r="R604" s="63"/>
      <c r="S604" s="63"/>
      <c r="T604" s="63"/>
      <c r="U604" s="63"/>
      <c r="V604" s="63"/>
      <c r="W604" s="63"/>
      <c r="X604" s="63"/>
      <c r="Y604" s="63"/>
      <c r="Z604" s="63"/>
    </row>
    <row r="605" spans="1:26" ht="17.25" customHeight="1" x14ac:dyDescent="0.2">
      <c r="A605" s="104">
        <v>1162</v>
      </c>
      <c r="B605" s="105" t="s">
        <v>30</v>
      </c>
      <c r="C605" s="105" t="s">
        <v>98</v>
      </c>
      <c r="D605" s="106">
        <v>242.82400000000001</v>
      </c>
      <c r="E605" s="107">
        <v>2695</v>
      </c>
      <c r="F605" s="106">
        <f t="shared" si="38"/>
        <v>243.46402269999999</v>
      </c>
      <c r="G605" s="108" t="s">
        <v>1263</v>
      </c>
      <c r="H605" s="108"/>
      <c r="I605" s="107">
        <v>53</v>
      </c>
      <c r="J605" s="107">
        <v>656</v>
      </c>
      <c r="K605" s="108" t="s">
        <v>429</v>
      </c>
      <c r="L605" s="107">
        <v>5529</v>
      </c>
      <c r="M605" s="111">
        <f t="shared" si="41"/>
        <v>74.357245780085208</v>
      </c>
      <c r="N605" s="111">
        <v>3218.22</v>
      </c>
      <c r="O605" s="113">
        <f t="shared" si="42"/>
        <v>1.7180304640453419</v>
      </c>
      <c r="P605" s="78"/>
      <c r="Q605" s="63"/>
      <c r="R605" s="63"/>
      <c r="S605" s="63"/>
      <c r="T605" s="63"/>
      <c r="U605" s="63"/>
      <c r="V605" s="63"/>
      <c r="W605" s="63"/>
      <c r="X605" s="63"/>
      <c r="Y605" s="63"/>
      <c r="Z605" s="63"/>
    </row>
    <row r="606" spans="1:26" ht="17.25" customHeight="1" x14ac:dyDescent="0.2">
      <c r="A606" s="104">
        <v>1163</v>
      </c>
      <c r="B606" s="105" t="s">
        <v>30</v>
      </c>
      <c r="C606" s="105" t="s">
        <v>98</v>
      </c>
      <c r="D606" s="106">
        <v>241.31399999999999</v>
      </c>
      <c r="E606" s="107">
        <v>2695</v>
      </c>
      <c r="F606" s="106">
        <f t="shared" si="38"/>
        <v>241.96413969999998</v>
      </c>
      <c r="G606" s="108" t="s">
        <v>1264</v>
      </c>
      <c r="H606" s="108"/>
      <c r="I606" s="107">
        <v>55</v>
      </c>
      <c r="J606" s="107">
        <v>699</v>
      </c>
      <c r="K606" s="108" t="s">
        <v>429</v>
      </c>
      <c r="L606" s="107">
        <v>6301</v>
      </c>
      <c r="M606" s="111">
        <f t="shared" si="41"/>
        <v>79.378838489864535</v>
      </c>
      <c r="N606" s="111">
        <v>3536.08</v>
      </c>
      <c r="O606" s="113">
        <f t="shared" si="42"/>
        <v>1.7819166987172237</v>
      </c>
      <c r="P606" s="78"/>
      <c r="Q606" s="63"/>
      <c r="R606" s="63"/>
      <c r="S606" s="63"/>
      <c r="T606" s="63"/>
      <c r="U606" s="63"/>
      <c r="V606" s="63"/>
      <c r="W606" s="63"/>
      <c r="X606" s="63"/>
      <c r="Y606" s="63"/>
      <c r="Z606" s="63"/>
    </row>
    <row r="607" spans="1:26" ht="17.25" customHeight="1" x14ac:dyDescent="0.2">
      <c r="A607" s="104">
        <v>1164</v>
      </c>
      <c r="B607" s="105" t="s">
        <v>30</v>
      </c>
      <c r="C607" s="105" t="s">
        <v>98</v>
      </c>
      <c r="D607" s="106">
        <v>239.31299999999999</v>
      </c>
      <c r="E607" s="107">
        <v>2695</v>
      </c>
      <c r="F607" s="106">
        <f t="shared" si="38"/>
        <v>239.97654639999999</v>
      </c>
      <c r="G607" s="108" t="s">
        <v>1265</v>
      </c>
      <c r="H607" s="108"/>
      <c r="I607" s="107">
        <v>56</v>
      </c>
      <c r="J607" s="107">
        <v>647</v>
      </c>
      <c r="K607" s="108" t="s">
        <v>429</v>
      </c>
      <c r="L607" s="107">
        <v>5886</v>
      </c>
      <c r="M607" s="111">
        <f t="shared" si="41"/>
        <v>76.720271115266527</v>
      </c>
      <c r="N607" s="111">
        <v>3387.23</v>
      </c>
      <c r="O607" s="113">
        <f t="shared" si="42"/>
        <v>1.7377030789169912</v>
      </c>
      <c r="P607" s="78"/>
      <c r="Q607" s="63"/>
      <c r="R607" s="63"/>
      <c r="S607" s="63"/>
      <c r="T607" s="63"/>
      <c r="U607" s="63"/>
      <c r="V607" s="63"/>
      <c r="W607" s="63"/>
      <c r="X607" s="63"/>
      <c r="Y607" s="63"/>
      <c r="Z607" s="63"/>
    </row>
    <row r="608" spans="1:26" ht="17.25" customHeight="1" x14ac:dyDescent="0.2">
      <c r="A608" s="104">
        <v>1165</v>
      </c>
      <c r="B608" s="105" t="s">
        <v>30</v>
      </c>
      <c r="C608" s="105" t="s">
        <v>98</v>
      </c>
      <c r="D608" s="106">
        <v>238.809</v>
      </c>
      <c r="E608" s="107">
        <v>2695</v>
      </c>
      <c r="F608" s="106">
        <f t="shared" si="38"/>
        <v>239.47592319999998</v>
      </c>
      <c r="G608" s="108" t="s">
        <v>1266</v>
      </c>
      <c r="H608" s="108"/>
      <c r="I608" s="107">
        <v>57</v>
      </c>
      <c r="J608" s="107">
        <v>655</v>
      </c>
      <c r="K608" s="108" t="s">
        <v>429</v>
      </c>
      <c r="L608" s="107">
        <v>5968</v>
      </c>
      <c r="M608" s="111">
        <f t="shared" si="41"/>
        <v>77.252831663311866</v>
      </c>
      <c r="N608" s="111">
        <v>3432.18</v>
      </c>
      <c r="O608" s="113">
        <f t="shared" si="42"/>
        <v>1.7388365412070463</v>
      </c>
      <c r="P608" s="78"/>
      <c r="Q608" s="63"/>
      <c r="R608" s="63"/>
      <c r="S608" s="63"/>
      <c r="T608" s="63"/>
      <c r="U608" s="63"/>
      <c r="V608" s="63"/>
      <c r="W608" s="63"/>
      <c r="X608" s="63"/>
      <c r="Y608" s="63"/>
      <c r="Z608" s="63"/>
    </row>
    <row r="609" spans="1:26" ht="17.25" customHeight="1" x14ac:dyDescent="0.2">
      <c r="A609" s="104">
        <v>1166</v>
      </c>
      <c r="B609" s="105" t="s">
        <v>30</v>
      </c>
      <c r="C609" s="105" t="s">
        <v>98</v>
      </c>
      <c r="D609" s="106">
        <v>237.809</v>
      </c>
      <c r="E609" s="107">
        <v>2695</v>
      </c>
      <c r="F609" s="106">
        <f t="shared" si="38"/>
        <v>238.48262319999998</v>
      </c>
      <c r="G609" s="108"/>
      <c r="H609" s="108"/>
      <c r="I609" s="107">
        <v>59</v>
      </c>
      <c r="J609" s="107">
        <v>562</v>
      </c>
      <c r="K609" s="108" t="s">
        <v>429</v>
      </c>
      <c r="L609" s="107">
        <v>5281</v>
      </c>
      <c r="M609" s="111">
        <f t="shared" si="41"/>
        <v>72.670489196096653</v>
      </c>
      <c r="N609" s="111">
        <v>3032.47</v>
      </c>
      <c r="O609" s="113">
        <f t="shared" si="42"/>
        <v>1.7414846643165474</v>
      </c>
      <c r="P609" s="78"/>
      <c r="Q609" s="63"/>
      <c r="R609" s="63"/>
      <c r="S609" s="63"/>
      <c r="T609" s="63"/>
      <c r="U609" s="63"/>
      <c r="V609" s="63"/>
      <c r="W609" s="63"/>
      <c r="X609" s="63"/>
      <c r="Y609" s="63"/>
      <c r="Z609" s="63"/>
    </row>
    <row r="610" spans="1:26" ht="17.25" customHeight="1" x14ac:dyDescent="0.2">
      <c r="A610" s="104">
        <v>1167</v>
      </c>
      <c r="B610" s="105" t="s">
        <v>30</v>
      </c>
      <c r="C610" s="105" t="s">
        <v>98</v>
      </c>
      <c r="D610" s="106">
        <v>245.82400000000001</v>
      </c>
      <c r="E610" s="107">
        <v>2695</v>
      </c>
      <c r="F610" s="106">
        <f t="shared" si="38"/>
        <v>246.4439227</v>
      </c>
      <c r="G610" s="108" t="s">
        <v>1267</v>
      </c>
      <c r="H610" s="108"/>
      <c r="I610" s="107">
        <v>52</v>
      </c>
      <c r="J610" s="107">
        <v>633</v>
      </c>
      <c r="K610" s="108" t="s">
        <v>429</v>
      </c>
      <c r="L610" s="107">
        <v>5299</v>
      </c>
      <c r="M610" s="111">
        <f t="shared" si="41"/>
        <v>72.794230540613583</v>
      </c>
      <c r="N610" s="111">
        <v>3190.69</v>
      </c>
      <c r="O610" s="113">
        <f t="shared" si="42"/>
        <v>1.6607693006841779</v>
      </c>
      <c r="P610" s="78"/>
      <c r="Q610" s="63"/>
      <c r="R610" s="63"/>
      <c r="S610" s="63"/>
      <c r="T610" s="63"/>
      <c r="U610" s="63"/>
      <c r="V610" s="63"/>
      <c r="W610" s="63"/>
      <c r="X610" s="63"/>
      <c r="Y610" s="63"/>
      <c r="Z610" s="63"/>
    </row>
    <row r="611" spans="1:26" ht="17.25" customHeight="1" x14ac:dyDescent="0.2">
      <c r="A611" s="104">
        <v>1168</v>
      </c>
      <c r="B611" s="105" t="s">
        <v>30</v>
      </c>
      <c r="C611" s="105" t="s">
        <v>98</v>
      </c>
      <c r="D611" s="106">
        <v>248.84</v>
      </c>
      <c r="E611" s="107">
        <v>2695</v>
      </c>
      <c r="F611" s="106">
        <f t="shared" si="38"/>
        <v>249.43971549999998</v>
      </c>
      <c r="G611" s="108" t="s">
        <v>1268</v>
      </c>
      <c r="H611" s="108"/>
      <c r="I611" s="107">
        <v>52</v>
      </c>
      <c r="J611" s="107">
        <v>810</v>
      </c>
      <c r="K611" s="108" t="s">
        <v>429</v>
      </c>
      <c r="L611" s="107">
        <v>5757</v>
      </c>
      <c r="M611" s="111">
        <f t="shared" si="41"/>
        <v>75.874897034526512</v>
      </c>
      <c r="N611" s="111">
        <v>3484.78</v>
      </c>
      <c r="O611" s="113">
        <f t="shared" si="42"/>
        <v>1.652041161852398</v>
      </c>
      <c r="P611" s="78"/>
      <c r="Q611" s="63"/>
      <c r="R611" s="63"/>
      <c r="S611" s="63"/>
      <c r="T611" s="63"/>
      <c r="U611" s="63"/>
      <c r="V611" s="63"/>
      <c r="W611" s="63"/>
      <c r="X611" s="63"/>
      <c r="Y611" s="63"/>
      <c r="Z611" s="63"/>
    </row>
    <row r="612" spans="1:26" ht="17.25" customHeight="1" x14ac:dyDescent="0.2">
      <c r="A612" s="104">
        <v>1169</v>
      </c>
      <c r="B612" s="105" t="s">
        <v>30</v>
      </c>
      <c r="C612" s="105" t="s">
        <v>98</v>
      </c>
      <c r="D612" s="106">
        <v>251.84100000000001</v>
      </c>
      <c r="E612" s="107">
        <v>2695</v>
      </c>
      <c r="F612" s="106">
        <f t="shared" si="38"/>
        <v>252.4206088</v>
      </c>
      <c r="G612" s="108" t="s">
        <v>1269</v>
      </c>
      <c r="H612" s="108"/>
      <c r="I612" s="107">
        <v>53</v>
      </c>
      <c r="J612" s="107">
        <v>1284</v>
      </c>
      <c r="K612" s="108" t="s">
        <v>429</v>
      </c>
      <c r="L612" s="107">
        <v>10694</v>
      </c>
      <c r="M612" s="111">
        <f t="shared" si="41"/>
        <v>103.41179816636011</v>
      </c>
      <c r="N612" s="111">
        <v>6501.86</v>
      </c>
      <c r="O612" s="113">
        <f t="shared" si="42"/>
        <v>1.6447601147979194</v>
      </c>
      <c r="P612" s="78"/>
      <c r="Q612" s="63"/>
      <c r="R612" s="63"/>
      <c r="S612" s="63"/>
      <c r="T612" s="63"/>
      <c r="U612" s="63"/>
      <c r="V612" s="63"/>
      <c r="W612" s="63"/>
      <c r="X612" s="63"/>
      <c r="Y612" s="63"/>
      <c r="Z612" s="63"/>
    </row>
    <row r="613" spans="1:26" ht="17.25" customHeight="1" x14ac:dyDescent="0.2">
      <c r="A613" s="104">
        <v>1170</v>
      </c>
      <c r="B613" s="105" t="s">
        <v>30</v>
      </c>
      <c r="C613" s="105" t="s">
        <v>98</v>
      </c>
      <c r="D613" s="106">
        <v>256.85599999999999</v>
      </c>
      <c r="E613" s="107">
        <v>2695</v>
      </c>
      <c r="F613" s="106">
        <f t="shared" ref="F613:F673" si="43">0.9933*(D613+E613/1000)-0.41</f>
        <v>257.40200829999998</v>
      </c>
      <c r="G613" s="108" t="s">
        <v>1270</v>
      </c>
      <c r="H613" s="108"/>
      <c r="I613" s="107">
        <v>53</v>
      </c>
      <c r="J613" s="107">
        <v>668</v>
      </c>
      <c r="K613" s="108" t="s">
        <v>429</v>
      </c>
      <c r="L613" s="107">
        <v>5254</v>
      </c>
      <c r="M613" s="111">
        <f t="shared" si="41"/>
        <v>72.484481097680487</v>
      </c>
      <c r="N613" s="111">
        <v>3261.86</v>
      </c>
      <c r="O613" s="113">
        <f t="shared" si="42"/>
        <v>1.6107374320173151</v>
      </c>
      <c r="P613" s="78"/>
      <c r="Q613" s="63"/>
      <c r="R613" s="63"/>
      <c r="S613" s="63"/>
      <c r="T613" s="63"/>
      <c r="U613" s="63"/>
      <c r="V613" s="63"/>
      <c r="W613" s="63"/>
      <c r="X613" s="63"/>
      <c r="Y613" s="63"/>
      <c r="Z613" s="63"/>
    </row>
    <row r="614" spans="1:26" ht="17.25" customHeight="1" x14ac:dyDescent="0.2">
      <c r="A614" s="104">
        <v>1171</v>
      </c>
      <c r="B614" s="105" t="s">
        <v>30</v>
      </c>
      <c r="C614" s="105" t="s">
        <v>98</v>
      </c>
      <c r="D614" s="106">
        <v>261.858</v>
      </c>
      <c r="E614" s="107">
        <v>2695</v>
      </c>
      <c r="F614" s="106">
        <f t="shared" si="43"/>
        <v>262.37049489999998</v>
      </c>
      <c r="G614" s="108" t="s">
        <v>1271</v>
      </c>
      <c r="H614" s="108"/>
      <c r="I614" s="107">
        <v>52</v>
      </c>
      <c r="J614" s="107">
        <v>662</v>
      </c>
      <c r="K614" s="108" t="s">
        <v>429</v>
      </c>
      <c r="L614" s="107">
        <v>5199</v>
      </c>
      <c r="M614" s="111">
        <f t="shared" si="41"/>
        <v>72.104091423441432</v>
      </c>
      <c r="N614" s="111">
        <v>3232.64</v>
      </c>
      <c r="O614" s="113">
        <f t="shared" si="42"/>
        <v>1.6082830132647001</v>
      </c>
      <c r="P614" s="78"/>
      <c r="Q614" s="63"/>
      <c r="R614" s="63"/>
      <c r="S614" s="63"/>
      <c r="T614" s="63"/>
      <c r="U614" s="63"/>
      <c r="V614" s="63"/>
      <c r="W614" s="63"/>
      <c r="X614" s="63"/>
      <c r="Y614" s="63"/>
      <c r="Z614" s="63"/>
    </row>
    <row r="615" spans="1:26" ht="17.25" customHeight="1" x14ac:dyDescent="0.2">
      <c r="A615" s="104">
        <v>1172</v>
      </c>
      <c r="B615" s="105" t="s">
        <v>30</v>
      </c>
      <c r="C615" s="105" t="s">
        <v>98</v>
      </c>
      <c r="D615" s="106">
        <v>266.86700000000002</v>
      </c>
      <c r="E615" s="107">
        <v>2695</v>
      </c>
      <c r="F615" s="106">
        <f t="shared" si="43"/>
        <v>267.34593459999996</v>
      </c>
      <c r="G615" s="108" t="s">
        <v>1272</v>
      </c>
      <c r="H615" s="108"/>
      <c r="I615" s="107">
        <v>55</v>
      </c>
      <c r="J615" s="107">
        <v>670</v>
      </c>
      <c r="K615" s="108" t="s">
        <v>429</v>
      </c>
      <c r="L615" s="107">
        <v>5384</v>
      </c>
      <c r="M615" s="111">
        <f t="shared" si="41"/>
        <v>73.375745311376562</v>
      </c>
      <c r="N615" s="111">
        <v>3447.09</v>
      </c>
      <c r="O615" s="113">
        <f t="shared" si="42"/>
        <v>1.5618971364252165</v>
      </c>
      <c r="P615" s="78"/>
      <c r="Q615" s="63"/>
      <c r="R615" s="63"/>
      <c r="S615" s="63"/>
      <c r="T615" s="63"/>
      <c r="U615" s="63"/>
      <c r="V615" s="63"/>
      <c r="W615" s="63"/>
      <c r="X615" s="63"/>
      <c r="Y615" s="63"/>
      <c r="Z615" s="63"/>
    </row>
    <row r="616" spans="1:26" ht="17.25" customHeight="1" x14ac:dyDescent="0.2">
      <c r="A616" s="104">
        <v>1173</v>
      </c>
      <c r="B616" s="105" t="s">
        <v>30</v>
      </c>
      <c r="C616" s="105" t="s">
        <v>98</v>
      </c>
      <c r="D616" s="106">
        <v>271.875</v>
      </c>
      <c r="E616" s="107">
        <v>2695</v>
      </c>
      <c r="F616" s="106">
        <f t="shared" si="43"/>
        <v>272.32038099999994</v>
      </c>
      <c r="G616" s="108" t="s">
        <v>1273</v>
      </c>
      <c r="H616" s="108"/>
      <c r="I616" s="107">
        <v>53</v>
      </c>
      <c r="J616" s="107">
        <v>707</v>
      </c>
      <c r="K616" s="108" t="s">
        <v>429</v>
      </c>
      <c r="L616" s="107">
        <v>5221</v>
      </c>
      <c r="M616" s="111">
        <f t="shared" si="41"/>
        <v>72.256487598000504</v>
      </c>
      <c r="N616" s="111">
        <v>3439.72</v>
      </c>
      <c r="O616" s="113">
        <f t="shared" si="42"/>
        <v>1.5178561045666508</v>
      </c>
      <c r="P616" s="78"/>
      <c r="Q616" s="63"/>
      <c r="R616" s="63"/>
      <c r="S616" s="63"/>
      <c r="T616" s="63"/>
      <c r="U616" s="63"/>
      <c r="V616" s="63"/>
      <c r="W616" s="63"/>
      <c r="X616" s="63"/>
      <c r="Y616" s="63"/>
      <c r="Z616" s="63"/>
    </row>
    <row r="617" spans="1:26" ht="17.25" customHeight="1" x14ac:dyDescent="0.2">
      <c r="A617" s="104">
        <v>1174</v>
      </c>
      <c r="B617" s="105" t="s">
        <v>30</v>
      </c>
      <c r="C617" s="105" t="s">
        <v>98</v>
      </c>
      <c r="D617" s="106">
        <v>276.87700000000001</v>
      </c>
      <c r="E617" s="107">
        <v>2695</v>
      </c>
      <c r="F617" s="106">
        <f t="shared" si="43"/>
        <v>277.28886759999995</v>
      </c>
      <c r="G617" s="108" t="s">
        <v>1274</v>
      </c>
      <c r="H617" s="108"/>
      <c r="I617" s="107">
        <v>53</v>
      </c>
      <c r="J617" s="107">
        <v>685</v>
      </c>
      <c r="K617" s="108" t="s">
        <v>429</v>
      </c>
      <c r="L617" s="107">
        <v>5374</v>
      </c>
      <c r="M617" s="111">
        <f t="shared" si="41"/>
        <v>73.307571232445014</v>
      </c>
      <c r="N617" s="111">
        <v>3314.28</v>
      </c>
      <c r="O617" s="113">
        <f t="shared" si="42"/>
        <v>1.6214683128764014</v>
      </c>
      <c r="P617" s="78"/>
      <c r="Q617" s="63"/>
      <c r="R617" s="63"/>
      <c r="S617" s="63"/>
      <c r="T617" s="63"/>
      <c r="U617" s="63"/>
      <c r="V617" s="63"/>
      <c r="W617" s="63"/>
      <c r="X617" s="63"/>
      <c r="Y617" s="63"/>
      <c r="Z617" s="63"/>
    </row>
    <row r="618" spans="1:26" ht="17.25" customHeight="1" x14ac:dyDescent="0.2">
      <c r="A618" s="104">
        <v>1175</v>
      </c>
      <c r="B618" s="105" t="s">
        <v>30</v>
      </c>
      <c r="C618" s="105" t="s">
        <v>98</v>
      </c>
      <c r="D618" s="106">
        <v>281.89299999999997</v>
      </c>
      <c r="E618" s="107">
        <v>2695</v>
      </c>
      <c r="F618" s="106">
        <f t="shared" si="43"/>
        <v>282.2712603999999</v>
      </c>
      <c r="G618" s="108" t="s">
        <v>1275</v>
      </c>
      <c r="H618" s="108"/>
      <c r="I618" s="107">
        <v>51</v>
      </c>
      <c r="J618" s="107">
        <v>709</v>
      </c>
      <c r="K618" s="108" t="s">
        <v>429</v>
      </c>
      <c r="L618" s="107">
        <v>5429</v>
      </c>
      <c r="M618" s="111">
        <f t="shared" si="41"/>
        <v>73.681748079154588</v>
      </c>
      <c r="N618" s="111">
        <v>3233.08</v>
      </c>
      <c r="O618" s="113">
        <f t="shared" si="42"/>
        <v>1.6792037314263799</v>
      </c>
      <c r="P618" s="78"/>
      <c r="Q618" s="63"/>
      <c r="R618" s="63"/>
      <c r="S618" s="63"/>
      <c r="T618" s="63"/>
      <c r="U618" s="63"/>
      <c r="V618" s="63"/>
      <c r="W618" s="63"/>
      <c r="X618" s="63"/>
      <c r="Y618" s="63"/>
      <c r="Z618" s="63"/>
    </row>
    <row r="619" spans="1:26" ht="17.25" customHeight="1" x14ac:dyDescent="0.2">
      <c r="A619" s="104">
        <v>1176</v>
      </c>
      <c r="B619" s="105" t="s">
        <v>30</v>
      </c>
      <c r="C619" s="105" t="s">
        <v>98</v>
      </c>
      <c r="D619" s="106">
        <v>286.90100000000001</v>
      </c>
      <c r="E619" s="107">
        <v>2695</v>
      </c>
      <c r="F619" s="106">
        <f t="shared" si="43"/>
        <v>287.24570679999999</v>
      </c>
      <c r="G619" s="108" t="s">
        <v>1276</v>
      </c>
      <c r="H619" s="108"/>
      <c r="I619" s="107">
        <v>53</v>
      </c>
      <c r="J619" s="107">
        <v>599</v>
      </c>
      <c r="K619" s="108" t="s">
        <v>429</v>
      </c>
      <c r="L619" s="107">
        <v>5474</v>
      </c>
      <c r="M619" s="111">
        <f t="shared" si="41"/>
        <v>73.986485252375658</v>
      </c>
      <c r="N619" s="111">
        <v>2893.51</v>
      </c>
      <c r="O619" s="113">
        <f t="shared" si="42"/>
        <v>1.89181996951799</v>
      </c>
      <c r="P619" s="78"/>
      <c r="Q619" s="63"/>
      <c r="R619" s="63"/>
      <c r="S619" s="63"/>
      <c r="T619" s="63"/>
      <c r="U619" s="63"/>
      <c r="V619" s="63"/>
      <c r="W619" s="63"/>
      <c r="X619" s="63"/>
      <c r="Y619" s="63"/>
      <c r="Z619" s="63"/>
    </row>
    <row r="620" spans="1:26" ht="17.25" customHeight="1" x14ac:dyDescent="0.2">
      <c r="A620" s="104">
        <v>1177</v>
      </c>
      <c r="B620" s="105" t="s">
        <v>30</v>
      </c>
      <c r="C620" s="105" t="s">
        <v>98</v>
      </c>
      <c r="D620" s="106">
        <v>291.91000000000003</v>
      </c>
      <c r="E620" s="107">
        <v>2695</v>
      </c>
      <c r="F620" s="106">
        <f t="shared" si="43"/>
        <v>292.22114649999997</v>
      </c>
      <c r="G620" s="108" t="s">
        <v>1277</v>
      </c>
      <c r="H620" s="108"/>
      <c r="I620" s="107">
        <v>53</v>
      </c>
      <c r="J620" s="107">
        <v>509</v>
      </c>
      <c r="K620" s="108" t="s">
        <v>429</v>
      </c>
      <c r="L620" s="107">
        <v>5502</v>
      </c>
      <c r="M620" s="111">
        <f t="shared" si="41"/>
        <v>74.175467642610784</v>
      </c>
      <c r="N620" s="111">
        <v>2500.5500000000002</v>
      </c>
      <c r="O620" s="113">
        <f t="shared" si="42"/>
        <v>2.2003159304952908</v>
      </c>
      <c r="P620" s="78"/>
      <c r="Q620" s="63"/>
      <c r="R620" s="63"/>
      <c r="S620" s="63"/>
      <c r="T620" s="63"/>
      <c r="U620" s="63"/>
      <c r="V620" s="63"/>
      <c r="W620" s="63"/>
      <c r="X620" s="63"/>
      <c r="Y620" s="63"/>
      <c r="Z620" s="63"/>
    </row>
    <row r="621" spans="1:26" ht="17.25" customHeight="1" x14ac:dyDescent="0.2">
      <c r="A621" s="104">
        <v>1178</v>
      </c>
      <c r="B621" s="105" t="s">
        <v>30</v>
      </c>
      <c r="C621" s="105" t="s">
        <v>98</v>
      </c>
      <c r="D621" s="106">
        <v>237.22499999999999</v>
      </c>
      <c r="E621" s="107">
        <v>2695</v>
      </c>
      <c r="F621" s="106">
        <f t="shared" si="43"/>
        <v>237.90253599999997</v>
      </c>
      <c r="G621" s="108" t="s">
        <v>1278</v>
      </c>
      <c r="H621" s="108"/>
      <c r="I621" s="107">
        <v>51</v>
      </c>
      <c r="J621" s="107">
        <v>684</v>
      </c>
      <c r="K621" s="108" t="s">
        <v>429</v>
      </c>
      <c r="L621" s="107">
        <v>5364</v>
      </c>
      <c r="M621" s="111">
        <f t="shared" si="41"/>
        <v>73.23933369440222</v>
      </c>
      <c r="N621" s="111">
        <v>3276.16</v>
      </c>
      <c r="O621" s="113">
        <f t="shared" si="42"/>
        <v>1.6372826723969527</v>
      </c>
      <c r="P621" s="78"/>
      <c r="Q621" s="63"/>
      <c r="R621" s="63"/>
      <c r="S621" s="63"/>
      <c r="T621" s="63"/>
      <c r="U621" s="63"/>
      <c r="V621" s="63"/>
      <c r="W621" s="63"/>
      <c r="X621" s="63"/>
      <c r="Y621" s="63"/>
      <c r="Z621" s="63"/>
    </row>
    <row r="622" spans="1:26" ht="17.25" customHeight="1" x14ac:dyDescent="0.2">
      <c r="A622" s="104">
        <v>1179</v>
      </c>
      <c r="B622" s="105" t="s">
        <v>157</v>
      </c>
      <c r="C622" s="105" t="s">
        <v>98</v>
      </c>
      <c r="D622" s="106">
        <v>239.30600000000001</v>
      </c>
      <c r="E622" s="107">
        <v>2695</v>
      </c>
      <c r="F622" s="106">
        <f t="shared" si="43"/>
        <v>239.96959329999999</v>
      </c>
      <c r="G622" s="108" t="s">
        <v>1279</v>
      </c>
      <c r="H622" s="108" t="s">
        <v>1280</v>
      </c>
      <c r="I622" s="107">
        <v>303</v>
      </c>
      <c r="J622" s="107">
        <v>623499</v>
      </c>
      <c r="K622" s="108" t="s">
        <v>429</v>
      </c>
      <c r="L622" s="107">
        <v>31154182</v>
      </c>
      <c r="M622" s="111">
        <f t="shared" si="41"/>
        <v>5581.5931417472557</v>
      </c>
      <c r="N622" s="114">
        <v>25569.041962604166</v>
      </c>
      <c r="O622" s="113">
        <f t="shared" si="42"/>
        <v>1218.4336842015568</v>
      </c>
      <c r="P622" s="78"/>
      <c r="Q622" s="63"/>
      <c r="R622" s="63"/>
      <c r="S622" s="63"/>
      <c r="T622" s="63"/>
      <c r="U622" s="63"/>
      <c r="V622" s="63"/>
      <c r="W622" s="63"/>
      <c r="X622" s="63"/>
      <c r="Y622" s="63"/>
      <c r="Z622" s="63"/>
    </row>
    <row r="623" spans="1:26" ht="17.25" customHeight="1" x14ac:dyDescent="0.2">
      <c r="A623" s="104">
        <v>1180</v>
      </c>
      <c r="B623" s="105" t="s">
        <v>31</v>
      </c>
      <c r="C623" s="105" t="s">
        <v>98</v>
      </c>
      <c r="D623" s="106">
        <v>329.34699999999998</v>
      </c>
      <c r="E623" s="107">
        <v>2697</v>
      </c>
      <c r="F623" s="106">
        <f t="shared" si="43"/>
        <v>329.40930519999995</v>
      </c>
      <c r="G623" s="108" t="s">
        <v>1281</v>
      </c>
      <c r="H623" s="108" t="s">
        <v>1282</v>
      </c>
      <c r="I623" s="107">
        <v>100</v>
      </c>
      <c r="J623" s="107">
        <v>1629</v>
      </c>
      <c r="K623" s="108" t="s">
        <v>429</v>
      </c>
      <c r="L623" s="107">
        <v>3052</v>
      </c>
      <c r="M623" s="111">
        <f t="shared" si="41"/>
        <v>55.244909267732531</v>
      </c>
      <c r="N623" s="111">
        <v>16182.13</v>
      </c>
      <c r="O623" s="113">
        <f t="shared" si="42"/>
        <v>0.18860310725473101</v>
      </c>
      <c r="P623" s="78"/>
      <c r="Q623" s="63"/>
      <c r="R623" s="63"/>
      <c r="S623" s="63"/>
      <c r="T623" s="63"/>
      <c r="U623" s="63"/>
      <c r="V623" s="63"/>
      <c r="W623" s="63"/>
      <c r="X623" s="63"/>
      <c r="Y623" s="63"/>
      <c r="Z623" s="63"/>
    </row>
    <row r="624" spans="1:26" ht="17.25" customHeight="1" x14ac:dyDescent="0.2">
      <c r="A624" s="104">
        <v>1181</v>
      </c>
      <c r="B624" s="105" t="s">
        <v>31</v>
      </c>
      <c r="C624" s="105" t="s">
        <v>98</v>
      </c>
      <c r="D624" s="106">
        <v>331.36099999999999</v>
      </c>
      <c r="E624" s="107">
        <v>2697</v>
      </c>
      <c r="F624" s="106">
        <f t="shared" si="43"/>
        <v>331.40981139999997</v>
      </c>
      <c r="G624" s="108" t="s">
        <v>1283</v>
      </c>
      <c r="H624" s="108" t="s">
        <v>1284</v>
      </c>
      <c r="I624" s="107">
        <v>90</v>
      </c>
      <c r="J624" s="107">
        <v>2086</v>
      </c>
      <c r="K624" s="108" t="s">
        <v>894</v>
      </c>
      <c r="L624" s="107">
        <v>5021</v>
      </c>
      <c r="M624" s="111">
        <f t="shared" si="41"/>
        <v>70.859014952227497</v>
      </c>
      <c r="N624" s="111">
        <v>20281.75</v>
      </c>
      <c r="O624" s="113">
        <f t="shared" si="42"/>
        <v>0.2475624637913395</v>
      </c>
      <c r="P624" s="78"/>
      <c r="Q624" s="63"/>
      <c r="R624" s="63"/>
      <c r="S624" s="63"/>
      <c r="T624" s="63"/>
      <c r="U624" s="63"/>
      <c r="V624" s="63"/>
      <c r="W624" s="63"/>
      <c r="X624" s="63"/>
      <c r="Y624" s="63"/>
      <c r="Z624" s="63"/>
    </row>
    <row r="625" spans="1:26" ht="17.25" customHeight="1" x14ac:dyDescent="0.2">
      <c r="A625" s="104">
        <v>1182</v>
      </c>
      <c r="B625" s="105" t="s">
        <v>31</v>
      </c>
      <c r="C625" s="105" t="s">
        <v>98</v>
      </c>
      <c r="D625" s="106">
        <v>333.38200000000001</v>
      </c>
      <c r="E625" s="107">
        <v>2697</v>
      </c>
      <c r="F625" s="106">
        <f t="shared" si="43"/>
        <v>333.41727069999996</v>
      </c>
      <c r="G625" s="108" t="s">
        <v>1285</v>
      </c>
      <c r="H625" s="108" t="s">
        <v>1286</v>
      </c>
      <c r="I625" s="107">
        <v>90</v>
      </c>
      <c r="J625" s="107">
        <v>1083</v>
      </c>
      <c r="K625" s="108" t="s">
        <v>897</v>
      </c>
      <c r="L625" s="107">
        <v>3770</v>
      </c>
      <c r="M625" s="111">
        <f t="shared" si="41"/>
        <v>61.400325732035007</v>
      </c>
      <c r="N625" s="111">
        <v>10355.959999999999</v>
      </c>
      <c r="O625" s="113">
        <f t="shared" si="42"/>
        <v>0.36404157605861748</v>
      </c>
      <c r="P625" s="78"/>
      <c r="Q625" s="63"/>
      <c r="R625" s="63"/>
      <c r="S625" s="63"/>
      <c r="T625" s="63"/>
      <c r="U625" s="63"/>
      <c r="V625" s="63"/>
      <c r="W625" s="63"/>
      <c r="X625" s="63"/>
      <c r="Y625" s="63"/>
      <c r="Z625" s="63"/>
    </row>
    <row r="626" spans="1:26" ht="17.25" customHeight="1" x14ac:dyDescent="0.2">
      <c r="A626" s="104">
        <v>1183</v>
      </c>
      <c r="B626" s="105" t="s">
        <v>31</v>
      </c>
      <c r="C626" s="105" t="s">
        <v>98</v>
      </c>
      <c r="D626" s="106">
        <v>335.37599999999998</v>
      </c>
      <c r="E626" s="107">
        <v>2697</v>
      </c>
      <c r="F626" s="106">
        <f t="shared" si="43"/>
        <v>335.39791089999994</v>
      </c>
      <c r="G626" s="108" t="s">
        <v>1287</v>
      </c>
      <c r="H626" s="108" t="s">
        <v>1288</v>
      </c>
      <c r="I626" s="107">
        <v>90</v>
      </c>
      <c r="J626" s="107">
        <v>632</v>
      </c>
      <c r="K626" s="108" t="s">
        <v>900</v>
      </c>
      <c r="L626" s="107">
        <v>3333</v>
      </c>
      <c r="M626" s="111">
        <f t="shared" si="41"/>
        <v>57.732140095444237</v>
      </c>
      <c r="N626" s="111">
        <v>5882.08</v>
      </c>
      <c r="O626" s="113">
        <f t="shared" si="42"/>
        <v>0.56663629192394527</v>
      </c>
      <c r="P626" s="78"/>
      <c r="Q626" s="63"/>
      <c r="R626" s="63"/>
      <c r="S626" s="63"/>
      <c r="T626" s="63"/>
      <c r="U626" s="63"/>
      <c r="V626" s="63"/>
      <c r="W626" s="63"/>
      <c r="X626" s="63"/>
      <c r="Y626" s="63"/>
      <c r="Z626" s="63"/>
    </row>
    <row r="627" spans="1:26" ht="17.25" customHeight="1" x14ac:dyDescent="0.2">
      <c r="A627" s="104">
        <v>1184</v>
      </c>
      <c r="B627" s="105" t="s">
        <v>31</v>
      </c>
      <c r="C627" s="105" t="s">
        <v>98</v>
      </c>
      <c r="D627" s="106">
        <v>337.38400000000001</v>
      </c>
      <c r="E627" s="107">
        <v>2697</v>
      </c>
      <c r="F627" s="106">
        <f t="shared" si="43"/>
        <v>337.39245729999999</v>
      </c>
      <c r="G627" s="108" t="s">
        <v>1289</v>
      </c>
      <c r="H627" s="108" t="s">
        <v>1289</v>
      </c>
      <c r="I627" s="107">
        <v>96</v>
      </c>
      <c r="J627" s="107">
        <v>421</v>
      </c>
      <c r="K627" s="108" t="s">
        <v>902</v>
      </c>
      <c r="L627" s="107">
        <v>3538</v>
      </c>
      <c r="M627" s="111">
        <f t="shared" si="41"/>
        <v>59.481089431852205</v>
      </c>
      <c r="N627" s="111">
        <v>3903.61</v>
      </c>
      <c r="O627" s="113">
        <f t="shared" si="42"/>
        <v>0.90634054119135876</v>
      </c>
      <c r="P627" s="78"/>
      <c r="Q627" s="63"/>
      <c r="R627" s="63"/>
      <c r="S627" s="63"/>
      <c r="T627" s="63"/>
      <c r="U627" s="63"/>
      <c r="V627" s="63"/>
      <c r="W627" s="63"/>
      <c r="X627" s="63"/>
      <c r="Y627" s="63"/>
      <c r="Z627" s="63"/>
    </row>
    <row r="628" spans="1:26" ht="17.25" customHeight="1" x14ac:dyDescent="0.2">
      <c r="A628" s="104">
        <v>1185</v>
      </c>
      <c r="B628" s="105" t="s">
        <v>31</v>
      </c>
      <c r="C628" s="105" t="s">
        <v>98</v>
      </c>
      <c r="D628" s="106">
        <v>339.37799999999999</v>
      </c>
      <c r="E628" s="107">
        <v>2697</v>
      </c>
      <c r="F628" s="106">
        <f t="shared" si="43"/>
        <v>339.37309749999997</v>
      </c>
      <c r="G628" s="108" t="s">
        <v>1289</v>
      </c>
      <c r="H628" s="108" t="s">
        <v>1290</v>
      </c>
      <c r="I628" s="107">
        <v>100</v>
      </c>
      <c r="J628" s="107">
        <v>435</v>
      </c>
      <c r="K628" s="108" t="s">
        <v>903</v>
      </c>
      <c r="L628" s="107">
        <v>8286</v>
      </c>
      <c r="M628" s="111">
        <f t="shared" si="41"/>
        <v>91.027468381802208</v>
      </c>
      <c r="N628" s="111">
        <v>3820.67</v>
      </c>
      <c r="O628" s="113">
        <f t="shared" si="42"/>
        <v>2.1687295683741334</v>
      </c>
      <c r="P628" s="78"/>
      <c r="Q628" s="63"/>
      <c r="R628" s="63"/>
      <c r="S628" s="63"/>
      <c r="T628" s="63"/>
      <c r="U628" s="63"/>
      <c r="V628" s="63"/>
      <c r="W628" s="63"/>
      <c r="X628" s="63"/>
      <c r="Y628" s="63"/>
      <c r="Z628" s="63"/>
    </row>
    <row r="629" spans="1:26" ht="17.25" customHeight="1" x14ac:dyDescent="0.2">
      <c r="A629" s="104">
        <v>1186</v>
      </c>
      <c r="B629" s="105" t="s">
        <v>31</v>
      </c>
      <c r="C629" s="105" t="s">
        <v>98</v>
      </c>
      <c r="D629" s="106">
        <v>340.392</v>
      </c>
      <c r="E629" s="107">
        <v>2697</v>
      </c>
      <c r="F629" s="106">
        <f t="shared" si="43"/>
        <v>340.38030369999996</v>
      </c>
      <c r="G629" s="108" t="s">
        <v>1291</v>
      </c>
      <c r="H629" s="108" t="s">
        <v>1291</v>
      </c>
      <c r="I629" s="107">
        <v>92</v>
      </c>
      <c r="J629" s="107">
        <v>436</v>
      </c>
      <c r="K629" s="108" t="s">
        <v>905</v>
      </c>
      <c r="L629" s="107">
        <v>14316</v>
      </c>
      <c r="M629" s="111">
        <f t="shared" si="41"/>
        <v>119.64948808916819</v>
      </c>
      <c r="N629" s="111">
        <v>3552.9</v>
      </c>
      <c r="O629" s="113">
        <f t="shared" si="42"/>
        <v>4.0293844465084856</v>
      </c>
      <c r="P629" s="78"/>
      <c r="Q629" s="63"/>
      <c r="R629" s="63"/>
      <c r="S629" s="63"/>
      <c r="T629" s="63"/>
      <c r="U629" s="63"/>
      <c r="V629" s="63"/>
      <c r="W629" s="63"/>
      <c r="X629" s="63"/>
      <c r="Y629" s="63"/>
      <c r="Z629" s="63"/>
    </row>
    <row r="630" spans="1:26" ht="17.25" customHeight="1" x14ac:dyDescent="0.2">
      <c r="A630" s="104">
        <v>1187</v>
      </c>
      <c r="B630" s="105" t="s">
        <v>31</v>
      </c>
      <c r="C630" s="105" t="s">
        <v>98</v>
      </c>
      <c r="D630" s="106">
        <v>341.38499999999999</v>
      </c>
      <c r="E630" s="107">
        <v>2697</v>
      </c>
      <c r="F630" s="106">
        <f t="shared" si="43"/>
        <v>341.36665059999996</v>
      </c>
      <c r="G630" s="108" t="s">
        <v>1292</v>
      </c>
      <c r="H630" s="108" t="s">
        <v>1292</v>
      </c>
      <c r="I630" s="107">
        <v>85</v>
      </c>
      <c r="J630" s="107">
        <v>274</v>
      </c>
      <c r="K630" s="108" t="s">
        <v>907</v>
      </c>
      <c r="L630" s="107">
        <v>10046</v>
      </c>
      <c r="M630" s="111">
        <f t="shared" si="41"/>
        <v>100.22973610660661</v>
      </c>
      <c r="N630" s="111">
        <v>1383.67</v>
      </c>
      <c r="O630" s="113">
        <f t="shared" si="42"/>
        <v>7.2604016853729574</v>
      </c>
      <c r="P630" s="78"/>
      <c r="Q630" s="63"/>
      <c r="R630" s="63"/>
      <c r="S630" s="63"/>
      <c r="T630" s="63"/>
      <c r="U630" s="63"/>
      <c r="V630" s="63"/>
      <c r="W630" s="63"/>
      <c r="X630" s="63"/>
      <c r="Y630" s="63"/>
      <c r="Z630" s="63"/>
    </row>
    <row r="631" spans="1:26" ht="17.25" customHeight="1" x14ac:dyDescent="0.2">
      <c r="A631" s="104">
        <v>1188</v>
      </c>
      <c r="B631" s="105" t="s">
        <v>31</v>
      </c>
      <c r="C631" s="105" t="s">
        <v>98</v>
      </c>
      <c r="D631" s="106">
        <v>342.392</v>
      </c>
      <c r="E631" s="107">
        <v>2697</v>
      </c>
      <c r="F631" s="106">
        <f t="shared" si="43"/>
        <v>342.36690369999997</v>
      </c>
      <c r="G631" s="108" t="s">
        <v>1293</v>
      </c>
      <c r="H631" s="108" t="s">
        <v>1293</v>
      </c>
      <c r="I631" s="107">
        <v>85</v>
      </c>
      <c r="J631" s="107">
        <v>149</v>
      </c>
      <c r="K631" s="108" t="s">
        <v>909</v>
      </c>
      <c r="L631" s="107">
        <v>8203</v>
      </c>
      <c r="M631" s="111">
        <f t="shared" si="41"/>
        <v>90.570414595495805</v>
      </c>
      <c r="N631" s="111">
        <v>859.2</v>
      </c>
      <c r="O631" s="113">
        <f t="shared" si="42"/>
        <v>9.5472532588454371</v>
      </c>
      <c r="P631" s="78"/>
      <c r="Q631" s="63"/>
      <c r="R631" s="63"/>
      <c r="S631" s="63"/>
      <c r="T631" s="63"/>
      <c r="U631" s="63"/>
      <c r="V631" s="63"/>
      <c r="W631" s="63"/>
      <c r="X631" s="63"/>
      <c r="Y631" s="63"/>
      <c r="Z631" s="63"/>
    </row>
    <row r="632" spans="1:26" ht="17.25" customHeight="1" x14ac:dyDescent="0.2">
      <c r="A632" s="104">
        <v>1189</v>
      </c>
      <c r="B632" s="105" t="s">
        <v>31</v>
      </c>
      <c r="C632" s="105" t="s">
        <v>98</v>
      </c>
      <c r="D632" s="106">
        <v>343.399</v>
      </c>
      <c r="E632" s="107">
        <v>2697</v>
      </c>
      <c r="F632" s="106">
        <f t="shared" si="43"/>
        <v>343.36715679999998</v>
      </c>
      <c r="G632" s="108" t="s">
        <v>1294</v>
      </c>
      <c r="H632" s="108" t="s">
        <v>1294</v>
      </c>
      <c r="I632" s="107">
        <v>60</v>
      </c>
      <c r="J632" s="107">
        <v>175</v>
      </c>
      <c r="K632" s="108" t="s">
        <v>911</v>
      </c>
      <c r="L632" s="107">
        <v>8511</v>
      </c>
      <c r="M632" s="111">
        <f t="shared" si="41"/>
        <v>92.255081160876983</v>
      </c>
      <c r="N632" s="111">
        <v>837.48</v>
      </c>
      <c r="O632" s="113">
        <f t="shared" si="42"/>
        <v>10.162630749391029</v>
      </c>
      <c r="P632" s="78"/>
      <c r="Q632" s="63"/>
      <c r="R632" s="63"/>
      <c r="S632" s="63"/>
      <c r="T632" s="63"/>
      <c r="U632" s="63"/>
      <c r="V632" s="63"/>
      <c r="W632" s="63"/>
      <c r="X632" s="63"/>
      <c r="Y632" s="63"/>
      <c r="Z632" s="63"/>
    </row>
    <row r="633" spans="1:26" ht="17.25" customHeight="1" x14ac:dyDescent="0.2">
      <c r="A633" s="104">
        <v>1190</v>
      </c>
      <c r="B633" s="105" t="s">
        <v>31</v>
      </c>
      <c r="C633" s="105" t="s">
        <v>98</v>
      </c>
      <c r="D633" s="106">
        <v>344.39299999999997</v>
      </c>
      <c r="E633" s="107">
        <v>2697</v>
      </c>
      <c r="F633" s="106">
        <f t="shared" si="43"/>
        <v>344.35449699999992</v>
      </c>
      <c r="G633" s="108" t="s">
        <v>1295</v>
      </c>
      <c r="H633" s="108" t="s">
        <v>1295</v>
      </c>
      <c r="I633" s="107">
        <v>60</v>
      </c>
      <c r="J633" s="107">
        <v>136</v>
      </c>
      <c r="K633" s="108" t="s">
        <v>913</v>
      </c>
      <c r="L633" s="107">
        <v>5565</v>
      </c>
      <c r="M633" s="111">
        <f t="shared" ref="M633:M664" si="44">SQRT(L633)</f>
        <v>74.598927606233048</v>
      </c>
      <c r="N633" s="111">
        <v>500.91</v>
      </c>
      <c r="O633" s="113">
        <f t="shared" ref="O633:O664" si="45">L633/N633</f>
        <v>11.109780200035933</v>
      </c>
      <c r="P633" s="78"/>
      <c r="Q633" s="63"/>
      <c r="R633" s="63"/>
      <c r="S633" s="63"/>
      <c r="T633" s="63"/>
      <c r="U633" s="63"/>
      <c r="V633" s="63"/>
      <c r="W633" s="63"/>
      <c r="X633" s="63"/>
      <c r="Y633" s="63"/>
      <c r="Z633" s="63"/>
    </row>
    <row r="634" spans="1:26" ht="17.25" customHeight="1" x14ac:dyDescent="0.2">
      <c r="A634" s="104">
        <v>1191</v>
      </c>
      <c r="B634" s="105" t="s">
        <v>31</v>
      </c>
      <c r="C634" s="105" t="s">
        <v>98</v>
      </c>
      <c r="D634" s="106">
        <v>346.40100000000001</v>
      </c>
      <c r="E634" s="107">
        <v>2697</v>
      </c>
      <c r="F634" s="106">
        <f t="shared" si="43"/>
        <v>346.34904339999997</v>
      </c>
      <c r="G634" s="108" t="s">
        <v>1296</v>
      </c>
      <c r="H634" s="108" t="s">
        <v>1296</v>
      </c>
      <c r="I634" s="107">
        <v>47</v>
      </c>
      <c r="J634" s="107">
        <v>211</v>
      </c>
      <c r="K634" s="108" t="s">
        <v>915</v>
      </c>
      <c r="L634" s="107">
        <v>7927</v>
      </c>
      <c r="M634" s="111">
        <f t="shared" si="44"/>
        <v>89.03370148432559</v>
      </c>
      <c r="N634" s="111">
        <v>645.72</v>
      </c>
      <c r="O634" s="113">
        <f t="shared" si="45"/>
        <v>12.276218794523942</v>
      </c>
      <c r="P634" s="78"/>
      <c r="Q634" s="63"/>
      <c r="R634" s="63"/>
      <c r="S634" s="63"/>
      <c r="T634" s="63"/>
      <c r="U634" s="63"/>
      <c r="V634" s="63"/>
      <c r="W634" s="63"/>
      <c r="X634" s="63"/>
      <c r="Y634" s="63"/>
      <c r="Z634" s="63"/>
    </row>
    <row r="635" spans="1:26" ht="17.25" customHeight="1" x14ac:dyDescent="0.2">
      <c r="A635" s="104">
        <v>1192</v>
      </c>
      <c r="B635" s="105" t="s">
        <v>31</v>
      </c>
      <c r="C635" s="105" t="s">
        <v>98</v>
      </c>
      <c r="D635" s="106">
        <v>349.40800000000002</v>
      </c>
      <c r="E635" s="107">
        <v>2697</v>
      </c>
      <c r="F635" s="106">
        <f t="shared" si="43"/>
        <v>349.33589649999999</v>
      </c>
      <c r="G635" s="108" t="s">
        <v>1297</v>
      </c>
      <c r="H635" s="108" t="s">
        <v>1297</v>
      </c>
      <c r="I635" s="107">
        <v>49</v>
      </c>
      <c r="J635" s="107">
        <v>457</v>
      </c>
      <c r="K635" s="108" t="s">
        <v>917</v>
      </c>
      <c r="L635" s="107">
        <v>25713</v>
      </c>
      <c r="M635" s="111">
        <f t="shared" si="44"/>
        <v>160.3527361787132</v>
      </c>
      <c r="N635" s="111">
        <v>2047.58</v>
      </c>
      <c r="O635" s="113">
        <f t="shared" si="45"/>
        <v>12.557751101300072</v>
      </c>
      <c r="P635" s="78"/>
      <c r="Q635" s="63"/>
      <c r="R635" s="63"/>
      <c r="S635" s="63"/>
      <c r="T635" s="63"/>
      <c r="U635" s="63"/>
      <c r="V635" s="63"/>
      <c r="W635" s="63"/>
      <c r="X635" s="63"/>
      <c r="Y635" s="63"/>
      <c r="Z635" s="63"/>
    </row>
    <row r="636" spans="1:26" ht="17.25" customHeight="1" x14ac:dyDescent="0.2">
      <c r="A636" s="104">
        <v>1193</v>
      </c>
      <c r="B636" s="105" t="s">
        <v>31</v>
      </c>
      <c r="C636" s="105" t="s">
        <v>98</v>
      </c>
      <c r="D636" s="106">
        <v>352.43</v>
      </c>
      <c r="E636" s="107">
        <v>2697</v>
      </c>
      <c r="F636" s="106">
        <f t="shared" si="43"/>
        <v>352.33764909999996</v>
      </c>
      <c r="G636" s="108" t="s">
        <v>1297</v>
      </c>
      <c r="H636" s="108" t="s">
        <v>1297</v>
      </c>
      <c r="I636" s="107">
        <v>49</v>
      </c>
      <c r="J636" s="107">
        <v>436</v>
      </c>
      <c r="K636" s="108" t="s">
        <v>918</v>
      </c>
      <c r="L636" s="107">
        <v>22381</v>
      </c>
      <c r="M636" s="111">
        <f t="shared" si="44"/>
        <v>149.60280746028798</v>
      </c>
      <c r="N636" s="111">
        <v>1809.23</v>
      </c>
      <c r="O636" s="113">
        <f t="shared" si="45"/>
        <v>12.370455939819703</v>
      </c>
      <c r="P636" s="78"/>
      <c r="Q636" s="63"/>
      <c r="R636" s="63"/>
      <c r="S636" s="63"/>
      <c r="T636" s="63"/>
      <c r="U636" s="63"/>
      <c r="V636" s="63"/>
      <c r="W636" s="63"/>
      <c r="X636" s="63"/>
      <c r="Y636" s="63"/>
      <c r="Z636" s="63"/>
    </row>
    <row r="637" spans="1:26" ht="17.25" customHeight="1" x14ac:dyDescent="0.2">
      <c r="A637" s="104">
        <v>1194</v>
      </c>
      <c r="B637" s="105" t="s">
        <v>31</v>
      </c>
      <c r="C637" s="105" t="s">
        <v>98</v>
      </c>
      <c r="D637" s="106">
        <v>355.42399999999998</v>
      </c>
      <c r="E637" s="107">
        <v>2697</v>
      </c>
      <c r="F637" s="106">
        <f t="shared" si="43"/>
        <v>355.31158929999992</v>
      </c>
      <c r="G637" s="108" t="s">
        <v>1298</v>
      </c>
      <c r="H637" s="108" t="s">
        <v>1299</v>
      </c>
      <c r="I637" s="107">
        <v>48</v>
      </c>
      <c r="J637" s="107">
        <v>247</v>
      </c>
      <c r="K637" s="108" t="s">
        <v>920</v>
      </c>
      <c r="L637" s="107">
        <v>10884</v>
      </c>
      <c r="M637" s="111">
        <f t="shared" si="44"/>
        <v>104.32641084595981</v>
      </c>
      <c r="N637" s="111">
        <v>887.6</v>
      </c>
      <c r="O637" s="113">
        <f t="shared" si="45"/>
        <v>12.262280306444344</v>
      </c>
      <c r="P637" s="78"/>
      <c r="Q637" s="63"/>
      <c r="R637" s="63"/>
      <c r="S637" s="63"/>
      <c r="T637" s="63"/>
      <c r="U637" s="63"/>
      <c r="V637" s="63"/>
      <c r="W637" s="63"/>
      <c r="X637" s="63"/>
      <c r="Y637" s="63"/>
      <c r="Z637" s="63"/>
    </row>
    <row r="638" spans="1:26" ht="17.25" customHeight="1" x14ac:dyDescent="0.2">
      <c r="A638" s="104">
        <v>1195</v>
      </c>
      <c r="B638" s="105" t="s">
        <v>31</v>
      </c>
      <c r="C638" s="105" t="s">
        <v>98</v>
      </c>
      <c r="D638" s="106">
        <v>358.42500000000001</v>
      </c>
      <c r="E638" s="107">
        <v>2697</v>
      </c>
      <c r="F638" s="106">
        <f t="shared" si="43"/>
        <v>358.29248259999997</v>
      </c>
      <c r="G638" s="108" t="s">
        <v>1299</v>
      </c>
      <c r="H638" s="108" t="s">
        <v>1299</v>
      </c>
      <c r="I638" s="107">
        <v>47</v>
      </c>
      <c r="J638" s="107">
        <v>507</v>
      </c>
      <c r="K638" s="108" t="s">
        <v>922</v>
      </c>
      <c r="L638" s="107">
        <v>26328</v>
      </c>
      <c r="M638" s="111">
        <f t="shared" si="44"/>
        <v>162.25905213577454</v>
      </c>
      <c r="N638" s="111">
        <v>2252.23</v>
      </c>
      <c r="O638" s="113">
        <f t="shared" si="45"/>
        <v>11.689747494705248</v>
      </c>
      <c r="P638" s="78"/>
      <c r="Q638" s="63"/>
      <c r="R638" s="63"/>
      <c r="S638" s="63"/>
      <c r="T638" s="63"/>
      <c r="U638" s="63"/>
      <c r="V638" s="63"/>
      <c r="W638" s="63"/>
      <c r="X638" s="63"/>
      <c r="Y638" s="63"/>
      <c r="Z638" s="63"/>
    </row>
    <row r="639" spans="1:26" ht="17.25" customHeight="1" x14ac:dyDescent="0.2">
      <c r="A639" s="104">
        <v>1196</v>
      </c>
      <c r="B639" s="105" t="s">
        <v>31</v>
      </c>
      <c r="C639" s="105" t="s">
        <v>98</v>
      </c>
      <c r="D639" s="106">
        <v>363.42700000000002</v>
      </c>
      <c r="E639" s="107">
        <v>2697</v>
      </c>
      <c r="F639" s="106">
        <f t="shared" si="43"/>
        <v>363.26096919999998</v>
      </c>
      <c r="G639" s="108" t="s">
        <v>1300</v>
      </c>
      <c r="H639" s="108" t="s">
        <v>1300</v>
      </c>
      <c r="I639" s="107">
        <v>45</v>
      </c>
      <c r="J639" s="107">
        <v>223</v>
      </c>
      <c r="K639" s="108" t="s">
        <v>924</v>
      </c>
      <c r="L639" s="107">
        <v>8976</v>
      </c>
      <c r="M639" s="111">
        <f t="shared" si="44"/>
        <v>94.741754258616083</v>
      </c>
      <c r="N639" s="111">
        <v>768.6</v>
      </c>
      <c r="O639" s="113">
        <f t="shared" si="45"/>
        <v>11.678376268540203</v>
      </c>
      <c r="P639" s="78"/>
      <c r="Q639" s="63"/>
      <c r="R639" s="63"/>
      <c r="S639" s="63"/>
      <c r="T639" s="63"/>
      <c r="U639" s="63"/>
      <c r="V639" s="63"/>
      <c r="W639" s="63"/>
      <c r="X639" s="63"/>
      <c r="Y639" s="63"/>
      <c r="Z639" s="63"/>
    </row>
    <row r="640" spans="1:26" ht="17.25" customHeight="1" x14ac:dyDescent="0.2">
      <c r="A640" s="104">
        <v>1197</v>
      </c>
      <c r="B640" s="105" t="s">
        <v>31</v>
      </c>
      <c r="C640" s="105" t="s">
        <v>98</v>
      </c>
      <c r="D640" s="106">
        <v>368.44900000000001</v>
      </c>
      <c r="E640" s="107">
        <v>2697</v>
      </c>
      <c r="F640" s="106">
        <f t="shared" si="43"/>
        <v>368.24932179999996</v>
      </c>
      <c r="G640" s="108" t="s">
        <v>1301</v>
      </c>
      <c r="H640" s="108" t="s">
        <v>1302</v>
      </c>
      <c r="I640" s="107">
        <v>45</v>
      </c>
      <c r="J640" s="107">
        <v>348</v>
      </c>
      <c r="K640" s="108" t="s">
        <v>926</v>
      </c>
      <c r="L640" s="107">
        <v>14516</v>
      </c>
      <c r="M640" s="111">
        <f t="shared" si="44"/>
        <v>120.48236385463227</v>
      </c>
      <c r="N640" s="111">
        <v>1335.02</v>
      </c>
      <c r="O640" s="113">
        <f t="shared" si="45"/>
        <v>10.873245344639031</v>
      </c>
      <c r="P640" s="78"/>
      <c r="Q640" s="63"/>
      <c r="R640" s="63"/>
      <c r="S640" s="63"/>
      <c r="T640" s="63"/>
      <c r="U640" s="63"/>
      <c r="V640" s="63"/>
      <c r="W640" s="63"/>
      <c r="X640" s="63"/>
      <c r="Y640" s="63"/>
      <c r="Z640" s="63"/>
    </row>
    <row r="641" spans="1:26" ht="17.25" customHeight="1" x14ac:dyDescent="0.2">
      <c r="A641" s="104">
        <v>1198</v>
      </c>
      <c r="B641" s="105" t="s">
        <v>31</v>
      </c>
      <c r="C641" s="105" t="s">
        <v>98</v>
      </c>
      <c r="D641" s="106">
        <v>373.44400000000002</v>
      </c>
      <c r="E641" s="107">
        <v>2697</v>
      </c>
      <c r="F641" s="106">
        <f t="shared" si="43"/>
        <v>373.21085529999999</v>
      </c>
      <c r="G641" s="108" t="s">
        <v>1303</v>
      </c>
      <c r="H641" s="108" t="s">
        <v>1303</v>
      </c>
      <c r="I641" s="107">
        <v>45</v>
      </c>
      <c r="J641" s="107">
        <v>247</v>
      </c>
      <c r="K641" s="108" t="s">
        <v>928</v>
      </c>
      <c r="L641" s="107">
        <v>19716</v>
      </c>
      <c r="M641" s="111">
        <f t="shared" si="44"/>
        <v>140.41367454774482</v>
      </c>
      <c r="N641" s="111">
        <v>1922.55</v>
      </c>
      <c r="O641" s="113">
        <f t="shared" si="45"/>
        <v>10.255129905594133</v>
      </c>
      <c r="P641" s="78"/>
      <c r="Q641" s="63"/>
      <c r="R641" s="63"/>
      <c r="S641" s="63"/>
      <c r="T641" s="63"/>
      <c r="U641" s="63"/>
      <c r="V641" s="63"/>
      <c r="W641" s="63"/>
      <c r="X641" s="63"/>
      <c r="Y641" s="63"/>
      <c r="Z641" s="63"/>
    </row>
    <row r="642" spans="1:26" ht="17.25" customHeight="1" x14ac:dyDescent="0.2">
      <c r="A642" s="104">
        <v>1199</v>
      </c>
      <c r="B642" s="105" t="s">
        <v>31</v>
      </c>
      <c r="C642" s="105" t="s">
        <v>98</v>
      </c>
      <c r="D642" s="106">
        <v>378.46600000000001</v>
      </c>
      <c r="E642" s="107">
        <v>2697</v>
      </c>
      <c r="F642" s="106">
        <f t="shared" si="43"/>
        <v>378.19920789999998</v>
      </c>
      <c r="G642" s="108" t="s">
        <v>1304</v>
      </c>
      <c r="H642" s="108" t="s">
        <v>1304</v>
      </c>
      <c r="I642" s="107">
        <v>47</v>
      </c>
      <c r="J642" s="107">
        <v>477</v>
      </c>
      <c r="K642" s="108" t="s">
        <v>930</v>
      </c>
      <c r="L642" s="107">
        <v>18092</v>
      </c>
      <c r="M642" s="111">
        <f t="shared" si="44"/>
        <v>134.50650541888299</v>
      </c>
      <c r="N642" s="111">
        <v>2041.99</v>
      </c>
      <c r="O642" s="113">
        <f t="shared" si="45"/>
        <v>8.8599846228434025</v>
      </c>
      <c r="P642" s="78"/>
      <c r="Q642" s="63"/>
      <c r="R642" s="63"/>
      <c r="S642" s="63"/>
      <c r="T642" s="63"/>
      <c r="U642" s="63"/>
      <c r="V642" s="63"/>
      <c r="W642" s="63"/>
      <c r="X642" s="63"/>
      <c r="Y642" s="63"/>
      <c r="Z642" s="63"/>
    </row>
    <row r="643" spans="1:26" ht="17.25" customHeight="1" x14ac:dyDescent="0.2">
      <c r="A643" s="104">
        <v>1200</v>
      </c>
      <c r="B643" s="105" t="s">
        <v>31</v>
      </c>
      <c r="C643" s="105" t="s">
        <v>98</v>
      </c>
      <c r="D643" s="106">
        <v>383.46800000000002</v>
      </c>
      <c r="E643" s="107">
        <v>2697</v>
      </c>
      <c r="F643" s="106">
        <f t="shared" si="43"/>
        <v>383.16769449999998</v>
      </c>
      <c r="G643" s="108" t="s">
        <v>1305</v>
      </c>
      <c r="H643" s="108" t="s">
        <v>1305</v>
      </c>
      <c r="I643" s="107">
        <v>48</v>
      </c>
      <c r="J643" s="107">
        <v>324</v>
      </c>
      <c r="K643" s="108" t="s">
        <v>933</v>
      </c>
      <c r="L643" s="107">
        <v>11820</v>
      </c>
      <c r="M643" s="111">
        <f t="shared" si="44"/>
        <v>108.71982339941506</v>
      </c>
      <c r="N643" s="111">
        <v>1464.41</v>
      </c>
      <c r="O643" s="113">
        <f t="shared" si="45"/>
        <v>8.071510027929337</v>
      </c>
      <c r="P643" s="78"/>
      <c r="Q643" s="63"/>
      <c r="R643" s="63"/>
      <c r="S643" s="63"/>
      <c r="T643" s="63"/>
      <c r="U643" s="63"/>
      <c r="V643" s="63"/>
      <c r="W643" s="63"/>
      <c r="X643" s="63"/>
      <c r="Y643" s="63"/>
      <c r="Z643" s="63"/>
    </row>
    <row r="644" spans="1:26" ht="17.25" customHeight="1" x14ac:dyDescent="0.2">
      <c r="A644" s="104">
        <v>1201</v>
      </c>
      <c r="B644" s="105" t="s">
        <v>31</v>
      </c>
      <c r="C644" s="105" t="s">
        <v>98</v>
      </c>
      <c r="D644" s="106">
        <v>388.47699999999998</v>
      </c>
      <c r="E644" s="107">
        <v>2697</v>
      </c>
      <c r="F644" s="106">
        <f t="shared" si="43"/>
        <v>388.14313419999996</v>
      </c>
      <c r="G644" s="108" t="s">
        <v>1306</v>
      </c>
      <c r="H644" s="108" t="s">
        <v>1307</v>
      </c>
      <c r="I644" s="107">
        <v>49</v>
      </c>
      <c r="J644" s="107">
        <v>310</v>
      </c>
      <c r="K644" s="108" t="s">
        <v>935</v>
      </c>
      <c r="L644" s="107">
        <v>9754</v>
      </c>
      <c r="M644" s="111">
        <f t="shared" si="44"/>
        <v>98.762341001011109</v>
      </c>
      <c r="N644" s="111">
        <v>1438.35</v>
      </c>
      <c r="O644" s="113">
        <f t="shared" si="45"/>
        <v>6.7813814440157127</v>
      </c>
      <c r="P644" s="78"/>
      <c r="Q644" s="63"/>
      <c r="R644" s="63"/>
      <c r="S644" s="63"/>
      <c r="T644" s="63"/>
      <c r="U644" s="63"/>
      <c r="V644" s="63"/>
      <c r="W644" s="63"/>
      <c r="X644" s="63"/>
      <c r="Y644" s="63"/>
      <c r="Z644" s="63"/>
    </row>
    <row r="645" spans="1:26" ht="17.25" customHeight="1" x14ac:dyDescent="0.2">
      <c r="A645" s="104">
        <v>1202</v>
      </c>
      <c r="B645" s="105" t="s">
        <v>31</v>
      </c>
      <c r="C645" s="105" t="s">
        <v>98</v>
      </c>
      <c r="D645" s="106">
        <v>393.47899999999998</v>
      </c>
      <c r="E645" s="107">
        <v>2697</v>
      </c>
      <c r="F645" s="106">
        <f t="shared" si="43"/>
        <v>393.11162079999997</v>
      </c>
      <c r="G645" s="108" t="s">
        <v>1308</v>
      </c>
      <c r="H645" s="108" t="s">
        <v>1309</v>
      </c>
      <c r="I645" s="107">
        <v>47</v>
      </c>
      <c r="J645" s="107">
        <v>237</v>
      </c>
      <c r="K645" s="108" t="s">
        <v>936</v>
      </c>
      <c r="L645" s="107">
        <v>5524</v>
      </c>
      <c r="M645" s="111">
        <f t="shared" si="44"/>
        <v>74.323616704248181</v>
      </c>
      <c r="N645" s="111">
        <v>910.07</v>
      </c>
      <c r="O645" s="113">
        <f t="shared" si="45"/>
        <v>6.0698627578098385</v>
      </c>
      <c r="P645" s="78"/>
      <c r="Q645" s="63"/>
      <c r="R645" s="63"/>
      <c r="S645" s="63"/>
      <c r="T645" s="63"/>
      <c r="U645" s="63"/>
      <c r="V645" s="63"/>
      <c r="W645" s="63"/>
      <c r="X645" s="63"/>
      <c r="Y645" s="63"/>
      <c r="Z645" s="63"/>
    </row>
    <row r="646" spans="1:26" ht="17.25" customHeight="1" x14ac:dyDescent="0.2">
      <c r="A646" s="104">
        <v>1203</v>
      </c>
      <c r="B646" s="105" t="s">
        <v>31</v>
      </c>
      <c r="C646" s="105" t="s">
        <v>98</v>
      </c>
      <c r="D646" s="106">
        <v>398.488</v>
      </c>
      <c r="E646" s="107">
        <v>2697</v>
      </c>
      <c r="F646" s="106">
        <f t="shared" si="43"/>
        <v>398.08706049999995</v>
      </c>
      <c r="G646" s="108" t="s">
        <v>1310</v>
      </c>
      <c r="H646" s="108" t="s">
        <v>1310</v>
      </c>
      <c r="I646" s="107">
        <v>47</v>
      </c>
      <c r="J646" s="107">
        <v>246</v>
      </c>
      <c r="K646" s="108" t="s">
        <v>938</v>
      </c>
      <c r="L646" s="107">
        <v>5870</v>
      </c>
      <c r="M646" s="111">
        <f t="shared" si="44"/>
        <v>76.615925237511817</v>
      </c>
      <c r="N646" s="111">
        <v>1067.57</v>
      </c>
      <c r="O646" s="113">
        <f t="shared" si="45"/>
        <v>5.4984684845021876</v>
      </c>
      <c r="P646" s="78"/>
      <c r="Q646" s="63"/>
      <c r="R646" s="63"/>
      <c r="S646" s="63"/>
      <c r="T646" s="63"/>
      <c r="U646" s="63"/>
      <c r="V646" s="63"/>
      <c r="W646" s="63"/>
      <c r="X646" s="63"/>
      <c r="Y646" s="63"/>
      <c r="Z646" s="63"/>
    </row>
    <row r="647" spans="1:26" ht="17.25" customHeight="1" x14ac:dyDescent="0.2">
      <c r="A647" s="104">
        <v>1204</v>
      </c>
      <c r="B647" s="105" t="s">
        <v>157</v>
      </c>
      <c r="C647" s="105" t="s">
        <v>98</v>
      </c>
      <c r="D647" s="106">
        <v>234.31</v>
      </c>
      <c r="E647" s="107">
        <v>2694</v>
      </c>
      <c r="F647" s="106">
        <f t="shared" si="43"/>
        <v>235.00607319999997</v>
      </c>
      <c r="G647" s="108" t="s">
        <v>1311</v>
      </c>
      <c r="H647" s="108" t="s">
        <v>1312</v>
      </c>
      <c r="I647" s="107">
        <v>301</v>
      </c>
      <c r="J647" s="107">
        <v>166248</v>
      </c>
      <c r="K647" s="108" t="s">
        <v>429</v>
      </c>
      <c r="L647" s="107">
        <v>7609894</v>
      </c>
      <c r="M647" s="111">
        <f t="shared" si="44"/>
        <v>2758.603632274851</v>
      </c>
      <c r="N647" s="111">
        <v>5002300.53</v>
      </c>
      <c r="O647" s="113">
        <f t="shared" si="45"/>
        <v>1.5212788504732242</v>
      </c>
      <c r="P647" s="78"/>
      <c r="Q647" s="63"/>
      <c r="R647" s="63"/>
      <c r="S647" s="63"/>
      <c r="T647" s="63"/>
      <c r="U647" s="63"/>
      <c r="V647" s="63"/>
      <c r="W647" s="63"/>
      <c r="X647" s="63"/>
      <c r="Y647" s="63"/>
      <c r="Z647" s="63"/>
    </row>
    <row r="648" spans="1:26" ht="17.25" customHeight="1" x14ac:dyDescent="0.2">
      <c r="A648" s="104">
        <v>1205</v>
      </c>
      <c r="B648" s="105" t="s">
        <v>157</v>
      </c>
      <c r="C648" s="105" t="s">
        <v>98</v>
      </c>
      <c r="D648" s="106">
        <v>225.75</v>
      </c>
      <c r="E648" s="107">
        <v>2694</v>
      </c>
      <c r="F648" s="106">
        <f t="shared" si="43"/>
        <v>226.50342519999998</v>
      </c>
      <c r="G648" s="108" t="s">
        <v>1313</v>
      </c>
      <c r="H648" s="108" t="s">
        <v>1314</v>
      </c>
      <c r="I648" s="107">
        <v>300</v>
      </c>
      <c r="J648" s="107">
        <v>587745</v>
      </c>
      <c r="K648" s="108" t="s">
        <v>429</v>
      </c>
      <c r="L648" s="107">
        <v>21838231</v>
      </c>
      <c r="M648" s="111">
        <f t="shared" si="44"/>
        <v>4673.139308858661</v>
      </c>
      <c r="N648" s="111">
        <v>17443680.780000001</v>
      </c>
      <c r="O648" s="113">
        <f t="shared" si="45"/>
        <v>1.2519279202264786</v>
      </c>
      <c r="P648" s="78"/>
      <c r="Q648" s="63"/>
      <c r="R648" s="63"/>
      <c r="S648" s="63"/>
      <c r="T648" s="63"/>
      <c r="U648" s="63"/>
      <c r="V648" s="63"/>
      <c r="W648" s="63"/>
      <c r="X648" s="63"/>
      <c r="Y648" s="63"/>
      <c r="Z648" s="63"/>
    </row>
    <row r="649" spans="1:26" ht="17.25" customHeight="1" x14ac:dyDescent="0.2">
      <c r="A649" s="104">
        <v>1206</v>
      </c>
      <c r="B649" s="105" t="s">
        <v>9</v>
      </c>
      <c r="C649" s="105" t="s">
        <v>98</v>
      </c>
      <c r="D649" s="106">
        <v>329.34699999999998</v>
      </c>
      <c r="E649" s="107">
        <v>2697</v>
      </c>
      <c r="F649" s="106">
        <f t="shared" si="43"/>
        <v>329.40930519999995</v>
      </c>
      <c r="G649" s="108" t="s">
        <v>1315</v>
      </c>
      <c r="H649" s="108" t="s">
        <v>1316</v>
      </c>
      <c r="I649" s="109"/>
      <c r="J649" s="110"/>
      <c r="K649" s="108" t="s">
        <v>429</v>
      </c>
      <c r="L649" s="110"/>
      <c r="M649" s="111">
        <f t="shared" si="44"/>
        <v>0</v>
      </c>
      <c r="N649" s="109"/>
      <c r="O649" s="112" t="e">
        <f t="shared" si="45"/>
        <v>#DIV/0!</v>
      </c>
      <c r="P649" s="78"/>
      <c r="Q649" s="63" t="s">
        <v>1317</v>
      </c>
      <c r="R649" s="63"/>
      <c r="S649" s="63"/>
      <c r="T649" s="63"/>
      <c r="U649" s="63"/>
      <c r="V649" s="63"/>
      <c r="W649" s="63"/>
      <c r="X649" s="63"/>
      <c r="Y649" s="63"/>
      <c r="Z649" s="63"/>
    </row>
    <row r="650" spans="1:26" ht="17.25" customHeight="1" x14ac:dyDescent="0.2">
      <c r="A650" s="104">
        <v>1207</v>
      </c>
      <c r="B650" s="105" t="s">
        <v>32</v>
      </c>
      <c r="C650" s="105" t="s">
        <v>98</v>
      </c>
      <c r="D650" s="106">
        <v>329.34699999999998</v>
      </c>
      <c r="E650" s="107">
        <v>2697</v>
      </c>
      <c r="F650" s="106">
        <f t="shared" si="43"/>
        <v>329.40930519999995</v>
      </c>
      <c r="G650" s="108" t="s">
        <v>1318</v>
      </c>
      <c r="H650" s="108" t="s">
        <v>1319</v>
      </c>
      <c r="I650" s="111">
        <v>49.3</v>
      </c>
      <c r="J650" s="107">
        <v>1008</v>
      </c>
      <c r="K650" s="108" t="s">
        <v>429</v>
      </c>
      <c r="L650" s="107">
        <v>923</v>
      </c>
      <c r="M650" s="111">
        <f t="shared" si="44"/>
        <v>30.380915061926625</v>
      </c>
      <c r="N650" s="111">
        <v>4863.03</v>
      </c>
      <c r="O650" s="113">
        <f t="shared" si="45"/>
        <v>0.18979936377114681</v>
      </c>
      <c r="P650" s="78"/>
      <c r="Q650" s="63"/>
      <c r="R650" s="63"/>
      <c r="S650" s="63"/>
      <c r="T650" s="63"/>
      <c r="U650" s="63"/>
      <c r="V650" s="63"/>
      <c r="W650" s="63"/>
      <c r="X650" s="63"/>
      <c r="Y650" s="63"/>
      <c r="Z650" s="63"/>
    </row>
    <row r="651" spans="1:26" ht="17.25" customHeight="1" x14ac:dyDescent="0.2">
      <c r="A651" s="104">
        <v>1208</v>
      </c>
      <c r="B651" s="105" t="s">
        <v>32</v>
      </c>
      <c r="C651" s="105" t="s">
        <v>98</v>
      </c>
      <c r="D651" s="106">
        <v>331.36099999999999</v>
      </c>
      <c r="E651" s="107">
        <v>2697</v>
      </c>
      <c r="F651" s="106">
        <f t="shared" si="43"/>
        <v>331.40981139999997</v>
      </c>
      <c r="G651" s="108" t="s">
        <v>1320</v>
      </c>
      <c r="H651" s="108" t="s">
        <v>1320</v>
      </c>
      <c r="I651" s="111">
        <v>50.5</v>
      </c>
      <c r="J651" s="107">
        <v>643</v>
      </c>
      <c r="K651" s="108" t="s">
        <v>429</v>
      </c>
      <c r="L651" s="107">
        <v>779</v>
      </c>
      <c r="M651" s="111">
        <f t="shared" si="44"/>
        <v>27.910571473905726</v>
      </c>
      <c r="N651" s="111">
        <v>3064.44</v>
      </c>
      <c r="O651" s="113">
        <f t="shared" si="45"/>
        <v>0.25420631502003627</v>
      </c>
      <c r="P651" s="78"/>
      <c r="Q651" s="63"/>
      <c r="R651" s="63"/>
      <c r="S651" s="63"/>
      <c r="T651" s="63"/>
      <c r="U651" s="63"/>
      <c r="V651" s="63"/>
      <c r="W651" s="63"/>
      <c r="X651" s="63"/>
      <c r="Y651" s="63"/>
      <c r="Z651" s="63"/>
    </row>
    <row r="652" spans="1:26" ht="17.25" customHeight="1" x14ac:dyDescent="0.2">
      <c r="A652" s="104">
        <v>1209</v>
      </c>
      <c r="B652" s="105" t="s">
        <v>32</v>
      </c>
      <c r="C652" s="105" t="s">
        <v>98</v>
      </c>
      <c r="D652" s="106">
        <v>333.38200000000001</v>
      </c>
      <c r="E652" s="107">
        <v>2697</v>
      </c>
      <c r="F652" s="106">
        <f t="shared" si="43"/>
        <v>333.41727069999996</v>
      </c>
      <c r="G652" s="108"/>
      <c r="H652" s="108"/>
      <c r="I652" s="111">
        <v>50.46</v>
      </c>
      <c r="J652" s="107">
        <v>577</v>
      </c>
      <c r="K652" s="108" t="s">
        <v>429</v>
      </c>
      <c r="L652" s="107">
        <v>958</v>
      </c>
      <c r="M652" s="111">
        <f t="shared" si="44"/>
        <v>30.951575081084322</v>
      </c>
      <c r="N652" s="111">
        <v>2765.59</v>
      </c>
      <c r="O652" s="113">
        <f t="shared" si="45"/>
        <v>0.34639986404347717</v>
      </c>
      <c r="P652" s="78"/>
      <c r="Q652" s="63"/>
      <c r="R652" s="63"/>
      <c r="S652" s="63"/>
      <c r="T652" s="63"/>
      <c r="U652" s="63"/>
      <c r="V652" s="63"/>
      <c r="W652" s="63"/>
      <c r="X652" s="63"/>
      <c r="Y652" s="63"/>
      <c r="Z652" s="63"/>
    </row>
    <row r="653" spans="1:26" ht="17.25" customHeight="1" x14ac:dyDescent="0.2">
      <c r="A653" s="104">
        <v>1210</v>
      </c>
      <c r="B653" s="105" t="s">
        <v>32</v>
      </c>
      <c r="C653" s="105" t="s">
        <v>98</v>
      </c>
      <c r="D653" s="106">
        <v>335.37599999999998</v>
      </c>
      <c r="E653" s="107">
        <v>2697</v>
      </c>
      <c r="F653" s="106">
        <f t="shared" si="43"/>
        <v>335.39791089999994</v>
      </c>
      <c r="G653" s="108"/>
      <c r="H653" s="108"/>
      <c r="I653" s="111">
        <v>50.1</v>
      </c>
      <c r="J653" s="107">
        <v>668</v>
      </c>
      <c r="K653" s="108" t="s">
        <v>429</v>
      </c>
      <c r="L653" s="107">
        <v>1669</v>
      </c>
      <c r="M653" s="111">
        <f t="shared" si="44"/>
        <v>40.853396431630991</v>
      </c>
      <c r="N653" s="111">
        <v>3165.92</v>
      </c>
      <c r="O653" s="113">
        <f t="shared" si="45"/>
        <v>0.52717693435083635</v>
      </c>
      <c r="P653" s="78"/>
      <c r="Q653" s="63"/>
      <c r="R653" s="63"/>
      <c r="S653" s="63"/>
      <c r="T653" s="63"/>
      <c r="U653" s="63"/>
      <c r="V653" s="63"/>
      <c r="W653" s="63"/>
      <c r="X653" s="63"/>
      <c r="Y653" s="63"/>
      <c r="Z653" s="63"/>
    </row>
    <row r="654" spans="1:26" ht="17.25" customHeight="1" x14ac:dyDescent="0.2">
      <c r="A654" s="104">
        <v>1211</v>
      </c>
      <c r="B654" s="105" t="s">
        <v>32</v>
      </c>
      <c r="C654" s="105" t="s">
        <v>98</v>
      </c>
      <c r="D654" s="106">
        <v>337.38400000000001</v>
      </c>
      <c r="E654" s="107">
        <v>2697</v>
      </c>
      <c r="F654" s="106">
        <f t="shared" si="43"/>
        <v>337.39245729999999</v>
      </c>
      <c r="G654" s="108"/>
      <c r="H654" s="108"/>
      <c r="I654" s="111">
        <v>51.2</v>
      </c>
      <c r="J654" s="107">
        <v>635</v>
      </c>
      <c r="K654" s="108" t="s">
        <v>429</v>
      </c>
      <c r="L654" s="107">
        <v>2855</v>
      </c>
      <c r="M654" s="111">
        <f t="shared" si="44"/>
        <v>53.432200029570183</v>
      </c>
      <c r="N654" s="111">
        <v>3104.82</v>
      </c>
      <c r="O654" s="113">
        <f t="shared" si="45"/>
        <v>0.91953800864462343</v>
      </c>
      <c r="P654" s="78"/>
      <c r="Q654" s="63"/>
      <c r="R654" s="63"/>
      <c r="S654" s="63"/>
      <c r="T654" s="63"/>
      <c r="U654" s="63"/>
      <c r="V654" s="63"/>
      <c r="W654" s="63"/>
      <c r="X654" s="63"/>
      <c r="Y654" s="63"/>
      <c r="Z654" s="63"/>
    </row>
    <row r="655" spans="1:26" ht="17.25" customHeight="1" x14ac:dyDescent="0.2">
      <c r="A655" s="104">
        <v>1212</v>
      </c>
      <c r="B655" s="105" t="s">
        <v>32</v>
      </c>
      <c r="C655" s="105" t="s">
        <v>98</v>
      </c>
      <c r="D655" s="106">
        <v>339.37799999999999</v>
      </c>
      <c r="E655" s="107">
        <v>2697</v>
      </c>
      <c r="F655" s="106">
        <f t="shared" si="43"/>
        <v>339.37309749999997</v>
      </c>
      <c r="G655" s="108"/>
      <c r="H655" s="108"/>
      <c r="I655" s="111">
        <v>51.3</v>
      </c>
      <c r="J655" s="107">
        <v>891</v>
      </c>
      <c r="K655" s="108" t="s">
        <v>429</v>
      </c>
      <c r="L655" s="107">
        <v>8938</v>
      </c>
      <c r="M655" s="111">
        <f t="shared" si="44"/>
        <v>94.540996398387932</v>
      </c>
      <c r="N655" s="111">
        <v>4397.3599999999997</v>
      </c>
      <c r="O655" s="113">
        <f t="shared" si="45"/>
        <v>2.0325831862754016</v>
      </c>
      <c r="P655" s="78"/>
      <c r="Q655" s="63"/>
      <c r="R655" s="63"/>
      <c r="S655" s="63"/>
      <c r="T655" s="63"/>
      <c r="U655" s="63"/>
      <c r="V655" s="63"/>
      <c r="W655" s="63"/>
      <c r="X655" s="63"/>
      <c r="Y655" s="63"/>
      <c r="Z655" s="63"/>
    </row>
    <row r="656" spans="1:26" ht="17.25" customHeight="1" x14ac:dyDescent="0.2">
      <c r="A656" s="104">
        <v>1213</v>
      </c>
      <c r="B656" s="105" t="s">
        <v>32</v>
      </c>
      <c r="C656" s="105" t="s">
        <v>98</v>
      </c>
      <c r="D656" s="106">
        <v>340.392</v>
      </c>
      <c r="E656" s="107">
        <v>2697</v>
      </c>
      <c r="F656" s="106">
        <f t="shared" si="43"/>
        <v>340.38030369999996</v>
      </c>
      <c r="G656" s="108"/>
      <c r="H656" s="108"/>
      <c r="I656" s="111">
        <v>50.1</v>
      </c>
      <c r="J656" s="107">
        <v>571</v>
      </c>
      <c r="K656" s="108" t="s">
        <v>429</v>
      </c>
      <c r="L656" s="107">
        <v>10176</v>
      </c>
      <c r="M656" s="111">
        <f t="shared" si="44"/>
        <v>100.87616170334793</v>
      </c>
      <c r="N656" s="111">
        <v>2728.37</v>
      </c>
      <c r="O656" s="113">
        <f t="shared" si="45"/>
        <v>3.7296994176009854</v>
      </c>
      <c r="P656" s="78"/>
      <c r="Q656" s="63"/>
      <c r="R656" s="63"/>
      <c r="S656" s="63"/>
      <c r="T656" s="63"/>
      <c r="U656" s="63"/>
      <c r="V656" s="63"/>
      <c r="W656" s="63"/>
      <c r="X656" s="63"/>
      <c r="Y656" s="63"/>
      <c r="Z656" s="63"/>
    </row>
    <row r="657" spans="1:26" ht="17.25" customHeight="1" x14ac:dyDescent="0.2">
      <c r="A657" s="104">
        <v>1214</v>
      </c>
      <c r="B657" s="105" t="s">
        <v>32</v>
      </c>
      <c r="C657" s="105" t="s">
        <v>98</v>
      </c>
      <c r="D657" s="106">
        <v>341.38499999999999</v>
      </c>
      <c r="E657" s="107">
        <v>2697</v>
      </c>
      <c r="F657" s="106">
        <f t="shared" si="43"/>
        <v>341.36665059999996</v>
      </c>
      <c r="G657" s="108"/>
      <c r="H657" s="108"/>
      <c r="I657" s="111">
        <v>50.6</v>
      </c>
      <c r="J657" s="107">
        <v>621</v>
      </c>
      <c r="K657" s="108" t="s">
        <v>429</v>
      </c>
      <c r="L657" s="107">
        <v>20483</v>
      </c>
      <c r="M657" s="111">
        <f t="shared" si="44"/>
        <v>143.11883174481267</v>
      </c>
      <c r="N657" s="111">
        <v>3007.4</v>
      </c>
      <c r="O657" s="113">
        <f t="shared" si="45"/>
        <v>6.810866529227904</v>
      </c>
      <c r="P657" s="78"/>
      <c r="Q657" s="63"/>
      <c r="R657" s="63"/>
      <c r="S657" s="63"/>
      <c r="T657" s="63"/>
      <c r="U657" s="63"/>
      <c r="V657" s="63"/>
      <c r="W657" s="63"/>
      <c r="X657" s="63"/>
      <c r="Y657" s="63"/>
      <c r="Z657" s="63"/>
    </row>
    <row r="658" spans="1:26" ht="17.25" customHeight="1" x14ac:dyDescent="0.2">
      <c r="A658" s="104">
        <v>1215</v>
      </c>
      <c r="B658" s="105" t="s">
        <v>32</v>
      </c>
      <c r="C658" s="105" t="s">
        <v>98</v>
      </c>
      <c r="D658" s="106">
        <v>342.392</v>
      </c>
      <c r="E658" s="107">
        <v>2697</v>
      </c>
      <c r="F658" s="106">
        <f t="shared" si="43"/>
        <v>342.36690369999997</v>
      </c>
      <c r="G658" s="108"/>
      <c r="H658" s="108"/>
      <c r="I658" s="111">
        <v>50.7</v>
      </c>
      <c r="J658" s="107">
        <v>581</v>
      </c>
      <c r="K658" s="108" t="s">
        <v>429</v>
      </c>
      <c r="L658" s="107">
        <v>25196</v>
      </c>
      <c r="M658" s="111">
        <f t="shared" si="44"/>
        <v>158.73247934811576</v>
      </c>
      <c r="N658" s="111">
        <v>2718.24</v>
      </c>
      <c r="O658" s="113">
        <f t="shared" si="45"/>
        <v>9.2692330331390913</v>
      </c>
      <c r="P658" s="78"/>
      <c r="Q658" s="63"/>
      <c r="R658" s="63"/>
      <c r="S658" s="63"/>
      <c r="T658" s="63"/>
      <c r="U658" s="63"/>
      <c r="V658" s="63"/>
      <c r="W658" s="63"/>
      <c r="X658" s="63"/>
      <c r="Y658" s="63"/>
      <c r="Z658" s="63"/>
    </row>
    <row r="659" spans="1:26" ht="17.25" customHeight="1" x14ac:dyDescent="0.2">
      <c r="A659" s="104">
        <v>1216</v>
      </c>
      <c r="B659" s="105" t="s">
        <v>32</v>
      </c>
      <c r="C659" s="105" t="s">
        <v>98</v>
      </c>
      <c r="D659" s="106">
        <v>343.399</v>
      </c>
      <c r="E659" s="107">
        <v>2697</v>
      </c>
      <c r="F659" s="106">
        <f t="shared" si="43"/>
        <v>343.36715679999998</v>
      </c>
      <c r="G659" s="108"/>
      <c r="H659" s="108"/>
      <c r="I659" s="111">
        <v>50.6</v>
      </c>
      <c r="J659" s="107">
        <v>592</v>
      </c>
      <c r="K659" s="108" t="s">
        <v>429</v>
      </c>
      <c r="L659" s="107">
        <v>29766</v>
      </c>
      <c r="M659" s="111">
        <f t="shared" si="44"/>
        <v>172.52825855493933</v>
      </c>
      <c r="N659" s="107">
        <v>2778</v>
      </c>
      <c r="O659" s="113">
        <f t="shared" si="45"/>
        <v>10.714902807775378</v>
      </c>
      <c r="P659" s="78"/>
      <c r="Q659" s="63"/>
      <c r="R659" s="63"/>
      <c r="S659" s="63"/>
      <c r="T659" s="63"/>
      <c r="U659" s="63"/>
      <c r="V659" s="63"/>
      <c r="W659" s="63"/>
      <c r="X659" s="63"/>
      <c r="Y659" s="63"/>
      <c r="Z659" s="63"/>
    </row>
    <row r="660" spans="1:26" ht="17.25" customHeight="1" x14ac:dyDescent="0.2">
      <c r="A660" s="104">
        <v>1217</v>
      </c>
      <c r="B660" s="105" t="s">
        <v>32</v>
      </c>
      <c r="C660" s="105" t="s">
        <v>98</v>
      </c>
      <c r="D660" s="106">
        <v>344.39299999999997</v>
      </c>
      <c r="E660" s="107">
        <v>2697</v>
      </c>
      <c r="F660" s="106">
        <f t="shared" si="43"/>
        <v>344.35449699999992</v>
      </c>
      <c r="G660" s="108"/>
      <c r="H660" s="108"/>
      <c r="I660" s="111">
        <v>50.4</v>
      </c>
      <c r="J660" s="107">
        <v>487</v>
      </c>
      <c r="K660" s="108" t="s">
        <v>429</v>
      </c>
      <c r="L660" s="107">
        <v>26286</v>
      </c>
      <c r="M660" s="111">
        <f t="shared" si="44"/>
        <v>162.12957780738219</v>
      </c>
      <c r="N660" s="111">
        <v>2235.6799999999998</v>
      </c>
      <c r="O660" s="113">
        <f t="shared" si="45"/>
        <v>11.757496600586848</v>
      </c>
      <c r="P660" s="78"/>
      <c r="Q660" s="63"/>
      <c r="R660" s="63"/>
      <c r="S660" s="63"/>
      <c r="T660" s="63"/>
      <c r="U660" s="63"/>
      <c r="V660" s="63"/>
      <c r="W660" s="63"/>
      <c r="X660" s="63"/>
      <c r="Y660" s="63"/>
      <c r="Z660" s="63"/>
    </row>
    <row r="661" spans="1:26" ht="17.25" customHeight="1" x14ac:dyDescent="0.2">
      <c r="A661" s="104">
        <v>1218</v>
      </c>
      <c r="B661" s="105" t="s">
        <v>32</v>
      </c>
      <c r="C661" s="105" t="s">
        <v>98</v>
      </c>
      <c r="D661" s="106">
        <v>346.40100000000001</v>
      </c>
      <c r="E661" s="107">
        <v>2697</v>
      </c>
      <c r="F661" s="106">
        <f t="shared" si="43"/>
        <v>346.34904339999997</v>
      </c>
      <c r="G661" s="108"/>
      <c r="H661" s="108"/>
      <c r="I661" s="111">
        <v>51.08</v>
      </c>
      <c r="J661" s="107">
        <v>337</v>
      </c>
      <c r="K661" s="108" t="s">
        <v>429</v>
      </c>
      <c r="L661" s="107">
        <v>19391</v>
      </c>
      <c r="M661" s="111">
        <f t="shared" si="44"/>
        <v>139.25157090675853</v>
      </c>
      <c r="N661" s="111">
        <v>1603.44</v>
      </c>
      <c r="O661" s="113">
        <f t="shared" si="45"/>
        <v>12.093374245372448</v>
      </c>
      <c r="P661" s="78"/>
      <c r="Q661" s="63"/>
      <c r="R661" s="63"/>
      <c r="S661" s="63"/>
      <c r="T661" s="63"/>
      <c r="U661" s="63"/>
      <c r="V661" s="63"/>
      <c r="W661" s="63"/>
      <c r="X661" s="63"/>
      <c r="Y661" s="63"/>
      <c r="Z661" s="63"/>
    </row>
    <row r="662" spans="1:26" ht="17.25" customHeight="1" x14ac:dyDescent="0.2">
      <c r="A662" s="104">
        <v>1219</v>
      </c>
      <c r="B662" s="105" t="s">
        <v>32</v>
      </c>
      <c r="C662" s="105" t="s">
        <v>98</v>
      </c>
      <c r="D662" s="106">
        <v>349.40800000000002</v>
      </c>
      <c r="E662" s="107">
        <v>2697</v>
      </c>
      <c r="F662" s="106">
        <f t="shared" si="43"/>
        <v>349.33589649999999</v>
      </c>
      <c r="G662" s="108"/>
      <c r="H662" s="108"/>
      <c r="I662" s="111">
        <v>51.4</v>
      </c>
      <c r="J662" s="107">
        <v>371</v>
      </c>
      <c r="K662" s="108" t="s">
        <v>429</v>
      </c>
      <c r="L662" s="107">
        <v>21682</v>
      </c>
      <c r="M662" s="111">
        <f t="shared" si="44"/>
        <v>147.24808997063425</v>
      </c>
      <c r="N662" s="111">
        <v>1741.96</v>
      </c>
      <c r="O662" s="113">
        <f t="shared" si="45"/>
        <v>12.446898895497027</v>
      </c>
      <c r="P662" s="78"/>
      <c r="Q662" s="63"/>
      <c r="R662" s="63"/>
      <c r="S662" s="63"/>
      <c r="T662" s="63"/>
      <c r="U662" s="63"/>
      <c r="V662" s="63"/>
      <c r="W662" s="63"/>
      <c r="X662" s="63"/>
      <c r="Y662" s="63"/>
      <c r="Z662" s="63"/>
    </row>
    <row r="663" spans="1:26" ht="17.25" customHeight="1" x14ac:dyDescent="0.2">
      <c r="A663" s="104">
        <v>1220</v>
      </c>
      <c r="B663" s="105" t="s">
        <v>32</v>
      </c>
      <c r="C663" s="105" t="s">
        <v>98</v>
      </c>
      <c r="D663" s="106">
        <v>352.43</v>
      </c>
      <c r="E663" s="107">
        <v>2697</v>
      </c>
      <c r="F663" s="106">
        <f t="shared" si="43"/>
        <v>352.33764909999996</v>
      </c>
      <c r="G663" s="108"/>
      <c r="H663" s="108"/>
      <c r="I663" s="111">
        <v>51.13</v>
      </c>
      <c r="J663" s="107">
        <v>336</v>
      </c>
      <c r="K663" s="108" t="s">
        <v>429</v>
      </c>
      <c r="L663" s="107">
        <v>18318</v>
      </c>
      <c r="M663" s="111">
        <f t="shared" si="44"/>
        <v>135.34400614729859</v>
      </c>
      <c r="N663" s="111">
        <v>1493.78</v>
      </c>
      <c r="O663" s="113">
        <f t="shared" si="45"/>
        <v>12.262849951130688</v>
      </c>
      <c r="P663" s="78"/>
      <c r="Q663" s="63"/>
      <c r="R663" s="63"/>
      <c r="S663" s="63"/>
      <c r="T663" s="63"/>
      <c r="U663" s="63"/>
      <c r="V663" s="63"/>
      <c r="W663" s="63"/>
      <c r="X663" s="63"/>
      <c r="Y663" s="63"/>
      <c r="Z663" s="63"/>
    </row>
    <row r="664" spans="1:26" ht="17.25" customHeight="1" x14ac:dyDescent="0.2">
      <c r="A664" s="104">
        <v>1221</v>
      </c>
      <c r="B664" s="105" t="s">
        <v>32</v>
      </c>
      <c r="C664" s="105" t="s">
        <v>98</v>
      </c>
      <c r="D664" s="106">
        <v>355.42399999999998</v>
      </c>
      <c r="E664" s="107">
        <v>2697</v>
      </c>
      <c r="F664" s="106">
        <f t="shared" si="43"/>
        <v>355.31158929999992</v>
      </c>
      <c r="G664" s="108"/>
      <c r="H664" s="108"/>
      <c r="I664" s="111">
        <v>50.8</v>
      </c>
      <c r="J664" s="107">
        <v>447</v>
      </c>
      <c r="K664" s="108" t="s">
        <v>429</v>
      </c>
      <c r="L664" s="107">
        <v>24932</v>
      </c>
      <c r="M664" s="111">
        <f t="shared" si="44"/>
        <v>157.89870170460554</v>
      </c>
      <c r="N664" s="111">
        <v>2107.6999999999998</v>
      </c>
      <c r="O664" s="113">
        <f t="shared" si="45"/>
        <v>11.829007923328748</v>
      </c>
      <c r="P664" s="78"/>
      <c r="Q664" s="63"/>
      <c r="R664" s="63"/>
      <c r="S664" s="63"/>
      <c r="T664" s="63"/>
      <c r="U664" s="63"/>
      <c r="V664" s="63"/>
      <c r="W664" s="63"/>
      <c r="X664" s="63"/>
      <c r="Y664" s="63"/>
      <c r="Z664" s="63"/>
    </row>
    <row r="665" spans="1:26" ht="17.25" customHeight="1" x14ac:dyDescent="0.2">
      <c r="A665" s="104">
        <v>1222</v>
      </c>
      <c r="B665" s="105" t="s">
        <v>32</v>
      </c>
      <c r="C665" s="105" t="s">
        <v>98</v>
      </c>
      <c r="D665" s="106">
        <v>358.42500000000001</v>
      </c>
      <c r="E665" s="107">
        <v>2697</v>
      </c>
      <c r="F665" s="106">
        <f t="shared" si="43"/>
        <v>358.29248259999997</v>
      </c>
      <c r="G665" s="108"/>
      <c r="H665" s="108"/>
      <c r="I665" s="107">
        <v>50</v>
      </c>
      <c r="J665" s="107">
        <v>395</v>
      </c>
      <c r="K665" s="108" t="s">
        <v>429</v>
      </c>
      <c r="L665" s="107">
        <v>20546</v>
      </c>
      <c r="M665" s="111">
        <f t="shared" ref="M665:M673" si="46">SQRT(L665)</f>
        <v>143.33875958721003</v>
      </c>
      <c r="N665" s="111">
        <v>1768.75</v>
      </c>
      <c r="O665" s="113">
        <f t="shared" ref="O665:O673" si="47">L665/N665</f>
        <v>11.616113074204947</v>
      </c>
      <c r="P665" s="78"/>
      <c r="Q665" s="63"/>
      <c r="R665" s="63"/>
      <c r="S665" s="63"/>
      <c r="T665" s="63"/>
      <c r="U665" s="63"/>
      <c r="V665" s="63"/>
      <c r="W665" s="63"/>
      <c r="X665" s="63"/>
      <c r="Y665" s="63"/>
      <c r="Z665" s="63"/>
    </row>
    <row r="666" spans="1:26" ht="17.25" customHeight="1" x14ac:dyDescent="0.2">
      <c r="A666" s="104">
        <v>1223</v>
      </c>
      <c r="B666" s="105" t="s">
        <v>32</v>
      </c>
      <c r="C666" s="105" t="s">
        <v>98</v>
      </c>
      <c r="D666" s="106">
        <v>363.42700000000002</v>
      </c>
      <c r="E666" s="107">
        <v>2697</v>
      </c>
      <c r="F666" s="106">
        <f t="shared" si="43"/>
        <v>363.26096919999998</v>
      </c>
      <c r="G666" s="108"/>
      <c r="H666" s="108"/>
      <c r="I666" s="107">
        <v>51</v>
      </c>
      <c r="J666" s="107">
        <v>334</v>
      </c>
      <c r="K666" s="108" t="s">
        <v>429</v>
      </c>
      <c r="L666" s="107">
        <v>16533</v>
      </c>
      <c r="M666" s="111">
        <f t="shared" si="46"/>
        <v>128.58071395042103</v>
      </c>
      <c r="N666" s="111">
        <v>1541.7</v>
      </c>
      <c r="O666" s="113">
        <f t="shared" si="47"/>
        <v>10.723876240513718</v>
      </c>
      <c r="P666" s="78"/>
      <c r="Q666" s="63"/>
      <c r="R666" s="63"/>
      <c r="S666" s="63"/>
      <c r="T666" s="63"/>
      <c r="U666" s="63"/>
      <c r="V666" s="63"/>
      <c r="W666" s="63"/>
      <c r="X666" s="63"/>
      <c r="Y666" s="63"/>
      <c r="Z666" s="63"/>
    </row>
    <row r="667" spans="1:26" ht="17.25" customHeight="1" x14ac:dyDescent="0.2">
      <c r="A667" s="104">
        <v>1224</v>
      </c>
      <c r="B667" s="105" t="s">
        <v>32</v>
      </c>
      <c r="C667" s="105" t="s">
        <v>98</v>
      </c>
      <c r="D667" s="106">
        <v>368.44900000000001</v>
      </c>
      <c r="E667" s="107">
        <v>2697</v>
      </c>
      <c r="F667" s="106">
        <f t="shared" si="43"/>
        <v>368.24932179999996</v>
      </c>
      <c r="G667" s="108"/>
      <c r="H667" s="108"/>
      <c r="I667" s="111">
        <v>50.1</v>
      </c>
      <c r="J667" s="107">
        <v>350</v>
      </c>
      <c r="K667" s="108" t="s">
        <v>429</v>
      </c>
      <c r="L667" s="107">
        <v>15743</v>
      </c>
      <c r="M667" s="111">
        <f t="shared" si="46"/>
        <v>125.47111221313055</v>
      </c>
      <c r="N667" s="111">
        <v>1565.82</v>
      </c>
      <c r="O667" s="113">
        <f t="shared" si="47"/>
        <v>10.054156927360744</v>
      </c>
      <c r="P667" s="78"/>
      <c r="Q667" s="63"/>
      <c r="R667" s="63"/>
      <c r="S667" s="63"/>
      <c r="T667" s="63"/>
      <c r="U667" s="63"/>
      <c r="V667" s="63"/>
      <c r="W667" s="63"/>
      <c r="X667" s="63"/>
      <c r="Y667" s="63"/>
      <c r="Z667" s="63"/>
    </row>
    <row r="668" spans="1:26" ht="17.25" customHeight="1" x14ac:dyDescent="0.2">
      <c r="A668" s="104">
        <v>1225</v>
      </c>
      <c r="B668" s="105" t="s">
        <v>32</v>
      </c>
      <c r="C668" s="105" t="s">
        <v>98</v>
      </c>
      <c r="D668" s="106">
        <v>373.44400000000002</v>
      </c>
      <c r="E668" s="107">
        <v>2697</v>
      </c>
      <c r="F668" s="106">
        <f t="shared" si="43"/>
        <v>373.21085529999999</v>
      </c>
      <c r="G668" s="108"/>
      <c r="H668" s="108"/>
      <c r="I668" s="111">
        <v>50.8</v>
      </c>
      <c r="J668" s="107">
        <v>348</v>
      </c>
      <c r="K668" s="108" t="s">
        <v>429</v>
      </c>
      <c r="L668" s="107">
        <v>14527</v>
      </c>
      <c r="M668" s="111">
        <f t="shared" si="46"/>
        <v>120.52800504447089</v>
      </c>
      <c r="N668" s="111">
        <v>1597.6</v>
      </c>
      <c r="O668" s="113">
        <f t="shared" si="47"/>
        <v>9.0930145217826741</v>
      </c>
      <c r="P668" s="78"/>
      <c r="Q668" s="63"/>
      <c r="R668" s="63"/>
      <c r="S668" s="63"/>
      <c r="T668" s="63"/>
      <c r="U668" s="63"/>
      <c r="V668" s="63"/>
      <c r="W668" s="63"/>
      <c r="X668" s="63"/>
      <c r="Y668" s="63"/>
      <c r="Z668" s="63"/>
    </row>
    <row r="669" spans="1:26" ht="17.25" customHeight="1" x14ac:dyDescent="0.2">
      <c r="A669" s="104">
        <v>1226</v>
      </c>
      <c r="B669" s="105" t="s">
        <v>32</v>
      </c>
      <c r="C669" s="105" t="s">
        <v>98</v>
      </c>
      <c r="D669" s="106">
        <v>378.46600000000001</v>
      </c>
      <c r="E669" s="107">
        <v>2697</v>
      </c>
      <c r="F669" s="106">
        <f t="shared" si="43"/>
        <v>378.19920789999998</v>
      </c>
      <c r="G669" s="108"/>
      <c r="H669" s="108"/>
      <c r="I669" s="111">
        <v>50.1</v>
      </c>
      <c r="J669" s="107">
        <v>334</v>
      </c>
      <c r="K669" s="108" t="s">
        <v>429</v>
      </c>
      <c r="L669" s="107">
        <v>12958</v>
      </c>
      <c r="M669" s="111">
        <f t="shared" si="46"/>
        <v>113.833211322531</v>
      </c>
      <c r="N669" s="111">
        <v>1564.38</v>
      </c>
      <c r="O669" s="113">
        <f t="shared" si="47"/>
        <v>8.2831537094567818</v>
      </c>
      <c r="P669" s="78"/>
      <c r="Q669" s="63"/>
      <c r="R669" s="63"/>
      <c r="S669" s="63"/>
      <c r="T669" s="63"/>
      <c r="U669" s="63"/>
      <c r="V669" s="63"/>
      <c r="W669" s="63"/>
      <c r="X669" s="63"/>
      <c r="Y669" s="63"/>
      <c r="Z669" s="63"/>
    </row>
    <row r="670" spans="1:26" ht="17.25" customHeight="1" x14ac:dyDescent="0.2">
      <c r="A670" s="104">
        <v>1227</v>
      </c>
      <c r="B670" s="105" t="s">
        <v>32</v>
      </c>
      <c r="C670" s="105" t="s">
        <v>98</v>
      </c>
      <c r="D670" s="106">
        <v>383.46800000000002</v>
      </c>
      <c r="E670" s="107">
        <v>2697</v>
      </c>
      <c r="F670" s="106">
        <f t="shared" si="43"/>
        <v>383.16769449999998</v>
      </c>
      <c r="G670" s="108"/>
      <c r="H670" s="108"/>
      <c r="I670" s="111">
        <v>51.02</v>
      </c>
      <c r="J670" s="107">
        <v>335</v>
      </c>
      <c r="K670" s="108" t="s">
        <v>429</v>
      </c>
      <c r="L670" s="107">
        <v>11656</v>
      </c>
      <c r="M670" s="111">
        <f t="shared" si="46"/>
        <v>107.96295661012624</v>
      </c>
      <c r="N670" s="111">
        <v>1515.01</v>
      </c>
      <c r="O670" s="113">
        <f t="shared" si="47"/>
        <v>7.6936785895802666</v>
      </c>
      <c r="P670" s="78"/>
      <c r="Q670" s="63"/>
      <c r="R670" s="63"/>
      <c r="S670" s="63"/>
      <c r="T670" s="63"/>
      <c r="U670" s="63"/>
      <c r="V670" s="63"/>
      <c r="W670" s="63"/>
      <c r="X670" s="63"/>
      <c r="Y670" s="63"/>
      <c r="Z670" s="63"/>
    </row>
    <row r="671" spans="1:26" ht="17.25" customHeight="1" x14ac:dyDescent="0.2">
      <c r="A671" s="104">
        <v>1228</v>
      </c>
      <c r="B671" s="105" t="s">
        <v>32</v>
      </c>
      <c r="C671" s="105" t="s">
        <v>98</v>
      </c>
      <c r="D671" s="106">
        <v>388.47699999999998</v>
      </c>
      <c r="E671" s="107">
        <v>2697</v>
      </c>
      <c r="F671" s="106">
        <f t="shared" si="43"/>
        <v>388.14313419999996</v>
      </c>
      <c r="G671" s="108"/>
      <c r="H671" s="108"/>
      <c r="I671" s="111">
        <v>50.3</v>
      </c>
      <c r="J671" s="107">
        <v>371</v>
      </c>
      <c r="K671" s="108" t="s">
        <v>429</v>
      </c>
      <c r="L671" s="107">
        <v>11666</v>
      </c>
      <c r="M671" s="111">
        <f t="shared" si="46"/>
        <v>108.00925886237717</v>
      </c>
      <c r="N671" s="111">
        <v>1728.26</v>
      </c>
      <c r="O671" s="113">
        <f t="shared" si="47"/>
        <v>6.7501417610776153</v>
      </c>
      <c r="P671" s="78"/>
      <c r="Q671" s="63"/>
      <c r="R671" s="63"/>
      <c r="S671" s="63"/>
      <c r="T671" s="63"/>
      <c r="U671" s="63"/>
      <c r="V671" s="63"/>
      <c r="W671" s="63"/>
      <c r="X671" s="63"/>
      <c r="Y671" s="63"/>
      <c r="Z671" s="63"/>
    </row>
    <row r="672" spans="1:26" ht="17.25" customHeight="1" x14ac:dyDescent="0.2">
      <c r="A672" s="104">
        <v>1229</v>
      </c>
      <c r="B672" s="105" t="s">
        <v>32</v>
      </c>
      <c r="C672" s="105" t="s">
        <v>98</v>
      </c>
      <c r="D672" s="106">
        <v>393.47899999999998</v>
      </c>
      <c r="E672" s="107">
        <v>2697</v>
      </c>
      <c r="F672" s="106">
        <f t="shared" si="43"/>
        <v>393.11162079999997</v>
      </c>
      <c r="G672" s="108"/>
      <c r="H672" s="108"/>
      <c r="I672" s="107">
        <v>50</v>
      </c>
      <c r="J672" s="107">
        <v>361</v>
      </c>
      <c r="K672" s="108" t="s">
        <v>429</v>
      </c>
      <c r="L672" s="107">
        <v>9472</v>
      </c>
      <c r="M672" s="111">
        <f t="shared" si="46"/>
        <v>97.324200484771509</v>
      </c>
      <c r="N672" s="111">
        <v>1660.66</v>
      </c>
      <c r="O672" s="113">
        <f t="shared" si="47"/>
        <v>5.7037563378415808</v>
      </c>
      <c r="P672" s="78"/>
      <c r="Q672" s="63"/>
      <c r="R672" s="63"/>
      <c r="S672" s="63"/>
      <c r="T672" s="63"/>
      <c r="U672" s="63"/>
      <c r="V672" s="63"/>
      <c r="W672" s="63"/>
      <c r="X672" s="63"/>
      <c r="Y672" s="63"/>
      <c r="Z672" s="63"/>
    </row>
    <row r="673" spans="1:26" ht="17.25" customHeight="1" x14ac:dyDescent="0.2">
      <c r="A673" s="104">
        <v>1230</v>
      </c>
      <c r="B673" s="105" t="s">
        <v>32</v>
      </c>
      <c r="C673" s="105" t="s">
        <v>98</v>
      </c>
      <c r="D673" s="106">
        <v>398.488</v>
      </c>
      <c r="E673" s="107">
        <v>2697</v>
      </c>
      <c r="F673" s="106">
        <f t="shared" si="43"/>
        <v>398.08706049999995</v>
      </c>
      <c r="G673" s="108"/>
      <c r="H673" s="108"/>
      <c r="I673" s="111">
        <v>50.2</v>
      </c>
      <c r="J673" s="107">
        <v>297</v>
      </c>
      <c r="K673" s="108" t="s">
        <v>429</v>
      </c>
      <c r="L673" s="107">
        <v>7015</v>
      </c>
      <c r="M673" s="111">
        <f t="shared" si="46"/>
        <v>83.755596827913536</v>
      </c>
      <c r="N673" s="111">
        <v>1377.06</v>
      </c>
      <c r="O673" s="113">
        <f t="shared" si="47"/>
        <v>5.0941861647277538</v>
      </c>
      <c r="P673" s="78"/>
      <c r="Q673" s="63"/>
      <c r="R673" s="63"/>
      <c r="S673" s="63"/>
      <c r="T673" s="63"/>
      <c r="U673" s="63"/>
      <c r="V673" s="63"/>
      <c r="W673" s="63"/>
      <c r="X673" s="63"/>
      <c r="Y673" s="63"/>
      <c r="Z673" s="63"/>
    </row>
    <row r="674" spans="1:26" ht="17.25" customHeight="1" x14ac:dyDescent="0.2">
      <c r="A674" s="75"/>
      <c r="B674" s="63"/>
      <c r="C674" s="63"/>
      <c r="D674" s="76"/>
      <c r="E674" s="75"/>
      <c r="F674" s="76"/>
      <c r="G674" s="63"/>
      <c r="H674" s="63"/>
      <c r="I674" s="76"/>
      <c r="J674" s="75"/>
      <c r="K674" s="63"/>
      <c r="L674" s="75"/>
      <c r="M674" s="76"/>
      <c r="N674" s="76"/>
      <c r="O674" s="78"/>
      <c r="P674" s="78"/>
      <c r="Q674" s="63"/>
      <c r="R674" s="63"/>
      <c r="S674" s="63"/>
      <c r="T674" s="63"/>
      <c r="U674" s="63"/>
      <c r="V674" s="63"/>
      <c r="W674" s="63"/>
      <c r="X674" s="63"/>
      <c r="Y674" s="63"/>
      <c r="Z674" s="63"/>
    </row>
    <row r="675" spans="1:26" ht="17.25" customHeight="1" x14ac:dyDescent="0.2">
      <c r="A675" s="75"/>
      <c r="B675" s="63"/>
      <c r="C675" s="63"/>
      <c r="D675" s="76"/>
      <c r="E675" s="75"/>
      <c r="F675" s="76"/>
      <c r="G675" s="63"/>
      <c r="H675" s="63"/>
      <c r="I675" s="76"/>
      <c r="J675" s="75"/>
      <c r="K675" s="63"/>
      <c r="L675" s="75"/>
      <c r="M675" s="76"/>
      <c r="N675" s="76"/>
      <c r="O675" s="78"/>
      <c r="P675" s="78"/>
      <c r="Q675" s="63"/>
      <c r="R675" s="63"/>
      <c r="S675" s="63"/>
      <c r="T675" s="63"/>
      <c r="U675" s="63"/>
      <c r="V675" s="63"/>
      <c r="W675" s="63"/>
      <c r="X675" s="63"/>
      <c r="Y675" s="63"/>
      <c r="Z675" s="63"/>
    </row>
    <row r="676" spans="1:26" ht="17.25" customHeight="1" x14ac:dyDescent="0.2">
      <c r="A676" s="75"/>
      <c r="B676" s="63"/>
      <c r="C676" s="63"/>
      <c r="D676" s="76"/>
      <c r="E676" s="75"/>
      <c r="F676" s="76"/>
      <c r="G676" s="63"/>
      <c r="H676" s="63"/>
      <c r="I676" s="76"/>
      <c r="J676" s="75"/>
      <c r="K676" s="63"/>
      <c r="L676" s="75"/>
      <c r="M676" s="76"/>
      <c r="N676" s="76"/>
      <c r="O676" s="78"/>
      <c r="P676" s="78"/>
      <c r="Q676" s="63"/>
      <c r="R676" s="63"/>
      <c r="S676" s="63"/>
      <c r="T676" s="63"/>
      <c r="U676" s="63"/>
      <c r="V676" s="63"/>
      <c r="W676" s="63"/>
      <c r="X676" s="63"/>
      <c r="Y676" s="63"/>
      <c r="Z676" s="63"/>
    </row>
    <row r="677" spans="1:26" ht="17.25" customHeight="1" x14ac:dyDescent="0.2">
      <c r="A677" s="75"/>
      <c r="B677" s="63"/>
      <c r="C677" s="63"/>
      <c r="D677" s="76"/>
      <c r="E677" s="75"/>
      <c r="F677" s="76"/>
      <c r="G677" s="63"/>
      <c r="H677" s="63"/>
      <c r="I677" s="76"/>
      <c r="J677" s="75"/>
      <c r="K677" s="63"/>
      <c r="L677" s="75"/>
      <c r="M677" s="76"/>
      <c r="N677" s="76"/>
      <c r="O677" s="78"/>
      <c r="P677" s="78"/>
      <c r="Q677" s="63"/>
      <c r="R677" s="63"/>
      <c r="S677" s="63"/>
      <c r="T677" s="63"/>
      <c r="U677" s="63"/>
      <c r="V677" s="63"/>
      <c r="W677" s="63"/>
      <c r="X677" s="63"/>
      <c r="Y677" s="63"/>
      <c r="Z677" s="63"/>
    </row>
    <row r="678" spans="1:26" ht="17.25" customHeight="1" x14ac:dyDescent="0.2">
      <c r="A678" s="75"/>
      <c r="B678" s="63"/>
      <c r="C678" s="63"/>
      <c r="D678" s="76"/>
      <c r="E678" s="75"/>
      <c r="F678" s="76"/>
      <c r="G678" s="63"/>
      <c r="H678" s="63"/>
      <c r="I678" s="76"/>
      <c r="J678" s="75"/>
      <c r="K678" s="63"/>
      <c r="L678" s="75"/>
      <c r="M678" s="76"/>
      <c r="N678" s="76"/>
      <c r="O678" s="78"/>
      <c r="P678" s="78"/>
      <c r="Q678" s="63"/>
      <c r="R678" s="63"/>
      <c r="S678" s="63"/>
      <c r="T678" s="63"/>
      <c r="U678" s="63"/>
      <c r="V678" s="63"/>
      <c r="W678" s="63"/>
      <c r="X678" s="63"/>
      <c r="Y678" s="63"/>
      <c r="Z678" s="63"/>
    </row>
    <row r="679" spans="1:26" ht="17.25" customHeight="1" x14ac:dyDescent="0.2">
      <c r="A679" s="75"/>
      <c r="B679" s="63"/>
      <c r="C679" s="63"/>
      <c r="D679" s="76"/>
      <c r="E679" s="75"/>
      <c r="F679" s="76"/>
      <c r="G679" s="63"/>
      <c r="H679" s="63"/>
      <c r="I679" s="76"/>
      <c r="J679" s="75"/>
      <c r="K679" s="63"/>
      <c r="L679" s="75"/>
      <c r="M679" s="76"/>
      <c r="N679" s="76"/>
      <c r="O679" s="78"/>
      <c r="P679" s="78"/>
      <c r="Q679" s="63"/>
      <c r="R679" s="63"/>
      <c r="S679" s="63"/>
      <c r="T679" s="63"/>
      <c r="U679" s="63"/>
      <c r="V679" s="63"/>
      <c r="W679" s="63"/>
      <c r="X679" s="63"/>
      <c r="Y679" s="63"/>
      <c r="Z679" s="63"/>
    </row>
    <row r="680" spans="1:26" ht="17.25" customHeight="1" x14ac:dyDescent="0.2">
      <c r="A680" s="75"/>
      <c r="B680" s="63"/>
      <c r="C680" s="63"/>
      <c r="D680" s="76"/>
      <c r="E680" s="75"/>
      <c r="F680" s="76"/>
      <c r="G680" s="63"/>
      <c r="H680" s="63"/>
      <c r="I680" s="76"/>
      <c r="J680" s="75"/>
      <c r="K680" s="63"/>
      <c r="L680" s="75"/>
      <c r="M680" s="76"/>
      <c r="N680" s="76"/>
      <c r="O680" s="78"/>
      <c r="P680" s="78"/>
      <c r="Q680" s="63"/>
      <c r="R680" s="63"/>
      <c r="S680" s="63"/>
      <c r="T680" s="63"/>
      <c r="U680" s="63"/>
      <c r="V680" s="63"/>
      <c r="W680" s="63"/>
      <c r="X680" s="63"/>
      <c r="Y680" s="63"/>
      <c r="Z680" s="63"/>
    </row>
    <row r="681" spans="1:26" ht="17.25" customHeight="1" x14ac:dyDescent="0.2">
      <c r="A681" s="75"/>
      <c r="B681" s="63"/>
      <c r="C681" s="63"/>
      <c r="D681" s="76"/>
      <c r="E681" s="75"/>
      <c r="F681" s="76"/>
      <c r="G681" s="63"/>
      <c r="H681" s="63"/>
      <c r="I681" s="76"/>
      <c r="J681" s="75"/>
      <c r="K681" s="63"/>
      <c r="L681" s="75"/>
      <c r="M681" s="76"/>
      <c r="N681" s="76"/>
      <c r="O681" s="78"/>
      <c r="P681" s="78"/>
      <c r="Q681" s="63"/>
      <c r="R681" s="63"/>
      <c r="S681" s="63"/>
      <c r="T681" s="63"/>
      <c r="U681" s="63"/>
      <c r="V681" s="63"/>
      <c r="W681" s="63"/>
      <c r="X681" s="63"/>
      <c r="Y681" s="63"/>
      <c r="Z681" s="63"/>
    </row>
    <row r="682" spans="1:26" ht="17.25" customHeight="1" x14ac:dyDescent="0.2">
      <c r="A682" s="75"/>
      <c r="B682" s="63"/>
      <c r="C682" s="63"/>
      <c r="D682" s="76"/>
      <c r="E682" s="75"/>
      <c r="F682" s="76"/>
      <c r="G682" s="63"/>
      <c r="H682" s="63"/>
      <c r="I682" s="76"/>
      <c r="J682" s="75"/>
      <c r="K682" s="63"/>
      <c r="L682" s="75"/>
      <c r="M682" s="76"/>
      <c r="N682" s="76"/>
      <c r="O682" s="78"/>
      <c r="P682" s="78"/>
      <c r="Q682" s="63"/>
      <c r="R682" s="63"/>
      <c r="S682" s="63"/>
      <c r="T682" s="63"/>
      <c r="U682" s="63"/>
      <c r="V682" s="63"/>
      <c r="W682" s="63"/>
      <c r="X682" s="63"/>
      <c r="Y682" s="63"/>
      <c r="Z682" s="63"/>
    </row>
    <row r="683" spans="1:26" ht="17.25" customHeight="1" x14ac:dyDescent="0.2">
      <c r="A683" s="75"/>
      <c r="B683" s="63"/>
      <c r="C683" s="63"/>
      <c r="D683" s="76"/>
      <c r="E683" s="75"/>
      <c r="F683" s="76"/>
      <c r="G683" s="63"/>
      <c r="H683" s="63"/>
      <c r="I683" s="76"/>
      <c r="J683" s="75"/>
      <c r="K683" s="63"/>
      <c r="L683" s="75"/>
      <c r="M683" s="76"/>
      <c r="N683" s="76"/>
      <c r="O683" s="78"/>
      <c r="P683" s="78"/>
      <c r="Q683" s="63"/>
      <c r="R683" s="63"/>
      <c r="S683" s="63"/>
      <c r="T683" s="63"/>
      <c r="U683" s="63"/>
      <c r="V683" s="63"/>
      <c r="W683" s="63"/>
      <c r="X683" s="63"/>
      <c r="Y683" s="63"/>
      <c r="Z683" s="63"/>
    </row>
    <row r="684" spans="1:26" ht="17.25" customHeight="1" x14ac:dyDescent="0.2">
      <c r="A684" s="75"/>
      <c r="B684" s="63"/>
      <c r="C684" s="63"/>
      <c r="D684" s="76"/>
      <c r="E684" s="75"/>
      <c r="F684" s="76"/>
      <c r="G684" s="63"/>
      <c r="H684" s="63"/>
      <c r="I684" s="76"/>
      <c r="J684" s="75"/>
      <c r="K684" s="63"/>
      <c r="L684" s="75"/>
      <c r="M684" s="76"/>
      <c r="N684" s="76"/>
      <c r="O684" s="78"/>
      <c r="P684" s="78"/>
      <c r="Q684" s="63"/>
      <c r="R684" s="63"/>
      <c r="S684" s="63"/>
      <c r="T684" s="63"/>
      <c r="U684" s="63"/>
      <c r="V684" s="63"/>
      <c r="W684" s="63"/>
      <c r="X684" s="63"/>
      <c r="Y684" s="63"/>
      <c r="Z684" s="63"/>
    </row>
    <row r="685" spans="1:26" ht="17.25" customHeight="1" x14ac:dyDescent="0.2">
      <c r="A685" s="75"/>
      <c r="B685" s="63"/>
      <c r="C685" s="63"/>
      <c r="D685" s="76"/>
      <c r="E685" s="75"/>
      <c r="F685" s="76"/>
      <c r="G685" s="63"/>
      <c r="H685" s="63"/>
      <c r="I685" s="76"/>
      <c r="J685" s="75"/>
      <c r="K685" s="63"/>
      <c r="L685" s="75"/>
      <c r="M685" s="76"/>
      <c r="N685" s="76"/>
      <c r="O685" s="78"/>
      <c r="P685" s="78"/>
      <c r="Q685" s="63"/>
      <c r="R685" s="63"/>
      <c r="S685" s="63"/>
      <c r="T685" s="63"/>
      <c r="U685" s="63"/>
      <c r="V685" s="63"/>
      <c r="W685" s="63"/>
      <c r="X685" s="63"/>
      <c r="Y685" s="63"/>
      <c r="Z685" s="63"/>
    </row>
    <row r="686" spans="1:26" ht="17.25" customHeight="1" x14ac:dyDescent="0.2">
      <c r="A686" s="75"/>
      <c r="B686" s="63"/>
      <c r="C686" s="63"/>
      <c r="D686" s="76"/>
      <c r="E686" s="75"/>
      <c r="F686" s="76"/>
      <c r="G686" s="63"/>
      <c r="H686" s="63"/>
      <c r="I686" s="76"/>
      <c r="J686" s="75"/>
      <c r="K686" s="63"/>
      <c r="L686" s="75"/>
      <c r="M686" s="76"/>
      <c r="N686" s="76"/>
      <c r="O686" s="78"/>
      <c r="P686" s="78"/>
      <c r="Q686" s="63"/>
      <c r="R686" s="63"/>
      <c r="S686" s="63"/>
      <c r="T686" s="63"/>
      <c r="U686" s="63"/>
      <c r="V686" s="63"/>
      <c r="W686" s="63"/>
      <c r="X686" s="63"/>
      <c r="Y686" s="63"/>
      <c r="Z686" s="63"/>
    </row>
    <row r="687" spans="1:26" ht="17.25" customHeight="1" x14ac:dyDescent="0.2">
      <c r="A687" s="75"/>
      <c r="B687" s="63"/>
      <c r="C687" s="63"/>
      <c r="D687" s="76"/>
      <c r="E687" s="75"/>
      <c r="F687" s="76"/>
      <c r="G687" s="63"/>
      <c r="H687" s="63"/>
      <c r="I687" s="76"/>
      <c r="J687" s="75"/>
      <c r="K687" s="63"/>
      <c r="L687" s="75"/>
      <c r="M687" s="76"/>
      <c r="N687" s="76"/>
      <c r="O687" s="78"/>
      <c r="P687" s="78"/>
      <c r="Q687" s="63"/>
      <c r="R687" s="63"/>
      <c r="S687" s="63"/>
      <c r="T687" s="63"/>
      <c r="U687" s="63"/>
      <c r="V687" s="63"/>
      <c r="W687" s="63"/>
      <c r="X687" s="63"/>
      <c r="Y687" s="63"/>
      <c r="Z687" s="63"/>
    </row>
    <row r="688" spans="1:26" ht="17.25" customHeight="1" x14ac:dyDescent="0.2">
      <c r="A688" s="75"/>
      <c r="B688" s="63"/>
      <c r="C688" s="63"/>
      <c r="D688" s="76"/>
      <c r="E688" s="75"/>
      <c r="F688" s="76"/>
      <c r="G688" s="63"/>
      <c r="H688" s="63"/>
      <c r="I688" s="76"/>
      <c r="J688" s="75"/>
      <c r="K688" s="63"/>
      <c r="L688" s="75"/>
      <c r="M688" s="76"/>
      <c r="N688" s="76"/>
      <c r="O688" s="78"/>
      <c r="P688" s="78"/>
      <c r="Q688" s="63"/>
      <c r="R688" s="63"/>
      <c r="S688" s="63"/>
      <c r="T688" s="63"/>
      <c r="U688" s="63"/>
      <c r="V688" s="63"/>
      <c r="W688" s="63"/>
      <c r="X688" s="63"/>
      <c r="Y688" s="63"/>
      <c r="Z688" s="63"/>
    </row>
    <row r="689" spans="1:26" ht="17.25" customHeight="1" x14ac:dyDescent="0.2">
      <c r="A689" s="75"/>
      <c r="B689" s="63"/>
      <c r="C689" s="63"/>
      <c r="D689" s="76"/>
      <c r="E689" s="75"/>
      <c r="F689" s="76"/>
      <c r="G689" s="63"/>
      <c r="H689" s="63"/>
      <c r="I689" s="76"/>
      <c r="J689" s="75"/>
      <c r="K689" s="63"/>
      <c r="L689" s="75"/>
      <c r="M689" s="76"/>
      <c r="N689" s="76"/>
      <c r="O689" s="78"/>
      <c r="P689" s="78"/>
      <c r="Q689" s="63"/>
      <c r="R689" s="63"/>
      <c r="S689" s="63"/>
      <c r="T689" s="63"/>
      <c r="U689" s="63"/>
      <c r="V689" s="63"/>
      <c r="W689" s="63"/>
      <c r="X689" s="63"/>
      <c r="Y689" s="63"/>
      <c r="Z689" s="63"/>
    </row>
    <row r="690" spans="1:26" ht="17.25" customHeight="1" x14ac:dyDescent="0.2">
      <c r="A690" s="75"/>
      <c r="B690" s="63"/>
      <c r="C690" s="63"/>
      <c r="D690" s="76"/>
      <c r="E690" s="75"/>
      <c r="F690" s="76"/>
      <c r="G690" s="63"/>
      <c r="H690" s="63"/>
      <c r="I690" s="76"/>
      <c r="J690" s="75"/>
      <c r="K690" s="63"/>
      <c r="L690" s="75"/>
      <c r="M690" s="76"/>
      <c r="N690" s="76"/>
      <c r="O690" s="78"/>
      <c r="P690" s="78"/>
      <c r="Q690" s="63"/>
      <c r="R690" s="63"/>
      <c r="S690" s="63"/>
      <c r="T690" s="63"/>
      <c r="U690" s="63"/>
      <c r="V690" s="63"/>
      <c r="W690" s="63"/>
      <c r="X690" s="63"/>
      <c r="Y690" s="63"/>
      <c r="Z690" s="63"/>
    </row>
    <row r="691" spans="1:26" ht="17.25" customHeight="1" x14ac:dyDescent="0.2">
      <c r="A691" s="75"/>
      <c r="B691" s="63"/>
      <c r="C691" s="63"/>
      <c r="D691" s="76"/>
      <c r="E691" s="75"/>
      <c r="F691" s="76"/>
      <c r="G691" s="63"/>
      <c r="H691" s="63"/>
      <c r="I691" s="76"/>
      <c r="J691" s="75"/>
      <c r="K691" s="63"/>
      <c r="L691" s="75"/>
      <c r="M691" s="76"/>
      <c r="N691" s="76"/>
      <c r="O691" s="78"/>
      <c r="P691" s="78"/>
      <c r="Q691" s="63"/>
      <c r="R691" s="63"/>
      <c r="S691" s="63"/>
      <c r="T691" s="63"/>
      <c r="U691" s="63"/>
      <c r="V691" s="63"/>
      <c r="W691" s="63"/>
      <c r="X691" s="63"/>
      <c r="Y691" s="63"/>
      <c r="Z691" s="63"/>
    </row>
    <row r="692" spans="1:26" ht="17.25" customHeight="1" x14ac:dyDescent="0.2">
      <c r="A692" s="75"/>
      <c r="B692" s="63"/>
      <c r="C692" s="63"/>
      <c r="D692" s="76"/>
      <c r="E692" s="75"/>
      <c r="F692" s="76"/>
      <c r="G692" s="63"/>
      <c r="H692" s="63"/>
      <c r="I692" s="76"/>
      <c r="J692" s="75"/>
      <c r="K692" s="63"/>
      <c r="L692" s="75"/>
      <c r="M692" s="76"/>
      <c r="N692" s="76"/>
      <c r="O692" s="78"/>
      <c r="P692" s="78"/>
      <c r="Q692" s="63"/>
      <c r="R692" s="63"/>
      <c r="S692" s="63"/>
      <c r="T692" s="63"/>
      <c r="U692" s="63"/>
      <c r="V692" s="63"/>
      <c r="W692" s="63"/>
      <c r="X692" s="63"/>
      <c r="Y692" s="63"/>
      <c r="Z692" s="63"/>
    </row>
    <row r="693" spans="1:26" ht="17.25" customHeight="1" x14ac:dyDescent="0.2">
      <c r="A693" s="75"/>
      <c r="B693" s="63"/>
      <c r="C693" s="63"/>
      <c r="D693" s="76"/>
      <c r="E693" s="75"/>
      <c r="F693" s="76"/>
      <c r="G693" s="63"/>
      <c r="H693" s="63"/>
      <c r="I693" s="76"/>
      <c r="J693" s="75"/>
      <c r="K693" s="63"/>
      <c r="L693" s="75"/>
      <c r="M693" s="76"/>
      <c r="N693" s="76"/>
      <c r="O693" s="78"/>
      <c r="P693" s="78"/>
      <c r="Q693" s="63"/>
      <c r="R693" s="63"/>
      <c r="S693" s="63"/>
      <c r="T693" s="63"/>
      <c r="U693" s="63"/>
      <c r="V693" s="63"/>
      <c r="W693" s="63"/>
      <c r="X693" s="63"/>
      <c r="Y693" s="63"/>
      <c r="Z693" s="63"/>
    </row>
    <row r="694" spans="1:26" ht="17.25" customHeight="1" x14ac:dyDescent="0.2">
      <c r="A694" s="75"/>
      <c r="B694" s="63"/>
      <c r="C694" s="63"/>
      <c r="D694" s="76"/>
      <c r="E694" s="75"/>
      <c r="F694" s="76"/>
      <c r="G694" s="63"/>
      <c r="H694" s="63"/>
      <c r="I694" s="76"/>
      <c r="J694" s="75"/>
      <c r="K694" s="63"/>
      <c r="L694" s="75"/>
      <c r="M694" s="76"/>
      <c r="N694" s="76"/>
      <c r="O694" s="78"/>
      <c r="P694" s="78"/>
      <c r="Q694" s="63"/>
      <c r="R694" s="63"/>
      <c r="S694" s="63"/>
      <c r="T694" s="63"/>
      <c r="U694" s="63"/>
      <c r="V694" s="63"/>
      <c r="W694" s="63"/>
      <c r="X694" s="63"/>
      <c r="Y694" s="63"/>
      <c r="Z694" s="63"/>
    </row>
    <row r="695" spans="1:26" ht="17.25" customHeight="1" x14ac:dyDescent="0.2">
      <c r="A695" s="75"/>
      <c r="B695" s="63"/>
      <c r="C695" s="63"/>
      <c r="D695" s="76"/>
      <c r="E695" s="75"/>
      <c r="F695" s="76"/>
      <c r="G695" s="63"/>
      <c r="H695" s="63"/>
      <c r="I695" s="76"/>
      <c r="J695" s="75"/>
      <c r="K695" s="63"/>
      <c r="L695" s="75"/>
      <c r="M695" s="76"/>
      <c r="N695" s="76"/>
      <c r="O695" s="78"/>
      <c r="P695" s="78"/>
      <c r="Q695" s="63"/>
      <c r="R695" s="63"/>
      <c r="S695" s="63"/>
      <c r="T695" s="63"/>
      <c r="U695" s="63"/>
      <c r="V695" s="63"/>
      <c r="W695" s="63"/>
      <c r="X695" s="63"/>
      <c r="Y695" s="63"/>
      <c r="Z695" s="63"/>
    </row>
    <row r="696" spans="1:26" ht="17.25" customHeight="1" x14ac:dyDescent="0.2">
      <c r="A696" s="75"/>
      <c r="B696" s="63"/>
      <c r="C696" s="63"/>
      <c r="D696" s="76"/>
      <c r="E696" s="75"/>
      <c r="F696" s="76"/>
      <c r="G696" s="63"/>
      <c r="H696" s="63"/>
      <c r="I696" s="76"/>
      <c r="J696" s="75"/>
      <c r="K696" s="63"/>
      <c r="L696" s="75"/>
      <c r="M696" s="76"/>
      <c r="N696" s="76"/>
      <c r="O696" s="78"/>
      <c r="P696" s="78"/>
      <c r="Q696" s="63"/>
      <c r="R696" s="63"/>
      <c r="S696" s="63"/>
      <c r="T696" s="63"/>
      <c r="U696" s="63"/>
      <c r="V696" s="63"/>
      <c r="W696" s="63"/>
      <c r="X696" s="63"/>
      <c r="Y696" s="63"/>
      <c r="Z696" s="63"/>
    </row>
    <row r="697" spans="1:26" ht="17.25" customHeight="1" x14ac:dyDescent="0.2">
      <c r="A697" s="75"/>
      <c r="B697" s="63"/>
      <c r="C697" s="63"/>
      <c r="D697" s="76"/>
      <c r="E697" s="75"/>
      <c r="F697" s="76"/>
      <c r="G697" s="63"/>
      <c r="H697" s="63"/>
      <c r="I697" s="76"/>
      <c r="J697" s="75"/>
      <c r="K697" s="63"/>
      <c r="L697" s="75"/>
      <c r="M697" s="76"/>
      <c r="N697" s="76"/>
      <c r="O697" s="78"/>
      <c r="P697" s="78"/>
      <c r="Q697" s="63"/>
      <c r="R697" s="63"/>
      <c r="S697" s="63"/>
      <c r="T697" s="63"/>
      <c r="U697" s="63"/>
      <c r="V697" s="63"/>
      <c r="W697" s="63"/>
      <c r="X697" s="63"/>
      <c r="Y697" s="63"/>
      <c r="Z697" s="63"/>
    </row>
    <row r="698" spans="1:26" ht="17.25" customHeight="1" x14ac:dyDescent="0.2">
      <c r="A698" s="75"/>
      <c r="B698" s="63"/>
      <c r="C698" s="63"/>
      <c r="D698" s="76"/>
      <c r="E698" s="75"/>
      <c r="F698" s="76"/>
      <c r="G698" s="63"/>
      <c r="H698" s="63"/>
      <c r="I698" s="76"/>
      <c r="J698" s="75"/>
      <c r="K698" s="63"/>
      <c r="L698" s="75"/>
      <c r="M698" s="76"/>
      <c r="N698" s="76"/>
      <c r="O698" s="78"/>
      <c r="P698" s="78"/>
      <c r="Q698" s="63"/>
      <c r="R698" s="63"/>
      <c r="S698" s="63"/>
      <c r="T698" s="63"/>
      <c r="U698" s="63"/>
      <c r="V698" s="63"/>
      <c r="W698" s="63"/>
      <c r="X698" s="63"/>
      <c r="Y698" s="63"/>
      <c r="Z698" s="63"/>
    </row>
    <row r="699" spans="1:26" ht="17.25" customHeight="1" x14ac:dyDescent="0.2">
      <c r="A699" s="75"/>
      <c r="B699" s="63"/>
      <c r="C699" s="63"/>
      <c r="D699" s="76"/>
      <c r="E699" s="75"/>
      <c r="F699" s="76"/>
      <c r="G699" s="63"/>
      <c r="H699" s="63"/>
      <c r="I699" s="76"/>
      <c r="J699" s="75"/>
      <c r="K699" s="63"/>
      <c r="L699" s="75"/>
      <c r="M699" s="76"/>
      <c r="N699" s="76"/>
      <c r="O699" s="78"/>
      <c r="P699" s="78"/>
      <c r="Q699" s="63"/>
      <c r="R699" s="63"/>
      <c r="S699" s="63"/>
      <c r="T699" s="63"/>
      <c r="U699" s="63"/>
      <c r="V699" s="63"/>
      <c r="W699" s="63"/>
      <c r="X699" s="63"/>
      <c r="Y699" s="63"/>
      <c r="Z699" s="63"/>
    </row>
    <row r="700" spans="1:26" ht="17.25" customHeight="1" x14ac:dyDescent="0.2">
      <c r="A700" s="75"/>
      <c r="B700" s="63"/>
      <c r="C700" s="63"/>
      <c r="D700" s="76"/>
      <c r="E700" s="75"/>
      <c r="F700" s="76"/>
      <c r="G700" s="63"/>
      <c r="H700" s="63"/>
      <c r="I700" s="76"/>
      <c r="J700" s="75"/>
      <c r="K700" s="63"/>
      <c r="L700" s="75"/>
      <c r="M700" s="76"/>
      <c r="N700" s="76"/>
      <c r="O700" s="78"/>
      <c r="P700" s="78"/>
      <c r="Q700" s="63"/>
      <c r="R700" s="63"/>
      <c r="S700" s="63"/>
      <c r="T700" s="63"/>
      <c r="U700" s="63"/>
      <c r="V700" s="63"/>
      <c r="W700" s="63"/>
      <c r="X700" s="63"/>
      <c r="Y700" s="63"/>
      <c r="Z700" s="63"/>
    </row>
    <row r="701" spans="1:26" ht="17.25" customHeight="1" x14ac:dyDescent="0.2">
      <c r="A701" s="75"/>
      <c r="B701" s="63"/>
      <c r="C701" s="63"/>
      <c r="D701" s="76"/>
      <c r="E701" s="75"/>
      <c r="F701" s="76"/>
      <c r="G701" s="63"/>
      <c r="H701" s="63"/>
      <c r="I701" s="76"/>
      <c r="J701" s="75"/>
      <c r="K701" s="63"/>
      <c r="L701" s="75"/>
      <c r="M701" s="76"/>
      <c r="N701" s="76"/>
      <c r="O701" s="78"/>
      <c r="P701" s="78"/>
      <c r="Q701" s="63"/>
      <c r="R701" s="63"/>
      <c r="S701" s="63"/>
      <c r="T701" s="63"/>
      <c r="U701" s="63"/>
      <c r="V701" s="63"/>
      <c r="W701" s="63"/>
      <c r="X701" s="63"/>
      <c r="Y701" s="63"/>
      <c r="Z701" s="63"/>
    </row>
    <row r="702" spans="1:26" ht="17.25" customHeight="1" x14ac:dyDescent="0.2">
      <c r="A702" s="75"/>
      <c r="B702" s="63"/>
      <c r="C702" s="63"/>
      <c r="D702" s="76"/>
      <c r="E702" s="75"/>
      <c r="F702" s="76"/>
      <c r="G702" s="63"/>
      <c r="H702" s="63"/>
      <c r="I702" s="76"/>
      <c r="J702" s="75"/>
      <c r="K702" s="63"/>
      <c r="L702" s="75"/>
      <c r="M702" s="76"/>
      <c r="N702" s="76"/>
      <c r="O702" s="78"/>
      <c r="P702" s="78"/>
      <c r="Q702" s="63"/>
      <c r="R702" s="63"/>
      <c r="S702" s="63"/>
      <c r="T702" s="63"/>
      <c r="U702" s="63"/>
      <c r="V702" s="63"/>
      <c r="W702" s="63"/>
      <c r="X702" s="63"/>
      <c r="Y702" s="63"/>
      <c r="Z702" s="63"/>
    </row>
    <row r="703" spans="1:26" ht="17.25" customHeight="1" x14ac:dyDescent="0.2">
      <c r="A703" s="75"/>
      <c r="B703" s="63"/>
      <c r="C703" s="63"/>
      <c r="D703" s="76"/>
      <c r="E703" s="75"/>
      <c r="F703" s="76"/>
      <c r="G703" s="63"/>
      <c r="H703" s="63"/>
      <c r="I703" s="76"/>
      <c r="J703" s="75"/>
      <c r="K703" s="63"/>
      <c r="L703" s="75"/>
      <c r="M703" s="76"/>
      <c r="N703" s="76"/>
      <c r="O703" s="78"/>
      <c r="P703" s="78"/>
      <c r="Q703" s="63"/>
      <c r="R703" s="63"/>
      <c r="S703" s="63"/>
      <c r="T703" s="63"/>
      <c r="U703" s="63"/>
      <c r="V703" s="63"/>
      <c r="W703" s="63"/>
      <c r="X703" s="63"/>
      <c r="Y703" s="63"/>
      <c r="Z703" s="63"/>
    </row>
    <row r="704" spans="1:26" ht="17.25" customHeight="1" x14ac:dyDescent="0.2">
      <c r="A704" s="75"/>
      <c r="B704" s="63"/>
      <c r="C704" s="63"/>
      <c r="D704" s="76"/>
      <c r="E704" s="75"/>
      <c r="F704" s="76"/>
      <c r="G704" s="63"/>
      <c r="H704" s="63"/>
      <c r="I704" s="76"/>
      <c r="J704" s="75"/>
      <c r="K704" s="63"/>
      <c r="L704" s="75"/>
      <c r="M704" s="76"/>
      <c r="N704" s="76"/>
      <c r="O704" s="78"/>
      <c r="P704" s="78"/>
      <c r="Q704" s="63"/>
      <c r="R704" s="63"/>
      <c r="S704" s="63"/>
      <c r="T704" s="63"/>
      <c r="U704" s="63"/>
      <c r="V704" s="63"/>
      <c r="W704" s="63"/>
      <c r="X704" s="63"/>
      <c r="Y704" s="63"/>
      <c r="Z704" s="63"/>
    </row>
    <row r="705" spans="1:26" ht="17.25" customHeight="1" x14ac:dyDescent="0.2">
      <c r="A705" s="75"/>
      <c r="B705" s="63"/>
      <c r="C705" s="63"/>
      <c r="D705" s="76"/>
      <c r="E705" s="75"/>
      <c r="F705" s="76"/>
      <c r="G705" s="63"/>
      <c r="H705" s="63"/>
      <c r="I705" s="76"/>
      <c r="J705" s="75"/>
      <c r="K705" s="63"/>
      <c r="L705" s="75"/>
      <c r="M705" s="76"/>
      <c r="N705" s="76"/>
      <c r="O705" s="78"/>
      <c r="P705" s="78"/>
      <c r="Q705" s="63"/>
      <c r="R705" s="63"/>
      <c r="S705" s="63"/>
      <c r="T705" s="63"/>
      <c r="U705" s="63"/>
      <c r="V705" s="63"/>
      <c r="W705" s="63"/>
      <c r="X705" s="63"/>
      <c r="Y705" s="63"/>
      <c r="Z705" s="63"/>
    </row>
    <row r="706" spans="1:26" ht="17.25" customHeight="1" x14ac:dyDescent="0.2">
      <c r="A706" s="75"/>
      <c r="B706" s="63"/>
      <c r="C706" s="63"/>
      <c r="D706" s="76"/>
      <c r="E706" s="75"/>
      <c r="F706" s="76"/>
      <c r="G706" s="63"/>
      <c r="H706" s="63"/>
      <c r="I706" s="76"/>
      <c r="J706" s="75"/>
      <c r="K706" s="63"/>
      <c r="L706" s="75"/>
      <c r="M706" s="76"/>
      <c r="N706" s="76"/>
      <c r="O706" s="78"/>
      <c r="P706" s="78"/>
      <c r="Q706" s="63"/>
      <c r="R706" s="63"/>
      <c r="S706" s="63"/>
      <c r="T706" s="63"/>
      <c r="U706" s="63"/>
      <c r="V706" s="63"/>
      <c r="W706" s="63"/>
      <c r="X706" s="63"/>
      <c r="Y706" s="63"/>
      <c r="Z706" s="63"/>
    </row>
    <row r="707" spans="1:26" ht="17.25" customHeight="1" x14ac:dyDescent="0.2">
      <c r="A707" s="75"/>
      <c r="B707" s="63"/>
      <c r="C707" s="63"/>
      <c r="D707" s="76"/>
      <c r="E707" s="75"/>
      <c r="F707" s="76"/>
      <c r="G707" s="63"/>
      <c r="H707" s="63"/>
      <c r="I707" s="76"/>
      <c r="J707" s="75"/>
      <c r="K707" s="63"/>
      <c r="L707" s="75"/>
      <c r="M707" s="76"/>
      <c r="N707" s="76"/>
      <c r="O707" s="78"/>
      <c r="P707" s="78"/>
      <c r="Q707" s="63"/>
      <c r="R707" s="63"/>
      <c r="S707" s="63"/>
      <c r="T707" s="63"/>
      <c r="U707" s="63"/>
      <c r="V707" s="63"/>
      <c r="W707" s="63"/>
      <c r="X707" s="63"/>
      <c r="Y707" s="63"/>
      <c r="Z707" s="63"/>
    </row>
    <row r="708" spans="1:26" ht="17.25" customHeight="1" x14ac:dyDescent="0.2">
      <c r="A708" s="75"/>
      <c r="B708" s="63"/>
      <c r="C708" s="63"/>
      <c r="D708" s="76"/>
      <c r="E708" s="75"/>
      <c r="F708" s="76"/>
      <c r="G708" s="63"/>
      <c r="H708" s="63"/>
      <c r="I708" s="76"/>
      <c r="J708" s="75"/>
      <c r="K708" s="63"/>
      <c r="L708" s="75"/>
      <c r="M708" s="76"/>
      <c r="N708" s="76"/>
      <c r="O708" s="78"/>
      <c r="P708" s="78"/>
      <c r="Q708" s="63"/>
      <c r="R708" s="63"/>
      <c r="S708" s="63"/>
      <c r="T708" s="63"/>
      <c r="U708" s="63"/>
      <c r="V708" s="63"/>
      <c r="W708" s="63"/>
      <c r="X708" s="63"/>
      <c r="Y708" s="63"/>
      <c r="Z708" s="63"/>
    </row>
    <row r="709" spans="1:26" ht="17.25" customHeight="1" x14ac:dyDescent="0.2">
      <c r="A709" s="75"/>
      <c r="B709" s="63"/>
      <c r="C709" s="63"/>
      <c r="D709" s="76"/>
      <c r="E709" s="75"/>
      <c r="F709" s="76"/>
      <c r="G709" s="63"/>
      <c r="H709" s="63"/>
      <c r="I709" s="76"/>
      <c r="J709" s="75"/>
      <c r="K709" s="63"/>
      <c r="L709" s="75"/>
      <c r="M709" s="76"/>
      <c r="N709" s="76"/>
      <c r="O709" s="78"/>
      <c r="P709" s="78"/>
      <c r="Q709" s="63"/>
      <c r="R709" s="63"/>
      <c r="S709" s="63"/>
      <c r="T709" s="63"/>
      <c r="U709" s="63"/>
      <c r="V709" s="63"/>
      <c r="W709" s="63"/>
      <c r="X709" s="63"/>
      <c r="Y709" s="63"/>
      <c r="Z709" s="63"/>
    </row>
    <row r="710" spans="1:26" ht="17.25" customHeight="1" x14ac:dyDescent="0.2">
      <c r="A710" s="75"/>
      <c r="B710" s="63"/>
      <c r="C710" s="63"/>
      <c r="D710" s="76"/>
      <c r="E710" s="75"/>
      <c r="F710" s="76"/>
      <c r="G710" s="63"/>
      <c r="H710" s="63"/>
      <c r="I710" s="76"/>
      <c r="J710" s="75"/>
      <c r="K710" s="63"/>
      <c r="L710" s="75"/>
      <c r="M710" s="76"/>
      <c r="N710" s="76"/>
      <c r="O710" s="78"/>
      <c r="P710" s="78"/>
      <c r="Q710" s="63"/>
      <c r="R710" s="63"/>
      <c r="S710" s="63"/>
      <c r="T710" s="63"/>
      <c r="U710" s="63"/>
      <c r="V710" s="63"/>
      <c r="W710" s="63"/>
      <c r="X710" s="63"/>
      <c r="Y710" s="63"/>
      <c r="Z710" s="63"/>
    </row>
    <row r="711" spans="1:26" ht="17.25" customHeight="1" x14ac:dyDescent="0.2">
      <c r="A711" s="75"/>
      <c r="B711" s="63"/>
      <c r="C711" s="63"/>
      <c r="D711" s="76"/>
      <c r="E711" s="75"/>
      <c r="F711" s="76"/>
      <c r="G711" s="63"/>
      <c r="H711" s="63"/>
      <c r="I711" s="76"/>
      <c r="J711" s="75"/>
      <c r="K711" s="63"/>
      <c r="L711" s="75"/>
      <c r="M711" s="76"/>
      <c r="N711" s="76"/>
      <c r="O711" s="78"/>
      <c r="P711" s="78"/>
      <c r="Q711" s="63"/>
      <c r="R711" s="63"/>
      <c r="S711" s="63"/>
      <c r="T711" s="63"/>
      <c r="U711" s="63"/>
      <c r="V711" s="63"/>
      <c r="W711" s="63"/>
      <c r="X711" s="63"/>
      <c r="Y711" s="63"/>
      <c r="Z711" s="63"/>
    </row>
    <row r="712" spans="1:26" ht="17.25" customHeight="1" x14ac:dyDescent="0.2">
      <c r="A712" s="75"/>
      <c r="B712" s="63"/>
      <c r="C712" s="63"/>
      <c r="D712" s="76"/>
      <c r="E712" s="75"/>
      <c r="F712" s="76"/>
      <c r="G712" s="63"/>
      <c r="H712" s="63"/>
      <c r="I712" s="76"/>
      <c r="J712" s="75"/>
      <c r="K712" s="63"/>
      <c r="L712" s="75"/>
      <c r="M712" s="76"/>
      <c r="N712" s="76"/>
      <c r="O712" s="78"/>
      <c r="P712" s="78"/>
      <c r="Q712" s="63"/>
      <c r="R712" s="63"/>
      <c r="S712" s="63"/>
      <c r="T712" s="63"/>
      <c r="U712" s="63"/>
      <c r="V712" s="63"/>
      <c r="W712" s="63"/>
      <c r="X712" s="63"/>
      <c r="Y712" s="63"/>
      <c r="Z712" s="63"/>
    </row>
    <row r="713" spans="1:26" ht="17.25" customHeight="1" x14ac:dyDescent="0.2">
      <c r="A713" s="75"/>
      <c r="B713" s="63"/>
      <c r="C713" s="63"/>
      <c r="D713" s="76"/>
      <c r="E713" s="75"/>
      <c r="F713" s="76"/>
      <c r="G713" s="63"/>
      <c r="H713" s="63"/>
      <c r="I713" s="76"/>
      <c r="J713" s="75"/>
      <c r="K713" s="63"/>
      <c r="L713" s="75"/>
      <c r="M713" s="76"/>
      <c r="N713" s="76"/>
      <c r="O713" s="78"/>
      <c r="P713" s="78"/>
      <c r="Q713" s="63"/>
      <c r="R713" s="63"/>
      <c r="S713" s="63"/>
      <c r="T713" s="63"/>
      <c r="U713" s="63"/>
      <c r="V713" s="63"/>
      <c r="W713" s="63"/>
      <c r="X713" s="63"/>
      <c r="Y713" s="63"/>
      <c r="Z713" s="63"/>
    </row>
    <row r="714" spans="1:26" ht="17.25" customHeight="1" x14ac:dyDescent="0.2">
      <c r="A714" s="75"/>
      <c r="B714" s="63"/>
      <c r="C714" s="63"/>
      <c r="D714" s="76"/>
      <c r="E714" s="75"/>
      <c r="F714" s="76"/>
      <c r="G714" s="63"/>
      <c r="H714" s="63"/>
      <c r="I714" s="76"/>
      <c r="J714" s="75"/>
      <c r="K714" s="63"/>
      <c r="L714" s="75"/>
      <c r="M714" s="76"/>
      <c r="N714" s="76"/>
      <c r="O714" s="78"/>
      <c r="P714" s="78"/>
      <c r="Q714" s="63"/>
      <c r="R714" s="63"/>
      <c r="S714" s="63"/>
      <c r="T714" s="63"/>
      <c r="U714" s="63"/>
      <c r="V714" s="63"/>
      <c r="W714" s="63"/>
      <c r="X714" s="63"/>
      <c r="Y714" s="63"/>
      <c r="Z714" s="63"/>
    </row>
    <row r="715" spans="1:26" ht="17.25" customHeight="1" x14ac:dyDescent="0.2">
      <c r="A715" s="75"/>
      <c r="B715" s="63"/>
      <c r="C715" s="63"/>
      <c r="D715" s="76"/>
      <c r="E715" s="75"/>
      <c r="F715" s="76"/>
      <c r="G715" s="63"/>
      <c r="H715" s="63"/>
      <c r="I715" s="76"/>
      <c r="J715" s="75"/>
      <c r="K715" s="63"/>
      <c r="L715" s="75"/>
      <c r="M715" s="76"/>
      <c r="N715" s="76"/>
      <c r="O715" s="78"/>
      <c r="P715" s="78"/>
      <c r="Q715" s="63"/>
      <c r="R715" s="63"/>
      <c r="S715" s="63"/>
      <c r="T715" s="63"/>
      <c r="U715" s="63"/>
      <c r="V715" s="63"/>
      <c r="W715" s="63"/>
      <c r="X715" s="63"/>
      <c r="Y715" s="63"/>
      <c r="Z715" s="63"/>
    </row>
    <row r="716" spans="1:26" ht="17.25" customHeight="1" x14ac:dyDescent="0.2">
      <c r="A716" s="75"/>
      <c r="B716" s="63"/>
      <c r="C716" s="63"/>
      <c r="D716" s="76"/>
      <c r="E716" s="75"/>
      <c r="F716" s="76"/>
      <c r="G716" s="63"/>
      <c r="H716" s="63"/>
      <c r="I716" s="76"/>
      <c r="J716" s="75"/>
      <c r="K716" s="63"/>
      <c r="L716" s="75"/>
      <c r="M716" s="76"/>
      <c r="N716" s="76"/>
      <c r="O716" s="78"/>
      <c r="P716" s="78"/>
      <c r="Q716" s="63"/>
      <c r="R716" s="63"/>
      <c r="S716" s="63"/>
      <c r="T716" s="63"/>
      <c r="U716" s="63"/>
      <c r="V716" s="63"/>
      <c r="W716" s="63"/>
      <c r="X716" s="63"/>
      <c r="Y716" s="63"/>
      <c r="Z716" s="63"/>
    </row>
    <row r="717" spans="1:26" ht="17.25" customHeight="1" x14ac:dyDescent="0.2">
      <c r="A717" s="75"/>
      <c r="B717" s="63"/>
      <c r="C717" s="63"/>
      <c r="D717" s="76"/>
      <c r="E717" s="75"/>
      <c r="F717" s="76"/>
      <c r="G717" s="63"/>
      <c r="H717" s="63"/>
      <c r="I717" s="76"/>
      <c r="J717" s="75"/>
      <c r="K717" s="63"/>
      <c r="L717" s="75"/>
      <c r="M717" s="76"/>
      <c r="N717" s="76"/>
      <c r="O717" s="78"/>
      <c r="P717" s="78"/>
      <c r="Q717" s="63"/>
      <c r="R717" s="63"/>
      <c r="S717" s="63"/>
      <c r="T717" s="63"/>
      <c r="U717" s="63"/>
      <c r="V717" s="63"/>
      <c r="W717" s="63"/>
      <c r="X717" s="63"/>
      <c r="Y717" s="63"/>
      <c r="Z717" s="63"/>
    </row>
    <row r="718" spans="1:26" ht="17.25" customHeight="1" x14ac:dyDescent="0.2">
      <c r="A718" s="75"/>
      <c r="B718" s="63"/>
      <c r="C718" s="63"/>
      <c r="D718" s="76"/>
      <c r="E718" s="75"/>
      <c r="F718" s="76"/>
      <c r="G718" s="63"/>
      <c r="H718" s="63"/>
      <c r="I718" s="76"/>
      <c r="J718" s="75"/>
      <c r="K718" s="63"/>
      <c r="L718" s="75"/>
      <c r="M718" s="76"/>
      <c r="N718" s="76"/>
      <c r="O718" s="78"/>
      <c r="P718" s="78"/>
      <c r="Q718" s="63"/>
      <c r="R718" s="63"/>
      <c r="S718" s="63"/>
      <c r="T718" s="63"/>
      <c r="U718" s="63"/>
      <c r="V718" s="63"/>
      <c r="W718" s="63"/>
      <c r="X718" s="63"/>
      <c r="Y718" s="63"/>
      <c r="Z718" s="63"/>
    </row>
    <row r="719" spans="1:26" ht="17.25" customHeight="1" x14ac:dyDescent="0.2">
      <c r="A719" s="75"/>
      <c r="B719" s="63"/>
      <c r="C719" s="63"/>
      <c r="D719" s="76"/>
      <c r="E719" s="75"/>
      <c r="F719" s="76"/>
      <c r="G719" s="63"/>
      <c r="H719" s="63"/>
      <c r="I719" s="76"/>
      <c r="J719" s="75"/>
      <c r="K719" s="63"/>
      <c r="L719" s="75"/>
      <c r="M719" s="76"/>
      <c r="N719" s="76"/>
      <c r="O719" s="78"/>
      <c r="P719" s="78"/>
      <c r="Q719" s="63"/>
      <c r="R719" s="63"/>
      <c r="S719" s="63"/>
      <c r="T719" s="63"/>
      <c r="U719" s="63"/>
      <c r="V719" s="63"/>
      <c r="W719" s="63"/>
      <c r="X719" s="63"/>
      <c r="Y719" s="63"/>
      <c r="Z719" s="63"/>
    </row>
    <row r="720" spans="1:26" ht="17.25" customHeight="1" x14ac:dyDescent="0.2">
      <c r="A720" s="75"/>
      <c r="B720" s="63"/>
      <c r="C720" s="63"/>
      <c r="D720" s="76"/>
      <c r="E720" s="75"/>
      <c r="F720" s="76"/>
      <c r="G720" s="63"/>
      <c r="H720" s="63"/>
      <c r="I720" s="76"/>
      <c r="J720" s="75"/>
      <c r="K720" s="63"/>
      <c r="L720" s="75"/>
      <c r="M720" s="76"/>
      <c r="N720" s="76"/>
      <c r="O720" s="78"/>
      <c r="P720" s="78"/>
      <c r="Q720" s="63"/>
      <c r="R720" s="63"/>
      <c r="S720" s="63"/>
      <c r="T720" s="63"/>
      <c r="U720" s="63"/>
      <c r="V720" s="63"/>
      <c r="W720" s="63"/>
      <c r="X720" s="63"/>
      <c r="Y720" s="63"/>
      <c r="Z720" s="63"/>
    </row>
    <row r="721" spans="1:26" ht="17.25" customHeight="1" x14ac:dyDescent="0.2">
      <c r="A721" s="75"/>
      <c r="B721" s="63"/>
      <c r="C721" s="63"/>
      <c r="D721" s="76"/>
      <c r="E721" s="75"/>
      <c r="F721" s="76"/>
      <c r="G721" s="63"/>
      <c r="H721" s="63"/>
      <c r="I721" s="76"/>
      <c r="J721" s="75"/>
      <c r="K721" s="63"/>
      <c r="L721" s="75"/>
      <c r="M721" s="76"/>
      <c r="N721" s="76"/>
      <c r="O721" s="78"/>
      <c r="P721" s="78"/>
      <c r="Q721" s="63"/>
      <c r="R721" s="63"/>
      <c r="S721" s="63"/>
      <c r="T721" s="63"/>
      <c r="U721" s="63"/>
      <c r="V721" s="63"/>
      <c r="W721" s="63"/>
      <c r="X721" s="63"/>
      <c r="Y721" s="63"/>
      <c r="Z721" s="63"/>
    </row>
    <row r="722" spans="1:26" ht="17.25" customHeight="1" x14ac:dyDescent="0.2">
      <c r="A722" s="75"/>
      <c r="B722" s="63"/>
      <c r="C722" s="63"/>
      <c r="D722" s="76"/>
      <c r="E722" s="75"/>
      <c r="F722" s="76"/>
      <c r="G722" s="63"/>
      <c r="H722" s="63"/>
      <c r="I722" s="76"/>
      <c r="J722" s="75"/>
      <c r="K722" s="63"/>
      <c r="L722" s="75"/>
      <c r="M722" s="76"/>
      <c r="N722" s="76"/>
      <c r="O722" s="78"/>
      <c r="P722" s="78"/>
      <c r="Q722" s="63"/>
      <c r="R722" s="63"/>
      <c r="S722" s="63"/>
      <c r="T722" s="63"/>
      <c r="U722" s="63"/>
      <c r="V722" s="63"/>
      <c r="W722" s="63"/>
      <c r="X722" s="63"/>
      <c r="Y722" s="63"/>
      <c r="Z722" s="63"/>
    </row>
    <row r="723" spans="1:26" ht="17.25" customHeight="1" x14ac:dyDescent="0.2">
      <c r="A723" s="75"/>
      <c r="B723" s="63"/>
      <c r="C723" s="63"/>
      <c r="D723" s="76"/>
      <c r="E723" s="75"/>
      <c r="F723" s="76"/>
      <c r="G723" s="63"/>
      <c r="H723" s="63"/>
      <c r="I723" s="76"/>
      <c r="J723" s="75"/>
      <c r="K723" s="63"/>
      <c r="L723" s="75"/>
      <c r="M723" s="76"/>
      <c r="N723" s="76"/>
      <c r="O723" s="78"/>
      <c r="P723" s="78"/>
      <c r="Q723" s="63"/>
      <c r="R723" s="63"/>
      <c r="S723" s="63"/>
      <c r="T723" s="63"/>
      <c r="U723" s="63"/>
      <c r="V723" s="63"/>
      <c r="W723" s="63"/>
      <c r="X723" s="63"/>
      <c r="Y723" s="63"/>
      <c r="Z723" s="63"/>
    </row>
    <row r="724" spans="1:26" ht="17.25" customHeight="1" x14ac:dyDescent="0.2">
      <c r="A724" s="75"/>
      <c r="B724" s="63"/>
      <c r="C724" s="63"/>
      <c r="D724" s="76"/>
      <c r="E724" s="75"/>
      <c r="F724" s="76"/>
      <c r="G724" s="63"/>
      <c r="H724" s="63"/>
      <c r="I724" s="76"/>
      <c r="J724" s="75"/>
      <c r="K724" s="63"/>
      <c r="L724" s="75"/>
      <c r="M724" s="76"/>
      <c r="N724" s="76"/>
      <c r="O724" s="78"/>
      <c r="P724" s="78"/>
      <c r="Q724" s="63"/>
      <c r="R724" s="63"/>
      <c r="S724" s="63"/>
      <c r="T724" s="63"/>
      <c r="U724" s="63"/>
      <c r="V724" s="63"/>
      <c r="W724" s="63"/>
      <c r="X724" s="63"/>
      <c r="Y724" s="63"/>
      <c r="Z724" s="63"/>
    </row>
    <row r="725" spans="1:26" ht="17.25" customHeight="1" x14ac:dyDescent="0.2">
      <c r="A725" s="75"/>
      <c r="B725" s="63"/>
      <c r="C725" s="63"/>
      <c r="D725" s="76"/>
      <c r="E725" s="75"/>
      <c r="F725" s="76"/>
      <c r="G725" s="63"/>
      <c r="H725" s="63"/>
      <c r="I725" s="76"/>
      <c r="J725" s="75"/>
      <c r="K725" s="63"/>
      <c r="L725" s="75"/>
      <c r="M725" s="76"/>
      <c r="N725" s="76"/>
      <c r="O725" s="78"/>
      <c r="P725" s="78"/>
      <c r="Q725" s="63"/>
      <c r="R725" s="63"/>
      <c r="S725" s="63"/>
      <c r="T725" s="63"/>
      <c r="U725" s="63"/>
      <c r="V725" s="63"/>
      <c r="W725" s="63"/>
      <c r="X725" s="63"/>
      <c r="Y725" s="63"/>
      <c r="Z725" s="63"/>
    </row>
    <row r="726" spans="1:26" ht="17.25" customHeight="1" x14ac:dyDescent="0.2">
      <c r="A726" s="75"/>
      <c r="B726" s="63"/>
      <c r="C726" s="63"/>
      <c r="D726" s="76"/>
      <c r="E726" s="75"/>
      <c r="F726" s="76"/>
      <c r="G726" s="63"/>
      <c r="H726" s="63"/>
      <c r="I726" s="76"/>
      <c r="J726" s="75"/>
      <c r="K726" s="63"/>
      <c r="L726" s="75"/>
      <c r="M726" s="76"/>
      <c r="N726" s="76"/>
      <c r="O726" s="78"/>
      <c r="P726" s="78"/>
      <c r="Q726" s="63"/>
      <c r="R726" s="63"/>
      <c r="S726" s="63"/>
      <c r="T726" s="63"/>
      <c r="U726" s="63"/>
      <c r="V726" s="63"/>
      <c r="W726" s="63"/>
      <c r="X726" s="63"/>
      <c r="Y726" s="63"/>
      <c r="Z726" s="63"/>
    </row>
    <row r="727" spans="1:26" ht="17.25" customHeight="1" x14ac:dyDescent="0.2">
      <c r="A727" s="75"/>
      <c r="B727" s="63"/>
      <c r="C727" s="63"/>
      <c r="D727" s="76"/>
      <c r="E727" s="75"/>
      <c r="F727" s="76"/>
      <c r="G727" s="63"/>
      <c r="H727" s="63"/>
      <c r="I727" s="76"/>
      <c r="J727" s="75"/>
      <c r="K727" s="63"/>
      <c r="L727" s="75"/>
      <c r="M727" s="76"/>
      <c r="N727" s="76"/>
      <c r="O727" s="78"/>
      <c r="P727" s="78"/>
      <c r="Q727" s="63"/>
      <c r="R727" s="63"/>
      <c r="S727" s="63"/>
      <c r="T727" s="63"/>
      <c r="U727" s="63"/>
      <c r="V727" s="63"/>
      <c r="W727" s="63"/>
      <c r="X727" s="63"/>
      <c r="Y727" s="63"/>
      <c r="Z727" s="63"/>
    </row>
    <row r="728" spans="1:26" ht="17.25" customHeight="1" x14ac:dyDescent="0.2">
      <c r="A728" s="75"/>
      <c r="B728" s="63"/>
      <c r="C728" s="63"/>
      <c r="D728" s="76"/>
      <c r="E728" s="75"/>
      <c r="F728" s="76"/>
      <c r="G728" s="63"/>
      <c r="H728" s="63"/>
      <c r="I728" s="76"/>
      <c r="J728" s="75"/>
      <c r="K728" s="63"/>
      <c r="L728" s="75"/>
      <c r="M728" s="76"/>
      <c r="N728" s="76"/>
      <c r="O728" s="78"/>
      <c r="P728" s="78"/>
      <c r="Q728" s="63"/>
      <c r="R728" s="63"/>
      <c r="S728" s="63"/>
      <c r="T728" s="63"/>
      <c r="U728" s="63"/>
      <c r="V728" s="63"/>
      <c r="W728" s="63"/>
      <c r="X728" s="63"/>
      <c r="Y728" s="63"/>
      <c r="Z728" s="63"/>
    </row>
    <row r="729" spans="1:26" ht="17.25" customHeight="1" x14ac:dyDescent="0.2">
      <c r="A729" s="75"/>
      <c r="B729" s="63"/>
      <c r="C729" s="63"/>
      <c r="D729" s="76"/>
      <c r="E729" s="75"/>
      <c r="F729" s="76"/>
      <c r="G729" s="63"/>
      <c r="H729" s="63"/>
      <c r="I729" s="76"/>
      <c r="J729" s="75"/>
      <c r="K729" s="63"/>
      <c r="L729" s="75"/>
      <c r="M729" s="76"/>
      <c r="N729" s="76"/>
      <c r="O729" s="78"/>
      <c r="P729" s="78"/>
      <c r="Q729" s="63"/>
      <c r="R729" s="63"/>
      <c r="S729" s="63"/>
      <c r="T729" s="63"/>
      <c r="U729" s="63"/>
      <c r="V729" s="63"/>
      <c r="W729" s="63"/>
      <c r="X729" s="63"/>
      <c r="Y729" s="63"/>
      <c r="Z729" s="63"/>
    </row>
    <row r="730" spans="1:26" ht="17.25" customHeight="1" x14ac:dyDescent="0.2">
      <c r="A730" s="75"/>
      <c r="B730" s="63"/>
      <c r="C730" s="63"/>
      <c r="D730" s="76"/>
      <c r="E730" s="75"/>
      <c r="F730" s="76"/>
      <c r="G730" s="63"/>
      <c r="H730" s="63"/>
      <c r="I730" s="76"/>
      <c r="J730" s="75"/>
      <c r="K730" s="63"/>
      <c r="L730" s="75"/>
      <c r="M730" s="76"/>
      <c r="N730" s="76"/>
      <c r="O730" s="78"/>
      <c r="P730" s="78"/>
      <c r="Q730" s="63"/>
      <c r="R730" s="63"/>
      <c r="S730" s="63"/>
      <c r="T730" s="63"/>
      <c r="U730" s="63"/>
      <c r="V730" s="63"/>
      <c r="W730" s="63"/>
      <c r="X730" s="63"/>
      <c r="Y730" s="63"/>
      <c r="Z730" s="63"/>
    </row>
    <row r="731" spans="1:26" ht="17.25" customHeight="1" x14ac:dyDescent="0.2">
      <c r="A731" s="75"/>
      <c r="B731" s="63"/>
      <c r="C731" s="63"/>
      <c r="D731" s="76"/>
      <c r="E731" s="75"/>
      <c r="F731" s="76"/>
      <c r="G731" s="63"/>
      <c r="H731" s="63"/>
      <c r="I731" s="76"/>
      <c r="J731" s="75"/>
      <c r="K731" s="63"/>
      <c r="L731" s="75"/>
      <c r="M731" s="76"/>
      <c r="N731" s="76"/>
      <c r="O731" s="78"/>
      <c r="P731" s="78"/>
      <c r="Q731" s="63"/>
      <c r="R731" s="63"/>
      <c r="S731" s="63"/>
      <c r="T731" s="63"/>
      <c r="U731" s="63"/>
      <c r="V731" s="63"/>
      <c r="W731" s="63"/>
      <c r="X731" s="63"/>
      <c r="Y731" s="63"/>
      <c r="Z731" s="63"/>
    </row>
    <row r="732" spans="1:26" ht="17.25" customHeight="1" x14ac:dyDescent="0.2">
      <c r="A732" s="75"/>
      <c r="B732" s="63"/>
      <c r="C732" s="63"/>
      <c r="D732" s="76"/>
      <c r="E732" s="75"/>
      <c r="F732" s="76"/>
      <c r="G732" s="63"/>
      <c r="H732" s="63"/>
      <c r="I732" s="76"/>
      <c r="J732" s="75"/>
      <c r="K732" s="63"/>
      <c r="L732" s="75"/>
      <c r="M732" s="76"/>
      <c r="N732" s="76"/>
      <c r="O732" s="78"/>
      <c r="P732" s="78"/>
      <c r="Q732" s="63"/>
      <c r="R732" s="63"/>
      <c r="S732" s="63"/>
      <c r="T732" s="63"/>
      <c r="U732" s="63"/>
      <c r="V732" s="63"/>
      <c r="W732" s="63"/>
      <c r="X732" s="63"/>
      <c r="Y732" s="63"/>
      <c r="Z732" s="63"/>
    </row>
    <row r="733" spans="1:26" ht="17.25" customHeight="1" x14ac:dyDescent="0.2">
      <c r="A733" s="75"/>
      <c r="B733" s="63"/>
      <c r="C733" s="63"/>
      <c r="D733" s="76"/>
      <c r="E733" s="75"/>
      <c r="F733" s="76"/>
      <c r="G733" s="63"/>
      <c r="H733" s="63"/>
      <c r="I733" s="76"/>
      <c r="J733" s="75"/>
      <c r="K733" s="63"/>
      <c r="L733" s="75"/>
      <c r="M733" s="76"/>
      <c r="N733" s="76"/>
      <c r="O733" s="78"/>
      <c r="P733" s="78"/>
      <c r="Q733" s="63"/>
      <c r="R733" s="63"/>
      <c r="S733" s="63"/>
      <c r="T733" s="63"/>
      <c r="U733" s="63"/>
      <c r="V733" s="63"/>
      <c r="W733" s="63"/>
      <c r="X733" s="63"/>
      <c r="Y733" s="63"/>
      <c r="Z733" s="63"/>
    </row>
    <row r="734" spans="1:26" ht="17.25" customHeight="1" x14ac:dyDescent="0.2">
      <c r="A734" s="75"/>
      <c r="B734" s="63"/>
      <c r="C734" s="63"/>
      <c r="D734" s="76"/>
      <c r="E734" s="75"/>
      <c r="F734" s="76"/>
      <c r="G734" s="63"/>
      <c r="H734" s="63"/>
      <c r="I734" s="76"/>
      <c r="J734" s="75"/>
      <c r="K734" s="63"/>
      <c r="L734" s="75"/>
      <c r="M734" s="76"/>
      <c r="N734" s="76"/>
      <c r="O734" s="78"/>
      <c r="P734" s="78"/>
      <c r="Q734" s="63"/>
      <c r="R734" s="63"/>
      <c r="S734" s="63"/>
      <c r="T734" s="63"/>
      <c r="U734" s="63"/>
      <c r="V734" s="63"/>
      <c r="W734" s="63"/>
      <c r="X734" s="63"/>
      <c r="Y734" s="63"/>
      <c r="Z734" s="63"/>
    </row>
    <row r="735" spans="1:26" ht="17.25" customHeight="1" x14ac:dyDescent="0.2">
      <c r="A735" s="75"/>
      <c r="B735" s="63"/>
      <c r="C735" s="63"/>
      <c r="D735" s="76"/>
      <c r="E735" s="75"/>
      <c r="F735" s="76"/>
      <c r="G735" s="63"/>
      <c r="H735" s="63"/>
      <c r="I735" s="76"/>
      <c r="J735" s="75"/>
      <c r="K735" s="63"/>
      <c r="L735" s="75"/>
      <c r="M735" s="76"/>
      <c r="N735" s="76"/>
      <c r="O735" s="78"/>
      <c r="P735" s="78"/>
      <c r="Q735" s="63"/>
      <c r="R735" s="63"/>
      <c r="S735" s="63"/>
      <c r="T735" s="63"/>
      <c r="U735" s="63"/>
      <c r="V735" s="63"/>
      <c r="W735" s="63"/>
      <c r="X735" s="63"/>
      <c r="Y735" s="63"/>
      <c r="Z735" s="63"/>
    </row>
    <row r="736" spans="1:26" ht="17.25" customHeight="1" x14ac:dyDescent="0.2">
      <c r="A736" s="75"/>
      <c r="B736" s="63"/>
      <c r="C736" s="63"/>
      <c r="D736" s="76"/>
      <c r="E736" s="75"/>
      <c r="F736" s="76"/>
      <c r="G736" s="63"/>
      <c r="H736" s="63"/>
      <c r="I736" s="76"/>
      <c r="J736" s="75"/>
      <c r="K736" s="63"/>
      <c r="L736" s="75"/>
      <c r="M736" s="76"/>
      <c r="N736" s="76"/>
      <c r="O736" s="78"/>
      <c r="P736" s="78"/>
      <c r="Q736" s="63"/>
      <c r="R736" s="63"/>
      <c r="S736" s="63"/>
      <c r="T736" s="63"/>
      <c r="U736" s="63"/>
      <c r="V736" s="63"/>
      <c r="W736" s="63"/>
      <c r="X736" s="63"/>
      <c r="Y736" s="63"/>
      <c r="Z736" s="63"/>
    </row>
    <row r="737" spans="1:26" ht="17.25" customHeight="1" x14ac:dyDescent="0.2">
      <c r="A737" s="75"/>
      <c r="B737" s="63"/>
      <c r="C737" s="63"/>
      <c r="D737" s="76"/>
      <c r="E737" s="75"/>
      <c r="F737" s="76"/>
      <c r="G737" s="63"/>
      <c r="H737" s="63"/>
      <c r="I737" s="76"/>
      <c r="J737" s="75"/>
      <c r="K737" s="63"/>
      <c r="L737" s="75"/>
      <c r="M737" s="76"/>
      <c r="N737" s="76"/>
      <c r="O737" s="78"/>
      <c r="P737" s="78"/>
      <c r="Q737" s="63"/>
      <c r="R737" s="63"/>
      <c r="S737" s="63"/>
      <c r="T737" s="63"/>
      <c r="U737" s="63"/>
      <c r="V737" s="63"/>
      <c r="W737" s="63"/>
      <c r="X737" s="63"/>
      <c r="Y737" s="63"/>
      <c r="Z737" s="63"/>
    </row>
    <row r="738" spans="1:26" ht="17.25" customHeight="1" x14ac:dyDescent="0.2">
      <c r="A738" s="75"/>
      <c r="B738" s="63"/>
      <c r="C738" s="63"/>
      <c r="D738" s="76"/>
      <c r="E738" s="75"/>
      <c r="F738" s="76"/>
      <c r="G738" s="63"/>
      <c r="H738" s="63"/>
      <c r="I738" s="76"/>
      <c r="J738" s="75"/>
      <c r="K738" s="63"/>
      <c r="L738" s="75"/>
      <c r="M738" s="76"/>
      <c r="N738" s="76"/>
      <c r="O738" s="78"/>
      <c r="P738" s="78"/>
      <c r="Q738" s="63"/>
      <c r="R738" s="63"/>
      <c r="S738" s="63"/>
      <c r="T738" s="63"/>
      <c r="U738" s="63"/>
      <c r="V738" s="63"/>
      <c r="W738" s="63"/>
      <c r="X738" s="63"/>
      <c r="Y738" s="63"/>
      <c r="Z738" s="63"/>
    </row>
    <row r="739" spans="1:26" ht="17.25" customHeight="1" x14ac:dyDescent="0.2">
      <c r="A739" s="75"/>
      <c r="B739" s="63"/>
      <c r="C739" s="63"/>
      <c r="D739" s="76"/>
      <c r="E739" s="75"/>
      <c r="F739" s="76"/>
      <c r="G739" s="63"/>
      <c r="H739" s="63"/>
      <c r="I739" s="76"/>
      <c r="J739" s="75"/>
      <c r="K739" s="63"/>
      <c r="L739" s="75"/>
      <c r="M739" s="76"/>
      <c r="N739" s="76"/>
      <c r="O739" s="78"/>
      <c r="P739" s="78"/>
      <c r="Q739" s="63"/>
      <c r="R739" s="63"/>
      <c r="S739" s="63"/>
      <c r="T739" s="63"/>
      <c r="U739" s="63"/>
      <c r="V739" s="63"/>
      <c r="W739" s="63"/>
      <c r="X739" s="63"/>
      <c r="Y739" s="63"/>
      <c r="Z739" s="63"/>
    </row>
    <row r="740" spans="1:26" ht="17.25" customHeight="1" x14ac:dyDescent="0.2">
      <c r="A740" s="75"/>
      <c r="B740" s="63"/>
      <c r="C740" s="63"/>
      <c r="D740" s="76"/>
      <c r="E740" s="75"/>
      <c r="F740" s="76"/>
      <c r="G740" s="63"/>
      <c r="H740" s="63"/>
      <c r="I740" s="76"/>
      <c r="J740" s="75"/>
      <c r="K740" s="63"/>
      <c r="L740" s="75"/>
      <c r="M740" s="76"/>
      <c r="N740" s="76"/>
      <c r="O740" s="78"/>
      <c r="P740" s="78"/>
      <c r="Q740" s="63"/>
      <c r="R740" s="63"/>
      <c r="S740" s="63"/>
      <c r="T740" s="63"/>
      <c r="U740" s="63"/>
      <c r="V740" s="63"/>
      <c r="W740" s="63"/>
      <c r="X740" s="63"/>
      <c r="Y740" s="63"/>
      <c r="Z740" s="63"/>
    </row>
    <row r="741" spans="1:26" ht="17.25" customHeight="1" x14ac:dyDescent="0.2">
      <c r="A741" s="75"/>
      <c r="B741" s="63"/>
      <c r="C741" s="63"/>
      <c r="D741" s="76"/>
      <c r="E741" s="75"/>
      <c r="F741" s="76"/>
      <c r="G741" s="63"/>
      <c r="H741" s="63"/>
      <c r="I741" s="76"/>
      <c r="J741" s="75"/>
      <c r="K741" s="63"/>
      <c r="L741" s="75"/>
      <c r="M741" s="76"/>
      <c r="N741" s="76"/>
      <c r="O741" s="78"/>
      <c r="P741" s="78"/>
      <c r="Q741" s="63"/>
      <c r="R741" s="63"/>
      <c r="S741" s="63"/>
      <c r="T741" s="63"/>
      <c r="U741" s="63"/>
      <c r="V741" s="63"/>
      <c r="W741" s="63"/>
      <c r="X741" s="63"/>
      <c r="Y741" s="63"/>
      <c r="Z741" s="63"/>
    </row>
    <row r="742" spans="1:26" ht="17.25" customHeight="1" x14ac:dyDescent="0.2">
      <c r="A742" s="75"/>
      <c r="B742" s="63"/>
      <c r="C742" s="63"/>
      <c r="D742" s="76"/>
      <c r="E742" s="75"/>
      <c r="F742" s="76"/>
      <c r="G742" s="63"/>
      <c r="H742" s="63"/>
      <c r="I742" s="76"/>
      <c r="J742" s="75"/>
      <c r="K742" s="63"/>
      <c r="L742" s="75"/>
      <c r="M742" s="76"/>
      <c r="N742" s="76"/>
      <c r="O742" s="78"/>
      <c r="P742" s="78"/>
      <c r="Q742" s="63"/>
      <c r="R742" s="63"/>
      <c r="S742" s="63"/>
      <c r="T742" s="63"/>
      <c r="U742" s="63"/>
      <c r="V742" s="63"/>
      <c r="W742" s="63"/>
      <c r="X742" s="63"/>
      <c r="Y742" s="63"/>
      <c r="Z742" s="63"/>
    </row>
    <row r="743" spans="1:26" ht="17.25" customHeight="1" x14ac:dyDescent="0.2">
      <c r="A743" s="75"/>
      <c r="B743" s="63"/>
      <c r="C743" s="63"/>
      <c r="D743" s="76"/>
      <c r="E743" s="75"/>
      <c r="F743" s="76"/>
      <c r="G743" s="63"/>
      <c r="H743" s="63"/>
      <c r="I743" s="76"/>
      <c r="J743" s="75"/>
      <c r="K743" s="63"/>
      <c r="L743" s="75"/>
      <c r="M743" s="76"/>
      <c r="N743" s="76"/>
      <c r="O743" s="78"/>
      <c r="P743" s="78"/>
      <c r="Q743" s="63"/>
      <c r="R743" s="63"/>
      <c r="S743" s="63"/>
      <c r="T743" s="63"/>
      <c r="U743" s="63"/>
      <c r="V743" s="63"/>
      <c r="W743" s="63"/>
      <c r="X743" s="63"/>
      <c r="Y743" s="63"/>
      <c r="Z743" s="63"/>
    </row>
    <row r="744" spans="1:26" ht="17.25" customHeight="1" x14ac:dyDescent="0.2">
      <c r="A744" s="75"/>
      <c r="B744" s="63"/>
      <c r="C744" s="63"/>
      <c r="D744" s="76"/>
      <c r="E744" s="75"/>
      <c r="F744" s="76"/>
      <c r="G744" s="63"/>
      <c r="H744" s="63"/>
      <c r="I744" s="76"/>
      <c r="J744" s="75"/>
      <c r="K744" s="63"/>
      <c r="L744" s="75"/>
      <c r="M744" s="76"/>
      <c r="N744" s="76"/>
      <c r="O744" s="78"/>
      <c r="P744" s="78"/>
      <c r="Q744" s="63"/>
      <c r="R744" s="63"/>
      <c r="S744" s="63"/>
      <c r="T744" s="63"/>
      <c r="U744" s="63"/>
      <c r="V744" s="63"/>
      <c r="W744" s="63"/>
      <c r="X744" s="63"/>
      <c r="Y744" s="63"/>
      <c r="Z744" s="63"/>
    </row>
    <row r="745" spans="1:26" ht="17.25" customHeight="1" x14ac:dyDescent="0.2">
      <c r="A745" s="75"/>
      <c r="B745" s="63"/>
      <c r="C745" s="63"/>
      <c r="D745" s="76"/>
      <c r="E745" s="75"/>
      <c r="F745" s="76"/>
      <c r="G745" s="63"/>
      <c r="H745" s="63"/>
      <c r="I745" s="76"/>
      <c r="J745" s="75"/>
      <c r="K745" s="63"/>
      <c r="L745" s="75"/>
      <c r="M745" s="76"/>
      <c r="N745" s="76"/>
      <c r="O745" s="78"/>
      <c r="P745" s="78"/>
      <c r="Q745" s="63"/>
      <c r="R745" s="63"/>
      <c r="S745" s="63"/>
      <c r="T745" s="63"/>
      <c r="U745" s="63"/>
      <c r="V745" s="63"/>
      <c r="W745" s="63"/>
      <c r="X745" s="63"/>
      <c r="Y745" s="63"/>
      <c r="Z745" s="63"/>
    </row>
    <row r="746" spans="1:26" ht="17.25" customHeight="1" x14ac:dyDescent="0.2">
      <c r="A746" s="75"/>
      <c r="B746" s="63"/>
      <c r="C746" s="63"/>
      <c r="D746" s="76"/>
      <c r="E746" s="75"/>
      <c r="F746" s="76"/>
      <c r="G746" s="63"/>
      <c r="H746" s="63"/>
      <c r="I746" s="76"/>
      <c r="J746" s="75"/>
      <c r="K746" s="63"/>
      <c r="L746" s="75"/>
      <c r="M746" s="76"/>
      <c r="N746" s="76"/>
      <c r="O746" s="78"/>
      <c r="P746" s="78"/>
      <c r="Q746" s="63"/>
      <c r="R746" s="63"/>
      <c r="S746" s="63"/>
      <c r="T746" s="63"/>
      <c r="U746" s="63"/>
      <c r="V746" s="63"/>
      <c r="W746" s="63"/>
      <c r="X746" s="63"/>
      <c r="Y746" s="63"/>
      <c r="Z746" s="63"/>
    </row>
    <row r="747" spans="1:26" ht="17.25" customHeight="1" x14ac:dyDescent="0.2">
      <c r="A747" s="75"/>
      <c r="B747" s="63"/>
      <c r="C747" s="63"/>
      <c r="D747" s="76"/>
      <c r="E747" s="75"/>
      <c r="F747" s="76"/>
      <c r="G747" s="63"/>
      <c r="H747" s="63"/>
      <c r="I747" s="76"/>
      <c r="J747" s="75"/>
      <c r="K747" s="63"/>
      <c r="L747" s="75"/>
      <c r="M747" s="76"/>
      <c r="N747" s="76"/>
      <c r="O747" s="78"/>
      <c r="P747" s="78"/>
      <c r="Q747" s="63"/>
      <c r="R747" s="63"/>
      <c r="S747" s="63"/>
      <c r="T747" s="63"/>
      <c r="U747" s="63"/>
      <c r="V747" s="63"/>
      <c r="W747" s="63"/>
      <c r="X747" s="63"/>
      <c r="Y747" s="63"/>
      <c r="Z747" s="63"/>
    </row>
    <row r="748" spans="1:26" ht="17.25" customHeight="1" x14ac:dyDescent="0.2">
      <c r="A748" s="75"/>
      <c r="B748" s="63"/>
      <c r="C748" s="63"/>
      <c r="D748" s="76"/>
      <c r="E748" s="75"/>
      <c r="F748" s="76"/>
      <c r="G748" s="63"/>
      <c r="H748" s="63"/>
      <c r="I748" s="76"/>
      <c r="J748" s="75"/>
      <c r="K748" s="63"/>
      <c r="L748" s="75"/>
      <c r="M748" s="76"/>
      <c r="N748" s="76"/>
      <c r="O748" s="78"/>
      <c r="P748" s="78"/>
      <c r="Q748" s="63"/>
      <c r="R748" s="63"/>
      <c r="S748" s="63"/>
      <c r="T748" s="63"/>
      <c r="U748" s="63"/>
      <c r="V748" s="63"/>
      <c r="W748" s="63"/>
      <c r="X748" s="63"/>
      <c r="Y748" s="63"/>
      <c r="Z748" s="63"/>
    </row>
    <row r="749" spans="1:26" ht="17.25" customHeight="1" x14ac:dyDescent="0.2">
      <c r="A749" s="75"/>
      <c r="B749" s="63"/>
      <c r="C749" s="63"/>
      <c r="D749" s="76"/>
      <c r="E749" s="75"/>
      <c r="F749" s="76"/>
      <c r="G749" s="63"/>
      <c r="H749" s="63"/>
      <c r="I749" s="76"/>
      <c r="J749" s="75"/>
      <c r="K749" s="63"/>
      <c r="L749" s="75"/>
      <c r="M749" s="76"/>
      <c r="N749" s="76"/>
      <c r="O749" s="78"/>
      <c r="P749" s="78"/>
      <c r="Q749" s="63"/>
      <c r="R749" s="63"/>
      <c r="S749" s="63"/>
      <c r="T749" s="63"/>
      <c r="U749" s="63"/>
      <c r="V749" s="63"/>
      <c r="W749" s="63"/>
      <c r="X749" s="63"/>
      <c r="Y749" s="63"/>
      <c r="Z749" s="63"/>
    </row>
    <row r="750" spans="1:26" ht="17.25" customHeight="1" x14ac:dyDescent="0.2">
      <c r="A750" s="75"/>
      <c r="B750" s="63"/>
      <c r="C750" s="63"/>
      <c r="D750" s="76"/>
      <c r="E750" s="75"/>
      <c r="F750" s="76"/>
      <c r="G750" s="63"/>
      <c r="H750" s="63"/>
      <c r="I750" s="76"/>
      <c r="J750" s="75"/>
      <c r="K750" s="63"/>
      <c r="L750" s="75"/>
      <c r="M750" s="76"/>
      <c r="N750" s="76"/>
      <c r="O750" s="78"/>
      <c r="P750" s="78"/>
      <c r="Q750" s="63"/>
      <c r="R750" s="63"/>
      <c r="S750" s="63"/>
      <c r="T750" s="63"/>
      <c r="U750" s="63"/>
      <c r="V750" s="63"/>
      <c r="W750" s="63"/>
      <c r="X750" s="63"/>
      <c r="Y750" s="63"/>
      <c r="Z750" s="63"/>
    </row>
    <row r="751" spans="1:26" ht="17.25" customHeight="1" x14ac:dyDescent="0.2">
      <c r="A751" s="75"/>
      <c r="B751" s="63"/>
      <c r="C751" s="63"/>
      <c r="D751" s="76"/>
      <c r="E751" s="75"/>
      <c r="F751" s="76"/>
      <c r="G751" s="63"/>
      <c r="H751" s="63"/>
      <c r="I751" s="76"/>
      <c r="J751" s="75"/>
      <c r="K751" s="63"/>
      <c r="L751" s="75"/>
      <c r="M751" s="76"/>
      <c r="N751" s="76"/>
      <c r="O751" s="78"/>
      <c r="P751" s="78"/>
      <c r="Q751" s="63"/>
      <c r="R751" s="63"/>
      <c r="S751" s="63"/>
      <c r="T751" s="63"/>
      <c r="U751" s="63"/>
      <c r="V751" s="63"/>
      <c r="W751" s="63"/>
      <c r="X751" s="63"/>
      <c r="Y751" s="63"/>
      <c r="Z751" s="63"/>
    </row>
    <row r="752" spans="1:26" ht="17.25" customHeight="1" x14ac:dyDescent="0.2">
      <c r="A752" s="75"/>
      <c r="B752" s="63"/>
      <c r="C752" s="63"/>
      <c r="D752" s="76"/>
      <c r="E752" s="75"/>
      <c r="F752" s="76"/>
      <c r="G752" s="63"/>
      <c r="H752" s="63"/>
      <c r="I752" s="76"/>
      <c r="J752" s="75"/>
      <c r="K752" s="63"/>
      <c r="L752" s="75"/>
      <c r="M752" s="76"/>
      <c r="N752" s="76"/>
      <c r="O752" s="78"/>
      <c r="P752" s="78"/>
      <c r="Q752" s="63"/>
      <c r="R752" s="63"/>
      <c r="S752" s="63"/>
      <c r="T752" s="63"/>
      <c r="U752" s="63"/>
      <c r="V752" s="63"/>
      <c r="W752" s="63"/>
      <c r="X752" s="63"/>
      <c r="Y752" s="63"/>
      <c r="Z752" s="63"/>
    </row>
    <row r="753" spans="1:26" ht="17.25" customHeight="1" x14ac:dyDescent="0.2">
      <c r="A753" s="75"/>
      <c r="B753" s="63"/>
      <c r="C753" s="63"/>
      <c r="D753" s="76"/>
      <c r="E753" s="75"/>
      <c r="F753" s="76"/>
      <c r="G753" s="63"/>
      <c r="H753" s="63"/>
      <c r="I753" s="76"/>
      <c r="J753" s="75"/>
      <c r="K753" s="63"/>
      <c r="L753" s="75"/>
      <c r="M753" s="76"/>
      <c r="N753" s="76"/>
      <c r="O753" s="78"/>
      <c r="P753" s="78"/>
      <c r="Q753" s="63"/>
      <c r="R753" s="63"/>
      <c r="S753" s="63"/>
      <c r="T753" s="63"/>
      <c r="U753" s="63"/>
      <c r="V753" s="63"/>
      <c r="W753" s="63"/>
      <c r="X753" s="63"/>
      <c r="Y753" s="63"/>
      <c r="Z753" s="63"/>
    </row>
    <row r="754" spans="1:26" ht="17.25" customHeight="1" x14ac:dyDescent="0.2">
      <c r="A754" s="75"/>
      <c r="B754" s="63"/>
      <c r="C754" s="63"/>
      <c r="D754" s="76"/>
      <c r="E754" s="75"/>
      <c r="F754" s="76"/>
      <c r="G754" s="63"/>
      <c r="H754" s="63"/>
      <c r="I754" s="76"/>
      <c r="J754" s="75"/>
      <c r="K754" s="63"/>
      <c r="L754" s="75"/>
      <c r="M754" s="76"/>
      <c r="N754" s="76"/>
      <c r="O754" s="78"/>
      <c r="P754" s="78"/>
      <c r="Q754" s="63"/>
      <c r="R754" s="63"/>
      <c r="S754" s="63"/>
      <c r="T754" s="63"/>
      <c r="U754" s="63"/>
      <c r="V754" s="63"/>
      <c r="W754" s="63"/>
      <c r="X754" s="63"/>
      <c r="Y754" s="63"/>
      <c r="Z754" s="63"/>
    </row>
    <row r="755" spans="1:26" ht="17.25" customHeight="1" x14ac:dyDescent="0.2">
      <c r="A755" s="75"/>
      <c r="B755" s="63"/>
      <c r="C755" s="63"/>
      <c r="D755" s="76"/>
      <c r="E755" s="75"/>
      <c r="F755" s="76"/>
      <c r="G755" s="63"/>
      <c r="H755" s="63"/>
      <c r="I755" s="76"/>
      <c r="J755" s="75"/>
      <c r="K755" s="63"/>
      <c r="L755" s="75"/>
      <c r="M755" s="76"/>
      <c r="N755" s="76"/>
      <c r="O755" s="78"/>
      <c r="P755" s="78"/>
      <c r="Q755" s="63"/>
      <c r="R755" s="63"/>
      <c r="S755" s="63"/>
      <c r="T755" s="63"/>
      <c r="U755" s="63"/>
      <c r="V755" s="63"/>
      <c r="W755" s="63"/>
      <c r="X755" s="63"/>
      <c r="Y755" s="63"/>
      <c r="Z755" s="63"/>
    </row>
    <row r="756" spans="1:26" ht="17.25" customHeight="1" x14ac:dyDescent="0.2">
      <c r="A756" s="75"/>
      <c r="B756" s="63"/>
      <c r="C756" s="63"/>
      <c r="D756" s="76"/>
      <c r="E756" s="75"/>
      <c r="F756" s="76"/>
      <c r="G756" s="63"/>
      <c r="H756" s="63"/>
      <c r="I756" s="76"/>
      <c r="J756" s="75"/>
      <c r="K756" s="63"/>
      <c r="L756" s="75"/>
      <c r="M756" s="76"/>
      <c r="N756" s="76"/>
      <c r="O756" s="78"/>
      <c r="P756" s="78"/>
      <c r="Q756" s="63"/>
      <c r="R756" s="63"/>
      <c r="S756" s="63"/>
      <c r="T756" s="63"/>
      <c r="U756" s="63"/>
      <c r="V756" s="63"/>
      <c r="W756" s="63"/>
      <c r="X756" s="63"/>
      <c r="Y756" s="63"/>
      <c r="Z756" s="63"/>
    </row>
    <row r="757" spans="1:26" ht="17.25" customHeight="1" x14ac:dyDescent="0.2">
      <c r="A757" s="75"/>
      <c r="B757" s="63"/>
      <c r="C757" s="63"/>
      <c r="D757" s="76"/>
      <c r="E757" s="75"/>
      <c r="F757" s="76"/>
      <c r="G757" s="63"/>
      <c r="H757" s="63"/>
      <c r="I757" s="76"/>
      <c r="J757" s="75"/>
      <c r="K757" s="63"/>
      <c r="L757" s="75"/>
      <c r="M757" s="76"/>
      <c r="N757" s="76"/>
      <c r="O757" s="78"/>
      <c r="P757" s="78"/>
      <c r="Q757" s="63"/>
      <c r="R757" s="63"/>
      <c r="S757" s="63"/>
      <c r="T757" s="63"/>
      <c r="U757" s="63"/>
      <c r="V757" s="63"/>
      <c r="W757" s="63"/>
      <c r="X757" s="63"/>
      <c r="Y757" s="63"/>
      <c r="Z757" s="63"/>
    </row>
    <row r="758" spans="1:26" ht="17.25" customHeight="1" x14ac:dyDescent="0.2">
      <c r="A758" s="75"/>
      <c r="B758" s="63"/>
      <c r="C758" s="63"/>
      <c r="D758" s="76"/>
      <c r="E758" s="75"/>
      <c r="F758" s="76"/>
      <c r="G758" s="63"/>
      <c r="H758" s="63"/>
      <c r="I758" s="76"/>
      <c r="J758" s="75"/>
      <c r="K758" s="63"/>
      <c r="L758" s="75"/>
      <c r="M758" s="76"/>
      <c r="N758" s="76"/>
      <c r="O758" s="78"/>
      <c r="P758" s="78"/>
      <c r="Q758" s="63"/>
      <c r="R758" s="63"/>
      <c r="S758" s="63"/>
      <c r="T758" s="63"/>
      <c r="U758" s="63"/>
      <c r="V758" s="63"/>
      <c r="W758" s="63"/>
      <c r="X758" s="63"/>
      <c r="Y758" s="63"/>
      <c r="Z758" s="63"/>
    </row>
    <row r="759" spans="1:26" ht="17.25" customHeight="1" x14ac:dyDescent="0.2">
      <c r="A759" s="75"/>
      <c r="B759" s="63"/>
      <c r="C759" s="63"/>
      <c r="D759" s="76"/>
      <c r="E759" s="75"/>
      <c r="F759" s="76"/>
      <c r="G759" s="63"/>
      <c r="H759" s="63"/>
      <c r="I759" s="76"/>
      <c r="J759" s="75"/>
      <c r="K759" s="63"/>
      <c r="L759" s="75"/>
      <c r="M759" s="76"/>
      <c r="N759" s="76"/>
      <c r="O759" s="78"/>
      <c r="P759" s="78"/>
      <c r="Q759" s="63"/>
      <c r="R759" s="63"/>
      <c r="S759" s="63"/>
      <c r="T759" s="63"/>
      <c r="U759" s="63"/>
      <c r="V759" s="63"/>
      <c r="W759" s="63"/>
      <c r="X759" s="63"/>
      <c r="Y759" s="63"/>
      <c r="Z759" s="63"/>
    </row>
    <row r="760" spans="1:26" ht="17.25" customHeight="1" x14ac:dyDescent="0.2">
      <c r="A760" s="75"/>
      <c r="B760" s="63"/>
      <c r="C760" s="63"/>
      <c r="D760" s="76"/>
      <c r="E760" s="75"/>
      <c r="F760" s="76"/>
      <c r="G760" s="63"/>
      <c r="H760" s="63"/>
      <c r="I760" s="76"/>
      <c r="J760" s="75"/>
      <c r="K760" s="63"/>
      <c r="L760" s="75"/>
      <c r="M760" s="76"/>
      <c r="N760" s="76"/>
      <c r="O760" s="78"/>
      <c r="P760" s="78"/>
      <c r="Q760" s="63"/>
      <c r="R760" s="63"/>
      <c r="S760" s="63"/>
      <c r="T760" s="63"/>
      <c r="U760" s="63"/>
      <c r="V760" s="63"/>
      <c r="W760" s="63"/>
      <c r="X760" s="63"/>
      <c r="Y760" s="63"/>
      <c r="Z760" s="63"/>
    </row>
    <row r="761" spans="1:26" ht="17.25" customHeight="1" x14ac:dyDescent="0.2">
      <c r="A761" s="75"/>
      <c r="B761" s="63"/>
      <c r="C761" s="63"/>
      <c r="D761" s="76"/>
      <c r="E761" s="75"/>
      <c r="F761" s="76"/>
      <c r="G761" s="63"/>
      <c r="H761" s="63"/>
      <c r="I761" s="76"/>
      <c r="J761" s="75"/>
      <c r="K761" s="63"/>
      <c r="L761" s="75"/>
      <c r="M761" s="76"/>
      <c r="N761" s="76"/>
      <c r="O761" s="78"/>
      <c r="P761" s="78"/>
      <c r="Q761" s="63"/>
      <c r="R761" s="63"/>
      <c r="S761" s="63"/>
      <c r="T761" s="63"/>
      <c r="U761" s="63"/>
      <c r="V761" s="63"/>
      <c r="W761" s="63"/>
      <c r="X761" s="63"/>
      <c r="Y761" s="63"/>
      <c r="Z761" s="63"/>
    </row>
    <row r="762" spans="1:26" ht="17.25" customHeight="1" x14ac:dyDescent="0.2">
      <c r="A762" s="75"/>
      <c r="B762" s="63"/>
      <c r="C762" s="63"/>
      <c r="D762" s="76"/>
      <c r="E762" s="75"/>
      <c r="F762" s="76"/>
      <c r="G762" s="63"/>
      <c r="H762" s="63"/>
      <c r="I762" s="76"/>
      <c r="J762" s="75"/>
      <c r="K762" s="63"/>
      <c r="L762" s="75"/>
      <c r="M762" s="76"/>
      <c r="N762" s="76"/>
      <c r="O762" s="78"/>
      <c r="P762" s="78"/>
      <c r="Q762" s="63"/>
      <c r="R762" s="63"/>
      <c r="S762" s="63"/>
      <c r="T762" s="63"/>
      <c r="U762" s="63"/>
      <c r="V762" s="63"/>
      <c r="W762" s="63"/>
      <c r="X762" s="63"/>
      <c r="Y762" s="63"/>
      <c r="Z762" s="63"/>
    </row>
    <row r="763" spans="1:26" ht="17.25" customHeight="1" x14ac:dyDescent="0.2">
      <c r="A763" s="75"/>
      <c r="B763" s="63"/>
      <c r="C763" s="63"/>
      <c r="D763" s="76"/>
      <c r="E763" s="75"/>
      <c r="F763" s="76"/>
      <c r="G763" s="63"/>
      <c r="H763" s="63"/>
      <c r="I763" s="76"/>
      <c r="J763" s="75"/>
      <c r="K763" s="63"/>
      <c r="L763" s="75"/>
      <c r="M763" s="76"/>
      <c r="N763" s="76"/>
      <c r="O763" s="78"/>
      <c r="P763" s="78"/>
      <c r="Q763" s="63"/>
      <c r="R763" s="63"/>
      <c r="S763" s="63"/>
      <c r="T763" s="63"/>
      <c r="U763" s="63"/>
      <c r="V763" s="63"/>
      <c r="W763" s="63"/>
      <c r="X763" s="63"/>
      <c r="Y763" s="63"/>
      <c r="Z763" s="63"/>
    </row>
    <row r="764" spans="1:26" ht="17.25" customHeight="1" x14ac:dyDescent="0.2">
      <c r="A764" s="75"/>
      <c r="B764" s="63"/>
      <c r="C764" s="63"/>
      <c r="D764" s="76"/>
      <c r="E764" s="75"/>
      <c r="F764" s="76"/>
      <c r="G764" s="63"/>
      <c r="H764" s="63"/>
      <c r="I764" s="76"/>
      <c r="J764" s="75"/>
      <c r="K764" s="63"/>
      <c r="L764" s="75"/>
      <c r="M764" s="76"/>
      <c r="N764" s="76"/>
      <c r="O764" s="78"/>
      <c r="P764" s="78"/>
      <c r="Q764" s="63"/>
      <c r="R764" s="63"/>
      <c r="S764" s="63"/>
      <c r="T764" s="63"/>
      <c r="U764" s="63"/>
      <c r="V764" s="63"/>
      <c r="W764" s="63"/>
      <c r="X764" s="63"/>
      <c r="Y764" s="63"/>
      <c r="Z764" s="63"/>
    </row>
    <row r="765" spans="1:26" ht="17.25" customHeight="1" x14ac:dyDescent="0.2">
      <c r="A765" s="75"/>
      <c r="B765" s="63"/>
      <c r="C765" s="63"/>
      <c r="D765" s="76"/>
      <c r="E765" s="75"/>
      <c r="F765" s="76"/>
      <c r="G765" s="63"/>
      <c r="H765" s="63"/>
      <c r="I765" s="76"/>
      <c r="J765" s="75"/>
      <c r="K765" s="63"/>
      <c r="L765" s="75"/>
      <c r="M765" s="76"/>
      <c r="N765" s="76"/>
      <c r="O765" s="78"/>
      <c r="P765" s="78"/>
      <c r="Q765" s="63"/>
      <c r="R765" s="63"/>
      <c r="S765" s="63"/>
      <c r="T765" s="63"/>
      <c r="U765" s="63"/>
      <c r="V765" s="63"/>
      <c r="W765" s="63"/>
      <c r="X765" s="63"/>
      <c r="Y765" s="63"/>
      <c r="Z765" s="63"/>
    </row>
    <row r="766" spans="1:26" ht="17.25" customHeight="1" x14ac:dyDescent="0.2">
      <c r="A766" s="75"/>
      <c r="B766" s="63"/>
      <c r="C766" s="63"/>
      <c r="D766" s="76"/>
      <c r="E766" s="75"/>
      <c r="F766" s="76"/>
      <c r="G766" s="63"/>
      <c r="H766" s="63"/>
      <c r="I766" s="76"/>
      <c r="J766" s="75"/>
      <c r="K766" s="63"/>
      <c r="L766" s="75"/>
      <c r="M766" s="76"/>
      <c r="N766" s="76"/>
      <c r="O766" s="78"/>
      <c r="P766" s="78"/>
      <c r="Q766" s="63"/>
      <c r="R766" s="63"/>
      <c r="S766" s="63"/>
      <c r="T766" s="63"/>
      <c r="U766" s="63"/>
      <c r="V766" s="63"/>
      <c r="W766" s="63"/>
      <c r="X766" s="63"/>
      <c r="Y766" s="63"/>
      <c r="Z766" s="63"/>
    </row>
    <row r="767" spans="1:26" ht="17.25" customHeight="1" x14ac:dyDescent="0.2">
      <c r="A767" s="75"/>
      <c r="B767" s="63"/>
      <c r="C767" s="63"/>
      <c r="D767" s="76"/>
      <c r="E767" s="75"/>
      <c r="F767" s="76"/>
      <c r="G767" s="63"/>
      <c r="H767" s="63"/>
      <c r="I767" s="76"/>
      <c r="J767" s="75"/>
      <c r="K767" s="63"/>
      <c r="L767" s="75"/>
      <c r="M767" s="76"/>
      <c r="N767" s="76"/>
      <c r="O767" s="78"/>
      <c r="P767" s="78"/>
      <c r="Q767" s="63"/>
      <c r="R767" s="63"/>
      <c r="S767" s="63"/>
      <c r="T767" s="63"/>
      <c r="U767" s="63"/>
      <c r="V767" s="63"/>
      <c r="W767" s="63"/>
      <c r="X767" s="63"/>
      <c r="Y767" s="63"/>
      <c r="Z767" s="63"/>
    </row>
    <row r="768" spans="1:26" ht="17.25" customHeight="1" x14ac:dyDescent="0.2">
      <c r="A768" s="75"/>
      <c r="B768" s="63"/>
      <c r="C768" s="63"/>
      <c r="D768" s="76"/>
      <c r="E768" s="75"/>
      <c r="F768" s="76"/>
      <c r="G768" s="63"/>
      <c r="H768" s="63"/>
      <c r="I768" s="76"/>
      <c r="J768" s="75"/>
      <c r="K768" s="63"/>
      <c r="L768" s="75"/>
      <c r="M768" s="76"/>
      <c r="N768" s="76"/>
      <c r="O768" s="78"/>
      <c r="P768" s="78"/>
      <c r="Q768" s="63"/>
      <c r="R768" s="63"/>
      <c r="S768" s="63"/>
      <c r="T768" s="63"/>
      <c r="U768" s="63"/>
      <c r="V768" s="63"/>
      <c r="W768" s="63"/>
      <c r="X768" s="63"/>
      <c r="Y768" s="63"/>
      <c r="Z768" s="63"/>
    </row>
    <row r="769" spans="1:26" ht="17.25" customHeight="1" x14ac:dyDescent="0.2">
      <c r="A769" s="75"/>
      <c r="B769" s="63"/>
      <c r="C769" s="63"/>
      <c r="D769" s="76"/>
      <c r="E769" s="75"/>
      <c r="F769" s="76"/>
      <c r="G769" s="63"/>
      <c r="H769" s="63"/>
      <c r="I769" s="76"/>
      <c r="J769" s="75"/>
      <c r="K769" s="63"/>
      <c r="L769" s="75"/>
      <c r="M769" s="76"/>
      <c r="N769" s="76"/>
      <c r="O769" s="78"/>
      <c r="P769" s="78"/>
      <c r="Q769" s="63"/>
      <c r="R769" s="63"/>
      <c r="S769" s="63"/>
      <c r="T769" s="63"/>
      <c r="U769" s="63"/>
      <c r="V769" s="63"/>
      <c r="W769" s="63"/>
      <c r="X769" s="63"/>
      <c r="Y769" s="63"/>
      <c r="Z769" s="63"/>
    </row>
    <row r="770" spans="1:26" ht="17.25" customHeight="1" x14ac:dyDescent="0.2">
      <c r="A770" s="75"/>
      <c r="B770" s="63"/>
      <c r="C770" s="63"/>
      <c r="D770" s="76"/>
      <c r="E770" s="75"/>
      <c r="F770" s="76"/>
      <c r="G770" s="63"/>
      <c r="H770" s="63"/>
      <c r="I770" s="76"/>
      <c r="J770" s="75"/>
      <c r="K770" s="63"/>
      <c r="L770" s="75"/>
      <c r="M770" s="76"/>
      <c r="N770" s="76"/>
      <c r="O770" s="78"/>
      <c r="P770" s="78"/>
      <c r="Q770" s="63"/>
      <c r="R770" s="63"/>
      <c r="S770" s="63"/>
      <c r="T770" s="63"/>
      <c r="U770" s="63"/>
      <c r="V770" s="63"/>
      <c r="W770" s="63"/>
      <c r="X770" s="63"/>
      <c r="Y770" s="63"/>
      <c r="Z770" s="63"/>
    </row>
    <row r="771" spans="1:26" ht="17.25" customHeight="1" x14ac:dyDescent="0.2">
      <c r="A771" s="75"/>
      <c r="B771" s="63"/>
      <c r="C771" s="63"/>
      <c r="D771" s="76"/>
      <c r="E771" s="75"/>
      <c r="F771" s="76"/>
      <c r="G771" s="63"/>
      <c r="H771" s="63"/>
      <c r="I771" s="76"/>
      <c r="J771" s="75"/>
      <c r="K771" s="63"/>
      <c r="L771" s="75"/>
      <c r="M771" s="76"/>
      <c r="N771" s="76"/>
      <c r="O771" s="78"/>
      <c r="P771" s="78"/>
      <c r="Q771" s="63"/>
      <c r="R771" s="63"/>
      <c r="S771" s="63"/>
      <c r="T771" s="63"/>
      <c r="U771" s="63"/>
      <c r="V771" s="63"/>
      <c r="W771" s="63"/>
      <c r="X771" s="63"/>
      <c r="Y771" s="63"/>
      <c r="Z771" s="63"/>
    </row>
    <row r="772" spans="1:26" ht="17.25" customHeight="1" x14ac:dyDescent="0.2">
      <c r="A772" s="75"/>
      <c r="B772" s="63"/>
      <c r="C772" s="63"/>
      <c r="D772" s="76"/>
      <c r="E772" s="75"/>
      <c r="F772" s="76"/>
      <c r="G772" s="63"/>
      <c r="H772" s="63"/>
      <c r="I772" s="76"/>
      <c r="J772" s="75"/>
      <c r="K772" s="63"/>
      <c r="L772" s="75"/>
      <c r="M772" s="76"/>
      <c r="N772" s="76"/>
      <c r="O772" s="78"/>
      <c r="P772" s="78"/>
      <c r="Q772" s="63"/>
      <c r="R772" s="63"/>
      <c r="S772" s="63"/>
      <c r="T772" s="63"/>
      <c r="U772" s="63"/>
      <c r="V772" s="63"/>
      <c r="W772" s="63"/>
      <c r="X772" s="63"/>
      <c r="Y772" s="63"/>
      <c r="Z772" s="63"/>
    </row>
    <row r="773" spans="1:26" ht="17.25" customHeight="1" x14ac:dyDescent="0.2">
      <c r="A773" s="75"/>
      <c r="B773" s="63"/>
      <c r="C773" s="63"/>
      <c r="D773" s="76"/>
      <c r="E773" s="75"/>
      <c r="F773" s="76"/>
      <c r="G773" s="63"/>
      <c r="H773" s="63"/>
      <c r="I773" s="76"/>
      <c r="J773" s="75"/>
      <c r="K773" s="63"/>
      <c r="L773" s="75"/>
      <c r="M773" s="76"/>
      <c r="N773" s="76"/>
      <c r="O773" s="78"/>
      <c r="P773" s="78"/>
      <c r="Q773" s="63"/>
      <c r="R773" s="63"/>
      <c r="S773" s="63"/>
      <c r="T773" s="63"/>
      <c r="U773" s="63"/>
      <c r="V773" s="63"/>
      <c r="W773" s="63"/>
      <c r="X773" s="63"/>
      <c r="Y773" s="63"/>
      <c r="Z773" s="63"/>
    </row>
    <row r="774" spans="1:26" ht="17.25" customHeight="1" x14ac:dyDescent="0.2">
      <c r="A774" s="75"/>
      <c r="B774" s="63"/>
      <c r="C774" s="63"/>
      <c r="D774" s="76"/>
      <c r="E774" s="75"/>
      <c r="F774" s="76"/>
      <c r="G774" s="63"/>
      <c r="H774" s="63"/>
      <c r="I774" s="76"/>
      <c r="J774" s="75"/>
      <c r="K774" s="63"/>
      <c r="L774" s="75"/>
      <c r="M774" s="76"/>
      <c r="N774" s="76"/>
      <c r="O774" s="78"/>
      <c r="P774" s="78"/>
      <c r="Q774" s="63"/>
      <c r="R774" s="63"/>
      <c r="S774" s="63"/>
      <c r="T774" s="63"/>
      <c r="U774" s="63"/>
      <c r="V774" s="63"/>
      <c r="W774" s="63"/>
      <c r="X774" s="63"/>
      <c r="Y774" s="63"/>
      <c r="Z774" s="63"/>
    </row>
    <row r="775" spans="1:26" ht="17.25" customHeight="1" x14ac:dyDescent="0.2">
      <c r="A775" s="75"/>
      <c r="B775" s="63"/>
      <c r="C775" s="63"/>
      <c r="D775" s="76"/>
      <c r="E775" s="75"/>
      <c r="F775" s="76"/>
      <c r="G775" s="63"/>
      <c r="H775" s="63"/>
      <c r="I775" s="76"/>
      <c r="J775" s="75"/>
      <c r="K775" s="63"/>
      <c r="L775" s="75"/>
      <c r="M775" s="76"/>
      <c r="N775" s="76"/>
      <c r="O775" s="78"/>
      <c r="P775" s="78"/>
      <c r="Q775" s="63"/>
      <c r="R775" s="63"/>
      <c r="S775" s="63"/>
      <c r="T775" s="63"/>
      <c r="U775" s="63"/>
      <c r="V775" s="63"/>
      <c r="W775" s="63"/>
      <c r="X775" s="63"/>
      <c r="Y775" s="63"/>
      <c r="Z775" s="63"/>
    </row>
    <row r="776" spans="1:26" ht="17.25" customHeight="1" x14ac:dyDescent="0.2">
      <c r="A776" s="75"/>
      <c r="B776" s="63"/>
      <c r="C776" s="63"/>
      <c r="D776" s="76"/>
      <c r="E776" s="75"/>
      <c r="F776" s="76"/>
      <c r="G776" s="63"/>
      <c r="H776" s="63"/>
      <c r="I776" s="76"/>
      <c r="J776" s="75"/>
      <c r="K776" s="63"/>
      <c r="L776" s="75"/>
      <c r="M776" s="76"/>
      <c r="N776" s="76"/>
      <c r="O776" s="78"/>
      <c r="P776" s="78"/>
      <c r="Q776" s="63"/>
      <c r="R776" s="63"/>
      <c r="S776" s="63"/>
      <c r="T776" s="63"/>
      <c r="U776" s="63"/>
      <c r="V776" s="63"/>
      <c r="W776" s="63"/>
      <c r="X776" s="63"/>
      <c r="Y776" s="63"/>
      <c r="Z776" s="63"/>
    </row>
    <row r="777" spans="1:26" ht="17.25" customHeight="1" x14ac:dyDescent="0.2">
      <c r="A777" s="75"/>
      <c r="B777" s="63"/>
      <c r="C777" s="63"/>
      <c r="D777" s="76"/>
      <c r="E777" s="75"/>
      <c r="F777" s="76"/>
      <c r="G777" s="63"/>
      <c r="H777" s="63"/>
      <c r="I777" s="76"/>
      <c r="J777" s="75"/>
      <c r="K777" s="63"/>
      <c r="L777" s="75"/>
      <c r="M777" s="76"/>
      <c r="N777" s="76"/>
      <c r="O777" s="78"/>
      <c r="P777" s="78"/>
      <c r="Q777" s="63"/>
      <c r="R777" s="63"/>
      <c r="S777" s="63"/>
      <c r="T777" s="63"/>
      <c r="U777" s="63"/>
      <c r="V777" s="63"/>
      <c r="W777" s="63"/>
      <c r="X777" s="63"/>
      <c r="Y777" s="63"/>
      <c r="Z777" s="63"/>
    </row>
    <row r="778" spans="1:26" ht="17.25" customHeight="1" x14ac:dyDescent="0.2">
      <c r="A778" s="75"/>
      <c r="B778" s="63"/>
      <c r="C778" s="63"/>
      <c r="D778" s="76"/>
      <c r="E778" s="75"/>
      <c r="F778" s="76"/>
      <c r="G778" s="63"/>
      <c r="H778" s="63"/>
      <c r="I778" s="76"/>
      <c r="J778" s="75"/>
      <c r="K778" s="63"/>
      <c r="L778" s="75"/>
      <c r="M778" s="76"/>
      <c r="N778" s="76"/>
      <c r="O778" s="78"/>
      <c r="P778" s="78"/>
      <c r="Q778" s="63"/>
      <c r="R778" s="63"/>
      <c r="S778" s="63"/>
      <c r="T778" s="63"/>
      <c r="U778" s="63"/>
      <c r="V778" s="63"/>
      <c r="W778" s="63"/>
      <c r="X778" s="63"/>
      <c r="Y778" s="63"/>
      <c r="Z778" s="63"/>
    </row>
    <row r="779" spans="1:26" ht="17.25" customHeight="1" x14ac:dyDescent="0.2">
      <c r="A779" s="75"/>
      <c r="B779" s="63"/>
      <c r="C779" s="63"/>
      <c r="D779" s="76"/>
      <c r="E779" s="75"/>
      <c r="F779" s="76"/>
      <c r="G779" s="63"/>
      <c r="H779" s="63"/>
      <c r="I779" s="76"/>
      <c r="J779" s="75"/>
      <c r="K779" s="63"/>
      <c r="L779" s="75"/>
      <c r="M779" s="76"/>
      <c r="N779" s="76"/>
      <c r="O779" s="78"/>
      <c r="P779" s="78"/>
      <c r="Q779" s="63"/>
      <c r="R779" s="63"/>
      <c r="S779" s="63"/>
      <c r="T779" s="63"/>
      <c r="U779" s="63"/>
      <c r="V779" s="63"/>
      <c r="W779" s="63"/>
      <c r="X779" s="63"/>
      <c r="Y779" s="63"/>
      <c r="Z779" s="63"/>
    </row>
    <row r="780" spans="1:26" ht="17.25" customHeight="1" x14ac:dyDescent="0.2">
      <c r="A780" s="75"/>
      <c r="B780" s="63"/>
      <c r="C780" s="63"/>
      <c r="D780" s="76"/>
      <c r="E780" s="75"/>
      <c r="F780" s="76"/>
      <c r="G780" s="63"/>
      <c r="H780" s="63"/>
      <c r="I780" s="76"/>
      <c r="J780" s="75"/>
      <c r="K780" s="63"/>
      <c r="L780" s="75"/>
      <c r="M780" s="76"/>
      <c r="N780" s="76"/>
      <c r="O780" s="78"/>
      <c r="P780" s="78"/>
      <c r="Q780" s="63"/>
      <c r="R780" s="63"/>
      <c r="S780" s="63"/>
      <c r="T780" s="63"/>
      <c r="U780" s="63"/>
      <c r="V780" s="63"/>
      <c r="W780" s="63"/>
      <c r="X780" s="63"/>
      <c r="Y780" s="63"/>
      <c r="Z780" s="63"/>
    </row>
    <row r="781" spans="1:26" ht="17.25" customHeight="1" x14ac:dyDescent="0.2">
      <c r="A781" s="75"/>
      <c r="B781" s="63"/>
      <c r="C781" s="63"/>
      <c r="D781" s="76"/>
      <c r="E781" s="75"/>
      <c r="F781" s="76"/>
      <c r="G781" s="63"/>
      <c r="H781" s="63"/>
      <c r="I781" s="76"/>
      <c r="J781" s="75"/>
      <c r="K781" s="63"/>
      <c r="L781" s="75"/>
      <c r="M781" s="76"/>
      <c r="N781" s="76"/>
      <c r="O781" s="78"/>
      <c r="P781" s="78"/>
      <c r="Q781" s="63"/>
      <c r="R781" s="63"/>
      <c r="S781" s="63"/>
      <c r="T781" s="63"/>
      <c r="U781" s="63"/>
      <c r="V781" s="63"/>
      <c r="W781" s="63"/>
      <c r="X781" s="63"/>
      <c r="Y781" s="63"/>
      <c r="Z781" s="63"/>
    </row>
    <row r="782" spans="1:26" ht="17.25" customHeight="1" x14ac:dyDescent="0.2">
      <c r="A782" s="75"/>
      <c r="B782" s="63"/>
      <c r="C782" s="63"/>
      <c r="D782" s="76"/>
      <c r="E782" s="75"/>
      <c r="F782" s="76"/>
      <c r="G782" s="63"/>
      <c r="H782" s="63"/>
      <c r="I782" s="76"/>
      <c r="J782" s="75"/>
      <c r="K782" s="63"/>
      <c r="L782" s="75"/>
      <c r="M782" s="76"/>
      <c r="N782" s="76"/>
      <c r="O782" s="78"/>
      <c r="P782" s="78"/>
      <c r="Q782" s="63"/>
      <c r="R782" s="63"/>
      <c r="S782" s="63"/>
      <c r="T782" s="63"/>
      <c r="U782" s="63"/>
      <c r="V782" s="63"/>
      <c r="W782" s="63"/>
      <c r="X782" s="63"/>
      <c r="Y782" s="63"/>
      <c r="Z782" s="63"/>
    </row>
    <row r="783" spans="1:26" ht="17.25" customHeight="1" x14ac:dyDescent="0.2">
      <c r="A783" s="75"/>
      <c r="B783" s="63"/>
      <c r="C783" s="63"/>
      <c r="D783" s="76"/>
      <c r="E783" s="75"/>
      <c r="F783" s="76"/>
      <c r="G783" s="63"/>
      <c r="H783" s="63"/>
      <c r="I783" s="76"/>
      <c r="J783" s="75"/>
      <c r="K783" s="63"/>
      <c r="L783" s="75"/>
      <c r="M783" s="76"/>
      <c r="N783" s="76"/>
      <c r="O783" s="78"/>
      <c r="P783" s="78"/>
      <c r="Q783" s="63"/>
      <c r="R783" s="63"/>
      <c r="S783" s="63"/>
      <c r="T783" s="63"/>
      <c r="U783" s="63"/>
      <c r="V783" s="63"/>
      <c r="W783" s="63"/>
      <c r="X783" s="63"/>
      <c r="Y783" s="63"/>
      <c r="Z783" s="63"/>
    </row>
    <row r="784" spans="1:26" ht="17.25" customHeight="1" x14ac:dyDescent="0.2">
      <c r="A784" s="75"/>
      <c r="B784" s="63"/>
      <c r="C784" s="63"/>
      <c r="D784" s="76"/>
      <c r="E784" s="75"/>
      <c r="F784" s="76"/>
      <c r="G784" s="63"/>
      <c r="H784" s="63"/>
      <c r="I784" s="76"/>
      <c r="J784" s="75"/>
      <c r="K784" s="63"/>
      <c r="L784" s="75"/>
      <c r="M784" s="76"/>
      <c r="N784" s="76"/>
      <c r="O784" s="78"/>
      <c r="P784" s="78"/>
      <c r="Q784" s="63"/>
      <c r="R784" s="63"/>
      <c r="S784" s="63"/>
      <c r="T784" s="63"/>
      <c r="U784" s="63"/>
      <c r="V784" s="63"/>
      <c r="W784" s="63"/>
      <c r="X784" s="63"/>
      <c r="Y784" s="63"/>
      <c r="Z784" s="63"/>
    </row>
    <row r="785" spans="1:26" ht="17.25" customHeight="1" x14ac:dyDescent="0.2">
      <c r="A785" s="75"/>
      <c r="B785" s="63"/>
      <c r="C785" s="63"/>
      <c r="D785" s="76"/>
      <c r="E785" s="75"/>
      <c r="F785" s="76"/>
      <c r="G785" s="63"/>
      <c r="H785" s="63"/>
      <c r="I785" s="76"/>
      <c r="J785" s="75"/>
      <c r="K785" s="63"/>
      <c r="L785" s="75"/>
      <c r="M785" s="76"/>
      <c r="N785" s="76"/>
      <c r="O785" s="78"/>
      <c r="P785" s="78"/>
      <c r="Q785" s="63"/>
      <c r="R785" s="63"/>
      <c r="S785" s="63"/>
      <c r="T785" s="63"/>
      <c r="U785" s="63"/>
      <c r="V785" s="63"/>
      <c r="W785" s="63"/>
      <c r="X785" s="63"/>
      <c r="Y785" s="63"/>
      <c r="Z785" s="63"/>
    </row>
    <row r="786" spans="1:26" ht="17.25" customHeight="1" x14ac:dyDescent="0.2">
      <c r="A786" s="75"/>
      <c r="B786" s="63"/>
      <c r="C786" s="63"/>
      <c r="D786" s="76"/>
      <c r="E786" s="75"/>
      <c r="F786" s="76"/>
      <c r="G786" s="63"/>
      <c r="H786" s="63"/>
      <c r="I786" s="76"/>
      <c r="J786" s="75"/>
      <c r="K786" s="63"/>
      <c r="L786" s="75"/>
      <c r="M786" s="76"/>
      <c r="N786" s="76"/>
      <c r="O786" s="78"/>
      <c r="P786" s="78"/>
      <c r="Q786" s="63"/>
      <c r="R786" s="63"/>
      <c r="S786" s="63"/>
      <c r="T786" s="63"/>
      <c r="U786" s="63"/>
      <c r="V786" s="63"/>
      <c r="W786" s="63"/>
      <c r="X786" s="63"/>
      <c r="Y786" s="63"/>
      <c r="Z786" s="63"/>
    </row>
    <row r="787" spans="1:26" ht="17.25" customHeight="1" x14ac:dyDescent="0.2">
      <c r="A787" s="75"/>
      <c r="B787" s="63"/>
      <c r="C787" s="63"/>
      <c r="D787" s="76"/>
      <c r="E787" s="75"/>
      <c r="F787" s="76"/>
      <c r="G787" s="63"/>
      <c r="H787" s="63"/>
      <c r="I787" s="76"/>
      <c r="J787" s="75"/>
      <c r="K787" s="63"/>
      <c r="L787" s="75"/>
      <c r="M787" s="76"/>
      <c r="N787" s="76"/>
      <c r="O787" s="78"/>
      <c r="P787" s="78"/>
      <c r="Q787" s="63"/>
      <c r="R787" s="63"/>
      <c r="S787" s="63"/>
      <c r="T787" s="63"/>
      <c r="U787" s="63"/>
      <c r="V787" s="63"/>
      <c r="W787" s="63"/>
      <c r="X787" s="63"/>
      <c r="Y787" s="63"/>
      <c r="Z787" s="63"/>
    </row>
    <row r="788" spans="1:26" ht="17.25" customHeight="1" x14ac:dyDescent="0.2">
      <c r="A788" s="75"/>
      <c r="B788" s="63"/>
      <c r="C788" s="63"/>
      <c r="D788" s="76"/>
      <c r="E788" s="75"/>
      <c r="F788" s="76"/>
      <c r="G788" s="63"/>
      <c r="H788" s="63"/>
      <c r="I788" s="76"/>
      <c r="J788" s="75"/>
      <c r="K788" s="63"/>
      <c r="L788" s="75"/>
      <c r="M788" s="76"/>
      <c r="N788" s="76"/>
      <c r="O788" s="78"/>
      <c r="P788" s="78"/>
      <c r="Q788" s="63"/>
      <c r="R788" s="63"/>
      <c r="S788" s="63"/>
      <c r="T788" s="63"/>
      <c r="U788" s="63"/>
      <c r="V788" s="63"/>
      <c r="W788" s="63"/>
      <c r="X788" s="63"/>
      <c r="Y788" s="63"/>
      <c r="Z788" s="63"/>
    </row>
    <row r="789" spans="1:26" ht="17.25" customHeight="1" x14ac:dyDescent="0.2">
      <c r="A789" s="75"/>
      <c r="B789" s="63"/>
      <c r="C789" s="63"/>
      <c r="D789" s="76"/>
      <c r="E789" s="75"/>
      <c r="F789" s="76"/>
      <c r="G789" s="63"/>
      <c r="H789" s="63"/>
      <c r="I789" s="76"/>
      <c r="J789" s="75"/>
      <c r="K789" s="63"/>
      <c r="L789" s="75"/>
      <c r="M789" s="76"/>
      <c r="N789" s="76"/>
      <c r="O789" s="78"/>
      <c r="P789" s="78"/>
      <c r="Q789" s="63"/>
      <c r="R789" s="63"/>
      <c r="S789" s="63"/>
      <c r="T789" s="63"/>
      <c r="U789" s="63"/>
      <c r="V789" s="63"/>
      <c r="W789" s="63"/>
      <c r="X789" s="63"/>
      <c r="Y789" s="63"/>
      <c r="Z789" s="63"/>
    </row>
    <row r="790" spans="1:26" ht="17.25" customHeight="1" x14ac:dyDescent="0.2">
      <c r="A790" s="75"/>
      <c r="B790" s="63"/>
      <c r="C790" s="63"/>
      <c r="D790" s="76"/>
      <c r="E790" s="75"/>
      <c r="F790" s="76"/>
      <c r="G790" s="63"/>
      <c r="H790" s="63"/>
      <c r="I790" s="76"/>
      <c r="J790" s="75"/>
      <c r="K790" s="63"/>
      <c r="L790" s="75"/>
      <c r="M790" s="76"/>
      <c r="N790" s="76"/>
      <c r="O790" s="78"/>
      <c r="P790" s="78"/>
      <c r="Q790" s="63"/>
      <c r="R790" s="63"/>
      <c r="S790" s="63"/>
      <c r="T790" s="63"/>
      <c r="U790" s="63"/>
      <c r="V790" s="63"/>
      <c r="W790" s="63"/>
      <c r="X790" s="63"/>
      <c r="Y790" s="63"/>
      <c r="Z790" s="63"/>
    </row>
    <row r="791" spans="1:26" ht="17.25" customHeight="1" x14ac:dyDescent="0.2">
      <c r="A791" s="75"/>
      <c r="B791" s="63"/>
      <c r="C791" s="63"/>
      <c r="D791" s="76"/>
      <c r="E791" s="75"/>
      <c r="F791" s="76"/>
      <c r="G791" s="63"/>
      <c r="H791" s="63"/>
      <c r="I791" s="76"/>
      <c r="J791" s="75"/>
      <c r="K791" s="63"/>
      <c r="L791" s="75"/>
      <c r="M791" s="76"/>
      <c r="N791" s="76"/>
      <c r="O791" s="78"/>
      <c r="P791" s="78"/>
      <c r="Q791" s="63"/>
      <c r="R791" s="63"/>
      <c r="S791" s="63"/>
      <c r="T791" s="63"/>
      <c r="U791" s="63"/>
      <c r="V791" s="63"/>
      <c r="W791" s="63"/>
      <c r="X791" s="63"/>
      <c r="Y791" s="63"/>
      <c r="Z791" s="63"/>
    </row>
    <row r="792" spans="1:26" ht="17.25" customHeight="1" x14ac:dyDescent="0.2">
      <c r="A792" s="75"/>
      <c r="B792" s="63"/>
      <c r="C792" s="63"/>
      <c r="D792" s="76"/>
      <c r="E792" s="75"/>
      <c r="F792" s="76"/>
      <c r="G792" s="63"/>
      <c r="H792" s="63"/>
      <c r="I792" s="76"/>
      <c r="J792" s="75"/>
      <c r="K792" s="63"/>
      <c r="L792" s="75"/>
      <c r="M792" s="76"/>
      <c r="N792" s="76"/>
      <c r="O792" s="78"/>
      <c r="P792" s="78"/>
      <c r="Q792" s="63"/>
      <c r="R792" s="63"/>
      <c r="S792" s="63"/>
      <c r="T792" s="63"/>
      <c r="U792" s="63"/>
      <c r="V792" s="63"/>
      <c r="W792" s="63"/>
      <c r="X792" s="63"/>
      <c r="Y792" s="63"/>
      <c r="Z792" s="63"/>
    </row>
    <row r="793" spans="1:26" ht="17.25" customHeight="1" x14ac:dyDescent="0.2">
      <c r="A793" s="75"/>
      <c r="B793" s="63"/>
      <c r="C793" s="63"/>
      <c r="D793" s="76"/>
      <c r="E793" s="75"/>
      <c r="F793" s="76"/>
      <c r="G793" s="63"/>
      <c r="H793" s="63"/>
      <c r="I793" s="76"/>
      <c r="J793" s="75"/>
      <c r="K793" s="63"/>
      <c r="L793" s="75"/>
      <c r="M793" s="76"/>
      <c r="N793" s="76"/>
      <c r="O793" s="78"/>
      <c r="P793" s="78"/>
      <c r="Q793" s="63"/>
      <c r="R793" s="63"/>
      <c r="S793" s="63"/>
      <c r="T793" s="63"/>
      <c r="U793" s="63"/>
      <c r="V793" s="63"/>
      <c r="W793" s="63"/>
      <c r="X793" s="63"/>
      <c r="Y793" s="63"/>
      <c r="Z793" s="63"/>
    </row>
    <row r="794" spans="1:26" ht="17.25" customHeight="1" x14ac:dyDescent="0.2">
      <c r="A794" s="75"/>
      <c r="B794" s="63"/>
      <c r="C794" s="63"/>
      <c r="D794" s="76"/>
      <c r="E794" s="75"/>
      <c r="F794" s="76"/>
      <c r="G794" s="63"/>
      <c r="H794" s="63"/>
      <c r="I794" s="76"/>
      <c r="J794" s="75"/>
      <c r="K794" s="63"/>
      <c r="L794" s="75"/>
      <c r="M794" s="76"/>
      <c r="N794" s="76"/>
      <c r="O794" s="78"/>
      <c r="P794" s="78"/>
      <c r="Q794" s="63"/>
      <c r="R794" s="63"/>
      <c r="S794" s="63"/>
      <c r="T794" s="63"/>
      <c r="U794" s="63"/>
      <c r="V794" s="63"/>
      <c r="W794" s="63"/>
      <c r="X794" s="63"/>
      <c r="Y794" s="63"/>
      <c r="Z794" s="63"/>
    </row>
    <row r="795" spans="1:26" ht="17.25" customHeight="1" x14ac:dyDescent="0.2">
      <c r="A795" s="75"/>
      <c r="B795" s="63"/>
      <c r="C795" s="63"/>
      <c r="D795" s="76"/>
      <c r="E795" s="75"/>
      <c r="F795" s="76"/>
      <c r="G795" s="63"/>
      <c r="H795" s="63"/>
      <c r="I795" s="76"/>
      <c r="J795" s="75"/>
      <c r="K795" s="63"/>
      <c r="L795" s="75"/>
      <c r="M795" s="76"/>
      <c r="N795" s="76"/>
      <c r="O795" s="78"/>
      <c r="P795" s="78"/>
      <c r="Q795" s="63"/>
      <c r="R795" s="63"/>
      <c r="S795" s="63"/>
      <c r="T795" s="63"/>
      <c r="U795" s="63"/>
      <c r="V795" s="63"/>
      <c r="W795" s="63"/>
      <c r="X795" s="63"/>
      <c r="Y795" s="63"/>
      <c r="Z795" s="63"/>
    </row>
    <row r="796" spans="1:26" ht="17.25" customHeight="1" x14ac:dyDescent="0.2">
      <c r="A796" s="75"/>
      <c r="B796" s="63"/>
      <c r="C796" s="63"/>
      <c r="D796" s="76"/>
      <c r="E796" s="75"/>
      <c r="F796" s="76"/>
      <c r="G796" s="63"/>
      <c r="H796" s="63"/>
      <c r="I796" s="76"/>
      <c r="J796" s="75"/>
      <c r="K796" s="63"/>
      <c r="L796" s="75"/>
      <c r="M796" s="76"/>
      <c r="N796" s="76"/>
      <c r="O796" s="78"/>
      <c r="P796" s="78"/>
      <c r="Q796" s="63"/>
      <c r="R796" s="63"/>
      <c r="S796" s="63"/>
      <c r="T796" s="63"/>
      <c r="U796" s="63"/>
      <c r="V796" s="63"/>
      <c r="W796" s="63"/>
      <c r="X796" s="63"/>
      <c r="Y796" s="63"/>
      <c r="Z796" s="63"/>
    </row>
    <row r="797" spans="1:26" ht="17.25" customHeight="1" x14ac:dyDescent="0.2">
      <c r="A797" s="75"/>
      <c r="B797" s="63"/>
      <c r="C797" s="63"/>
      <c r="D797" s="76"/>
      <c r="E797" s="75"/>
      <c r="F797" s="76"/>
      <c r="G797" s="63"/>
      <c r="H797" s="63"/>
      <c r="I797" s="76"/>
      <c r="J797" s="75"/>
      <c r="K797" s="63"/>
      <c r="L797" s="75"/>
      <c r="M797" s="76"/>
      <c r="N797" s="76"/>
      <c r="O797" s="78"/>
      <c r="P797" s="78"/>
      <c r="Q797" s="63"/>
      <c r="R797" s="63"/>
      <c r="S797" s="63"/>
      <c r="T797" s="63"/>
      <c r="U797" s="63"/>
      <c r="V797" s="63"/>
      <c r="W797" s="63"/>
      <c r="X797" s="63"/>
      <c r="Y797" s="63"/>
      <c r="Z797" s="63"/>
    </row>
    <row r="798" spans="1:26" ht="17.25" customHeight="1" x14ac:dyDescent="0.2">
      <c r="A798" s="75"/>
      <c r="B798" s="63"/>
      <c r="C798" s="63"/>
      <c r="D798" s="76"/>
      <c r="E798" s="75"/>
      <c r="F798" s="76"/>
      <c r="G798" s="63"/>
      <c r="H798" s="63"/>
      <c r="I798" s="76"/>
      <c r="J798" s="75"/>
      <c r="K798" s="63"/>
      <c r="L798" s="75"/>
      <c r="M798" s="76"/>
      <c r="N798" s="76"/>
      <c r="O798" s="78"/>
      <c r="P798" s="78"/>
      <c r="Q798" s="63"/>
      <c r="R798" s="63"/>
      <c r="S798" s="63"/>
      <c r="T798" s="63"/>
      <c r="U798" s="63"/>
      <c r="V798" s="63"/>
      <c r="W798" s="63"/>
      <c r="X798" s="63"/>
      <c r="Y798" s="63"/>
      <c r="Z798" s="63"/>
    </row>
    <row r="799" spans="1:26" ht="17.25" customHeight="1" x14ac:dyDescent="0.2">
      <c r="A799" s="75"/>
      <c r="B799" s="63"/>
      <c r="C799" s="63"/>
      <c r="D799" s="76"/>
      <c r="E799" s="75"/>
      <c r="F799" s="76"/>
      <c r="G799" s="63"/>
      <c r="H799" s="63"/>
      <c r="I799" s="76"/>
      <c r="J799" s="75"/>
      <c r="K799" s="63"/>
      <c r="L799" s="75"/>
      <c r="M799" s="76"/>
      <c r="N799" s="76"/>
      <c r="O799" s="78"/>
      <c r="P799" s="78"/>
      <c r="Q799" s="63"/>
      <c r="R799" s="63"/>
      <c r="S799" s="63"/>
      <c r="T799" s="63"/>
      <c r="U799" s="63"/>
      <c r="V799" s="63"/>
      <c r="W799" s="63"/>
      <c r="X799" s="63"/>
      <c r="Y799" s="63"/>
      <c r="Z799" s="63"/>
    </row>
    <row r="800" spans="1:26" ht="17.25" customHeight="1" x14ac:dyDescent="0.2">
      <c r="A800" s="75"/>
      <c r="B800" s="63"/>
      <c r="C800" s="63"/>
      <c r="D800" s="76"/>
      <c r="E800" s="75"/>
      <c r="F800" s="76"/>
      <c r="G800" s="63"/>
      <c r="H800" s="63"/>
      <c r="I800" s="76"/>
      <c r="J800" s="75"/>
      <c r="K800" s="63"/>
      <c r="L800" s="75"/>
      <c r="M800" s="76"/>
      <c r="N800" s="76"/>
      <c r="O800" s="78"/>
      <c r="P800" s="78"/>
      <c r="Q800" s="63"/>
      <c r="R800" s="63"/>
      <c r="S800" s="63"/>
      <c r="T800" s="63"/>
      <c r="U800" s="63"/>
      <c r="V800" s="63"/>
      <c r="W800" s="63"/>
      <c r="X800" s="63"/>
      <c r="Y800" s="63"/>
      <c r="Z800" s="63"/>
    </row>
    <row r="801" spans="1:26" ht="17.25" customHeight="1" x14ac:dyDescent="0.2">
      <c r="A801" s="75"/>
      <c r="B801" s="63"/>
      <c r="C801" s="63"/>
      <c r="D801" s="76"/>
      <c r="E801" s="75"/>
      <c r="F801" s="76"/>
      <c r="G801" s="63"/>
      <c r="H801" s="63"/>
      <c r="I801" s="76"/>
      <c r="J801" s="75"/>
      <c r="K801" s="63"/>
      <c r="L801" s="75"/>
      <c r="M801" s="76"/>
      <c r="N801" s="76"/>
      <c r="O801" s="78"/>
      <c r="P801" s="78"/>
      <c r="Q801" s="63"/>
      <c r="R801" s="63"/>
      <c r="S801" s="63"/>
      <c r="T801" s="63"/>
      <c r="U801" s="63"/>
      <c r="V801" s="63"/>
      <c r="W801" s="63"/>
      <c r="X801" s="63"/>
      <c r="Y801" s="63"/>
      <c r="Z801" s="63"/>
    </row>
    <row r="802" spans="1:26" ht="17.25" customHeight="1" x14ac:dyDescent="0.2">
      <c r="A802" s="75"/>
      <c r="B802" s="63"/>
      <c r="C802" s="63"/>
      <c r="D802" s="76"/>
      <c r="E802" s="75"/>
      <c r="F802" s="76"/>
      <c r="G802" s="63"/>
      <c r="H802" s="63"/>
      <c r="I802" s="76"/>
      <c r="J802" s="75"/>
      <c r="K802" s="63"/>
      <c r="L802" s="75"/>
      <c r="M802" s="76"/>
      <c r="N802" s="76"/>
      <c r="O802" s="78"/>
      <c r="P802" s="78"/>
      <c r="Q802" s="63"/>
      <c r="R802" s="63"/>
      <c r="S802" s="63"/>
      <c r="T802" s="63"/>
      <c r="U802" s="63"/>
      <c r="V802" s="63"/>
      <c r="W802" s="63"/>
      <c r="X802" s="63"/>
      <c r="Y802" s="63"/>
      <c r="Z802" s="63"/>
    </row>
    <row r="803" spans="1:26" ht="17.25" customHeight="1" x14ac:dyDescent="0.2">
      <c r="A803" s="75"/>
      <c r="B803" s="63"/>
      <c r="C803" s="63"/>
      <c r="D803" s="76"/>
      <c r="E803" s="75"/>
      <c r="F803" s="76"/>
      <c r="G803" s="63"/>
      <c r="H803" s="63"/>
      <c r="I803" s="76"/>
      <c r="J803" s="75"/>
      <c r="K803" s="63"/>
      <c r="L803" s="75"/>
      <c r="M803" s="76"/>
      <c r="N803" s="76"/>
      <c r="O803" s="78"/>
      <c r="P803" s="78"/>
      <c r="Q803" s="63"/>
      <c r="R803" s="63"/>
      <c r="S803" s="63"/>
      <c r="T803" s="63"/>
      <c r="U803" s="63"/>
      <c r="V803" s="63"/>
      <c r="W803" s="63"/>
      <c r="X803" s="63"/>
      <c r="Y803" s="63"/>
      <c r="Z803" s="63"/>
    </row>
    <row r="804" spans="1:26" ht="17.25" customHeight="1" x14ac:dyDescent="0.2">
      <c r="A804" s="75"/>
      <c r="B804" s="63"/>
      <c r="C804" s="63"/>
      <c r="D804" s="76"/>
      <c r="E804" s="75"/>
      <c r="F804" s="76"/>
      <c r="G804" s="63"/>
      <c r="H804" s="63"/>
      <c r="I804" s="76"/>
      <c r="J804" s="75"/>
      <c r="K804" s="63"/>
      <c r="L804" s="75"/>
      <c r="M804" s="76"/>
      <c r="N804" s="76"/>
      <c r="O804" s="78"/>
      <c r="P804" s="78"/>
      <c r="Q804" s="63"/>
      <c r="R804" s="63"/>
      <c r="S804" s="63"/>
      <c r="T804" s="63"/>
      <c r="U804" s="63"/>
      <c r="V804" s="63"/>
      <c r="W804" s="63"/>
      <c r="X804" s="63"/>
      <c r="Y804" s="63"/>
      <c r="Z804" s="63"/>
    </row>
    <row r="805" spans="1:26" ht="17.25" customHeight="1" x14ac:dyDescent="0.2">
      <c r="A805" s="75"/>
      <c r="B805" s="63"/>
      <c r="C805" s="63"/>
      <c r="D805" s="76"/>
      <c r="E805" s="75"/>
      <c r="F805" s="76"/>
      <c r="G805" s="63"/>
      <c r="H805" s="63"/>
      <c r="I805" s="76"/>
      <c r="J805" s="75"/>
      <c r="K805" s="63"/>
      <c r="L805" s="75"/>
      <c r="M805" s="76"/>
      <c r="N805" s="76"/>
      <c r="O805" s="78"/>
      <c r="P805" s="78"/>
      <c r="Q805" s="63"/>
      <c r="R805" s="63"/>
      <c r="S805" s="63"/>
      <c r="T805" s="63"/>
      <c r="U805" s="63"/>
      <c r="V805" s="63"/>
      <c r="W805" s="63"/>
      <c r="X805" s="63"/>
      <c r="Y805" s="63"/>
      <c r="Z805" s="63"/>
    </row>
    <row r="806" spans="1:26" ht="17.25" customHeight="1" x14ac:dyDescent="0.2">
      <c r="A806" s="75"/>
      <c r="B806" s="63"/>
      <c r="C806" s="63"/>
      <c r="D806" s="76"/>
      <c r="E806" s="75"/>
      <c r="F806" s="76"/>
      <c r="G806" s="63"/>
      <c r="H806" s="63"/>
      <c r="I806" s="76"/>
      <c r="J806" s="75"/>
      <c r="K806" s="63"/>
      <c r="L806" s="75"/>
      <c r="M806" s="76"/>
      <c r="N806" s="76"/>
      <c r="O806" s="78"/>
      <c r="P806" s="78"/>
      <c r="Q806" s="63"/>
      <c r="R806" s="63"/>
      <c r="S806" s="63"/>
      <c r="T806" s="63"/>
      <c r="U806" s="63"/>
      <c r="V806" s="63"/>
      <c r="W806" s="63"/>
      <c r="X806" s="63"/>
      <c r="Y806" s="63"/>
      <c r="Z806" s="63"/>
    </row>
    <row r="807" spans="1:26" ht="17.25" customHeight="1" x14ac:dyDescent="0.2">
      <c r="A807" s="75"/>
      <c r="B807" s="63"/>
      <c r="C807" s="63"/>
      <c r="D807" s="76"/>
      <c r="E807" s="75"/>
      <c r="F807" s="76"/>
      <c r="G807" s="63"/>
      <c r="H807" s="63"/>
      <c r="I807" s="76"/>
      <c r="J807" s="75"/>
      <c r="K807" s="63"/>
      <c r="L807" s="75"/>
      <c r="M807" s="76"/>
      <c r="N807" s="76"/>
      <c r="O807" s="78"/>
      <c r="P807" s="78"/>
      <c r="Q807" s="63"/>
      <c r="R807" s="63"/>
      <c r="S807" s="63"/>
      <c r="T807" s="63"/>
      <c r="U807" s="63"/>
      <c r="V807" s="63"/>
      <c r="W807" s="63"/>
      <c r="X807" s="63"/>
      <c r="Y807" s="63"/>
      <c r="Z807" s="63"/>
    </row>
    <row r="808" spans="1:26" ht="17.25" customHeight="1" x14ac:dyDescent="0.2">
      <c r="A808" s="75"/>
      <c r="B808" s="63"/>
      <c r="C808" s="63"/>
      <c r="D808" s="76"/>
      <c r="E808" s="75"/>
      <c r="F808" s="76"/>
      <c r="G808" s="63"/>
      <c r="H808" s="63"/>
      <c r="I808" s="76"/>
      <c r="J808" s="75"/>
      <c r="K808" s="63"/>
      <c r="L808" s="75"/>
      <c r="M808" s="76"/>
      <c r="N808" s="76"/>
      <c r="O808" s="78"/>
      <c r="P808" s="78"/>
      <c r="Q808" s="63"/>
      <c r="R808" s="63"/>
      <c r="S808" s="63"/>
      <c r="T808" s="63"/>
      <c r="U808" s="63"/>
      <c r="V808" s="63"/>
      <c r="W808" s="63"/>
      <c r="X808" s="63"/>
      <c r="Y808" s="63"/>
      <c r="Z808" s="63"/>
    </row>
    <row r="809" spans="1:26" ht="17.25" customHeight="1" x14ac:dyDescent="0.2">
      <c r="A809" s="75"/>
      <c r="B809" s="63"/>
      <c r="C809" s="63"/>
      <c r="D809" s="76"/>
      <c r="E809" s="75"/>
      <c r="F809" s="76"/>
      <c r="G809" s="63"/>
      <c r="H809" s="63"/>
      <c r="I809" s="76"/>
      <c r="J809" s="75"/>
      <c r="K809" s="63"/>
      <c r="L809" s="75"/>
      <c r="M809" s="76"/>
      <c r="N809" s="76"/>
      <c r="O809" s="78"/>
      <c r="P809" s="78"/>
      <c r="Q809" s="63"/>
      <c r="R809" s="63"/>
      <c r="S809" s="63"/>
      <c r="T809" s="63"/>
      <c r="U809" s="63"/>
      <c r="V809" s="63"/>
      <c r="W809" s="63"/>
      <c r="X809" s="63"/>
      <c r="Y809" s="63"/>
      <c r="Z809" s="63"/>
    </row>
    <row r="810" spans="1:26" ht="17.25" customHeight="1" x14ac:dyDescent="0.2">
      <c r="A810" s="75"/>
      <c r="B810" s="63"/>
      <c r="C810" s="63"/>
      <c r="D810" s="76"/>
      <c r="E810" s="75"/>
      <c r="F810" s="76"/>
      <c r="G810" s="63"/>
      <c r="H810" s="63"/>
      <c r="I810" s="76"/>
      <c r="J810" s="75"/>
      <c r="K810" s="63"/>
      <c r="L810" s="75"/>
      <c r="M810" s="76"/>
      <c r="N810" s="76"/>
      <c r="O810" s="78"/>
      <c r="P810" s="78"/>
      <c r="Q810" s="63"/>
      <c r="R810" s="63"/>
      <c r="S810" s="63"/>
      <c r="T810" s="63"/>
      <c r="U810" s="63"/>
      <c r="V810" s="63"/>
      <c r="W810" s="63"/>
      <c r="X810" s="63"/>
      <c r="Y810" s="63"/>
      <c r="Z810" s="63"/>
    </row>
    <row r="811" spans="1:26" ht="17.25" customHeight="1" x14ac:dyDescent="0.2">
      <c r="A811" s="75"/>
      <c r="B811" s="63"/>
      <c r="C811" s="63"/>
      <c r="D811" s="76"/>
      <c r="E811" s="75"/>
      <c r="F811" s="76"/>
      <c r="G811" s="63"/>
      <c r="H811" s="63"/>
      <c r="I811" s="76"/>
      <c r="J811" s="75"/>
      <c r="K811" s="63"/>
      <c r="L811" s="75"/>
      <c r="M811" s="76"/>
      <c r="N811" s="76"/>
      <c r="O811" s="78"/>
      <c r="P811" s="78"/>
      <c r="Q811" s="63"/>
      <c r="R811" s="63"/>
      <c r="S811" s="63"/>
      <c r="T811" s="63"/>
      <c r="U811" s="63"/>
      <c r="V811" s="63"/>
      <c r="W811" s="63"/>
      <c r="X811" s="63"/>
      <c r="Y811" s="63"/>
      <c r="Z811" s="63"/>
    </row>
    <row r="812" spans="1:26" ht="17.25" customHeight="1" x14ac:dyDescent="0.2">
      <c r="A812" s="75"/>
      <c r="B812" s="63"/>
      <c r="C812" s="63"/>
      <c r="D812" s="76"/>
      <c r="E812" s="75"/>
      <c r="F812" s="76"/>
      <c r="G812" s="63"/>
      <c r="H812" s="63"/>
      <c r="I812" s="76"/>
      <c r="J812" s="75"/>
      <c r="K812" s="63"/>
      <c r="L812" s="75"/>
      <c r="M812" s="76"/>
      <c r="N812" s="76"/>
      <c r="O812" s="78"/>
      <c r="P812" s="78"/>
      <c r="Q812" s="63"/>
      <c r="R812" s="63"/>
      <c r="S812" s="63"/>
      <c r="T812" s="63"/>
      <c r="U812" s="63"/>
      <c r="V812" s="63"/>
      <c r="W812" s="63"/>
      <c r="X812" s="63"/>
      <c r="Y812" s="63"/>
      <c r="Z812" s="63"/>
    </row>
    <row r="813" spans="1:26" ht="17.25" customHeight="1" x14ac:dyDescent="0.2">
      <c r="A813" s="75"/>
      <c r="B813" s="63"/>
      <c r="C813" s="63"/>
      <c r="D813" s="76"/>
      <c r="E813" s="75"/>
      <c r="F813" s="76"/>
      <c r="G813" s="63"/>
      <c r="H813" s="63"/>
      <c r="I813" s="76"/>
      <c r="J813" s="75"/>
      <c r="K813" s="63"/>
      <c r="L813" s="75"/>
      <c r="M813" s="76"/>
      <c r="N813" s="76"/>
      <c r="O813" s="78"/>
      <c r="P813" s="78"/>
      <c r="Q813" s="63"/>
      <c r="R813" s="63"/>
      <c r="S813" s="63"/>
      <c r="T813" s="63"/>
      <c r="U813" s="63"/>
      <c r="V813" s="63"/>
      <c r="W813" s="63"/>
      <c r="X813" s="63"/>
      <c r="Y813" s="63"/>
      <c r="Z813" s="63"/>
    </row>
    <row r="814" spans="1:26" ht="17.25" customHeight="1" x14ac:dyDescent="0.2">
      <c r="A814" s="75"/>
      <c r="B814" s="63"/>
      <c r="C814" s="63"/>
      <c r="D814" s="76"/>
      <c r="E814" s="75"/>
      <c r="F814" s="76"/>
      <c r="G814" s="63"/>
      <c r="H814" s="63"/>
      <c r="I814" s="76"/>
      <c r="J814" s="75"/>
      <c r="K814" s="63"/>
      <c r="L814" s="75"/>
      <c r="M814" s="76"/>
      <c r="N814" s="76"/>
      <c r="O814" s="78"/>
      <c r="P814" s="78"/>
      <c r="Q814" s="63"/>
      <c r="R814" s="63"/>
      <c r="S814" s="63"/>
      <c r="T814" s="63"/>
      <c r="U814" s="63"/>
      <c r="V814" s="63"/>
      <c r="W814" s="63"/>
      <c r="X814" s="63"/>
      <c r="Y814" s="63"/>
      <c r="Z814" s="63"/>
    </row>
    <row r="815" spans="1:26" ht="17.25" customHeight="1" x14ac:dyDescent="0.2">
      <c r="A815" s="75"/>
      <c r="B815" s="63"/>
      <c r="C815" s="63"/>
      <c r="D815" s="76"/>
      <c r="E815" s="75"/>
      <c r="F815" s="76"/>
      <c r="G815" s="63"/>
      <c r="H815" s="63"/>
      <c r="I815" s="76"/>
      <c r="J815" s="75"/>
      <c r="K815" s="63"/>
      <c r="L815" s="75"/>
      <c r="M815" s="76"/>
      <c r="N815" s="76"/>
      <c r="O815" s="78"/>
      <c r="P815" s="78"/>
      <c r="Q815" s="63"/>
      <c r="R815" s="63"/>
      <c r="S815" s="63"/>
      <c r="T815" s="63"/>
      <c r="U815" s="63"/>
      <c r="V815" s="63"/>
      <c r="W815" s="63"/>
      <c r="X815" s="63"/>
      <c r="Y815" s="63"/>
      <c r="Z815" s="63"/>
    </row>
    <row r="816" spans="1:26" ht="17.25" customHeight="1" x14ac:dyDescent="0.2">
      <c r="A816" s="75"/>
      <c r="B816" s="63"/>
      <c r="C816" s="63"/>
      <c r="D816" s="76"/>
      <c r="E816" s="75"/>
      <c r="F816" s="76"/>
      <c r="G816" s="63"/>
      <c r="H816" s="63"/>
      <c r="I816" s="76"/>
      <c r="J816" s="75"/>
      <c r="K816" s="63"/>
      <c r="L816" s="75"/>
      <c r="M816" s="76"/>
      <c r="N816" s="76"/>
      <c r="O816" s="78"/>
      <c r="P816" s="78"/>
      <c r="Q816" s="63"/>
      <c r="R816" s="63"/>
      <c r="S816" s="63"/>
      <c r="T816" s="63"/>
      <c r="U816" s="63"/>
      <c r="V816" s="63"/>
      <c r="W816" s="63"/>
      <c r="X816" s="63"/>
      <c r="Y816" s="63"/>
      <c r="Z816" s="63"/>
    </row>
    <row r="817" spans="1:26" ht="17.25" customHeight="1" x14ac:dyDescent="0.2">
      <c r="A817" s="75"/>
      <c r="B817" s="63"/>
      <c r="C817" s="63"/>
      <c r="D817" s="76"/>
      <c r="E817" s="75"/>
      <c r="F817" s="76"/>
      <c r="G817" s="63"/>
      <c r="H817" s="63"/>
      <c r="I817" s="76"/>
      <c r="J817" s="75"/>
      <c r="K817" s="63"/>
      <c r="L817" s="75"/>
      <c r="M817" s="76"/>
      <c r="N817" s="76"/>
      <c r="O817" s="78"/>
      <c r="P817" s="78"/>
      <c r="Q817" s="63"/>
      <c r="R817" s="63"/>
      <c r="S817" s="63"/>
      <c r="T817" s="63"/>
      <c r="U817" s="63"/>
      <c r="V817" s="63"/>
      <c r="W817" s="63"/>
      <c r="X817" s="63"/>
      <c r="Y817" s="63"/>
      <c r="Z817" s="63"/>
    </row>
    <row r="818" spans="1:26" ht="17.25" customHeight="1" x14ac:dyDescent="0.2">
      <c r="A818" s="75"/>
      <c r="B818" s="63"/>
      <c r="C818" s="63"/>
      <c r="D818" s="76"/>
      <c r="E818" s="75"/>
      <c r="F818" s="76"/>
      <c r="G818" s="63"/>
      <c r="H818" s="63"/>
      <c r="I818" s="76"/>
      <c r="J818" s="75"/>
      <c r="K818" s="63"/>
      <c r="L818" s="75"/>
      <c r="M818" s="76"/>
      <c r="N818" s="76"/>
      <c r="O818" s="78"/>
      <c r="P818" s="78"/>
      <c r="Q818" s="63"/>
      <c r="R818" s="63"/>
      <c r="S818" s="63"/>
      <c r="T818" s="63"/>
      <c r="U818" s="63"/>
      <c r="V818" s="63"/>
      <c r="W818" s="63"/>
      <c r="X818" s="63"/>
      <c r="Y818" s="63"/>
      <c r="Z818" s="63"/>
    </row>
    <row r="819" spans="1:26" ht="17.25" customHeight="1" x14ac:dyDescent="0.2">
      <c r="A819" s="75"/>
      <c r="B819" s="63"/>
      <c r="C819" s="63"/>
      <c r="D819" s="76"/>
      <c r="E819" s="75"/>
      <c r="F819" s="76"/>
      <c r="G819" s="63"/>
      <c r="H819" s="63"/>
      <c r="I819" s="76"/>
      <c r="J819" s="75"/>
      <c r="K819" s="63"/>
      <c r="L819" s="75"/>
      <c r="M819" s="76"/>
      <c r="N819" s="76"/>
      <c r="O819" s="78"/>
      <c r="P819" s="78"/>
      <c r="Q819" s="63"/>
      <c r="R819" s="63"/>
      <c r="S819" s="63"/>
      <c r="T819" s="63"/>
      <c r="U819" s="63"/>
      <c r="V819" s="63"/>
      <c r="W819" s="63"/>
      <c r="X819" s="63"/>
      <c r="Y819" s="63"/>
      <c r="Z819" s="63"/>
    </row>
    <row r="820" spans="1:26" ht="17.25" customHeight="1" x14ac:dyDescent="0.2">
      <c r="A820" s="75"/>
      <c r="B820" s="63"/>
      <c r="C820" s="63"/>
      <c r="D820" s="76"/>
      <c r="E820" s="75"/>
      <c r="F820" s="76"/>
      <c r="G820" s="63"/>
      <c r="H820" s="63"/>
      <c r="I820" s="76"/>
      <c r="J820" s="75"/>
      <c r="K820" s="63"/>
      <c r="L820" s="75"/>
      <c r="M820" s="76"/>
      <c r="N820" s="76"/>
      <c r="O820" s="78"/>
      <c r="P820" s="78"/>
      <c r="Q820" s="63"/>
      <c r="R820" s="63"/>
      <c r="S820" s="63"/>
      <c r="T820" s="63"/>
      <c r="U820" s="63"/>
      <c r="V820" s="63"/>
      <c r="W820" s="63"/>
      <c r="X820" s="63"/>
      <c r="Y820" s="63"/>
      <c r="Z820" s="63"/>
    </row>
    <row r="821" spans="1:26" ht="17.25" customHeight="1" x14ac:dyDescent="0.2">
      <c r="A821" s="75"/>
      <c r="B821" s="63"/>
      <c r="C821" s="63"/>
      <c r="D821" s="76"/>
      <c r="E821" s="75"/>
      <c r="F821" s="76"/>
      <c r="G821" s="63"/>
      <c r="H821" s="63"/>
      <c r="I821" s="76"/>
      <c r="J821" s="75"/>
      <c r="K821" s="63"/>
      <c r="L821" s="75"/>
      <c r="M821" s="76"/>
      <c r="N821" s="76"/>
      <c r="O821" s="78"/>
      <c r="P821" s="78"/>
      <c r="Q821" s="63"/>
      <c r="R821" s="63"/>
      <c r="S821" s="63"/>
      <c r="T821" s="63"/>
      <c r="U821" s="63"/>
      <c r="V821" s="63"/>
      <c r="W821" s="63"/>
      <c r="X821" s="63"/>
      <c r="Y821" s="63"/>
      <c r="Z821" s="63"/>
    </row>
    <row r="822" spans="1:26" ht="17.25" customHeight="1" x14ac:dyDescent="0.2">
      <c r="A822" s="75"/>
      <c r="B822" s="63"/>
      <c r="C822" s="63"/>
      <c r="D822" s="76"/>
      <c r="E822" s="75"/>
      <c r="F822" s="76"/>
      <c r="G822" s="63"/>
      <c r="H822" s="63"/>
      <c r="I822" s="76"/>
      <c r="J822" s="75"/>
      <c r="K822" s="63"/>
      <c r="L822" s="75"/>
      <c r="M822" s="76"/>
      <c r="N822" s="76"/>
      <c r="O822" s="78"/>
      <c r="P822" s="78"/>
      <c r="Q822" s="63"/>
      <c r="R822" s="63"/>
      <c r="S822" s="63"/>
      <c r="T822" s="63"/>
      <c r="U822" s="63"/>
      <c r="V822" s="63"/>
      <c r="W822" s="63"/>
      <c r="X822" s="63"/>
      <c r="Y822" s="63"/>
      <c r="Z822" s="63"/>
    </row>
    <row r="823" spans="1:26" ht="17.25" customHeight="1" x14ac:dyDescent="0.2">
      <c r="A823" s="75"/>
      <c r="B823" s="63"/>
      <c r="C823" s="63"/>
      <c r="D823" s="76"/>
      <c r="E823" s="75"/>
      <c r="F823" s="76"/>
      <c r="G823" s="63"/>
      <c r="H823" s="63"/>
      <c r="I823" s="76"/>
      <c r="J823" s="75"/>
      <c r="K823" s="63"/>
      <c r="L823" s="75"/>
      <c r="M823" s="76"/>
      <c r="N823" s="76"/>
      <c r="O823" s="78"/>
      <c r="P823" s="78"/>
      <c r="Q823" s="63"/>
      <c r="R823" s="63"/>
      <c r="S823" s="63"/>
      <c r="T823" s="63"/>
      <c r="U823" s="63"/>
      <c r="V823" s="63"/>
      <c r="W823" s="63"/>
      <c r="X823" s="63"/>
      <c r="Y823" s="63"/>
      <c r="Z823" s="63"/>
    </row>
    <row r="824" spans="1:26" ht="17.25" customHeight="1" x14ac:dyDescent="0.2">
      <c r="A824" s="75"/>
      <c r="B824" s="63"/>
      <c r="C824" s="63"/>
      <c r="D824" s="76"/>
      <c r="E824" s="75"/>
      <c r="F824" s="76"/>
      <c r="G824" s="63"/>
      <c r="H824" s="63"/>
      <c r="I824" s="76"/>
      <c r="J824" s="75"/>
      <c r="K824" s="63"/>
      <c r="L824" s="75"/>
      <c r="M824" s="76"/>
      <c r="N824" s="76"/>
      <c r="O824" s="78"/>
      <c r="P824" s="78"/>
      <c r="Q824" s="63"/>
      <c r="R824" s="63"/>
      <c r="S824" s="63"/>
      <c r="T824" s="63"/>
      <c r="U824" s="63"/>
      <c r="V824" s="63"/>
      <c r="W824" s="63"/>
      <c r="X824" s="63"/>
      <c r="Y824" s="63"/>
      <c r="Z824" s="63"/>
    </row>
    <row r="825" spans="1:26" ht="17.25" customHeight="1" x14ac:dyDescent="0.2">
      <c r="A825" s="75"/>
      <c r="B825" s="63"/>
      <c r="C825" s="63"/>
      <c r="D825" s="76"/>
      <c r="E825" s="75"/>
      <c r="F825" s="76"/>
      <c r="G825" s="63"/>
      <c r="H825" s="63"/>
      <c r="I825" s="76"/>
      <c r="J825" s="75"/>
      <c r="K825" s="63"/>
      <c r="L825" s="75"/>
      <c r="M825" s="76"/>
      <c r="N825" s="76"/>
      <c r="O825" s="78"/>
      <c r="P825" s="78"/>
      <c r="Q825" s="63"/>
      <c r="R825" s="63"/>
      <c r="S825" s="63"/>
      <c r="T825" s="63"/>
      <c r="U825" s="63"/>
      <c r="V825" s="63"/>
      <c r="W825" s="63"/>
      <c r="X825" s="63"/>
      <c r="Y825" s="63"/>
      <c r="Z825" s="63"/>
    </row>
    <row r="826" spans="1:26" ht="17.25" customHeight="1" x14ac:dyDescent="0.2">
      <c r="A826" s="75"/>
      <c r="B826" s="63"/>
      <c r="C826" s="63"/>
      <c r="D826" s="76"/>
      <c r="E826" s="75"/>
      <c r="F826" s="76"/>
      <c r="G826" s="63"/>
      <c r="H826" s="63"/>
      <c r="I826" s="76"/>
      <c r="J826" s="75"/>
      <c r="K826" s="63"/>
      <c r="L826" s="75"/>
      <c r="M826" s="76"/>
      <c r="N826" s="76"/>
      <c r="O826" s="78"/>
      <c r="P826" s="78"/>
      <c r="Q826" s="63"/>
      <c r="R826" s="63"/>
      <c r="S826" s="63"/>
      <c r="T826" s="63"/>
      <c r="U826" s="63"/>
      <c r="V826" s="63"/>
      <c r="W826" s="63"/>
      <c r="X826" s="63"/>
      <c r="Y826" s="63"/>
      <c r="Z826" s="63"/>
    </row>
    <row r="827" spans="1:26" ht="17.25" customHeight="1" x14ac:dyDescent="0.2">
      <c r="A827" s="75"/>
      <c r="B827" s="63"/>
      <c r="C827" s="63"/>
      <c r="D827" s="76"/>
      <c r="E827" s="75"/>
      <c r="F827" s="76"/>
      <c r="G827" s="63"/>
      <c r="H827" s="63"/>
      <c r="I827" s="76"/>
      <c r="J827" s="75"/>
      <c r="K827" s="63"/>
      <c r="L827" s="75"/>
      <c r="M827" s="76"/>
      <c r="N827" s="76"/>
      <c r="O827" s="78"/>
      <c r="P827" s="78"/>
      <c r="Q827" s="63"/>
      <c r="R827" s="63"/>
      <c r="S827" s="63"/>
      <c r="T827" s="63"/>
      <c r="U827" s="63"/>
      <c r="V827" s="63"/>
      <c r="W827" s="63"/>
      <c r="X827" s="63"/>
      <c r="Y827" s="63"/>
      <c r="Z827" s="63"/>
    </row>
    <row r="828" spans="1:26" ht="17.25" customHeight="1" x14ac:dyDescent="0.2">
      <c r="A828" s="75"/>
      <c r="B828" s="63"/>
      <c r="C828" s="63"/>
      <c r="D828" s="76"/>
      <c r="E828" s="75"/>
      <c r="F828" s="76"/>
      <c r="G828" s="63"/>
      <c r="H828" s="63"/>
      <c r="I828" s="76"/>
      <c r="J828" s="75"/>
      <c r="K828" s="63"/>
      <c r="L828" s="75"/>
      <c r="M828" s="76"/>
      <c r="N828" s="76"/>
      <c r="O828" s="78"/>
      <c r="P828" s="78"/>
      <c r="Q828" s="63"/>
      <c r="R828" s="63"/>
      <c r="S828" s="63"/>
      <c r="T828" s="63"/>
      <c r="U828" s="63"/>
      <c r="V828" s="63"/>
      <c r="W828" s="63"/>
      <c r="X828" s="63"/>
      <c r="Y828" s="63"/>
      <c r="Z828" s="63"/>
    </row>
    <row r="829" spans="1:26" ht="17.25" customHeight="1" x14ac:dyDescent="0.2">
      <c r="A829" s="75"/>
      <c r="B829" s="63"/>
      <c r="C829" s="63"/>
      <c r="D829" s="76"/>
      <c r="E829" s="75"/>
      <c r="F829" s="76"/>
      <c r="G829" s="63"/>
      <c r="H829" s="63"/>
      <c r="I829" s="76"/>
      <c r="J829" s="75"/>
      <c r="K829" s="63"/>
      <c r="L829" s="75"/>
      <c r="M829" s="76"/>
      <c r="N829" s="76"/>
      <c r="O829" s="78"/>
      <c r="P829" s="78"/>
      <c r="Q829" s="63"/>
      <c r="R829" s="63"/>
      <c r="S829" s="63"/>
      <c r="T829" s="63"/>
      <c r="U829" s="63"/>
      <c r="V829" s="63"/>
      <c r="W829" s="63"/>
      <c r="X829" s="63"/>
      <c r="Y829" s="63"/>
      <c r="Z829" s="63"/>
    </row>
    <row r="830" spans="1:26" ht="17.25" customHeight="1" x14ac:dyDescent="0.2">
      <c r="A830" s="75"/>
      <c r="B830" s="63"/>
      <c r="C830" s="63"/>
      <c r="D830" s="76"/>
      <c r="E830" s="75"/>
      <c r="F830" s="76"/>
      <c r="G830" s="63"/>
      <c r="H830" s="63"/>
      <c r="I830" s="76"/>
      <c r="J830" s="75"/>
      <c r="K830" s="63"/>
      <c r="L830" s="75"/>
      <c r="M830" s="76"/>
      <c r="N830" s="76"/>
      <c r="O830" s="78"/>
      <c r="P830" s="78"/>
      <c r="Q830" s="63"/>
      <c r="R830" s="63"/>
      <c r="S830" s="63"/>
      <c r="T830" s="63"/>
      <c r="U830" s="63"/>
      <c r="V830" s="63"/>
      <c r="W830" s="63"/>
      <c r="X830" s="63"/>
      <c r="Y830" s="63"/>
      <c r="Z830" s="63"/>
    </row>
    <row r="831" spans="1:26" ht="17.25" customHeight="1" x14ac:dyDescent="0.2">
      <c r="A831" s="75"/>
      <c r="B831" s="63"/>
      <c r="C831" s="63"/>
      <c r="D831" s="76"/>
      <c r="E831" s="75"/>
      <c r="F831" s="76"/>
      <c r="G831" s="63"/>
      <c r="H831" s="63"/>
      <c r="I831" s="76"/>
      <c r="J831" s="75"/>
      <c r="K831" s="63"/>
      <c r="L831" s="75"/>
      <c r="M831" s="76"/>
      <c r="N831" s="76"/>
      <c r="O831" s="78"/>
      <c r="P831" s="78"/>
      <c r="Q831" s="63"/>
      <c r="R831" s="63"/>
      <c r="S831" s="63"/>
      <c r="T831" s="63"/>
      <c r="U831" s="63"/>
      <c r="V831" s="63"/>
      <c r="W831" s="63"/>
      <c r="X831" s="63"/>
      <c r="Y831" s="63"/>
      <c r="Z831" s="63"/>
    </row>
    <row r="832" spans="1:26" ht="17.25" customHeight="1" x14ac:dyDescent="0.2">
      <c r="A832" s="75"/>
      <c r="B832" s="63"/>
      <c r="C832" s="63"/>
      <c r="D832" s="76"/>
      <c r="E832" s="75"/>
      <c r="F832" s="76"/>
      <c r="G832" s="63"/>
      <c r="H832" s="63"/>
      <c r="I832" s="76"/>
      <c r="J832" s="75"/>
      <c r="K832" s="63"/>
      <c r="L832" s="75"/>
      <c r="M832" s="76"/>
      <c r="N832" s="76"/>
      <c r="O832" s="78"/>
      <c r="P832" s="78"/>
      <c r="Q832" s="63"/>
      <c r="R832" s="63"/>
      <c r="S832" s="63"/>
      <c r="T832" s="63"/>
      <c r="U832" s="63"/>
      <c r="V832" s="63"/>
      <c r="W832" s="63"/>
      <c r="X832" s="63"/>
      <c r="Y832" s="63"/>
      <c r="Z832" s="63"/>
    </row>
    <row r="833" spans="1:26" ht="17.25" customHeight="1" x14ac:dyDescent="0.2">
      <c r="A833" s="75"/>
      <c r="B833" s="63"/>
      <c r="C833" s="63"/>
      <c r="D833" s="76"/>
      <c r="E833" s="75"/>
      <c r="F833" s="76"/>
      <c r="G833" s="63"/>
      <c r="H833" s="63"/>
      <c r="I833" s="76"/>
      <c r="J833" s="75"/>
      <c r="K833" s="63"/>
      <c r="L833" s="75"/>
      <c r="M833" s="76"/>
      <c r="N833" s="76"/>
      <c r="O833" s="78"/>
      <c r="P833" s="78"/>
      <c r="Q833" s="63"/>
      <c r="R833" s="63"/>
      <c r="S833" s="63"/>
      <c r="T833" s="63"/>
      <c r="U833" s="63"/>
      <c r="V833" s="63"/>
      <c r="W833" s="63"/>
      <c r="X833" s="63"/>
      <c r="Y833" s="63"/>
      <c r="Z833" s="63"/>
    </row>
    <row r="834" spans="1:26" ht="17.25" customHeight="1" x14ac:dyDescent="0.2">
      <c r="A834" s="75"/>
      <c r="B834" s="63"/>
      <c r="C834" s="63"/>
      <c r="D834" s="76"/>
      <c r="E834" s="75"/>
      <c r="F834" s="76"/>
      <c r="G834" s="63"/>
      <c r="H834" s="63"/>
      <c r="I834" s="76"/>
      <c r="J834" s="75"/>
      <c r="K834" s="63"/>
      <c r="L834" s="75"/>
      <c r="M834" s="76"/>
      <c r="N834" s="76"/>
      <c r="O834" s="78"/>
      <c r="P834" s="78"/>
      <c r="Q834" s="63"/>
      <c r="R834" s="63"/>
      <c r="S834" s="63"/>
      <c r="T834" s="63"/>
      <c r="U834" s="63"/>
      <c r="V834" s="63"/>
      <c r="W834" s="63"/>
      <c r="X834" s="63"/>
      <c r="Y834" s="63"/>
      <c r="Z834" s="63"/>
    </row>
    <row r="835" spans="1:26" ht="17.25" customHeight="1" x14ac:dyDescent="0.2">
      <c r="A835" s="75"/>
      <c r="B835" s="63"/>
      <c r="C835" s="63"/>
      <c r="D835" s="76"/>
      <c r="E835" s="75"/>
      <c r="F835" s="76"/>
      <c r="G835" s="63"/>
      <c r="H835" s="63"/>
      <c r="I835" s="76"/>
      <c r="J835" s="75"/>
      <c r="K835" s="63"/>
      <c r="L835" s="75"/>
      <c r="M835" s="76"/>
      <c r="N835" s="76"/>
      <c r="O835" s="78"/>
      <c r="P835" s="78"/>
      <c r="Q835" s="63"/>
      <c r="R835" s="63"/>
      <c r="S835" s="63"/>
      <c r="T835" s="63"/>
      <c r="U835" s="63"/>
      <c r="V835" s="63"/>
      <c r="W835" s="63"/>
      <c r="X835" s="63"/>
      <c r="Y835" s="63"/>
      <c r="Z835" s="63"/>
    </row>
    <row r="836" spans="1:26" ht="17.25" customHeight="1" x14ac:dyDescent="0.2">
      <c r="A836" s="75"/>
      <c r="B836" s="63"/>
      <c r="C836" s="63"/>
      <c r="D836" s="76"/>
      <c r="E836" s="75"/>
      <c r="F836" s="76"/>
      <c r="G836" s="63"/>
      <c r="H836" s="63"/>
      <c r="I836" s="76"/>
      <c r="J836" s="75"/>
      <c r="K836" s="63"/>
      <c r="L836" s="75"/>
      <c r="M836" s="76"/>
      <c r="N836" s="76"/>
      <c r="O836" s="78"/>
      <c r="P836" s="78"/>
      <c r="Q836" s="63"/>
      <c r="R836" s="63"/>
      <c r="S836" s="63"/>
      <c r="T836" s="63"/>
      <c r="U836" s="63"/>
      <c r="V836" s="63"/>
      <c r="W836" s="63"/>
      <c r="X836" s="63"/>
      <c r="Y836" s="63"/>
      <c r="Z836" s="63"/>
    </row>
    <row r="837" spans="1:26" ht="17.25" customHeight="1" x14ac:dyDescent="0.2">
      <c r="A837" s="75"/>
      <c r="B837" s="63"/>
      <c r="C837" s="63"/>
      <c r="D837" s="76"/>
      <c r="E837" s="75"/>
      <c r="F837" s="76"/>
      <c r="G837" s="63"/>
      <c r="H837" s="63"/>
      <c r="I837" s="76"/>
      <c r="J837" s="75"/>
      <c r="K837" s="63"/>
      <c r="L837" s="75"/>
      <c r="M837" s="76"/>
      <c r="N837" s="76"/>
      <c r="O837" s="78"/>
      <c r="P837" s="78"/>
      <c r="Q837" s="63"/>
      <c r="R837" s="63"/>
      <c r="S837" s="63"/>
      <c r="T837" s="63"/>
      <c r="U837" s="63"/>
      <c r="V837" s="63"/>
      <c r="W837" s="63"/>
      <c r="X837" s="63"/>
      <c r="Y837" s="63"/>
      <c r="Z837" s="63"/>
    </row>
    <row r="838" spans="1:26" ht="17.25" customHeight="1" x14ac:dyDescent="0.2">
      <c r="A838" s="75"/>
      <c r="B838" s="63"/>
      <c r="C838" s="63"/>
      <c r="D838" s="76"/>
      <c r="E838" s="75"/>
      <c r="F838" s="76"/>
      <c r="G838" s="63"/>
      <c r="H838" s="63"/>
      <c r="I838" s="76"/>
      <c r="J838" s="75"/>
      <c r="K838" s="63"/>
      <c r="L838" s="75"/>
      <c r="M838" s="76"/>
      <c r="N838" s="76"/>
      <c r="O838" s="78"/>
      <c r="P838" s="78"/>
      <c r="Q838" s="63"/>
      <c r="R838" s="63"/>
      <c r="S838" s="63"/>
      <c r="T838" s="63"/>
      <c r="U838" s="63"/>
      <c r="V838" s="63"/>
      <c r="W838" s="63"/>
      <c r="X838" s="63"/>
      <c r="Y838" s="63"/>
      <c r="Z838" s="63"/>
    </row>
    <row r="839" spans="1:26" ht="17.25" customHeight="1" x14ac:dyDescent="0.2">
      <c r="A839" s="75"/>
      <c r="B839" s="63"/>
      <c r="C839" s="63"/>
      <c r="D839" s="76"/>
      <c r="E839" s="75"/>
      <c r="F839" s="76"/>
      <c r="G839" s="63"/>
      <c r="H839" s="63"/>
      <c r="I839" s="76"/>
      <c r="J839" s="75"/>
      <c r="K839" s="63"/>
      <c r="L839" s="75"/>
      <c r="M839" s="76"/>
      <c r="N839" s="76"/>
      <c r="O839" s="78"/>
      <c r="P839" s="78"/>
      <c r="Q839" s="63"/>
      <c r="R839" s="63"/>
      <c r="S839" s="63"/>
      <c r="T839" s="63"/>
      <c r="U839" s="63"/>
      <c r="V839" s="63"/>
      <c r="W839" s="63"/>
      <c r="X839" s="63"/>
      <c r="Y839" s="63"/>
      <c r="Z839" s="63"/>
    </row>
    <row r="840" spans="1:26" ht="17.25" customHeight="1" x14ac:dyDescent="0.2">
      <c r="A840" s="75"/>
      <c r="B840" s="63"/>
      <c r="C840" s="63"/>
      <c r="D840" s="76"/>
      <c r="E840" s="75"/>
      <c r="F840" s="76"/>
      <c r="G840" s="63"/>
      <c r="H840" s="63"/>
      <c r="I840" s="76"/>
      <c r="J840" s="75"/>
      <c r="K840" s="63"/>
      <c r="L840" s="75"/>
      <c r="M840" s="76"/>
      <c r="N840" s="76"/>
      <c r="O840" s="78"/>
      <c r="P840" s="78"/>
      <c r="Q840" s="63"/>
      <c r="R840" s="63"/>
      <c r="S840" s="63"/>
      <c r="T840" s="63"/>
      <c r="U840" s="63"/>
      <c r="V840" s="63"/>
      <c r="W840" s="63"/>
      <c r="X840" s="63"/>
      <c r="Y840" s="63"/>
      <c r="Z840" s="63"/>
    </row>
    <row r="841" spans="1:26" ht="17.25" customHeight="1" x14ac:dyDescent="0.2">
      <c r="A841" s="75"/>
      <c r="B841" s="63"/>
      <c r="C841" s="63"/>
      <c r="D841" s="76"/>
      <c r="E841" s="75"/>
      <c r="F841" s="76"/>
      <c r="G841" s="63"/>
      <c r="H841" s="63"/>
      <c r="I841" s="76"/>
      <c r="J841" s="75"/>
      <c r="K841" s="63"/>
      <c r="L841" s="75"/>
      <c r="M841" s="76"/>
      <c r="N841" s="76"/>
      <c r="O841" s="78"/>
      <c r="P841" s="78"/>
      <c r="Q841" s="63"/>
      <c r="R841" s="63"/>
      <c r="S841" s="63"/>
      <c r="T841" s="63"/>
      <c r="U841" s="63"/>
      <c r="V841" s="63"/>
      <c r="W841" s="63"/>
      <c r="X841" s="63"/>
      <c r="Y841" s="63"/>
      <c r="Z841" s="63"/>
    </row>
    <row r="842" spans="1:26" ht="17.25" customHeight="1" x14ac:dyDescent="0.2">
      <c r="A842" s="75"/>
      <c r="B842" s="63"/>
      <c r="C842" s="63"/>
      <c r="D842" s="76"/>
      <c r="E842" s="75"/>
      <c r="F842" s="76"/>
      <c r="G842" s="63"/>
      <c r="H842" s="63"/>
      <c r="I842" s="76"/>
      <c r="J842" s="75"/>
      <c r="K842" s="63"/>
      <c r="L842" s="75"/>
      <c r="M842" s="76"/>
      <c r="N842" s="76"/>
      <c r="O842" s="78"/>
      <c r="P842" s="78"/>
      <c r="Q842" s="63"/>
      <c r="R842" s="63"/>
      <c r="S842" s="63"/>
      <c r="T842" s="63"/>
      <c r="U842" s="63"/>
      <c r="V842" s="63"/>
      <c r="W842" s="63"/>
      <c r="X842" s="63"/>
      <c r="Y842" s="63"/>
      <c r="Z842" s="63"/>
    </row>
    <row r="843" spans="1:26" ht="17.25" customHeight="1" x14ac:dyDescent="0.2">
      <c r="A843" s="75"/>
      <c r="B843" s="63"/>
      <c r="C843" s="63"/>
      <c r="D843" s="76"/>
      <c r="E843" s="75"/>
      <c r="F843" s="76"/>
      <c r="G843" s="63"/>
      <c r="H843" s="63"/>
      <c r="I843" s="76"/>
      <c r="J843" s="75"/>
      <c r="K843" s="63"/>
      <c r="L843" s="75"/>
      <c r="M843" s="76"/>
      <c r="N843" s="76"/>
      <c r="O843" s="78"/>
      <c r="P843" s="78"/>
      <c r="Q843" s="63"/>
      <c r="R843" s="63"/>
      <c r="S843" s="63"/>
      <c r="T843" s="63"/>
      <c r="U843" s="63"/>
      <c r="V843" s="63"/>
      <c r="W843" s="63"/>
      <c r="X843" s="63"/>
      <c r="Y843" s="63"/>
      <c r="Z843" s="63"/>
    </row>
    <row r="844" spans="1:26" ht="17.25" customHeight="1" x14ac:dyDescent="0.2">
      <c r="A844" s="75"/>
      <c r="B844" s="63"/>
      <c r="C844" s="63"/>
      <c r="D844" s="76"/>
      <c r="E844" s="75"/>
      <c r="F844" s="76"/>
      <c r="G844" s="63"/>
      <c r="H844" s="63"/>
      <c r="I844" s="76"/>
      <c r="J844" s="75"/>
      <c r="K844" s="63"/>
      <c r="L844" s="75"/>
      <c r="M844" s="76"/>
      <c r="N844" s="76"/>
      <c r="O844" s="78"/>
      <c r="P844" s="78"/>
      <c r="Q844" s="63"/>
      <c r="R844" s="63"/>
      <c r="S844" s="63"/>
      <c r="T844" s="63"/>
      <c r="U844" s="63"/>
      <c r="V844" s="63"/>
      <c r="W844" s="63"/>
      <c r="X844" s="63"/>
      <c r="Y844" s="63"/>
      <c r="Z844" s="63"/>
    </row>
    <row r="845" spans="1:26" ht="17.25" customHeight="1" x14ac:dyDescent="0.2">
      <c r="A845" s="75"/>
      <c r="B845" s="63"/>
      <c r="C845" s="63"/>
      <c r="D845" s="76"/>
      <c r="E845" s="75"/>
      <c r="F845" s="76"/>
      <c r="G845" s="63"/>
      <c r="H845" s="63"/>
      <c r="I845" s="76"/>
      <c r="J845" s="75"/>
      <c r="K845" s="63"/>
      <c r="L845" s="75"/>
      <c r="M845" s="76"/>
      <c r="N845" s="76"/>
      <c r="O845" s="78"/>
      <c r="P845" s="78"/>
      <c r="Q845" s="63"/>
      <c r="R845" s="63"/>
      <c r="S845" s="63"/>
      <c r="T845" s="63"/>
      <c r="U845" s="63"/>
      <c r="V845" s="63"/>
      <c r="W845" s="63"/>
      <c r="X845" s="63"/>
      <c r="Y845" s="63"/>
      <c r="Z845" s="63"/>
    </row>
    <row r="846" spans="1:26" ht="17.25" customHeight="1" x14ac:dyDescent="0.2">
      <c r="A846" s="75"/>
      <c r="B846" s="63"/>
      <c r="C846" s="63"/>
      <c r="D846" s="76"/>
      <c r="E846" s="75"/>
      <c r="F846" s="76"/>
      <c r="G846" s="63"/>
      <c r="H846" s="63"/>
      <c r="I846" s="76"/>
      <c r="J846" s="75"/>
      <c r="K846" s="63"/>
      <c r="L846" s="75"/>
      <c r="M846" s="76"/>
      <c r="N846" s="76"/>
      <c r="O846" s="78"/>
      <c r="P846" s="78"/>
      <c r="Q846" s="63"/>
      <c r="R846" s="63"/>
      <c r="S846" s="63"/>
      <c r="T846" s="63"/>
      <c r="U846" s="63"/>
      <c r="V846" s="63"/>
      <c r="W846" s="63"/>
      <c r="X846" s="63"/>
      <c r="Y846" s="63"/>
      <c r="Z846" s="63"/>
    </row>
    <row r="847" spans="1:26" ht="17.25" customHeight="1" x14ac:dyDescent="0.2">
      <c r="A847" s="75"/>
      <c r="B847" s="63"/>
      <c r="C847" s="63"/>
      <c r="D847" s="76"/>
      <c r="E847" s="75"/>
      <c r="F847" s="76"/>
      <c r="G847" s="63"/>
      <c r="H847" s="63"/>
      <c r="I847" s="76"/>
      <c r="J847" s="75"/>
      <c r="K847" s="63"/>
      <c r="L847" s="75"/>
      <c r="M847" s="76"/>
      <c r="N847" s="76"/>
      <c r="O847" s="78"/>
      <c r="P847" s="78"/>
      <c r="Q847" s="63"/>
      <c r="R847" s="63"/>
      <c r="S847" s="63"/>
      <c r="T847" s="63"/>
      <c r="U847" s="63"/>
      <c r="V847" s="63"/>
      <c r="W847" s="63"/>
      <c r="X847" s="63"/>
      <c r="Y847" s="63"/>
      <c r="Z847" s="63"/>
    </row>
    <row r="848" spans="1:26" ht="17.25" customHeight="1" x14ac:dyDescent="0.2">
      <c r="A848" s="75"/>
      <c r="B848" s="63"/>
      <c r="C848" s="63"/>
      <c r="D848" s="76"/>
      <c r="E848" s="75"/>
      <c r="F848" s="76"/>
      <c r="G848" s="63"/>
      <c r="H848" s="63"/>
      <c r="I848" s="76"/>
      <c r="J848" s="75"/>
      <c r="K848" s="63"/>
      <c r="L848" s="75"/>
      <c r="M848" s="76"/>
      <c r="N848" s="76"/>
      <c r="O848" s="78"/>
      <c r="P848" s="78"/>
      <c r="Q848" s="63"/>
      <c r="R848" s="63"/>
      <c r="S848" s="63"/>
      <c r="T848" s="63"/>
      <c r="U848" s="63"/>
      <c r="V848" s="63"/>
      <c r="W848" s="63"/>
      <c r="X848" s="63"/>
      <c r="Y848" s="63"/>
      <c r="Z848" s="63"/>
    </row>
    <row r="849" spans="1:26" ht="17.25" customHeight="1" x14ac:dyDescent="0.2">
      <c r="A849" s="75"/>
      <c r="B849" s="63"/>
      <c r="C849" s="63"/>
      <c r="D849" s="76"/>
      <c r="E849" s="75"/>
      <c r="F849" s="76"/>
      <c r="G849" s="63"/>
      <c r="H849" s="63"/>
      <c r="I849" s="76"/>
      <c r="J849" s="75"/>
      <c r="K849" s="63"/>
      <c r="L849" s="75"/>
      <c r="M849" s="76"/>
      <c r="N849" s="76"/>
      <c r="O849" s="78"/>
      <c r="P849" s="78"/>
      <c r="Q849" s="63"/>
      <c r="R849" s="63"/>
      <c r="S849" s="63"/>
      <c r="T849" s="63"/>
      <c r="U849" s="63"/>
      <c r="V849" s="63"/>
      <c r="W849" s="63"/>
      <c r="X849" s="63"/>
      <c r="Y849" s="63"/>
      <c r="Z849" s="63"/>
    </row>
    <row r="850" spans="1:26" ht="17.25" customHeight="1" x14ac:dyDescent="0.2">
      <c r="A850" s="75"/>
      <c r="B850" s="63"/>
      <c r="C850" s="63"/>
      <c r="D850" s="76"/>
      <c r="E850" s="75"/>
      <c r="F850" s="76"/>
      <c r="G850" s="63"/>
      <c r="H850" s="63"/>
      <c r="I850" s="76"/>
      <c r="J850" s="75"/>
      <c r="K850" s="63"/>
      <c r="L850" s="75"/>
      <c r="M850" s="76"/>
      <c r="N850" s="76"/>
      <c r="O850" s="78"/>
      <c r="P850" s="78"/>
      <c r="Q850" s="63"/>
      <c r="R850" s="63"/>
      <c r="S850" s="63"/>
      <c r="T850" s="63"/>
      <c r="U850" s="63"/>
      <c r="V850" s="63"/>
      <c r="W850" s="63"/>
      <c r="X850" s="63"/>
      <c r="Y850" s="63"/>
      <c r="Z850" s="63"/>
    </row>
    <row r="851" spans="1:26" ht="17.25" customHeight="1" x14ac:dyDescent="0.2">
      <c r="A851" s="75"/>
      <c r="B851" s="63"/>
      <c r="C851" s="63"/>
      <c r="D851" s="76"/>
      <c r="E851" s="75"/>
      <c r="F851" s="76"/>
      <c r="G851" s="63"/>
      <c r="H851" s="63"/>
      <c r="I851" s="76"/>
      <c r="J851" s="75"/>
      <c r="K851" s="63"/>
      <c r="L851" s="75"/>
      <c r="M851" s="76"/>
      <c r="N851" s="76"/>
      <c r="O851" s="78"/>
      <c r="P851" s="78"/>
      <c r="Q851" s="63"/>
      <c r="R851" s="63"/>
      <c r="S851" s="63"/>
      <c r="T851" s="63"/>
      <c r="U851" s="63"/>
      <c r="V851" s="63"/>
      <c r="W851" s="63"/>
      <c r="X851" s="63"/>
      <c r="Y851" s="63"/>
      <c r="Z851" s="63"/>
    </row>
    <row r="852" spans="1:26" ht="17.25" customHeight="1" x14ac:dyDescent="0.2">
      <c r="A852" s="75"/>
      <c r="B852" s="63"/>
      <c r="C852" s="63"/>
      <c r="D852" s="76"/>
      <c r="E852" s="75"/>
      <c r="F852" s="76"/>
      <c r="G852" s="63"/>
      <c r="H852" s="63"/>
      <c r="I852" s="76"/>
      <c r="J852" s="75"/>
      <c r="K852" s="63"/>
      <c r="L852" s="75"/>
      <c r="M852" s="76"/>
      <c r="N852" s="76"/>
      <c r="O852" s="78"/>
      <c r="P852" s="78"/>
      <c r="Q852" s="63"/>
      <c r="R852" s="63"/>
      <c r="S852" s="63"/>
      <c r="T852" s="63"/>
      <c r="U852" s="63"/>
      <c r="V852" s="63"/>
      <c r="W852" s="63"/>
      <c r="X852" s="63"/>
      <c r="Y852" s="63"/>
      <c r="Z852" s="63"/>
    </row>
    <row r="853" spans="1:26" ht="17.25" customHeight="1" x14ac:dyDescent="0.2">
      <c r="A853" s="75"/>
      <c r="B853" s="63"/>
      <c r="C853" s="63"/>
      <c r="D853" s="76"/>
      <c r="E853" s="75"/>
      <c r="F853" s="76"/>
      <c r="G853" s="63"/>
      <c r="H853" s="63"/>
      <c r="I853" s="76"/>
      <c r="J853" s="75"/>
      <c r="K853" s="63"/>
      <c r="L853" s="75"/>
      <c r="M853" s="76"/>
      <c r="N853" s="76"/>
      <c r="O853" s="78"/>
      <c r="P853" s="78"/>
      <c r="Q853" s="63"/>
      <c r="R853" s="63"/>
      <c r="S853" s="63"/>
      <c r="T853" s="63"/>
      <c r="U853" s="63"/>
      <c r="V853" s="63"/>
      <c r="W853" s="63"/>
      <c r="X853" s="63"/>
      <c r="Y853" s="63"/>
      <c r="Z853" s="63"/>
    </row>
    <row r="854" spans="1:26" ht="17.25" customHeight="1" x14ac:dyDescent="0.2">
      <c r="A854" s="75"/>
      <c r="B854" s="63"/>
      <c r="C854" s="63"/>
      <c r="D854" s="76"/>
      <c r="E854" s="75"/>
      <c r="F854" s="76"/>
      <c r="G854" s="63"/>
      <c r="H854" s="63"/>
      <c r="I854" s="76"/>
      <c r="J854" s="75"/>
      <c r="K854" s="63"/>
      <c r="L854" s="75"/>
      <c r="M854" s="76"/>
      <c r="N854" s="76"/>
      <c r="O854" s="78"/>
      <c r="P854" s="78"/>
      <c r="Q854" s="63"/>
      <c r="R854" s="63"/>
      <c r="S854" s="63"/>
      <c r="T854" s="63"/>
      <c r="U854" s="63"/>
      <c r="V854" s="63"/>
      <c r="W854" s="63"/>
      <c r="X854" s="63"/>
      <c r="Y854" s="63"/>
      <c r="Z854" s="63"/>
    </row>
    <row r="855" spans="1:26" ht="17.25" customHeight="1" x14ac:dyDescent="0.2">
      <c r="A855" s="75"/>
      <c r="B855" s="63"/>
      <c r="C855" s="63"/>
      <c r="D855" s="76"/>
      <c r="E855" s="75"/>
      <c r="F855" s="76"/>
      <c r="G855" s="63"/>
      <c r="H855" s="63"/>
      <c r="I855" s="76"/>
      <c r="J855" s="75"/>
      <c r="K855" s="63"/>
      <c r="L855" s="75"/>
      <c r="M855" s="76"/>
      <c r="N855" s="76"/>
      <c r="O855" s="78"/>
      <c r="P855" s="78"/>
      <c r="Q855" s="63"/>
      <c r="R855" s="63"/>
      <c r="S855" s="63"/>
      <c r="T855" s="63"/>
      <c r="U855" s="63"/>
      <c r="V855" s="63"/>
      <c r="W855" s="63"/>
      <c r="X855" s="63"/>
      <c r="Y855" s="63"/>
      <c r="Z855" s="63"/>
    </row>
    <row r="856" spans="1:26" ht="17.25" customHeight="1" x14ac:dyDescent="0.2">
      <c r="A856" s="75"/>
      <c r="B856" s="63"/>
      <c r="C856" s="63"/>
      <c r="D856" s="76"/>
      <c r="E856" s="75"/>
      <c r="F856" s="76"/>
      <c r="G856" s="63"/>
      <c r="H856" s="63"/>
      <c r="I856" s="76"/>
      <c r="J856" s="75"/>
      <c r="K856" s="63"/>
      <c r="L856" s="75"/>
      <c r="M856" s="76"/>
      <c r="N856" s="76"/>
      <c r="O856" s="78"/>
      <c r="P856" s="78"/>
      <c r="Q856" s="63"/>
      <c r="R856" s="63"/>
      <c r="S856" s="63"/>
      <c r="T856" s="63"/>
      <c r="U856" s="63"/>
      <c r="V856" s="63"/>
      <c r="W856" s="63"/>
      <c r="X856" s="63"/>
      <c r="Y856" s="63"/>
      <c r="Z856" s="63"/>
    </row>
    <row r="857" spans="1:26" ht="17.25" customHeight="1" x14ac:dyDescent="0.2">
      <c r="A857" s="75"/>
      <c r="B857" s="63"/>
      <c r="C857" s="63"/>
      <c r="D857" s="76"/>
      <c r="E857" s="75"/>
      <c r="F857" s="76"/>
      <c r="G857" s="63"/>
      <c r="H857" s="63"/>
      <c r="I857" s="76"/>
      <c r="J857" s="75"/>
      <c r="K857" s="63"/>
      <c r="L857" s="75"/>
      <c r="M857" s="76"/>
      <c r="N857" s="76"/>
      <c r="O857" s="78"/>
      <c r="P857" s="78"/>
      <c r="Q857" s="63"/>
      <c r="R857" s="63"/>
      <c r="S857" s="63"/>
      <c r="T857" s="63"/>
      <c r="U857" s="63"/>
      <c r="V857" s="63"/>
      <c r="W857" s="63"/>
      <c r="X857" s="63"/>
      <c r="Y857" s="63"/>
      <c r="Z857" s="63"/>
    </row>
    <row r="858" spans="1:26" ht="17.25" customHeight="1" x14ac:dyDescent="0.2">
      <c r="A858" s="75"/>
      <c r="B858" s="63"/>
      <c r="C858" s="63"/>
      <c r="D858" s="76"/>
      <c r="E858" s="75"/>
      <c r="F858" s="76"/>
      <c r="G858" s="63"/>
      <c r="H858" s="63"/>
      <c r="I858" s="76"/>
      <c r="J858" s="75"/>
      <c r="K858" s="63"/>
      <c r="L858" s="75"/>
      <c r="M858" s="76"/>
      <c r="N858" s="76"/>
      <c r="O858" s="78"/>
      <c r="P858" s="78"/>
      <c r="Q858" s="63"/>
      <c r="R858" s="63"/>
      <c r="S858" s="63"/>
      <c r="T858" s="63"/>
      <c r="U858" s="63"/>
      <c r="V858" s="63"/>
      <c r="W858" s="63"/>
      <c r="X858" s="63"/>
      <c r="Y858" s="63"/>
      <c r="Z858" s="63"/>
    </row>
    <row r="859" spans="1:26" ht="17.25" customHeight="1" x14ac:dyDescent="0.2">
      <c r="A859" s="75"/>
      <c r="B859" s="63"/>
      <c r="C859" s="63"/>
      <c r="D859" s="76"/>
      <c r="E859" s="75"/>
      <c r="F859" s="76"/>
      <c r="G859" s="63"/>
      <c r="H859" s="63"/>
      <c r="I859" s="76"/>
      <c r="J859" s="75"/>
      <c r="K859" s="63"/>
      <c r="L859" s="75"/>
      <c r="M859" s="76"/>
      <c r="N859" s="76"/>
      <c r="O859" s="78"/>
      <c r="P859" s="78"/>
      <c r="Q859" s="63"/>
      <c r="R859" s="63"/>
      <c r="S859" s="63"/>
      <c r="T859" s="63"/>
      <c r="U859" s="63"/>
      <c r="V859" s="63"/>
      <c r="W859" s="63"/>
      <c r="X859" s="63"/>
      <c r="Y859" s="63"/>
      <c r="Z859" s="63"/>
    </row>
    <row r="860" spans="1:26" ht="17.25" customHeight="1" x14ac:dyDescent="0.2">
      <c r="A860" s="75"/>
      <c r="B860" s="63"/>
      <c r="C860" s="63"/>
      <c r="D860" s="76"/>
      <c r="E860" s="75"/>
      <c r="F860" s="76"/>
      <c r="G860" s="63"/>
      <c r="H860" s="63"/>
      <c r="I860" s="76"/>
      <c r="J860" s="75"/>
      <c r="K860" s="63"/>
      <c r="L860" s="75"/>
      <c r="M860" s="76"/>
      <c r="N860" s="76"/>
      <c r="O860" s="78"/>
      <c r="P860" s="78"/>
      <c r="Q860" s="63"/>
      <c r="R860" s="63"/>
      <c r="S860" s="63"/>
      <c r="T860" s="63"/>
      <c r="U860" s="63"/>
      <c r="V860" s="63"/>
      <c r="W860" s="63"/>
      <c r="X860" s="63"/>
      <c r="Y860" s="63"/>
      <c r="Z860" s="63"/>
    </row>
    <row r="861" spans="1:26" ht="17.25" customHeight="1" x14ac:dyDescent="0.2">
      <c r="A861" s="75"/>
      <c r="B861" s="63"/>
      <c r="C861" s="63"/>
      <c r="D861" s="76"/>
      <c r="E861" s="75"/>
      <c r="F861" s="76"/>
      <c r="G861" s="63"/>
      <c r="H861" s="63"/>
      <c r="I861" s="76"/>
      <c r="J861" s="75"/>
      <c r="K861" s="63"/>
      <c r="L861" s="75"/>
      <c r="M861" s="76"/>
      <c r="N861" s="76"/>
      <c r="O861" s="78"/>
      <c r="P861" s="78"/>
      <c r="Q861" s="63"/>
      <c r="R861" s="63"/>
      <c r="S861" s="63"/>
      <c r="T861" s="63"/>
      <c r="U861" s="63"/>
      <c r="V861" s="63"/>
      <c r="W861" s="63"/>
      <c r="X861" s="63"/>
      <c r="Y861" s="63"/>
      <c r="Z861" s="63"/>
    </row>
    <row r="862" spans="1:26" ht="17.25" customHeight="1" x14ac:dyDescent="0.2">
      <c r="A862" s="75"/>
      <c r="B862" s="63"/>
      <c r="C862" s="63"/>
      <c r="D862" s="76"/>
      <c r="E862" s="75"/>
      <c r="F862" s="76"/>
      <c r="G862" s="63"/>
      <c r="H862" s="63"/>
      <c r="I862" s="76"/>
      <c r="J862" s="75"/>
      <c r="K862" s="63"/>
      <c r="L862" s="75"/>
      <c r="M862" s="76"/>
      <c r="N862" s="76"/>
      <c r="O862" s="78"/>
      <c r="P862" s="78"/>
      <c r="Q862" s="63"/>
      <c r="R862" s="63"/>
      <c r="S862" s="63"/>
      <c r="T862" s="63"/>
      <c r="U862" s="63"/>
      <c r="V862" s="63"/>
      <c r="W862" s="63"/>
      <c r="X862" s="63"/>
      <c r="Y862" s="63"/>
      <c r="Z862" s="63"/>
    </row>
    <row r="863" spans="1:26" ht="17.25" customHeight="1" x14ac:dyDescent="0.2">
      <c r="A863" s="75"/>
      <c r="B863" s="63"/>
      <c r="C863" s="63"/>
      <c r="D863" s="76"/>
      <c r="E863" s="75"/>
      <c r="F863" s="76"/>
      <c r="G863" s="63"/>
      <c r="H863" s="63"/>
      <c r="I863" s="76"/>
      <c r="J863" s="75"/>
      <c r="K863" s="63"/>
      <c r="L863" s="75"/>
      <c r="M863" s="76"/>
      <c r="N863" s="76"/>
      <c r="O863" s="78"/>
      <c r="P863" s="78"/>
      <c r="Q863" s="63"/>
      <c r="R863" s="63"/>
      <c r="S863" s="63"/>
      <c r="T863" s="63"/>
      <c r="U863" s="63"/>
      <c r="V863" s="63"/>
      <c r="W863" s="63"/>
      <c r="X863" s="63"/>
      <c r="Y863" s="63"/>
      <c r="Z863" s="63"/>
    </row>
    <row r="864" spans="1:26" ht="17.25" customHeight="1" x14ac:dyDescent="0.2">
      <c r="A864" s="75"/>
      <c r="B864" s="63"/>
      <c r="C864" s="63"/>
      <c r="D864" s="76"/>
      <c r="E864" s="75"/>
      <c r="F864" s="76"/>
      <c r="G864" s="63"/>
      <c r="H864" s="63"/>
      <c r="I864" s="76"/>
      <c r="J864" s="75"/>
      <c r="K864" s="63"/>
      <c r="L864" s="75"/>
      <c r="M864" s="76"/>
      <c r="N864" s="76"/>
      <c r="O864" s="78"/>
      <c r="P864" s="78"/>
      <c r="Q864" s="63"/>
      <c r="R864" s="63"/>
      <c r="S864" s="63"/>
      <c r="T864" s="63"/>
      <c r="U864" s="63"/>
      <c r="V864" s="63"/>
      <c r="W864" s="63"/>
      <c r="X864" s="63"/>
      <c r="Y864" s="63"/>
      <c r="Z864" s="63"/>
    </row>
    <row r="865" spans="1:26" ht="17.25" customHeight="1" x14ac:dyDescent="0.2">
      <c r="A865" s="75"/>
      <c r="B865" s="63"/>
      <c r="C865" s="63"/>
      <c r="D865" s="76"/>
      <c r="E865" s="75"/>
      <c r="F865" s="76"/>
      <c r="G865" s="63"/>
      <c r="H865" s="63"/>
      <c r="I865" s="76"/>
      <c r="J865" s="75"/>
      <c r="K865" s="63"/>
      <c r="L865" s="75"/>
      <c r="M865" s="76"/>
      <c r="N865" s="76"/>
      <c r="O865" s="78"/>
      <c r="P865" s="78"/>
      <c r="Q865" s="63"/>
      <c r="R865" s="63"/>
      <c r="S865" s="63"/>
      <c r="T865" s="63"/>
      <c r="U865" s="63"/>
      <c r="V865" s="63"/>
      <c r="W865" s="63"/>
      <c r="X865" s="63"/>
      <c r="Y865" s="63"/>
      <c r="Z865" s="63"/>
    </row>
    <row r="866" spans="1:26" ht="17.25" customHeight="1" x14ac:dyDescent="0.2">
      <c r="A866" s="75"/>
      <c r="B866" s="63"/>
      <c r="C866" s="63"/>
      <c r="D866" s="76"/>
      <c r="E866" s="75"/>
      <c r="F866" s="76"/>
      <c r="G866" s="63"/>
      <c r="H866" s="63"/>
      <c r="I866" s="76"/>
      <c r="J866" s="75"/>
      <c r="K866" s="63"/>
      <c r="L866" s="75"/>
      <c r="M866" s="76"/>
      <c r="N866" s="76"/>
      <c r="O866" s="78"/>
      <c r="P866" s="78"/>
      <c r="Q866" s="63"/>
      <c r="R866" s="63"/>
      <c r="S866" s="63"/>
      <c r="T866" s="63"/>
      <c r="U866" s="63"/>
      <c r="V866" s="63"/>
      <c r="W866" s="63"/>
      <c r="X866" s="63"/>
      <c r="Y866" s="63"/>
      <c r="Z866" s="63"/>
    </row>
    <row r="867" spans="1:26" ht="17.25" customHeight="1" x14ac:dyDescent="0.2">
      <c r="A867" s="75"/>
      <c r="B867" s="63"/>
      <c r="C867" s="63"/>
      <c r="D867" s="76"/>
      <c r="E867" s="75"/>
      <c r="F867" s="76"/>
      <c r="G867" s="63"/>
      <c r="H867" s="63"/>
      <c r="I867" s="76"/>
      <c r="J867" s="75"/>
      <c r="K867" s="63"/>
      <c r="L867" s="75"/>
      <c r="M867" s="76"/>
      <c r="N867" s="76"/>
      <c r="O867" s="78"/>
      <c r="P867" s="78"/>
      <c r="Q867" s="63"/>
      <c r="R867" s="63"/>
      <c r="S867" s="63"/>
      <c r="T867" s="63"/>
      <c r="U867" s="63"/>
      <c r="V867" s="63"/>
      <c r="W867" s="63"/>
      <c r="X867" s="63"/>
      <c r="Y867" s="63"/>
      <c r="Z867" s="63"/>
    </row>
    <row r="868" spans="1:26" ht="17.25" customHeight="1" x14ac:dyDescent="0.2">
      <c r="A868" s="75"/>
      <c r="B868" s="63"/>
      <c r="C868" s="63"/>
      <c r="D868" s="76"/>
      <c r="E868" s="75"/>
      <c r="F868" s="76"/>
      <c r="G868" s="63"/>
      <c r="H868" s="63"/>
      <c r="I868" s="76"/>
      <c r="J868" s="75"/>
      <c r="K868" s="63"/>
      <c r="L868" s="75"/>
      <c r="M868" s="76"/>
      <c r="N868" s="76"/>
      <c r="O868" s="78"/>
      <c r="P868" s="78"/>
      <c r="Q868" s="63"/>
      <c r="R868" s="63"/>
      <c r="S868" s="63"/>
      <c r="T868" s="63"/>
      <c r="U868" s="63"/>
      <c r="V868" s="63"/>
      <c r="W868" s="63"/>
      <c r="X868" s="63"/>
      <c r="Y868" s="63"/>
      <c r="Z868" s="63"/>
    </row>
    <row r="869" spans="1:26" ht="17.25" customHeight="1" x14ac:dyDescent="0.2">
      <c r="A869" s="75"/>
      <c r="B869" s="63"/>
      <c r="C869" s="63"/>
      <c r="D869" s="76"/>
      <c r="E869" s="75"/>
      <c r="F869" s="76"/>
      <c r="G869" s="63"/>
      <c r="H869" s="63"/>
      <c r="I869" s="76"/>
      <c r="J869" s="75"/>
      <c r="K869" s="63"/>
      <c r="L869" s="75"/>
      <c r="M869" s="76"/>
      <c r="N869" s="76"/>
      <c r="O869" s="78"/>
      <c r="P869" s="78"/>
      <c r="Q869" s="63"/>
      <c r="R869" s="63"/>
      <c r="S869" s="63"/>
      <c r="T869" s="63"/>
      <c r="U869" s="63"/>
      <c r="V869" s="63"/>
      <c r="W869" s="63"/>
      <c r="X869" s="63"/>
      <c r="Y869" s="63"/>
      <c r="Z869" s="63"/>
    </row>
    <row r="870" spans="1:26" ht="17.25" customHeight="1" x14ac:dyDescent="0.2">
      <c r="A870" s="75"/>
      <c r="B870" s="63"/>
      <c r="C870" s="63"/>
      <c r="D870" s="76"/>
      <c r="E870" s="75"/>
      <c r="F870" s="76"/>
      <c r="G870" s="63"/>
      <c r="H870" s="63"/>
      <c r="I870" s="76"/>
      <c r="J870" s="75"/>
      <c r="K870" s="63"/>
      <c r="L870" s="75"/>
      <c r="M870" s="76"/>
      <c r="N870" s="76"/>
      <c r="O870" s="78"/>
      <c r="P870" s="78"/>
      <c r="Q870" s="63"/>
      <c r="R870" s="63"/>
      <c r="S870" s="63"/>
      <c r="T870" s="63"/>
      <c r="U870" s="63"/>
      <c r="V870" s="63"/>
      <c r="W870" s="63"/>
      <c r="X870" s="63"/>
      <c r="Y870" s="63"/>
      <c r="Z870" s="63"/>
    </row>
    <row r="871" spans="1:26" ht="17.25" customHeight="1" x14ac:dyDescent="0.2">
      <c r="A871" s="75"/>
      <c r="B871" s="63"/>
      <c r="C871" s="63"/>
      <c r="D871" s="76"/>
      <c r="E871" s="75"/>
      <c r="F871" s="76"/>
      <c r="G871" s="63"/>
      <c r="H871" s="63"/>
      <c r="I871" s="76"/>
      <c r="J871" s="75"/>
      <c r="K871" s="63"/>
      <c r="L871" s="75"/>
      <c r="M871" s="76"/>
      <c r="N871" s="76"/>
      <c r="O871" s="78"/>
      <c r="P871" s="78"/>
      <c r="Q871" s="63"/>
      <c r="R871" s="63"/>
      <c r="S871" s="63"/>
      <c r="T871" s="63"/>
      <c r="U871" s="63"/>
      <c r="V871" s="63"/>
      <c r="W871" s="63"/>
      <c r="X871" s="63"/>
      <c r="Y871" s="63"/>
      <c r="Z871" s="63"/>
    </row>
    <row r="872" spans="1:26" ht="17.25" customHeight="1" x14ac:dyDescent="0.2">
      <c r="A872" s="75"/>
      <c r="B872" s="63"/>
      <c r="C872" s="63"/>
      <c r="D872" s="76"/>
      <c r="E872" s="75"/>
      <c r="F872" s="76"/>
      <c r="G872" s="63"/>
      <c r="H872" s="63"/>
      <c r="I872" s="76"/>
      <c r="J872" s="75"/>
      <c r="K872" s="63"/>
      <c r="L872" s="75"/>
      <c r="M872" s="76"/>
      <c r="N872" s="76"/>
      <c r="O872" s="78"/>
      <c r="P872" s="78"/>
      <c r="Q872" s="63"/>
      <c r="R872" s="63"/>
      <c r="S872" s="63"/>
      <c r="T872" s="63"/>
      <c r="U872" s="63"/>
      <c r="V872" s="63"/>
      <c r="W872" s="63"/>
      <c r="X872" s="63"/>
      <c r="Y872" s="63"/>
      <c r="Z872" s="63"/>
    </row>
    <row r="873" spans="1:26" ht="17.25" customHeight="1" x14ac:dyDescent="0.2">
      <c r="A873" s="75"/>
      <c r="B873" s="63"/>
      <c r="C873" s="63"/>
      <c r="D873" s="76"/>
      <c r="E873" s="75"/>
      <c r="F873" s="76"/>
      <c r="G873" s="63"/>
      <c r="H873" s="63"/>
      <c r="I873" s="76"/>
      <c r="J873" s="75"/>
      <c r="K873" s="63"/>
      <c r="L873" s="75"/>
      <c r="M873" s="76"/>
      <c r="N873" s="76"/>
      <c r="O873" s="78"/>
      <c r="P873" s="78"/>
      <c r="Q873" s="63"/>
      <c r="R873" s="63"/>
      <c r="S873" s="63"/>
      <c r="T873" s="63"/>
      <c r="U873" s="63"/>
      <c r="V873" s="63"/>
      <c r="W873" s="63"/>
      <c r="X873" s="63"/>
      <c r="Y873" s="63"/>
      <c r="Z873" s="63"/>
    </row>
    <row r="874" spans="1:26" ht="17.25" customHeight="1" x14ac:dyDescent="0.2">
      <c r="A874" s="75"/>
      <c r="B874" s="63"/>
      <c r="C874" s="63"/>
      <c r="D874" s="76"/>
      <c r="E874" s="75"/>
      <c r="F874" s="76"/>
      <c r="G874" s="63"/>
      <c r="H874" s="63"/>
      <c r="I874" s="76"/>
      <c r="J874" s="75"/>
      <c r="K874" s="63"/>
      <c r="L874" s="75"/>
      <c r="M874" s="76"/>
      <c r="N874" s="76"/>
      <c r="O874" s="78"/>
      <c r="P874" s="78"/>
      <c r="Q874" s="63"/>
      <c r="R874" s="63"/>
      <c r="S874" s="63"/>
      <c r="T874" s="63"/>
      <c r="U874" s="63"/>
      <c r="V874" s="63"/>
      <c r="W874" s="63"/>
      <c r="X874" s="63"/>
      <c r="Y874" s="63"/>
      <c r="Z874" s="63"/>
    </row>
    <row r="875" spans="1:26" ht="17.25" customHeight="1" x14ac:dyDescent="0.2">
      <c r="A875" s="75"/>
      <c r="B875" s="63"/>
      <c r="C875" s="63"/>
      <c r="D875" s="76"/>
      <c r="E875" s="75"/>
      <c r="F875" s="76"/>
      <c r="G875" s="63"/>
      <c r="H875" s="63"/>
      <c r="I875" s="76"/>
      <c r="J875" s="75"/>
      <c r="K875" s="63"/>
      <c r="L875" s="75"/>
      <c r="M875" s="76"/>
      <c r="N875" s="76"/>
      <c r="O875" s="78"/>
      <c r="P875" s="78"/>
      <c r="Q875" s="63"/>
      <c r="R875" s="63"/>
      <c r="S875" s="63"/>
      <c r="T875" s="63"/>
      <c r="U875" s="63"/>
      <c r="V875" s="63"/>
      <c r="W875" s="63"/>
      <c r="X875" s="63"/>
      <c r="Y875" s="63"/>
      <c r="Z875" s="63"/>
    </row>
    <row r="876" spans="1:26" ht="17.25" customHeight="1" x14ac:dyDescent="0.2">
      <c r="A876" s="75"/>
      <c r="B876" s="63"/>
      <c r="C876" s="63"/>
      <c r="D876" s="76"/>
      <c r="E876" s="75"/>
      <c r="F876" s="76"/>
      <c r="G876" s="63"/>
      <c r="H876" s="63"/>
      <c r="I876" s="76"/>
      <c r="J876" s="75"/>
      <c r="K876" s="63"/>
      <c r="L876" s="75"/>
      <c r="M876" s="76"/>
      <c r="N876" s="76"/>
      <c r="O876" s="78"/>
      <c r="P876" s="78"/>
      <c r="Q876" s="63"/>
      <c r="R876" s="63"/>
      <c r="S876" s="63"/>
      <c r="T876" s="63"/>
      <c r="U876" s="63"/>
      <c r="V876" s="63"/>
      <c r="W876" s="63"/>
      <c r="X876" s="63"/>
      <c r="Y876" s="63"/>
      <c r="Z876" s="63"/>
    </row>
    <row r="877" spans="1:26" ht="17.25" customHeight="1" x14ac:dyDescent="0.2">
      <c r="A877" s="75"/>
      <c r="B877" s="63"/>
      <c r="C877" s="63"/>
      <c r="D877" s="76"/>
      <c r="E877" s="75"/>
      <c r="F877" s="76"/>
      <c r="G877" s="63"/>
      <c r="H877" s="63"/>
      <c r="I877" s="76"/>
      <c r="J877" s="75"/>
      <c r="K877" s="63"/>
      <c r="L877" s="75"/>
      <c r="M877" s="76"/>
      <c r="N877" s="76"/>
      <c r="O877" s="78"/>
      <c r="P877" s="78"/>
      <c r="Q877" s="63"/>
      <c r="R877" s="63"/>
      <c r="S877" s="63"/>
      <c r="T877" s="63"/>
      <c r="U877" s="63"/>
      <c r="V877" s="63"/>
      <c r="W877" s="63"/>
      <c r="X877" s="63"/>
      <c r="Y877" s="63"/>
      <c r="Z877" s="63"/>
    </row>
    <row r="878" spans="1:26" ht="17.25" customHeight="1" x14ac:dyDescent="0.2">
      <c r="A878" s="75"/>
      <c r="B878" s="63"/>
      <c r="C878" s="63"/>
      <c r="D878" s="76"/>
      <c r="E878" s="75"/>
      <c r="F878" s="76"/>
      <c r="G878" s="63"/>
      <c r="H878" s="63"/>
      <c r="I878" s="76"/>
      <c r="J878" s="75"/>
      <c r="K878" s="63"/>
      <c r="L878" s="75"/>
      <c r="M878" s="76"/>
      <c r="N878" s="76"/>
      <c r="O878" s="78"/>
      <c r="P878" s="78"/>
      <c r="Q878" s="63"/>
      <c r="R878" s="63"/>
      <c r="S878" s="63"/>
      <c r="T878" s="63"/>
      <c r="U878" s="63"/>
      <c r="V878" s="63"/>
      <c r="W878" s="63"/>
      <c r="X878" s="63"/>
      <c r="Y878" s="63"/>
      <c r="Z878" s="63"/>
    </row>
    <row r="879" spans="1:26" ht="17.25" customHeight="1" x14ac:dyDescent="0.2">
      <c r="A879" s="75"/>
      <c r="B879" s="63"/>
      <c r="C879" s="63"/>
      <c r="D879" s="76"/>
      <c r="E879" s="75"/>
      <c r="F879" s="76"/>
      <c r="G879" s="63"/>
      <c r="H879" s="63"/>
      <c r="I879" s="76"/>
      <c r="J879" s="75"/>
      <c r="K879" s="63"/>
      <c r="L879" s="75"/>
      <c r="M879" s="76"/>
      <c r="N879" s="76"/>
      <c r="O879" s="78"/>
      <c r="P879" s="78"/>
      <c r="Q879" s="63"/>
      <c r="R879" s="63"/>
      <c r="S879" s="63"/>
      <c r="T879" s="63"/>
      <c r="U879" s="63"/>
      <c r="V879" s="63"/>
      <c r="W879" s="63"/>
      <c r="X879" s="63"/>
      <c r="Y879" s="63"/>
      <c r="Z879" s="63"/>
    </row>
    <row r="880" spans="1:26" ht="17.25" customHeight="1" x14ac:dyDescent="0.2">
      <c r="A880" s="75"/>
      <c r="B880" s="63"/>
      <c r="C880" s="63"/>
      <c r="D880" s="76"/>
      <c r="E880" s="75"/>
      <c r="F880" s="76"/>
      <c r="G880" s="63"/>
      <c r="H880" s="63"/>
      <c r="I880" s="76"/>
      <c r="J880" s="75"/>
      <c r="K880" s="63"/>
      <c r="L880" s="75"/>
      <c r="M880" s="76"/>
      <c r="N880" s="76"/>
      <c r="O880" s="78"/>
      <c r="P880" s="78"/>
      <c r="Q880" s="63"/>
      <c r="R880" s="63"/>
      <c r="S880" s="63"/>
      <c r="T880" s="63"/>
      <c r="U880" s="63"/>
      <c r="V880" s="63"/>
      <c r="W880" s="63"/>
      <c r="X880" s="63"/>
      <c r="Y880" s="63"/>
      <c r="Z880" s="63"/>
    </row>
    <row r="881" spans="1:26" ht="17.25" customHeight="1" x14ac:dyDescent="0.2">
      <c r="A881" s="75"/>
      <c r="B881" s="63"/>
      <c r="C881" s="63"/>
      <c r="D881" s="76"/>
      <c r="E881" s="75"/>
      <c r="F881" s="76"/>
      <c r="G881" s="63"/>
      <c r="H881" s="63"/>
      <c r="I881" s="76"/>
      <c r="J881" s="75"/>
      <c r="K881" s="63"/>
      <c r="L881" s="75"/>
      <c r="M881" s="76"/>
      <c r="N881" s="76"/>
      <c r="O881" s="78"/>
      <c r="P881" s="78"/>
      <c r="Q881" s="63"/>
      <c r="R881" s="63"/>
      <c r="S881" s="63"/>
      <c r="T881" s="63"/>
      <c r="U881" s="63"/>
      <c r="V881" s="63"/>
      <c r="W881" s="63"/>
      <c r="X881" s="63"/>
      <c r="Y881" s="63"/>
      <c r="Z881" s="63"/>
    </row>
    <row r="882" spans="1:26" ht="17.25" customHeight="1" x14ac:dyDescent="0.2">
      <c r="A882" s="75"/>
      <c r="B882" s="63"/>
      <c r="C882" s="63"/>
      <c r="D882" s="76"/>
      <c r="E882" s="75"/>
      <c r="F882" s="76"/>
      <c r="G882" s="63"/>
      <c r="H882" s="63"/>
      <c r="I882" s="76"/>
      <c r="J882" s="75"/>
      <c r="K882" s="63"/>
      <c r="L882" s="75"/>
      <c r="M882" s="76"/>
      <c r="N882" s="76"/>
      <c r="O882" s="78"/>
      <c r="P882" s="78"/>
      <c r="Q882" s="63"/>
      <c r="R882" s="63"/>
      <c r="S882" s="63"/>
      <c r="T882" s="63"/>
      <c r="U882" s="63"/>
      <c r="V882" s="63"/>
      <c r="W882" s="63"/>
      <c r="X882" s="63"/>
      <c r="Y882" s="63"/>
      <c r="Z882" s="63"/>
    </row>
    <row r="883" spans="1:26" ht="17.25" customHeight="1" x14ac:dyDescent="0.2">
      <c r="A883" s="75"/>
      <c r="B883" s="63"/>
      <c r="C883" s="63"/>
      <c r="D883" s="76"/>
      <c r="E883" s="75"/>
      <c r="F883" s="76"/>
      <c r="G883" s="63"/>
      <c r="H883" s="63"/>
      <c r="I883" s="76"/>
      <c r="J883" s="75"/>
      <c r="K883" s="63"/>
      <c r="L883" s="75"/>
      <c r="M883" s="76"/>
      <c r="N883" s="76"/>
      <c r="O883" s="78"/>
      <c r="P883" s="78"/>
      <c r="Q883" s="63"/>
      <c r="R883" s="63"/>
      <c r="S883" s="63"/>
      <c r="T883" s="63"/>
      <c r="U883" s="63"/>
      <c r="V883" s="63"/>
      <c r="W883" s="63"/>
      <c r="X883" s="63"/>
      <c r="Y883" s="63"/>
      <c r="Z883" s="63"/>
    </row>
    <row r="884" spans="1:26" ht="17.25" customHeight="1" x14ac:dyDescent="0.2">
      <c r="A884" s="75"/>
      <c r="B884" s="63"/>
      <c r="C884" s="63"/>
      <c r="D884" s="76"/>
      <c r="E884" s="75"/>
      <c r="F884" s="76"/>
      <c r="G884" s="63"/>
      <c r="H884" s="63"/>
      <c r="I884" s="76"/>
      <c r="J884" s="75"/>
      <c r="K884" s="63"/>
      <c r="L884" s="75"/>
      <c r="M884" s="76"/>
      <c r="N884" s="76"/>
      <c r="O884" s="78"/>
      <c r="P884" s="78"/>
      <c r="Q884" s="63"/>
      <c r="R884" s="63"/>
      <c r="S884" s="63"/>
      <c r="T884" s="63"/>
      <c r="U884" s="63"/>
      <c r="V884" s="63"/>
      <c r="W884" s="63"/>
      <c r="X884" s="63"/>
      <c r="Y884" s="63"/>
      <c r="Z884" s="63"/>
    </row>
    <row r="885" spans="1:26" ht="17.25" customHeight="1" x14ac:dyDescent="0.2">
      <c r="A885" s="75"/>
      <c r="B885" s="63"/>
      <c r="C885" s="63"/>
      <c r="D885" s="76"/>
      <c r="E885" s="75"/>
      <c r="F885" s="76"/>
      <c r="G885" s="63"/>
      <c r="H885" s="63"/>
      <c r="I885" s="76"/>
      <c r="J885" s="75"/>
      <c r="K885" s="63"/>
      <c r="L885" s="75"/>
      <c r="M885" s="76"/>
      <c r="N885" s="76"/>
      <c r="O885" s="78"/>
      <c r="P885" s="78"/>
      <c r="Q885" s="63"/>
      <c r="R885" s="63"/>
      <c r="S885" s="63"/>
      <c r="T885" s="63"/>
      <c r="U885" s="63"/>
      <c r="V885" s="63"/>
      <c r="W885" s="63"/>
      <c r="X885" s="63"/>
      <c r="Y885" s="63"/>
      <c r="Z885" s="63"/>
    </row>
    <row r="886" spans="1:26" ht="17.25" customHeight="1" x14ac:dyDescent="0.2">
      <c r="A886" s="75"/>
      <c r="B886" s="63"/>
      <c r="C886" s="63"/>
      <c r="D886" s="76"/>
      <c r="E886" s="75"/>
      <c r="F886" s="76"/>
      <c r="G886" s="63"/>
      <c r="H886" s="63"/>
      <c r="I886" s="76"/>
      <c r="J886" s="75"/>
      <c r="K886" s="63"/>
      <c r="L886" s="75"/>
      <c r="M886" s="76"/>
      <c r="N886" s="76"/>
      <c r="O886" s="78"/>
      <c r="P886" s="78"/>
      <c r="Q886" s="63"/>
      <c r="R886" s="63"/>
      <c r="S886" s="63"/>
      <c r="T886" s="63"/>
      <c r="U886" s="63"/>
      <c r="V886" s="63"/>
      <c r="W886" s="63"/>
      <c r="X886" s="63"/>
      <c r="Y886" s="63"/>
      <c r="Z886" s="63"/>
    </row>
    <row r="887" spans="1:26" ht="17.25" customHeight="1" x14ac:dyDescent="0.2">
      <c r="A887" s="75"/>
      <c r="B887" s="63"/>
      <c r="C887" s="63"/>
      <c r="D887" s="76"/>
      <c r="E887" s="75"/>
      <c r="F887" s="76"/>
      <c r="G887" s="63"/>
      <c r="H887" s="63"/>
      <c r="I887" s="76"/>
      <c r="J887" s="75"/>
      <c r="K887" s="63"/>
      <c r="L887" s="75"/>
      <c r="M887" s="76"/>
      <c r="N887" s="76"/>
      <c r="O887" s="78"/>
      <c r="P887" s="78"/>
      <c r="Q887" s="63"/>
      <c r="R887" s="63"/>
      <c r="S887" s="63"/>
      <c r="T887" s="63"/>
      <c r="U887" s="63"/>
      <c r="V887" s="63"/>
      <c r="W887" s="63"/>
      <c r="X887" s="63"/>
      <c r="Y887" s="63"/>
      <c r="Z887" s="63"/>
    </row>
    <row r="888" spans="1:26" ht="17.25" customHeight="1" x14ac:dyDescent="0.2">
      <c r="A888" s="75"/>
      <c r="B888" s="63"/>
      <c r="C888" s="63"/>
      <c r="D888" s="76"/>
      <c r="E888" s="75"/>
      <c r="F888" s="76"/>
      <c r="G888" s="63"/>
      <c r="H888" s="63"/>
      <c r="I888" s="76"/>
      <c r="J888" s="75"/>
      <c r="K888" s="63"/>
      <c r="L888" s="75"/>
      <c r="M888" s="76"/>
      <c r="N888" s="76"/>
      <c r="O888" s="78"/>
      <c r="P888" s="78"/>
      <c r="Q888" s="63"/>
      <c r="R888" s="63"/>
      <c r="S888" s="63"/>
      <c r="T888" s="63"/>
      <c r="U888" s="63"/>
      <c r="V888" s="63"/>
      <c r="W888" s="63"/>
      <c r="X888" s="63"/>
      <c r="Y888" s="63"/>
      <c r="Z888" s="63"/>
    </row>
    <row r="889" spans="1:26" ht="17.25" customHeight="1" x14ac:dyDescent="0.2">
      <c r="A889" s="75"/>
      <c r="B889" s="63"/>
      <c r="C889" s="63"/>
      <c r="D889" s="76"/>
      <c r="E889" s="75"/>
      <c r="F889" s="76"/>
      <c r="G889" s="63"/>
      <c r="H889" s="63"/>
      <c r="I889" s="76"/>
      <c r="J889" s="75"/>
      <c r="K889" s="63"/>
      <c r="L889" s="75"/>
      <c r="M889" s="76"/>
      <c r="N889" s="76"/>
      <c r="O889" s="78"/>
      <c r="P889" s="78"/>
      <c r="Q889" s="63"/>
      <c r="R889" s="63"/>
      <c r="S889" s="63"/>
      <c r="T889" s="63"/>
      <c r="U889" s="63"/>
      <c r="V889" s="63"/>
      <c r="W889" s="63"/>
      <c r="X889" s="63"/>
      <c r="Y889" s="63"/>
      <c r="Z889" s="63"/>
    </row>
    <row r="890" spans="1:26" ht="17.25" customHeight="1" x14ac:dyDescent="0.2">
      <c r="A890" s="75"/>
      <c r="B890" s="63"/>
      <c r="C890" s="63"/>
      <c r="D890" s="76"/>
      <c r="E890" s="75"/>
      <c r="F890" s="76"/>
      <c r="G890" s="63"/>
      <c r="H890" s="63"/>
      <c r="I890" s="76"/>
      <c r="J890" s="75"/>
      <c r="K890" s="63"/>
      <c r="L890" s="75"/>
      <c r="M890" s="76"/>
      <c r="N890" s="76"/>
      <c r="O890" s="78"/>
      <c r="P890" s="78"/>
      <c r="Q890" s="63"/>
      <c r="R890" s="63"/>
      <c r="S890" s="63"/>
      <c r="T890" s="63"/>
      <c r="U890" s="63"/>
      <c r="V890" s="63"/>
      <c r="W890" s="63"/>
      <c r="X890" s="63"/>
      <c r="Y890" s="63"/>
      <c r="Z890" s="63"/>
    </row>
    <row r="891" spans="1:26" ht="17.25" customHeight="1" x14ac:dyDescent="0.2">
      <c r="A891" s="75"/>
      <c r="B891" s="63"/>
      <c r="C891" s="63"/>
      <c r="D891" s="76"/>
      <c r="E891" s="75"/>
      <c r="F891" s="76"/>
      <c r="G891" s="63"/>
      <c r="H891" s="63"/>
      <c r="I891" s="76"/>
      <c r="J891" s="75"/>
      <c r="K891" s="63"/>
      <c r="L891" s="75"/>
      <c r="M891" s="76"/>
      <c r="N891" s="76"/>
      <c r="O891" s="78"/>
      <c r="P891" s="78"/>
      <c r="Q891" s="63"/>
      <c r="R891" s="63"/>
      <c r="S891" s="63"/>
      <c r="T891" s="63"/>
      <c r="U891" s="63"/>
      <c r="V891" s="63"/>
      <c r="W891" s="63"/>
      <c r="X891" s="63"/>
      <c r="Y891" s="63"/>
      <c r="Z891" s="63"/>
    </row>
    <row r="892" spans="1:26" ht="17.25" customHeight="1" x14ac:dyDescent="0.2">
      <c r="A892" s="75"/>
      <c r="B892" s="63"/>
      <c r="C892" s="63"/>
      <c r="D892" s="76"/>
      <c r="E892" s="75"/>
      <c r="F892" s="76"/>
      <c r="G892" s="63"/>
      <c r="H892" s="63"/>
      <c r="I892" s="76"/>
      <c r="J892" s="75"/>
      <c r="K892" s="63"/>
      <c r="L892" s="75"/>
      <c r="M892" s="76"/>
      <c r="N892" s="76"/>
      <c r="O892" s="78"/>
      <c r="P892" s="78"/>
      <c r="Q892" s="63"/>
      <c r="R892" s="63"/>
      <c r="S892" s="63"/>
      <c r="T892" s="63"/>
      <c r="U892" s="63"/>
      <c r="V892" s="63"/>
      <c r="W892" s="63"/>
      <c r="X892" s="63"/>
      <c r="Y892" s="63"/>
      <c r="Z892" s="63"/>
    </row>
    <row r="893" spans="1:26" ht="17.25" customHeight="1" x14ac:dyDescent="0.2">
      <c r="A893" s="75"/>
      <c r="B893" s="63"/>
      <c r="C893" s="63"/>
      <c r="D893" s="76"/>
      <c r="E893" s="75"/>
      <c r="F893" s="76"/>
      <c r="G893" s="63"/>
      <c r="H893" s="63"/>
      <c r="I893" s="76"/>
      <c r="J893" s="75"/>
      <c r="K893" s="63"/>
      <c r="L893" s="75"/>
      <c r="M893" s="76"/>
      <c r="N893" s="76"/>
      <c r="O893" s="78"/>
      <c r="P893" s="78"/>
      <c r="Q893" s="63"/>
      <c r="R893" s="63"/>
      <c r="S893" s="63"/>
      <c r="T893" s="63"/>
      <c r="U893" s="63"/>
      <c r="V893" s="63"/>
      <c r="W893" s="63"/>
      <c r="X893" s="63"/>
      <c r="Y893" s="63"/>
      <c r="Z893" s="63"/>
    </row>
    <row r="894" spans="1:26" ht="17.25" customHeight="1" x14ac:dyDescent="0.2">
      <c r="A894" s="75"/>
      <c r="B894" s="63"/>
      <c r="C894" s="63"/>
      <c r="D894" s="76"/>
      <c r="E894" s="75"/>
      <c r="F894" s="76"/>
      <c r="G894" s="63"/>
      <c r="H894" s="63"/>
      <c r="I894" s="76"/>
      <c r="J894" s="75"/>
      <c r="K894" s="63"/>
      <c r="L894" s="75"/>
      <c r="M894" s="76"/>
      <c r="N894" s="76"/>
      <c r="O894" s="78"/>
      <c r="P894" s="78"/>
      <c r="Q894" s="63"/>
      <c r="R894" s="63"/>
      <c r="S894" s="63"/>
      <c r="T894" s="63"/>
      <c r="U894" s="63"/>
      <c r="V894" s="63"/>
      <c r="W894" s="63"/>
      <c r="X894" s="63"/>
      <c r="Y894" s="63"/>
      <c r="Z894" s="63"/>
    </row>
    <row r="895" spans="1:26" ht="17.25" customHeight="1" x14ac:dyDescent="0.2">
      <c r="A895" s="75"/>
      <c r="B895" s="63"/>
      <c r="C895" s="63"/>
      <c r="D895" s="76"/>
      <c r="E895" s="75"/>
      <c r="F895" s="76"/>
      <c r="G895" s="63"/>
      <c r="H895" s="63"/>
      <c r="I895" s="76"/>
      <c r="J895" s="75"/>
      <c r="K895" s="63"/>
      <c r="L895" s="75"/>
      <c r="M895" s="76"/>
      <c r="N895" s="76"/>
      <c r="O895" s="78"/>
      <c r="P895" s="78"/>
      <c r="Q895" s="63"/>
      <c r="R895" s="63"/>
      <c r="S895" s="63"/>
      <c r="T895" s="63"/>
      <c r="U895" s="63"/>
      <c r="V895" s="63"/>
      <c r="W895" s="63"/>
      <c r="X895" s="63"/>
      <c r="Y895" s="63"/>
      <c r="Z895" s="63"/>
    </row>
    <row r="896" spans="1:26" ht="17.25" customHeight="1" x14ac:dyDescent="0.2">
      <c r="A896" s="75"/>
      <c r="B896" s="63"/>
      <c r="C896" s="63"/>
      <c r="D896" s="76"/>
      <c r="E896" s="75"/>
      <c r="F896" s="76"/>
      <c r="G896" s="63"/>
      <c r="H896" s="63"/>
      <c r="I896" s="76"/>
      <c r="J896" s="75"/>
      <c r="K896" s="63"/>
      <c r="L896" s="75"/>
      <c r="M896" s="76"/>
      <c r="N896" s="76"/>
      <c r="O896" s="78"/>
      <c r="P896" s="78"/>
      <c r="Q896" s="63"/>
      <c r="R896" s="63"/>
      <c r="S896" s="63"/>
      <c r="T896" s="63"/>
      <c r="U896" s="63"/>
      <c r="V896" s="63"/>
      <c r="W896" s="63"/>
      <c r="X896" s="63"/>
      <c r="Y896" s="63"/>
      <c r="Z896" s="63"/>
    </row>
    <row r="897" spans="1:26" ht="17.25" customHeight="1" x14ac:dyDescent="0.2">
      <c r="A897" s="75"/>
      <c r="B897" s="63"/>
      <c r="C897" s="63"/>
      <c r="D897" s="76"/>
      <c r="E897" s="75"/>
      <c r="F897" s="76"/>
      <c r="G897" s="63"/>
      <c r="H897" s="63"/>
      <c r="I897" s="76"/>
      <c r="J897" s="75"/>
      <c r="K897" s="63"/>
      <c r="L897" s="75"/>
      <c r="M897" s="76"/>
      <c r="N897" s="76"/>
      <c r="O897" s="78"/>
      <c r="P897" s="78"/>
      <c r="Q897" s="63"/>
      <c r="R897" s="63"/>
      <c r="S897" s="63"/>
      <c r="T897" s="63"/>
      <c r="U897" s="63"/>
      <c r="V897" s="63"/>
      <c r="W897" s="63"/>
      <c r="X897" s="63"/>
      <c r="Y897" s="63"/>
      <c r="Z897" s="63"/>
    </row>
    <row r="898" spans="1:26" ht="17.25" customHeight="1" x14ac:dyDescent="0.2">
      <c r="A898" s="75"/>
      <c r="B898" s="63"/>
      <c r="C898" s="63"/>
      <c r="D898" s="76"/>
      <c r="E898" s="75"/>
      <c r="F898" s="76"/>
      <c r="G898" s="63"/>
      <c r="H898" s="63"/>
      <c r="I898" s="76"/>
      <c r="J898" s="75"/>
      <c r="K898" s="63"/>
      <c r="L898" s="75"/>
      <c r="M898" s="76"/>
      <c r="N898" s="76"/>
      <c r="O898" s="78"/>
      <c r="P898" s="78"/>
      <c r="Q898" s="63"/>
      <c r="R898" s="63"/>
      <c r="S898" s="63"/>
      <c r="T898" s="63"/>
      <c r="U898" s="63"/>
      <c r="V898" s="63"/>
      <c r="W898" s="63"/>
      <c r="X898" s="63"/>
      <c r="Y898" s="63"/>
      <c r="Z898" s="63"/>
    </row>
    <row r="899" spans="1:26" ht="17.25" customHeight="1" x14ac:dyDescent="0.2">
      <c r="A899" s="75"/>
      <c r="B899" s="63"/>
      <c r="C899" s="63"/>
      <c r="D899" s="76"/>
      <c r="E899" s="75"/>
      <c r="F899" s="76"/>
      <c r="G899" s="63"/>
      <c r="H899" s="63"/>
      <c r="I899" s="76"/>
      <c r="J899" s="75"/>
      <c r="K899" s="63"/>
      <c r="L899" s="75"/>
      <c r="M899" s="76"/>
      <c r="N899" s="76"/>
      <c r="O899" s="78"/>
      <c r="P899" s="78"/>
      <c r="Q899" s="63"/>
      <c r="R899" s="63"/>
      <c r="S899" s="63"/>
      <c r="T899" s="63"/>
      <c r="U899" s="63"/>
      <c r="V899" s="63"/>
      <c r="W899" s="63"/>
      <c r="X899" s="63"/>
      <c r="Y899" s="63"/>
      <c r="Z899" s="63"/>
    </row>
    <row r="900" spans="1:26" ht="17.25" customHeight="1" x14ac:dyDescent="0.2">
      <c r="A900" s="75"/>
      <c r="B900" s="63"/>
      <c r="C900" s="63"/>
      <c r="D900" s="76"/>
      <c r="E900" s="75"/>
      <c r="F900" s="76"/>
      <c r="G900" s="63"/>
      <c r="H900" s="63"/>
      <c r="I900" s="76"/>
      <c r="J900" s="75"/>
      <c r="K900" s="63"/>
      <c r="L900" s="75"/>
      <c r="M900" s="76"/>
      <c r="N900" s="76"/>
      <c r="O900" s="78"/>
      <c r="P900" s="78"/>
      <c r="Q900" s="63"/>
      <c r="R900" s="63"/>
      <c r="S900" s="63"/>
      <c r="T900" s="63"/>
      <c r="U900" s="63"/>
      <c r="V900" s="63"/>
      <c r="W900" s="63"/>
      <c r="X900" s="63"/>
      <c r="Y900" s="63"/>
      <c r="Z900" s="63"/>
    </row>
    <row r="901" spans="1:26" ht="17.25" customHeight="1" x14ac:dyDescent="0.2">
      <c r="A901" s="75"/>
      <c r="B901" s="63"/>
      <c r="C901" s="63"/>
      <c r="D901" s="76"/>
      <c r="E901" s="75"/>
      <c r="F901" s="76"/>
      <c r="G901" s="63"/>
      <c r="H901" s="63"/>
      <c r="I901" s="76"/>
      <c r="J901" s="75"/>
      <c r="K901" s="63"/>
      <c r="L901" s="75"/>
      <c r="M901" s="76"/>
      <c r="N901" s="76"/>
      <c r="O901" s="78"/>
      <c r="P901" s="78"/>
      <c r="Q901" s="63"/>
      <c r="R901" s="63"/>
      <c r="S901" s="63"/>
      <c r="T901" s="63"/>
      <c r="U901" s="63"/>
      <c r="V901" s="63"/>
      <c r="W901" s="63"/>
      <c r="X901" s="63"/>
      <c r="Y901" s="63"/>
      <c r="Z901" s="63"/>
    </row>
    <row r="902" spans="1:26" ht="17.25" customHeight="1" x14ac:dyDescent="0.2">
      <c r="A902" s="75"/>
      <c r="B902" s="63"/>
      <c r="C902" s="63"/>
      <c r="D902" s="76"/>
      <c r="E902" s="75"/>
      <c r="F902" s="76"/>
      <c r="G902" s="63"/>
      <c r="H902" s="63"/>
      <c r="I902" s="76"/>
      <c r="J902" s="75"/>
      <c r="K902" s="63"/>
      <c r="L902" s="75"/>
      <c r="M902" s="76"/>
      <c r="N902" s="76"/>
      <c r="O902" s="78"/>
      <c r="P902" s="78"/>
      <c r="Q902" s="63"/>
      <c r="R902" s="63"/>
      <c r="S902" s="63"/>
      <c r="T902" s="63"/>
      <c r="U902" s="63"/>
      <c r="V902" s="63"/>
      <c r="W902" s="63"/>
      <c r="X902" s="63"/>
      <c r="Y902" s="63"/>
      <c r="Z902" s="63"/>
    </row>
    <row r="903" spans="1:26" ht="17.25" customHeight="1" x14ac:dyDescent="0.2">
      <c r="A903" s="75"/>
      <c r="B903" s="63"/>
      <c r="C903" s="63"/>
      <c r="D903" s="76"/>
      <c r="E903" s="75"/>
      <c r="F903" s="76"/>
      <c r="G903" s="63"/>
      <c r="H903" s="63"/>
      <c r="I903" s="76"/>
      <c r="J903" s="75"/>
      <c r="K903" s="63"/>
      <c r="L903" s="75"/>
      <c r="M903" s="76"/>
      <c r="N903" s="76"/>
      <c r="O903" s="78"/>
      <c r="P903" s="78"/>
      <c r="Q903" s="63"/>
      <c r="R903" s="63"/>
      <c r="S903" s="63"/>
      <c r="T903" s="63"/>
      <c r="U903" s="63"/>
      <c r="V903" s="63"/>
      <c r="W903" s="63"/>
      <c r="X903" s="63"/>
      <c r="Y903" s="63"/>
      <c r="Z903" s="63"/>
    </row>
    <row r="904" spans="1:26" ht="17.25" customHeight="1" x14ac:dyDescent="0.2">
      <c r="A904" s="75"/>
      <c r="B904" s="63"/>
      <c r="C904" s="63"/>
      <c r="D904" s="76"/>
      <c r="E904" s="75"/>
      <c r="F904" s="76"/>
      <c r="G904" s="63"/>
      <c r="H904" s="63"/>
      <c r="I904" s="76"/>
      <c r="J904" s="75"/>
      <c r="K904" s="63"/>
      <c r="L904" s="75"/>
      <c r="M904" s="76"/>
      <c r="N904" s="76"/>
      <c r="O904" s="78"/>
      <c r="P904" s="78"/>
      <c r="Q904" s="63"/>
      <c r="R904" s="63"/>
      <c r="S904" s="63"/>
      <c r="T904" s="63"/>
      <c r="U904" s="63"/>
      <c r="V904" s="63"/>
      <c r="W904" s="63"/>
      <c r="X904" s="63"/>
      <c r="Y904" s="63"/>
      <c r="Z904" s="63"/>
    </row>
    <row r="905" spans="1:26" ht="17.25" customHeight="1" x14ac:dyDescent="0.2">
      <c r="A905" s="75"/>
      <c r="B905" s="63"/>
      <c r="C905" s="63"/>
      <c r="D905" s="76"/>
      <c r="E905" s="75"/>
      <c r="F905" s="76"/>
      <c r="G905" s="63"/>
      <c r="H905" s="63"/>
      <c r="I905" s="76"/>
      <c r="J905" s="75"/>
      <c r="K905" s="63"/>
      <c r="L905" s="75"/>
      <c r="M905" s="76"/>
      <c r="N905" s="76"/>
      <c r="O905" s="78"/>
      <c r="P905" s="78"/>
      <c r="Q905" s="63"/>
      <c r="R905" s="63"/>
      <c r="S905" s="63"/>
      <c r="T905" s="63"/>
      <c r="U905" s="63"/>
      <c r="V905" s="63"/>
      <c r="W905" s="63"/>
      <c r="X905" s="63"/>
      <c r="Y905" s="63"/>
      <c r="Z905" s="63"/>
    </row>
    <row r="906" spans="1:26" ht="17.25" customHeight="1" x14ac:dyDescent="0.2">
      <c r="A906" s="75"/>
      <c r="B906" s="63"/>
      <c r="C906" s="63"/>
      <c r="D906" s="76"/>
      <c r="E906" s="75"/>
      <c r="F906" s="76"/>
      <c r="G906" s="63"/>
      <c r="H906" s="63"/>
      <c r="I906" s="76"/>
      <c r="J906" s="75"/>
      <c r="K906" s="63"/>
      <c r="L906" s="75"/>
      <c r="M906" s="76"/>
      <c r="N906" s="76"/>
      <c r="O906" s="78"/>
      <c r="P906" s="78"/>
      <c r="Q906" s="63"/>
      <c r="R906" s="63"/>
      <c r="S906" s="63"/>
      <c r="T906" s="63"/>
      <c r="U906" s="63"/>
      <c r="V906" s="63"/>
      <c r="W906" s="63"/>
      <c r="X906" s="63"/>
      <c r="Y906" s="63"/>
      <c r="Z906" s="63"/>
    </row>
    <row r="907" spans="1:26" ht="17.25" customHeight="1" x14ac:dyDescent="0.2">
      <c r="A907" s="75"/>
      <c r="B907" s="63"/>
      <c r="C907" s="63"/>
      <c r="D907" s="76"/>
      <c r="E907" s="75"/>
      <c r="F907" s="76"/>
      <c r="G907" s="63"/>
      <c r="H907" s="63"/>
      <c r="I907" s="76"/>
      <c r="J907" s="75"/>
      <c r="K907" s="63"/>
      <c r="L907" s="75"/>
      <c r="M907" s="76"/>
      <c r="N907" s="76"/>
      <c r="O907" s="78"/>
      <c r="P907" s="78"/>
      <c r="Q907" s="63"/>
      <c r="R907" s="63"/>
      <c r="S907" s="63"/>
      <c r="T907" s="63"/>
      <c r="U907" s="63"/>
      <c r="V907" s="63"/>
      <c r="W907" s="63"/>
      <c r="X907" s="63"/>
      <c r="Y907" s="63"/>
      <c r="Z907" s="63"/>
    </row>
    <row r="908" spans="1:26" ht="17.25" customHeight="1" x14ac:dyDescent="0.2">
      <c r="A908" s="75"/>
      <c r="B908" s="63"/>
      <c r="C908" s="63"/>
      <c r="D908" s="76"/>
      <c r="E908" s="75"/>
      <c r="F908" s="76"/>
      <c r="G908" s="63"/>
      <c r="H908" s="63"/>
      <c r="I908" s="76"/>
      <c r="J908" s="75"/>
      <c r="K908" s="63"/>
      <c r="L908" s="75"/>
      <c r="M908" s="76"/>
      <c r="N908" s="76"/>
      <c r="O908" s="78"/>
      <c r="P908" s="78"/>
      <c r="Q908" s="63"/>
      <c r="R908" s="63"/>
      <c r="S908" s="63"/>
      <c r="T908" s="63"/>
      <c r="U908" s="63"/>
      <c r="V908" s="63"/>
      <c r="W908" s="63"/>
      <c r="X908" s="63"/>
      <c r="Y908" s="63"/>
      <c r="Z908" s="63"/>
    </row>
    <row r="909" spans="1:26" ht="17.25" customHeight="1" x14ac:dyDescent="0.2">
      <c r="A909" s="75"/>
      <c r="B909" s="63"/>
      <c r="C909" s="63"/>
      <c r="D909" s="76"/>
      <c r="E909" s="75"/>
      <c r="F909" s="76"/>
      <c r="G909" s="63"/>
      <c r="H909" s="63"/>
      <c r="I909" s="76"/>
      <c r="J909" s="75"/>
      <c r="K909" s="63"/>
      <c r="L909" s="75"/>
      <c r="M909" s="76"/>
      <c r="N909" s="76"/>
      <c r="O909" s="78"/>
      <c r="P909" s="78"/>
      <c r="Q909" s="63"/>
      <c r="R909" s="63"/>
      <c r="S909" s="63"/>
      <c r="T909" s="63"/>
      <c r="U909" s="63"/>
      <c r="V909" s="63"/>
      <c r="W909" s="63"/>
      <c r="X909" s="63"/>
      <c r="Y909" s="63"/>
      <c r="Z909" s="63"/>
    </row>
    <row r="910" spans="1:26" ht="17.25" customHeight="1" x14ac:dyDescent="0.2">
      <c r="A910" s="75"/>
      <c r="B910" s="63"/>
      <c r="C910" s="63"/>
      <c r="D910" s="76"/>
      <c r="E910" s="75"/>
      <c r="F910" s="76"/>
      <c r="G910" s="63"/>
      <c r="H910" s="63"/>
      <c r="I910" s="76"/>
      <c r="J910" s="75"/>
      <c r="K910" s="63"/>
      <c r="L910" s="75"/>
      <c r="M910" s="76"/>
      <c r="N910" s="76"/>
      <c r="O910" s="78"/>
      <c r="P910" s="78"/>
      <c r="Q910" s="63"/>
      <c r="R910" s="63"/>
      <c r="S910" s="63"/>
      <c r="T910" s="63"/>
      <c r="U910" s="63"/>
      <c r="V910" s="63"/>
      <c r="W910" s="63"/>
      <c r="X910" s="63"/>
      <c r="Y910" s="63"/>
      <c r="Z910" s="63"/>
    </row>
    <row r="911" spans="1:26" ht="17.25" customHeight="1" x14ac:dyDescent="0.2">
      <c r="A911" s="75"/>
      <c r="B911" s="63"/>
      <c r="C911" s="63"/>
      <c r="D911" s="76"/>
      <c r="E911" s="75"/>
      <c r="F911" s="76"/>
      <c r="G911" s="63"/>
      <c r="H911" s="63"/>
      <c r="I911" s="76"/>
      <c r="J911" s="75"/>
      <c r="K911" s="63"/>
      <c r="L911" s="75"/>
      <c r="M911" s="76"/>
      <c r="N911" s="76"/>
      <c r="O911" s="78"/>
      <c r="P911" s="78"/>
      <c r="Q911" s="63"/>
      <c r="R911" s="63"/>
      <c r="S911" s="63"/>
      <c r="T911" s="63"/>
      <c r="U911" s="63"/>
      <c r="V911" s="63"/>
      <c r="W911" s="63"/>
      <c r="X911" s="63"/>
      <c r="Y911" s="63"/>
      <c r="Z911" s="63"/>
    </row>
    <row r="912" spans="1:26" ht="17.25" customHeight="1" x14ac:dyDescent="0.2">
      <c r="A912" s="75"/>
      <c r="B912" s="63"/>
      <c r="C912" s="63"/>
      <c r="D912" s="76"/>
      <c r="E912" s="75"/>
      <c r="F912" s="76"/>
      <c r="G912" s="63"/>
      <c r="H912" s="63"/>
      <c r="I912" s="76"/>
      <c r="J912" s="75"/>
      <c r="K912" s="63"/>
      <c r="L912" s="75"/>
      <c r="M912" s="76"/>
      <c r="N912" s="76"/>
      <c r="O912" s="78"/>
      <c r="P912" s="78"/>
      <c r="Q912" s="63"/>
      <c r="R912" s="63"/>
      <c r="S912" s="63"/>
      <c r="T912" s="63"/>
      <c r="U912" s="63"/>
      <c r="V912" s="63"/>
      <c r="W912" s="63"/>
      <c r="X912" s="63"/>
      <c r="Y912" s="63"/>
      <c r="Z912" s="63"/>
    </row>
    <row r="913" spans="1:26" ht="17.25" customHeight="1" x14ac:dyDescent="0.2">
      <c r="A913" s="75"/>
      <c r="B913" s="63"/>
      <c r="C913" s="63"/>
      <c r="D913" s="76"/>
      <c r="E913" s="75"/>
      <c r="F913" s="76"/>
      <c r="G913" s="63"/>
      <c r="H913" s="63"/>
      <c r="I913" s="76"/>
      <c r="J913" s="75"/>
      <c r="K913" s="63"/>
      <c r="L913" s="75"/>
      <c r="M913" s="76"/>
      <c r="N913" s="76"/>
      <c r="O913" s="78"/>
      <c r="P913" s="78"/>
      <c r="Q913" s="63"/>
      <c r="R913" s="63"/>
      <c r="S913" s="63"/>
      <c r="T913" s="63"/>
      <c r="U913" s="63"/>
      <c r="V913" s="63"/>
      <c r="W913" s="63"/>
      <c r="X913" s="63"/>
      <c r="Y913" s="63"/>
      <c r="Z913" s="63"/>
    </row>
    <row r="914" spans="1:26" ht="17.25" customHeight="1" x14ac:dyDescent="0.2">
      <c r="A914" s="75"/>
      <c r="B914" s="63"/>
      <c r="C914" s="63"/>
      <c r="D914" s="76"/>
      <c r="E914" s="75"/>
      <c r="F914" s="76"/>
      <c r="G914" s="63"/>
      <c r="H914" s="63"/>
      <c r="I914" s="76"/>
      <c r="J914" s="75"/>
      <c r="K914" s="63"/>
      <c r="L914" s="75"/>
      <c r="M914" s="76"/>
      <c r="N914" s="76"/>
      <c r="O914" s="78"/>
      <c r="P914" s="78"/>
      <c r="Q914" s="63"/>
      <c r="R914" s="63"/>
      <c r="S914" s="63"/>
      <c r="T914" s="63"/>
      <c r="U914" s="63"/>
      <c r="V914" s="63"/>
      <c r="W914" s="63"/>
      <c r="X914" s="63"/>
      <c r="Y914" s="63"/>
      <c r="Z914" s="63"/>
    </row>
    <row r="915" spans="1:26" ht="17.25" customHeight="1" x14ac:dyDescent="0.2">
      <c r="A915" s="75"/>
      <c r="B915" s="63"/>
      <c r="C915" s="63"/>
      <c r="D915" s="76"/>
      <c r="E915" s="75"/>
      <c r="F915" s="76"/>
      <c r="G915" s="63"/>
      <c r="H915" s="63"/>
      <c r="I915" s="76"/>
      <c r="J915" s="75"/>
      <c r="K915" s="63"/>
      <c r="L915" s="75"/>
      <c r="M915" s="76"/>
      <c r="N915" s="76"/>
      <c r="O915" s="78"/>
      <c r="P915" s="78"/>
      <c r="Q915" s="63"/>
      <c r="R915" s="63"/>
      <c r="S915" s="63"/>
      <c r="T915" s="63"/>
      <c r="U915" s="63"/>
      <c r="V915" s="63"/>
      <c r="W915" s="63"/>
      <c r="X915" s="63"/>
      <c r="Y915" s="63"/>
      <c r="Z915" s="63"/>
    </row>
    <row r="916" spans="1:26" ht="17.25" customHeight="1" x14ac:dyDescent="0.2">
      <c r="A916" s="75"/>
      <c r="B916" s="63"/>
      <c r="C916" s="63"/>
      <c r="D916" s="76"/>
      <c r="E916" s="75"/>
      <c r="F916" s="76"/>
      <c r="G916" s="63"/>
      <c r="H916" s="63"/>
      <c r="I916" s="76"/>
      <c r="J916" s="75"/>
      <c r="K916" s="63"/>
      <c r="L916" s="75"/>
      <c r="M916" s="76"/>
      <c r="N916" s="76"/>
      <c r="O916" s="78"/>
      <c r="P916" s="78"/>
      <c r="Q916" s="63"/>
      <c r="R916" s="63"/>
      <c r="S916" s="63"/>
      <c r="T916" s="63"/>
      <c r="U916" s="63"/>
      <c r="V916" s="63"/>
      <c r="W916" s="63"/>
      <c r="X916" s="63"/>
      <c r="Y916" s="63"/>
      <c r="Z916" s="63"/>
    </row>
    <row r="917" spans="1:26" ht="17.25" customHeight="1" x14ac:dyDescent="0.2">
      <c r="A917" s="75"/>
      <c r="B917" s="63"/>
      <c r="C917" s="63"/>
      <c r="D917" s="76"/>
      <c r="E917" s="75"/>
      <c r="F917" s="76"/>
      <c r="G917" s="63"/>
      <c r="H917" s="63"/>
      <c r="I917" s="76"/>
      <c r="J917" s="75"/>
      <c r="K917" s="63"/>
      <c r="L917" s="75"/>
      <c r="M917" s="76"/>
      <c r="N917" s="76"/>
      <c r="O917" s="78"/>
      <c r="P917" s="78"/>
      <c r="Q917" s="63"/>
      <c r="R917" s="63"/>
      <c r="S917" s="63"/>
      <c r="T917" s="63"/>
      <c r="U917" s="63"/>
      <c r="V917" s="63"/>
      <c r="W917" s="63"/>
      <c r="X917" s="63"/>
      <c r="Y917" s="63"/>
      <c r="Z917" s="63"/>
    </row>
    <row r="918" spans="1:26" ht="17.25" customHeight="1" x14ac:dyDescent="0.2">
      <c r="A918" s="75"/>
      <c r="B918" s="63"/>
      <c r="C918" s="63"/>
      <c r="D918" s="76"/>
      <c r="E918" s="75"/>
      <c r="F918" s="76"/>
      <c r="G918" s="63"/>
      <c r="H918" s="63"/>
      <c r="I918" s="76"/>
      <c r="J918" s="75"/>
      <c r="K918" s="63"/>
      <c r="L918" s="75"/>
      <c r="M918" s="76"/>
      <c r="N918" s="76"/>
      <c r="O918" s="78"/>
      <c r="P918" s="78"/>
      <c r="Q918" s="63"/>
      <c r="R918" s="63"/>
      <c r="S918" s="63"/>
      <c r="T918" s="63"/>
      <c r="U918" s="63"/>
      <c r="V918" s="63"/>
      <c r="W918" s="63"/>
      <c r="X918" s="63"/>
      <c r="Y918" s="63"/>
      <c r="Z918" s="63"/>
    </row>
    <row r="919" spans="1:26" ht="17.25" customHeight="1" x14ac:dyDescent="0.2">
      <c r="A919" s="75"/>
      <c r="B919" s="63"/>
      <c r="C919" s="63"/>
      <c r="D919" s="76"/>
      <c r="E919" s="75"/>
      <c r="F919" s="76"/>
      <c r="G919" s="63"/>
      <c r="H919" s="63"/>
      <c r="I919" s="76"/>
      <c r="J919" s="75"/>
      <c r="K919" s="63"/>
      <c r="L919" s="75"/>
      <c r="M919" s="76"/>
      <c r="N919" s="76"/>
      <c r="O919" s="78"/>
      <c r="P919" s="78"/>
      <c r="Q919" s="63"/>
      <c r="R919" s="63"/>
      <c r="S919" s="63"/>
      <c r="T919" s="63"/>
      <c r="U919" s="63"/>
      <c r="V919" s="63"/>
      <c r="W919" s="63"/>
      <c r="X919" s="63"/>
      <c r="Y919" s="63"/>
      <c r="Z919" s="63"/>
    </row>
    <row r="920" spans="1:26" ht="17.25" customHeight="1" x14ac:dyDescent="0.2">
      <c r="A920" s="75"/>
      <c r="B920" s="63"/>
      <c r="C920" s="63"/>
      <c r="D920" s="76"/>
      <c r="E920" s="75"/>
      <c r="F920" s="76"/>
      <c r="G920" s="63"/>
      <c r="H920" s="63"/>
      <c r="I920" s="76"/>
      <c r="J920" s="75"/>
      <c r="K920" s="63"/>
      <c r="L920" s="75"/>
      <c r="M920" s="76"/>
      <c r="N920" s="76"/>
      <c r="O920" s="78"/>
      <c r="P920" s="78"/>
      <c r="Q920" s="63"/>
      <c r="R920" s="63"/>
      <c r="S920" s="63"/>
      <c r="T920" s="63"/>
      <c r="U920" s="63"/>
      <c r="V920" s="63"/>
      <c r="W920" s="63"/>
      <c r="X920" s="63"/>
      <c r="Y920" s="63"/>
      <c r="Z920" s="63"/>
    </row>
    <row r="921" spans="1:26" ht="17.25" customHeight="1" x14ac:dyDescent="0.2">
      <c r="A921" s="75"/>
      <c r="B921" s="63"/>
      <c r="C921" s="63"/>
      <c r="D921" s="76"/>
      <c r="E921" s="75"/>
      <c r="F921" s="76"/>
      <c r="G921" s="63"/>
      <c r="H921" s="63"/>
      <c r="I921" s="76"/>
      <c r="J921" s="75"/>
      <c r="K921" s="63"/>
      <c r="L921" s="75"/>
      <c r="M921" s="76"/>
      <c r="N921" s="76"/>
      <c r="O921" s="78"/>
      <c r="P921" s="78"/>
      <c r="Q921" s="63"/>
      <c r="R921" s="63"/>
      <c r="S921" s="63"/>
      <c r="T921" s="63"/>
      <c r="U921" s="63"/>
      <c r="V921" s="63"/>
      <c r="W921" s="63"/>
      <c r="X921" s="63"/>
      <c r="Y921" s="63"/>
      <c r="Z921" s="63"/>
    </row>
    <row r="922" spans="1:26" ht="17.25" customHeight="1" x14ac:dyDescent="0.2">
      <c r="A922" s="75"/>
      <c r="B922" s="63"/>
      <c r="C922" s="63"/>
      <c r="D922" s="76"/>
      <c r="E922" s="75"/>
      <c r="F922" s="76"/>
      <c r="G922" s="63"/>
      <c r="H922" s="63"/>
      <c r="I922" s="76"/>
      <c r="J922" s="75"/>
      <c r="K922" s="63"/>
      <c r="L922" s="75"/>
      <c r="M922" s="76"/>
      <c r="N922" s="76"/>
      <c r="O922" s="78"/>
      <c r="P922" s="78"/>
      <c r="Q922" s="63"/>
      <c r="R922" s="63"/>
      <c r="S922" s="63"/>
      <c r="T922" s="63"/>
      <c r="U922" s="63"/>
      <c r="V922" s="63"/>
      <c r="W922" s="63"/>
      <c r="X922" s="63"/>
      <c r="Y922" s="63"/>
      <c r="Z922" s="63"/>
    </row>
    <row r="923" spans="1:26" ht="17.25" customHeight="1" x14ac:dyDescent="0.2">
      <c r="A923" s="75"/>
      <c r="B923" s="63"/>
      <c r="C923" s="63"/>
      <c r="D923" s="76"/>
      <c r="E923" s="75"/>
      <c r="F923" s="76"/>
      <c r="G923" s="63"/>
      <c r="H923" s="63"/>
      <c r="I923" s="76"/>
      <c r="J923" s="75"/>
      <c r="K923" s="63"/>
      <c r="L923" s="75"/>
      <c r="M923" s="76"/>
      <c r="N923" s="76"/>
      <c r="O923" s="78"/>
      <c r="P923" s="78"/>
      <c r="Q923" s="63"/>
      <c r="R923" s="63"/>
      <c r="S923" s="63"/>
      <c r="T923" s="63"/>
      <c r="U923" s="63"/>
      <c r="V923" s="63"/>
      <c r="W923" s="63"/>
      <c r="X923" s="63"/>
      <c r="Y923" s="63"/>
      <c r="Z923" s="63"/>
    </row>
    <row r="924" spans="1:26" ht="17.25" customHeight="1" x14ac:dyDescent="0.2">
      <c r="A924" s="75"/>
      <c r="B924" s="63"/>
      <c r="C924" s="63"/>
      <c r="D924" s="76"/>
      <c r="E924" s="75"/>
      <c r="F924" s="76"/>
      <c r="G924" s="63"/>
      <c r="H924" s="63"/>
      <c r="I924" s="76"/>
      <c r="J924" s="75"/>
      <c r="K924" s="63"/>
      <c r="L924" s="75"/>
      <c r="M924" s="76"/>
      <c r="N924" s="76"/>
      <c r="O924" s="78"/>
      <c r="P924" s="78"/>
      <c r="Q924" s="63"/>
      <c r="R924" s="63"/>
      <c r="S924" s="63"/>
      <c r="T924" s="63"/>
      <c r="U924" s="63"/>
      <c r="V924" s="63"/>
      <c r="W924" s="63"/>
      <c r="X924" s="63"/>
      <c r="Y924" s="63"/>
      <c r="Z924" s="63"/>
    </row>
    <row r="925" spans="1:26" ht="17.25" customHeight="1" x14ac:dyDescent="0.2">
      <c r="A925" s="75"/>
      <c r="B925" s="63"/>
      <c r="C925" s="63"/>
      <c r="D925" s="76"/>
      <c r="E925" s="75"/>
      <c r="F925" s="76"/>
      <c r="G925" s="63"/>
      <c r="H925" s="63"/>
      <c r="I925" s="76"/>
      <c r="J925" s="75"/>
      <c r="K925" s="63"/>
      <c r="L925" s="75"/>
      <c r="M925" s="76"/>
      <c r="N925" s="76"/>
      <c r="O925" s="78"/>
      <c r="P925" s="78"/>
      <c r="Q925" s="63"/>
      <c r="R925" s="63"/>
      <c r="S925" s="63"/>
      <c r="T925" s="63"/>
      <c r="U925" s="63"/>
      <c r="V925" s="63"/>
      <c r="W925" s="63"/>
      <c r="X925" s="63"/>
      <c r="Y925" s="63"/>
      <c r="Z925" s="63"/>
    </row>
    <row r="926" spans="1:26" ht="17.25" customHeight="1" x14ac:dyDescent="0.2">
      <c r="A926" s="75"/>
      <c r="B926" s="63"/>
      <c r="C926" s="63"/>
      <c r="D926" s="76"/>
      <c r="E926" s="75"/>
      <c r="F926" s="76"/>
      <c r="G926" s="63"/>
      <c r="H926" s="63"/>
      <c r="I926" s="76"/>
      <c r="J926" s="75"/>
      <c r="K926" s="63"/>
      <c r="L926" s="75"/>
      <c r="M926" s="76"/>
      <c r="N926" s="76"/>
      <c r="O926" s="78"/>
      <c r="P926" s="78"/>
      <c r="Q926" s="63"/>
      <c r="R926" s="63"/>
      <c r="S926" s="63"/>
      <c r="T926" s="63"/>
      <c r="U926" s="63"/>
      <c r="V926" s="63"/>
      <c r="W926" s="63"/>
      <c r="X926" s="63"/>
      <c r="Y926" s="63"/>
      <c r="Z926" s="63"/>
    </row>
    <row r="927" spans="1:26" ht="17.25" customHeight="1" x14ac:dyDescent="0.2">
      <c r="A927" s="75"/>
      <c r="B927" s="63"/>
      <c r="C927" s="63"/>
      <c r="D927" s="76"/>
      <c r="E927" s="75"/>
      <c r="F927" s="76"/>
      <c r="G927" s="63"/>
      <c r="H927" s="63"/>
      <c r="I927" s="76"/>
      <c r="J927" s="75"/>
      <c r="K927" s="63"/>
      <c r="L927" s="75"/>
      <c r="M927" s="76"/>
      <c r="N927" s="76"/>
      <c r="O927" s="78"/>
      <c r="P927" s="78"/>
      <c r="Q927" s="63"/>
      <c r="R927" s="63"/>
      <c r="S927" s="63"/>
      <c r="T927" s="63"/>
      <c r="U927" s="63"/>
      <c r="V927" s="63"/>
      <c r="W927" s="63"/>
      <c r="X927" s="63"/>
      <c r="Y927" s="63"/>
      <c r="Z927" s="63"/>
    </row>
    <row r="928" spans="1:26" ht="17.25" customHeight="1" x14ac:dyDescent="0.2">
      <c r="A928" s="75"/>
      <c r="B928" s="63"/>
      <c r="C928" s="63"/>
      <c r="D928" s="76"/>
      <c r="E928" s="75"/>
      <c r="F928" s="76"/>
      <c r="G928" s="63"/>
      <c r="H928" s="63"/>
      <c r="I928" s="76"/>
      <c r="J928" s="75"/>
      <c r="K928" s="63"/>
      <c r="L928" s="75"/>
      <c r="M928" s="76"/>
      <c r="N928" s="76"/>
      <c r="O928" s="78"/>
      <c r="P928" s="78"/>
      <c r="Q928" s="63"/>
      <c r="R928" s="63"/>
      <c r="S928" s="63"/>
      <c r="T928" s="63"/>
      <c r="U928" s="63"/>
      <c r="V928" s="63"/>
      <c r="W928" s="63"/>
      <c r="X928" s="63"/>
      <c r="Y928" s="63"/>
      <c r="Z928" s="63"/>
    </row>
    <row r="929" spans="1:26" ht="17.25" customHeight="1" x14ac:dyDescent="0.2">
      <c r="A929" s="75"/>
      <c r="B929" s="63"/>
      <c r="C929" s="63"/>
      <c r="D929" s="76"/>
      <c r="E929" s="75"/>
      <c r="F929" s="76"/>
      <c r="G929" s="63"/>
      <c r="H929" s="63"/>
      <c r="I929" s="76"/>
      <c r="J929" s="75"/>
      <c r="K929" s="63"/>
      <c r="L929" s="75"/>
      <c r="M929" s="76"/>
      <c r="N929" s="76"/>
      <c r="O929" s="78"/>
      <c r="P929" s="78"/>
      <c r="Q929" s="63"/>
      <c r="R929" s="63"/>
      <c r="S929" s="63"/>
      <c r="T929" s="63"/>
      <c r="U929" s="63"/>
      <c r="V929" s="63"/>
      <c r="W929" s="63"/>
      <c r="X929" s="63"/>
      <c r="Y929" s="63"/>
      <c r="Z929" s="63"/>
    </row>
    <row r="930" spans="1:26" ht="17.25" customHeight="1" x14ac:dyDescent="0.2">
      <c r="A930" s="75"/>
      <c r="B930" s="63"/>
      <c r="C930" s="63"/>
      <c r="D930" s="76"/>
      <c r="E930" s="75"/>
      <c r="F930" s="76"/>
      <c r="G930" s="63"/>
      <c r="H930" s="63"/>
      <c r="I930" s="76"/>
      <c r="J930" s="75"/>
      <c r="K930" s="63"/>
      <c r="L930" s="75"/>
      <c r="M930" s="76"/>
      <c r="N930" s="76"/>
      <c r="O930" s="78"/>
      <c r="P930" s="78"/>
      <c r="Q930" s="63"/>
      <c r="R930" s="63"/>
      <c r="S930" s="63"/>
      <c r="T930" s="63"/>
      <c r="U930" s="63"/>
      <c r="V930" s="63"/>
      <c r="W930" s="63"/>
      <c r="X930" s="63"/>
      <c r="Y930" s="63"/>
      <c r="Z930" s="63"/>
    </row>
    <row r="931" spans="1:26" ht="17.25" customHeight="1" x14ac:dyDescent="0.2">
      <c r="A931" s="75"/>
      <c r="B931" s="63"/>
      <c r="C931" s="63"/>
      <c r="D931" s="76"/>
      <c r="E931" s="75"/>
      <c r="F931" s="76"/>
      <c r="G931" s="63"/>
      <c r="H931" s="63"/>
      <c r="I931" s="76"/>
      <c r="J931" s="75"/>
      <c r="K931" s="63"/>
      <c r="L931" s="75"/>
      <c r="M931" s="76"/>
      <c r="N931" s="76"/>
      <c r="O931" s="78"/>
      <c r="P931" s="78"/>
      <c r="Q931" s="63"/>
      <c r="R931" s="63"/>
      <c r="S931" s="63"/>
      <c r="T931" s="63"/>
      <c r="U931" s="63"/>
      <c r="V931" s="63"/>
      <c r="W931" s="63"/>
      <c r="X931" s="63"/>
      <c r="Y931" s="63"/>
      <c r="Z931" s="63"/>
    </row>
    <row r="932" spans="1:26" ht="17.25" customHeight="1" x14ac:dyDescent="0.2">
      <c r="A932" s="75"/>
      <c r="B932" s="63"/>
      <c r="C932" s="63"/>
      <c r="D932" s="76"/>
      <c r="E932" s="75"/>
      <c r="F932" s="76"/>
      <c r="G932" s="63"/>
      <c r="H932" s="63"/>
      <c r="I932" s="76"/>
      <c r="J932" s="75"/>
      <c r="K932" s="63"/>
      <c r="L932" s="75"/>
      <c r="M932" s="76"/>
      <c r="N932" s="76"/>
      <c r="O932" s="78"/>
      <c r="P932" s="78"/>
      <c r="Q932" s="63"/>
      <c r="R932" s="63"/>
      <c r="S932" s="63"/>
      <c r="T932" s="63"/>
      <c r="U932" s="63"/>
      <c r="V932" s="63"/>
      <c r="W932" s="63"/>
      <c r="X932" s="63"/>
      <c r="Y932" s="63"/>
      <c r="Z932" s="63"/>
    </row>
    <row r="933" spans="1:26" ht="17.25" customHeight="1" x14ac:dyDescent="0.2">
      <c r="A933" s="75"/>
      <c r="B933" s="63"/>
      <c r="C933" s="63"/>
      <c r="D933" s="76"/>
      <c r="E933" s="75"/>
      <c r="F933" s="76"/>
      <c r="G933" s="63"/>
      <c r="H933" s="63"/>
      <c r="I933" s="76"/>
      <c r="J933" s="75"/>
      <c r="K933" s="63"/>
      <c r="L933" s="75"/>
      <c r="M933" s="76"/>
      <c r="N933" s="76"/>
      <c r="O933" s="78"/>
      <c r="P933" s="78"/>
      <c r="Q933" s="63"/>
      <c r="R933" s="63"/>
      <c r="S933" s="63"/>
      <c r="T933" s="63"/>
      <c r="U933" s="63"/>
      <c r="V933" s="63"/>
      <c r="W933" s="63"/>
      <c r="X933" s="63"/>
      <c r="Y933" s="63"/>
      <c r="Z933" s="63"/>
    </row>
    <row r="934" spans="1:26" ht="17.25" customHeight="1" x14ac:dyDescent="0.2">
      <c r="A934" s="75"/>
      <c r="B934" s="63"/>
      <c r="C934" s="63"/>
      <c r="D934" s="76"/>
      <c r="E934" s="75"/>
      <c r="F934" s="76"/>
      <c r="G934" s="63"/>
      <c r="H934" s="63"/>
      <c r="I934" s="76"/>
      <c r="J934" s="75"/>
      <c r="K934" s="63"/>
      <c r="L934" s="75"/>
      <c r="M934" s="76"/>
      <c r="N934" s="76"/>
      <c r="O934" s="78"/>
      <c r="P934" s="78"/>
      <c r="Q934" s="63"/>
      <c r="R934" s="63"/>
      <c r="S934" s="63"/>
      <c r="T934" s="63"/>
      <c r="U934" s="63"/>
      <c r="V934" s="63"/>
      <c r="W934" s="63"/>
      <c r="X934" s="63"/>
      <c r="Y934" s="63"/>
      <c r="Z934" s="63"/>
    </row>
    <row r="935" spans="1:26" ht="17.25" customHeight="1" x14ac:dyDescent="0.2">
      <c r="A935" s="75"/>
      <c r="B935" s="63"/>
      <c r="C935" s="63"/>
      <c r="D935" s="76"/>
      <c r="E935" s="75"/>
      <c r="F935" s="76"/>
      <c r="G935" s="63"/>
      <c r="H935" s="63"/>
      <c r="I935" s="76"/>
      <c r="J935" s="75"/>
      <c r="K935" s="63"/>
      <c r="L935" s="75"/>
      <c r="M935" s="76"/>
      <c r="N935" s="76"/>
      <c r="O935" s="78"/>
      <c r="P935" s="78"/>
      <c r="Q935" s="63"/>
      <c r="R935" s="63"/>
      <c r="S935" s="63"/>
      <c r="T935" s="63"/>
      <c r="U935" s="63"/>
      <c r="V935" s="63"/>
      <c r="W935" s="63"/>
      <c r="X935" s="63"/>
      <c r="Y935" s="63"/>
      <c r="Z935" s="63"/>
    </row>
    <row r="936" spans="1:26" ht="17.25" customHeight="1" x14ac:dyDescent="0.2">
      <c r="A936" s="75"/>
      <c r="B936" s="63"/>
      <c r="C936" s="63"/>
      <c r="D936" s="76"/>
      <c r="E936" s="75"/>
      <c r="F936" s="76"/>
      <c r="G936" s="63"/>
      <c r="H936" s="63"/>
      <c r="I936" s="76"/>
      <c r="J936" s="75"/>
      <c r="K936" s="63"/>
      <c r="L936" s="75"/>
      <c r="M936" s="76"/>
      <c r="N936" s="76"/>
      <c r="O936" s="78"/>
      <c r="P936" s="78"/>
      <c r="Q936" s="63"/>
      <c r="R936" s="63"/>
      <c r="S936" s="63"/>
      <c r="T936" s="63"/>
      <c r="U936" s="63"/>
      <c r="V936" s="63"/>
      <c r="W936" s="63"/>
      <c r="X936" s="63"/>
      <c r="Y936" s="63"/>
      <c r="Z936" s="63"/>
    </row>
    <row r="937" spans="1:26" ht="17.25" customHeight="1" x14ac:dyDescent="0.2">
      <c r="A937" s="75"/>
      <c r="B937" s="63"/>
      <c r="C937" s="63"/>
      <c r="D937" s="76"/>
      <c r="E937" s="75"/>
      <c r="F937" s="76"/>
      <c r="G937" s="63"/>
      <c r="H937" s="63"/>
      <c r="I937" s="76"/>
      <c r="J937" s="75"/>
      <c r="K937" s="63"/>
      <c r="L937" s="75"/>
      <c r="M937" s="76"/>
      <c r="N937" s="76"/>
      <c r="O937" s="78"/>
      <c r="P937" s="78"/>
      <c r="Q937" s="63"/>
      <c r="R937" s="63"/>
      <c r="S937" s="63"/>
      <c r="T937" s="63"/>
      <c r="U937" s="63"/>
      <c r="V937" s="63"/>
      <c r="W937" s="63"/>
      <c r="X937" s="63"/>
      <c r="Y937" s="63"/>
      <c r="Z937" s="63"/>
    </row>
    <row r="938" spans="1:26" ht="17.25" customHeight="1" x14ac:dyDescent="0.2">
      <c r="A938" s="75"/>
      <c r="B938" s="63"/>
      <c r="C938" s="63"/>
      <c r="D938" s="76"/>
      <c r="E938" s="75"/>
      <c r="F938" s="76"/>
      <c r="G938" s="63"/>
      <c r="H938" s="63"/>
      <c r="I938" s="76"/>
      <c r="J938" s="75"/>
      <c r="K938" s="63"/>
      <c r="L938" s="75"/>
      <c r="M938" s="76"/>
      <c r="N938" s="76"/>
      <c r="O938" s="78"/>
      <c r="P938" s="78"/>
      <c r="Q938" s="63"/>
      <c r="R938" s="63"/>
      <c r="S938" s="63"/>
      <c r="T938" s="63"/>
      <c r="U938" s="63"/>
      <c r="V938" s="63"/>
      <c r="W938" s="63"/>
      <c r="X938" s="63"/>
      <c r="Y938" s="63"/>
      <c r="Z938" s="63"/>
    </row>
    <row r="939" spans="1:26" ht="17.25" customHeight="1" x14ac:dyDescent="0.2">
      <c r="A939" s="75"/>
      <c r="B939" s="63"/>
      <c r="C939" s="63"/>
      <c r="D939" s="76"/>
      <c r="E939" s="75"/>
      <c r="F939" s="76"/>
      <c r="G939" s="63"/>
      <c r="H939" s="63"/>
      <c r="I939" s="76"/>
      <c r="J939" s="75"/>
      <c r="K939" s="63"/>
      <c r="L939" s="75"/>
      <c r="M939" s="76"/>
      <c r="N939" s="76"/>
      <c r="O939" s="78"/>
      <c r="P939" s="78"/>
      <c r="Q939" s="63"/>
      <c r="R939" s="63"/>
      <c r="S939" s="63"/>
      <c r="T939" s="63"/>
      <c r="U939" s="63"/>
      <c r="V939" s="63"/>
      <c r="W939" s="63"/>
      <c r="X939" s="63"/>
      <c r="Y939" s="63"/>
      <c r="Z939" s="63"/>
    </row>
    <row r="940" spans="1:26" ht="17.25" customHeight="1" x14ac:dyDescent="0.2">
      <c r="A940" s="75"/>
      <c r="B940" s="63"/>
      <c r="C940" s="63"/>
      <c r="D940" s="76"/>
      <c r="E940" s="75"/>
      <c r="F940" s="76"/>
      <c r="G940" s="63"/>
      <c r="H940" s="63"/>
      <c r="I940" s="76"/>
      <c r="J940" s="75"/>
      <c r="K940" s="63"/>
      <c r="L940" s="75"/>
      <c r="M940" s="76"/>
      <c r="N940" s="76"/>
      <c r="O940" s="78"/>
      <c r="P940" s="78"/>
      <c r="Q940" s="63"/>
      <c r="R940" s="63"/>
      <c r="S940" s="63"/>
      <c r="T940" s="63"/>
      <c r="U940" s="63"/>
      <c r="V940" s="63"/>
      <c r="W940" s="63"/>
      <c r="X940" s="63"/>
      <c r="Y940" s="63"/>
      <c r="Z940" s="63"/>
    </row>
    <row r="941" spans="1:26" ht="17.25" customHeight="1" x14ac:dyDescent="0.2">
      <c r="A941" s="75"/>
      <c r="B941" s="63"/>
      <c r="C941" s="63"/>
      <c r="D941" s="76"/>
      <c r="E941" s="75"/>
      <c r="F941" s="76"/>
      <c r="G941" s="63"/>
      <c r="H941" s="63"/>
      <c r="I941" s="76"/>
      <c r="J941" s="75"/>
      <c r="K941" s="63"/>
      <c r="L941" s="75"/>
      <c r="M941" s="76"/>
      <c r="N941" s="76"/>
      <c r="O941" s="78"/>
      <c r="P941" s="78"/>
      <c r="Q941" s="63"/>
      <c r="R941" s="63"/>
      <c r="S941" s="63"/>
      <c r="T941" s="63"/>
      <c r="U941" s="63"/>
      <c r="V941" s="63"/>
      <c r="W941" s="63"/>
      <c r="X941" s="63"/>
      <c r="Y941" s="63"/>
      <c r="Z941" s="63"/>
    </row>
    <row r="942" spans="1:26" ht="17.25" customHeight="1" x14ac:dyDescent="0.2">
      <c r="A942" s="75"/>
      <c r="B942" s="63"/>
      <c r="C942" s="63"/>
      <c r="D942" s="76"/>
      <c r="E942" s="75"/>
      <c r="F942" s="76"/>
      <c r="G942" s="63"/>
      <c r="H942" s="63"/>
      <c r="I942" s="76"/>
      <c r="J942" s="75"/>
      <c r="K942" s="63"/>
      <c r="L942" s="75"/>
      <c r="M942" s="76"/>
      <c r="N942" s="76"/>
      <c r="O942" s="78"/>
      <c r="P942" s="78"/>
      <c r="Q942" s="63"/>
      <c r="R942" s="63"/>
      <c r="S942" s="63"/>
      <c r="T942" s="63"/>
      <c r="U942" s="63"/>
      <c r="V942" s="63"/>
      <c r="W942" s="63"/>
      <c r="X942" s="63"/>
      <c r="Y942" s="63"/>
      <c r="Z942" s="63"/>
    </row>
    <row r="943" spans="1:26" ht="17.25" customHeight="1" x14ac:dyDescent="0.2">
      <c r="A943" s="75"/>
      <c r="B943" s="63"/>
      <c r="C943" s="63"/>
      <c r="D943" s="76"/>
      <c r="E943" s="75"/>
      <c r="F943" s="76"/>
      <c r="G943" s="63"/>
      <c r="H943" s="63"/>
      <c r="I943" s="76"/>
      <c r="J943" s="75"/>
      <c r="K943" s="63"/>
      <c r="L943" s="75"/>
      <c r="M943" s="76"/>
      <c r="N943" s="76"/>
      <c r="O943" s="78"/>
      <c r="P943" s="78"/>
      <c r="Q943" s="63"/>
      <c r="R943" s="63"/>
      <c r="S943" s="63"/>
      <c r="T943" s="63"/>
      <c r="U943" s="63"/>
      <c r="V943" s="63"/>
      <c r="W943" s="63"/>
      <c r="X943" s="63"/>
      <c r="Y943" s="63"/>
      <c r="Z943" s="63"/>
    </row>
    <row r="944" spans="1:26" ht="17.25" customHeight="1" x14ac:dyDescent="0.2">
      <c r="A944" s="75"/>
      <c r="B944" s="63"/>
      <c r="C944" s="63"/>
      <c r="D944" s="76"/>
      <c r="E944" s="75"/>
      <c r="F944" s="76"/>
      <c r="G944" s="63"/>
      <c r="H944" s="63"/>
      <c r="I944" s="76"/>
      <c r="J944" s="75"/>
      <c r="K944" s="63"/>
      <c r="L944" s="75"/>
      <c r="M944" s="76"/>
      <c r="N944" s="76"/>
      <c r="O944" s="78"/>
      <c r="P944" s="78"/>
      <c r="Q944" s="63"/>
      <c r="R944" s="63"/>
      <c r="S944" s="63"/>
      <c r="T944" s="63"/>
      <c r="U944" s="63"/>
      <c r="V944" s="63"/>
      <c r="W944" s="63"/>
      <c r="X944" s="63"/>
      <c r="Y944" s="63"/>
      <c r="Z944" s="63"/>
    </row>
    <row r="945" spans="1:26" ht="17.25" customHeight="1" x14ac:dyDescent="0.2">
      <c r="A945" s="75"/>
      <c r="B945" s="63"/>
      <c r="C945" s="63"/>
      <c r="D945" s="76"/>
      <c r="E945" s="75"/>
      <c r="F945" s="76"/>
      <c r="G945" s="63"/>
      <c r="H945" s="63"/>
      <c r="I945" s="76"/>
      <c r="J945" s="75"/>
      <c r="K945" s="63"/>
      <c r="L945" s="75"/>
      <c r="M945" s="76"/>
      <c r="N945" s="76"/>
      <c r="O945" s="78"/>
      <c r="P945" s="78"/>
      <c r="Q945" s="63"/>
      <c r="R945" s="63"/>
      <c r="S945" s="63"/>
      <c r="T945" s="63"/>
      <c r="U945" s="63"/>
      <c r="V945" s="63"/>
      <c r="W945" s="63"/>
      <c r="X945" s="63"/>
      <c r="Y945" s="63"/>
      <c r="Z945" s="63"/>
    </row>
    <row r="946" spans="1:26" ht="17.25" customHeight="1" x14ac:dyDescent="0.2">
      <c r="A946" s="75"/>
      <c r="B946" s="63"/>
      <c r="C946" s="63"/>
      <c r="D946" s="76"/>
      <c r="E946" s="75"/>
      <c r="F946" s="76"/>
      <c r="G946" s="63"/>
      <c r="H946" s="63"/>
      <c r="I946" s="76"/>
      <c r="J946" s="75"/>
      <c r="K946" s="63"/>
      <c r="L946" s="75"/>
      <c r="M946" s="76"/>
      <c r="N946" s="76"/>
      <c r="O946" s="78"/>
      <c r="P946" s="78"/>
      <c r="Q946" s="63"/>
      <c r="R946" s="63"/>
      <c r="S946" s="63"/>
      <c r="T946" s="63"/>
      <c r="U946" s="63"/>
      <c r="V946" s="63"/>
      <c r="W946" s="63"/>
      <c r="X946" s="63"/>
      <c r="Y946" s="63"/>
      <c r="Z946" s="63"/>
    </row>
    <row r="947" spans="1:26" ht="17.25" customHeight="1" x14ac:dyDescent="0.2">
      <c r="A947" s="75"/>
      <c r="B947" s="63"/>
      <c r="C947" s="63"/>
      <c r="D947" s="76"/>
      <c r="E947" s="75"/>
      <c r="F947" s="76"/>
      <c r="G947" s="63"/>
      <c r="H947" s="63"/>
      <c r="I947" s="76"/>
      <c r="J947" s="75"/>
      <c r="K947" s="63"/>
      <c r="L947" s="75"/>
      <c r="M947" s="76"/>
      <c r="N947" s="76"/>
      <c r="O947" s="78"/>
      <c r="P947" s="78"/>
      <c r="Q947" s="63"/>
      <c r="R947" s="63"/>
      <c r="S947" s="63"/>
      <c r="T947" s="63"/>
      <c r="U947" s="63"/>
      <c r="V947" s="63"/>
      <c r="W947" s="63"/>
      <c r="X947" s="63"/>
      <c r="Y947" s="63"/>
      <c r="Z947" s="63"/>
    </row>
    <row r="948" spans="1:26" ht="17.25" customHeight="1" x14ac:dyDescent="0.2">
      <c r="A948" s="75"/>
      <c r="B948" s="63"/>
      <c r="C948" s="63"/>
      <c r="D948" s="76"/>
      <c r="E948" s="75"/>
      <c r="F948" s="76"/>
      <c r="G948" s="63"/>
      <c r="H948" s="63"/>
      <c r="I948" s="76"/>
      <c r="J948" s="75"/>
      <c r="K948" s="63"/>
      <c r="L948" s="75"/>
      <c r="M948" s="76"/>
      <c r="N948" s="76"/>
      <c r="O948" s="78"/>
      <c r="P948" s="78"/>
      <c r="Q948" s="63"/>
      <c r="R948" s="63"/>
      <c r="S948" s="63"/>
      <c r="T948" s="63"/>
      <c r="U948" s="63"/>
      <c r="V948" s="63"/>
      <c r="W948" s="63"/>
      <c r="X948" s="63"/>
      <c r="Y948" s="63"/>
      <c r="Z948" s="63"/>
    </row>
    <row r="949" spans="1:26" ht="17.25" customHeight="1" x14ac:dyDescent="0.2">
      <c r="A949" s="75"/>
      <c r="B949" s="63"/>
      <c r="C949" s="63"/>
      <c r="D949" s="76"/>
      <c r="E949" s="75"/>
      <c r="F949" s="76"/>
      <c r="G949" s="63"/>
      <c r="H949" s="63"/>
      <c r="I949" s="76"/>
      <c r="J949" s="75"/>
      <c r="K949" s="63"/>
      <c r="L949" s="75"/>
      <c r="M949" s="76"/>
      <c r="N949" s="76"/>
      <c r="O949" s="78"/>
      <c r="P949" s="78"/>
      <c r="Q949" s="63"/>
      <c r="R949" s="63"/>
      <c r="S949" s="63"/>
      <c r="T949" s="63"/>
      <c r="U949" s="63"/>
      <c r="V949" s="63"/>
      <c r="W949" s="63"/>
      <c r="X949" s="63"/>
      <c r="Y949" s="63"/>
      <c r="Z949" s="63"/>
    </row>
    <row r="950" spans="1:26" ht="17.25" customHeight="1" x14ac:dyDescent="0.2">
      <c r="A950" s="75"/>
      <c r="B950" s="63"/>
      <c r="C950" s="63"/>
      <c r="D950" s="76"/>
      <c r="E950" s="75"/>
      <c r="F950" s="76"/>
      <c r="G950" s="63"/>
      <c r="H950" s="63"/>
      <c r="I950" s="76"/>
      <c r="J950" s="75"/>
      <c r="K950" s="63"/>
      <c r="L950" s="75"/>
      <c r="M950" s="76"/>
      <c r="N950" s="76"/>
      <c r="O950" s="78"/>
      <c r="P950" s="78"/>
      <c r="Q950" s="63"/>
      <c r="R950" s="63"/>
      <c r="S950" s="63"/>
      <c r="T950" s="63"/>
      <c r="U950" s="63"/>
      <c r="V950" s="63"/>
      <c r="W950" s="63"/>
      <c r="X950" s="63"/>
      <c r="Y950" s="63"/>
      <c r="Z950" s="63"/>
    </row>
    <row r="951" spans="1:26" ht="17.25" customHeight="1" x14ac:dyDescent="0.2">
      <c r="A951" s="75"/>
      <c r="B951" s="63"/>
      <c r="C951" s="63"/>
      <c r="D951" s="76"/>
      <c r="E951" s="75"/>
      <c r="F951" s="76"/>
      <c r="G951" s="63"/>
      <c r="H951" s="63"/>
      <c r="I951" s="76"/>
      <c r="J951" s="75"/>
      <c r="K951" s="63"/>
      <c r="L951" s="75"/>
      <c r="M951" s="76"/>
      <c r="N951" s="76"/>
      <c r="O951" s="78"/>
      <c r="P951" s="78"/>
      <c r="Q951" s="63"/>
      <c r="R951" s="63"/>
      <c r="S951" s="63"/>
      <c r="T951" s="63"/>
      <c r="U951" s="63"/>
      <c r="V951" s="63"/>
      <c r="W951" s="63"/>
      <c r="X951" s="63"/>
      <c r="Y951" s="63"/>
      <c r="Z951" s="63"/>
    </row>
    <row r="952" spans="1:26" ht="17.25" customHeight="1" x14ac:dyDescent="0.2">
      <c r="A952" s="75"/>
      <c r="B952" s="63"/>
      <c r="C952" s="63"/>
      <c r="D952" s="76"/>
      <c r="E952" s="75"/>
      <c r="F952" s="76"/>
      <c r="G952" s="63"/>
      <c r="H952" s="63"/>
      <c r="I952" s="76"/>
      <c r="J952" s="75"/>
      <c r="K952" s="63"/>
      <c r="L952" s="75"/>
      <c r="M952" s="76"/>
      <c r="N952" s="76"/>
      <c r="O952" s="78"/>
      <c r="P952" s="78"/>
      <c r="Q952" s="63"/>
      <c r="R952" s="63"/>
      <c r="S952" s="63"/>
      <c r="T952" s="63"/>
      <c r="U952" s="63"/>
      <c r="V952" s="63"/>
      <c r="W952" s="63"/>
      <c r="X952" s="63"/>
      <c r="Y952" s="63"/>
      <c r="Z952" s="63"/>
    </row>
    <row r="953" spans="1:26" ht="17.25" customHeight="1" x14ac:dyDescent="0.2">
      <c r="A953" s="75"/>
      <c r="B953" s="63"/>
      <c r="C953" s="63"/>
      <c r="D953" s="76"/>
      <c r="E953" s="75"/>
      <c r="F953" s="76"/>
      <c r="G953" s="63"/>
      <c r="H953" s="63"/>
      <c r="I953" s="76"/>
      <c r="J953" s="75"/>
      <c r="K953" s="63"/>
      <c r="L953" s="75"/>
      <c r="M953" s="76"/>
      <c r="N953" s="76"/>
      <c r="O953" s="78"/>
      <c r="P953" s="78"/>
      <c r="Q953" s="63"/>
      <c r="R953" s="63"/>
      <c r="S953" s="63"/>
      <c r="T953" s="63"/>
      <c r="U953" s="63"/>
      <c r="V953" s="63"/>
      <c r="W953" s="63"/>
      <c r="X953" s="63"/>
      <c r="Y953" s="63"/>
      <c r="Z953" s="63"/>
    </row>
    <row r="954" spans="1:26" ht="17.25" customHeight="1" x14ac:dyDescent="0.2">
      <c r="A954" s="75"/>
      <c r="B954" s="63"/>
      <c r="C954" s="63"/>
      <c r="D954" s="76"/>
      <c r="E954" s="75"/>
      <c r="F954" s="76"/>
      <c r="G954" s="63"/>
      <c r="H954" s="63"/>
      <c r="I954" s="76"/>
      <c r="J954" s="75"/>
      <c r="K954" s="63"/>
      <c r="L954" s="75"/>
      <c r="M954" s="76"/>
      <c r="N954" s="76"/>
      <c r="O954" s="78"/>
      <c r="P954" s="78"/>
      <c r="Q954" s="63"/>
      <c r="R954" s="63"/>
      <c r="S954" s="63"/>
      <c r="T954" s="63"/>
      <c r="U954" s="63"/>
      <c r="V954" s="63"/>
      <c r="W954" s="63"/>
      <c r="X954" s="63"/>
      <c r="Y954" s="63"/>
      <c r="Z954" s="63"/>
    </row>
    <row r="955" spans="1:26" ht="17.25" customHeight="1" x14ac:dyDescent="0.2">
      <c r="A955" s="75"/>
      <c r="B955" s="63"/>
      <c r="C955" s="63"/>
      <c r="D955" s="76"/>
      <c r="E955" s="75"/>
      <c r="F955" s="76"/>
      <c r="G955" s="63"/>
      <c r="H955" s="63"/>
      <c r="I955" s="76"/>
      <c r="J955" s="75"/>
      <c r="K955" s="63"/>
      <c r="L955" s="75"/>
      <c r="M955" s="76"/>
      <c r="N955" s="76"/>
      <c r="O955" s="78"/>
      <c r="P955" s="78"/>
      <c r="Q955" s="63"/>
      <c r="R955" s="63"/>
      <c r="S955" s="63"/>
      <c r="T955" s="63"/>
      <c r="U955" s="63"/>
      <c r="V955" s="63"/>
      <c r="W955" s="63"/>
      <c r="X955" s="63"/>
      <c r="Y955" s="63"/>
      <c r="Z955" s="63"/>
    </row>
    <row r="956" spans="1:26" ht="17.25" customHeight="1" x14ac:dyDescent="0.2">
      <c r="A956" s="75"/>
      <c r="B956" s="63"/>
      <c r="C956" s="63"/>
      <c r="D956" s="76"/>
      <c r="E956" s="75"/>
      <c r="F956" s="76"/>
      <c r="G956" s="63"/>
      <c r="H956" s="63"/>
      <c r="I956" s="76"/>
      <c r="J956" s="75"/>
      <c r="K956" s="63"/>
      <c r="L956" s="75"/>
      <c r="M956" s="76"/>
      <c r="N956" s="76"/>
      <c r="O956" s="78"/>
      <c r="P956" s="78"/>
      <c r="Q956" s="63"/>
      <c r="R956" s="63"/>
      <c r="S956" s="63"/>
      <c r="T956" s="63"/>
      <c r="U956" s="63"/>
      <c r="V956" s="63"/>
      <c r="W956" s="63"/>
      <c r="X956" s="63"/>
      <c r="Y956" s="63"/>
      <c r="Z956" s="63"/>
    </row>
    <row r="957" spans="1:26" ht="17.25" customHeight="1" x14ac:dyDescent="0.2">
      <c r="A957" s="75"/>
      <c r="B957" s="63"/>
      <c r="C957" s="63"/>
      <c r="D957" s="76"/>
      <c r="E957" s="75"/>
      <c r="F957" s="76"/>
      <c r="G957" s="63"/>
      <c r="H957" s="63"/>
      <c r="I957" s="76"/>
      <c r="J957" s="75"/>
      <c r="K957" s="63"/>
      <c r="L957" s="75"/>
      <c r="M957" s="76"/>
      <c r="N957" s="76"/>
      <c r="O957" s="78"/>
      <c r="P957" s="78"/>
      <c r="Q957" s="63"/>
      <c r="R957" s="63"/>
      <c r="S957" s="63"/>
      <c r="T957" s="63"/>
      <c r="U957" s="63"/>
      <c r="V957" s="63"/>
      <c r="W957" s="63"/>
      <c r="X957" s="63"/>
      <c r="Y957" s="63"/>
      <c r="Z957" s="63"/>
    </row>
    <row r="958" spans="1:26" ht="17.25" customHeight="1" x14ac:dyDescent="0.2">
      <c r="A958" s="75"/>
      <c r="B958" s="63"/>
      <c r="C958" s="63"/>
      <c r="D958" s="76"/>
      <c r="E958" s="75"/>
      <c r="F958" s="76"/>
      <c r="G958" s="63"/>
      <c r="H958" s="63"/>
      <c r="I958" s="76"/>
      <c r="J958" s="75"/>
      <c r="K958" s="63"/>
      <c r="L958" s="75"/>
      <c r="M958" s="76"/>
      <c r="N958" s="76"/>
      <c r="O958" s="78"/>
      <c r="P958" s="78"/>
      <c r="Q958" s="63"/>
      <c r="R958" s="63"/>
      <c r="S958" s="63"/>
      <c r="T958" s="63"/>
      <c r="U958" s="63"/>
      <c r="V958" s="63"/>
      <c r="W958" s="63"/>
      <c r="X958" s="63"/>
      <c r="Y958" s="63"/>
      <c r="Z958" s="63"/>
    </row>
    <row r="959" spans="1:26" ht="17.25" customHeight="1" x14ac:dyDescent="0.2">
      <c r="A959" s="75"/>
      <c r="B959" s="63"/>
      <c r="C959" s="63"/>
      <c r="D959" s="76"/>
      <c r="E959" s="75"/>
      <c r="F959" s="76"/>
      <c r="G959" s="63"/>
      <c r="H959" s="63"/>
      <c r="I959" s="76"/>
      <c r="J959" s="75"/>
      <c r="K959" s="63"/>
      <c r="L959" s="75"/>
      <c r="M959" s="76"/>
      <c r="N959" s="76"/>
      <c r="O959" s="78"/>
      <c r="P959" s="78"/>
      <c r="Q959" s="63"/>
      <c r="R959" s="63"/>
      <c r="S959" s="63"/>
      <c r="T959" s="63"/>
      <c r="U959" s="63"/>
      <c r="V959" s="63"/>
      <c r="W959" s="63"/>
      <c r="X959" s="63"/>
      <c r="Y959" s="63"/>
      <c r="Z959" s="63"/>
    </row>
    <row r="960" spans="1:26" ht="17.25" customHeight="1" x14ac:dyDescent="0.2">
      <c r="A960" s="75"/>
      <c r="B960" s="63"/>
      <c r="C960" s="63"/>
      <c r="D960" s="76"/>
      <c r="E960" s="75"/>
      <c r="F960" s="76"/>
      <c r="G960" s="63"/>
      <c r="H960" s="63"/>
      <c r="I960" s="76"/>
      <c r="J960" s="75"/>
      <c r="K960" s="63"/>
      <c r="L960" s="75"/>
      <c r="M960" s="76"/>
      <c r="N960" s="76"/>
      <c r="O960" s="78"/>
      <c r="P960" s="78"/>
      <c r="Q960" s="63"/>
      <c r="R960" s="63"/>
      <c r="S960" s="63"/>
      <c r="T960" s="63"/>
      <c r="U960" s="63"/>
      <c r="V960" s="63"/>
      <c r="W960" s="63"/>
      <c r="X960" s="63"/>
      <c r="Y960" s="63"/>
      <c r="Z960" s="63"/>
    </row>
    <row r="961" spans="1:26" ht="17.25" customHeight="1" x14ac:dyDescent="0.2">
      <c r="A961" s="75"/>
      <c r="B961" s="63"/>
      <c r="C961" s="63"/>
      <c r="D961" s="76"/>
      <c r="E961" s="75"/>
      <c r="F961" s="76"/>
      <c r="G961" s="63"/>
      <c r="H961" s="63"/>
      <c r="I961" s="76"/>
      <c r="J961" s="75"/>
      <c r="K961" s="63"/>
      <c r="L961" s="75"/>
      <c r="M961" s="76"/>
      <c r="N961" s="76"/>
      <c r="O961" s="78"/>
      <c r="P961" s="78"/>
      <c r="Q961" s="63"/>
      <c r="R961" s="63"/>
      <c r="S961" s="63"/>
      <c r="T961" s="63"/>
      <c r="U961" s="63"/>
      <c r="V961" s="63"/>
      <c r="W961" s="63"/>
      <c r="X961" s="63"/>
      <c r="Y961" s="63"/>
      <c r="Z961" s="63"/>
    </row>
    <row r="962" spans="1:26" ht="17.25" customHeight="1" x14ac:dyDescent="0.2">
      <c r="A962" s="75"/>
      <c r="B962" s="63"/>
      <c r="C962" s="63"/>
      <c r="D962" s="76"/>
      <c r="E962" s="75"/>
      <c r="F962" s="76"/>
      <c r="G962" s="63"/>
      <c r="H962" s="63"/>
      <c r="I962" s="76"/>
      <c r="J962" s="75"/>
      <c r="K962" s="63"/>
      <c r="L962" s="75"/>
      <c r="M962" s="76"/>
      <c r="N962" s="76"/>
      <c r="O962" s="78"/>
      <c r="P962" s="78"/>
      <c r="Q962" s="63"/>
      <c r="R962" s="63"/>
      <c r="S962" s="63"/>
      <c r="T962" s="63"/>
      <c r="U962" s="63"/>
      <c r="V962" s="63"/>
      <c r="W962" s="63"/>
      <c r="X962" s="63"/>
      <c r="Y962" s="63"/>
      <c r="Z962" s="63"/>
    </row>
    <row r="963" spans="1:26" ht="17.25" customHeight="1" x14ac:dyDescent="0.2">
      <c r="A963" s="75"/>
      <c r="B963" s="63"/>
      <c r="C963" s="63"/>
      <c r="D963" s="76"/>
      <c r="E963" s="75"/>
      <c r="F963" s="76"/>
      <c r="G963" s="63"/>
      <c r="H963" s="63"/>
      <c r="I963" s="76"/>
      <c r="J963" s="75"/>
      <c r="K963" s="63"/>
      <c r="L963" s="75"/>
      <c r="M963" s="76"/>
      <c r="N963" s="76"/>
      <c r="O963" s="78"/>
      <c r="P963" s="78"/>
      <c r="Q963" s="63"/>
      <c r="R963" s="63"/>
      <c r="S963" s="63"/>
      <c r="T963" s="63"/>
      <c r="U963" s="63"/>
      <c r="V963" s="63"/>
      <c r="W963" s="63"/>
      <c r="X963" s="63"/>
      <c r="Y963" s="63"/>
      <c r="Z963" s="63"/>
    </row>
    <row r="964" spans="1:26" ht="17.25" customHeight="1" x14ac:dyDescent="0.2">
      <c r="A964" s="75"/>
      <c r="B964" s="63"/>
      <c r="C964" s="63"/>
      <c r="D964" s="76"/>
      <c r="E964" s="75"/>
      <c r="F964" s="76"/>
      <c r="G964" s="63"/>
      <c r="H964" s="63"/>
      <c r="I964" s="76"/>
      <c r="J964" s="75"/>
      <c r="K964" s="63"/>
      <c r="L964" s="75"/>
      <c r="M964" s="76"/>
      <c r="N964" s="76"/>
      <c r="O964" s="78"/>
      <c r="P964" s="78"/>
      <c r="Q964" s="63"/>
      <c r="R964" s="63"/>
      <c r="S964" s="63"/>
      <c r="T964" s="63"/>
      <c r="U964" s="63"/>
      <c r="V964" s="63"/>
      <c r="W964" s="63"/>
      <c r="X964" s="63"/>
      <c r="Y964" s="63"/>
      <c r="Z964" s="63"/>
    </row>
    <row r="965" spans="1:26" ht="17.25" customHeight="1" x14ac:dyDescent="0.2">
      <c r="A965" s="75"/>
      <c r="B965" s="63"/>
      <c r="C965" s="63"/>
      <c r="D965" s="76"/>
      <c r="E965" s="75"/>
      <c r="F965" s="76"/>
      <c r="G965" s="63"/>
      <c r="H965" s="63"/>
      <c r="I965" s="76"/>
      <c r="J965" s="75"/>
      <c r="K965" s="63"/>
      <c r="L965" s="75"/>
      <c r="M965" s="76"/>
      <c r="N965" s="76"/>
      <c r="O965" s="78"/>
      <c r="P965" s="78"/>
      <c r="Q965" s="63"/>
      <c r="R965" s="63"/>
      <c r="S965" s="63"/>
      <c r="T965" s="63"/>
      <c r="U965" s="63"/>
      <c r="V965" s="63"/>
      <c r="W965" s="63"/>
      <c r="X965" s="63"/>
      <c r="Y965" s="63"/>
      <c r="Z965" s="63"/>
    </row>
    <row r="966" spans="1:26" ht="17.25" customHeight="1" x14ac:dyDescent="0.2">
      <c r="A966" s="75"/>
      <c r="B966" s="63"/>
      <c r="C966" s="63"/>
      <c r="D966" s="76"/>
      <c r="E966" s="75"/>
      <c r="F966" s="76"/>
      <c r="G966" s="63"/>
      <c r="H966" s="63"/>
      <c r="I966" s="76"/>
      <c r="J966" s="75"/>
      <c r="K966" s="63"/>
      <c r="L966" s="75"/>
      <c r="M966" s="76"/>
      <c r="N966" s="76"/>
      <c r="O966" s="78"/>
      <c r="P966" s="78"/>
      <c r="Q966" s="63"/>
      <c r="R966" s="63"/>
      <c r="S966" s="63"/>
      <c r="T966" s="63"/>
      <c r="U966" s="63"/>
      <c r="V966" s="63"/>
      <c r="W966" s="63"/>
      <c r="X966" s="63"/>
      <c r="Y966" s="63"/>
      <c r="Z966" s="63"/>
    </row>
    <row r="967" spans="1:26" ht="17.25" customHeight="1" x14ac:dyDescent="0.2">
      <c r="A967" s="75"/>
      <c r="B967" s="63"/>
      <c r="C967" s="63"/>
      <c r="D967" s="76"/>
      <c r="E967" s="75"/>
      <c r="F967" s="76"/>
      <c r="G967" s="63"/>
      <c r="H967" s="63"/>
      <c r="I967" s="76"/>
      <c r="J967" s="75"/>
      <c r="K967" s="63"/>
      <c r="L967" s="75"/>
      <c r="M967" s="76"/>
      <c r="N967" s="76"/>
      <c r="O967" s="78"/>
      <c r="P967" s="78"/>
      <c r="Q967" s="63"/>
      <c r="R967" s="63"/>
      <c r="S967" s="63"/>
      <c r="T967" s="63"/>
      <c r="U967" s="63"/>
      <c r="V967" s="63"/>
      <c r="W967" s="63"/>
      <c r="X967" s="63"/>
      <c r="Y967" s="63"/>
      <c r="Z967" s="63"/>
    </row>
    <row r="968" spans="1:26" ht="17.25" customHeight="1" x14ac:dyDescent="0.2">
      <c r="A968" s="75"/>
      <c r="B968" s="63"/>
      <c r="C968" s="63"/>
      <c r="D968" s="76"/>
      <c r="E968" s="75"/>
      <c r="F968" s="76"/>
      <c r="G968" s="63"/>
      <c r="H968" s="63"/>
      <c r="I968" s="76"/>
      <c r="J968" s="75"/>
      <c r="K968" s="63"/>
      <c r="L968" s="75"/>
      <c r="M968" s="76"/>
      <c r="N968" s="76"/>
      <c r="O968" s="78"/>
      <c r="P968" s="78"/>
      <c r="Q968" s="63"/>
      <c r="R968" s="63"/>
      <c r="S968" s="63"/>
      <c r="T968" s="63"/>
      <c r="U968" s="63"/>
      <c r="V968" s="63"/>
      <c r="W968" s="63"/>
      <c r="X968" s="63"/>
      <c r="Y968" s="63"/>
      <c r="Z968" s="63"/>
    </row>
    <row r="969" spans="1:26" ht="17.25" customHeight="1" x14ac:dyDescent="0.2">
      <c r="A969" s="75"/>
      <c r="B969" s="63"/>
      <c r="C969" s="63"/>
      <c r="D969" s="76"/>
      <c r="E969" s="75"/>
      <c r="F969" s="76"/>
      <c r="G969" s="63"/>
      <c r="H969" s="63"/>
      <c r="I969" s="76"/>
      <c r="J969" s="75"/>
      <c r="K969" s="63"/>
      <c r="L969" s="75"/>
      <c r="M969" s="76"/>
      <c r="N969" s="76"/>
      <c r="O969" s="78"/>
      <c r="P969" s="78"/>
      <c r="Q969" s="63"/>
      <c r="R969" s="63"/>
      <c r="S969" s="63"/>
      <c r="T969" s="63"/>
      <c r="U969" s="63"/>
      <c r="V969" s="63"/>
      <c r="W969" s="63"/>
      <c r="X969" s="63"/>
      <c r="Y969" s="63"/>
      <c r="Z969" s="63"/>
    </row>
    <row r="970" spans="1:26" ht="17.25" customHeight="1" x14ac:dyDescent="0.2">
      <c r="A970" s="75"/>
      <c r="B970" s="63"/>
      <c r="C970" s="63"/>
      <c r="D970" s="76"/>
      <c r="E970" s="75"/>
      <c r="F970" s="76"/>
      <c r="G970" s="63"/>
      <c r="H970" s="63"/>
      <c r="I970" s="76"/>
      <c r="J970" s="75"/>
      <c r="K970" s="63"/>
      <c r="L970" s="75"/>
      <c r="M970" s="76"/>
      <c r="N970" s="76"/>
      <c r="O970" s="78"/>
      <c r="P970" s="78"/>
      <c r="Q970" s="63"/>
      <c r="R970" s="63"/>
      <c r="S970" s="63"/>
      <c r="T970" s="63"/>
      <c r="U970" s="63"/>
      <c r="V970" s="63"/>
      <c r="W970" s="63"/>
      <c r="X970" s="63"/>
      <c r="Y970" s="63"/>
      <c r="Z970" s="63"/>
    </row>
    <row r="971" spans="1:26" ht="17.25" customHeight="1" x14ac:dyDescent="0.2">
      <c r="A971" s="75"/>
      <c r="B971" s="63"/>
      <c r="C971" s="63"/>
      <c r="D971" s="76"/>
      <c r="E971" s="75"/>
      <c r="F971" s="76"/>
      <c r="G971" s="63"/>
      <c r="H971" s="63"/>
      <c r="I971" s="76"/>
      <c r="J971" s="75"/>
      <c r="K971" s="63"/>
      <c r="L971" s="75"/>
      <c r="M971" s="76"/>
      <c r="N971" s="76"/>
      <c r="O971" s="78"/>
      <c r="P971" s="78"/>
      <c r="Q971" s="63"/>
      <c r="R971" s="63"/>
      <c r="S971" s="63"/>
      <c r="T971" s="63"/>
      <c r="U971" s="63"/>
      <c r="V971" s="63"/>
      <c r="W971" s="63"/>
      <c r="X971" s="63"/>
      <c r="Y971" s="63"/>
      <c r="Z971" s="63"/>
    </row>
    <row r="972" spans="1:26" ht="17.25" customHeight="1" x14ac:dyDescent="0.2">
      <c r="A972" s="75"/>
      <c r="B972" s="63"/>
      <c r="C972" s="63"/>
      <c r="D972" s="76"/>
      <c r="E972" s="75"/>
      <c r="F972" s="76"/>
      <c r="G972" s="63"/>
      <c r="H972" s="63"/>
      <c r="I972" s="76"/>
      <c r="J972" s="75"/>
      <c r="K972" s="63"/>
      <c r="L972" s="75"/>
      <c r="M972" s="76"/>
      <c r="N972" s="76"/>
      <c r="O972" s="78"/>
      <c r="P972" s="78"/>
      <c r="Q972" s="63"/>
      <c r="R972" s="63"/>
      <c r="S972" s="63"/>
      <c r="T972" s="63"/>
      <c r="U972" s="63"/>
      <c r="V972" s="63"/>
      <c r="W972" s="63"/>
      <c r="X972" s="63"/>
      <c r="Y972" s="63"/>
      <c r="Z972" s="63"/>
    </row>
    <row r="973" spans="1:26" ht="17.25" customHeight="1" x14ac:dyDescent="0.2">
      <c r="A973" s="75"/>
      <c r="B973" s="63"/>
      <c r="C973" s="63"/>
      <c r="D973" s="76"/>
      <c r="E973" s="75"/>
      <c r="F973" s="76"/>
      <c r="G973" s="63"/>
      <c r="H973" s="63"/>
      <c r="I973" s="76"/>
      <c r="J973" s="75"/>
      <c r="K973" s="63"/>
      <c r="L973" s="75"/>
      <c r="M973" s="76"/>
      <c r="N973" s="76"/>
      <c r="O973" s="78"/>
      <c r="P973" s="78"/>
      <c r="Q973" s="63"/>
      <c r="R973" s="63"/>
      <c r="S973" s="63"/>
      <c r="T973" s="63"/>
      <c r="U973" s="63"/>
      <c r="V973" s="63"/>
      <c r="W973" s="63"/>
      <c r="X973" s="63"/>
      <c r="Y973" s="63"/>
      <c r="Z973" s="63"/>
    </row>
    <row r="974" spans="1:26" ht="17.25" customHeight="1" x14ac:dyDescent="0.2">
      <c r="A974" s="75"/>
      <c r="B974" s="63"/>
      <c r="C974" s="63"/>
      <c r="D974" s="76"/>
      <c r="E974" s="75"/>
      <c r="F974" s="76"/>
      <c r="G974" s="63"/>
      <c r="H974" s="63"/>
      <c r="I974" s="76"/>
      <c r="J974" s="75"/>
      <c r="K974" s="63"/>
      <c r="L974" s="75"/>
      <c r="M974" s="76"/>
      <c r="N974" s="76"/>
      <c r="O974" s="78"/>
      <c r="P974" s="78"/>
      <c r="Q974" s="63"/>
      <c r="R974" s="63"/>
      <c r="S974" s="63"/>
      <c r="T974" s="63"/>
      <c r="U974" s="63"/>
      <c r="V974" s="63"/>
      <c r="W974" s="63"/>
      <c r="X974" s="63"/>
      <c r="Y974" s="63"/>
      <c r="Z974" s="63"/>
    </row>
    <row r="975" spans="1:26" ht="17.25" customHeight="1" x14ac:dyDescent="0.2">
      <c r="A975" s="75"/>
      <c r="B975" s="63"/>
      <c r="C975" s="63"/>
      <c r="D975" s="76"/>
      <c r="E975" s="75"/>
      <c r="F975" s="76"/>
      <c r="G975" s="63"/>
      <c r="H975" s="63"/>
      <c r="I975" s="76"/>
      <c r="J975" s="75"/>
      <c r="K975" s="63"/>
      <c r="L975" s="75"/>
      <c r="M975" s="76"/>
      <c r="N975" s="76"/>
      <c r="O975" s="78"/>
      <c r="P975" s="78"/>
      <c r="Q975" s="63"/>
      <c r="R975" s="63"/>
      <c r="S975" s="63"/>
      <c r="T975" s="63"/>
      <c r="U975" s="63"/>
      <c r="V975" s="63"/>
      <c r="W975" s="63"/>
      <c r="X975" s="63"/>
      <c r="Y975" s="63"/>
      <c r="Z975" s="63"/>
    </row>
    <row r="976" spans="1:26" ht="17.25" customHeight="1" x14ac:dyDescent="0.2">
      <c r="A976" s="75"/>
      <c r="B976" s="63"/>
      <c r="C976" s="63"/>
      <c r="D976" s="76"/>
      <c r="E976" s="75"/>
      <c r="F976" s="76"/>
      <c r="G976" s="63"/>
      <c r="H976" s="63"/>
      <c r="I976" s="76"/>
      <c r="J976" s="75"/>
      <c r="K976" s="63"/>
      <c r="L976" s="75"/>
      <c r="M976" s="76"/>
      <c r="N976" s="76"/>
      <c r="O976" s="78"/>
      <c r="P976" s="78"/>
      <c r="Q976" s="63"/>
      <c r="R976" s="63"/>
      <c r="S976" s="63"/>
      <c r="T976" s="63"/>
      <c r="U976" s="63"/>
      <c r="V976" s="63"/>
      <c r="W976" s="63"/>
      <c r="X976" s="63"/>
      <c r="Y976" s="63"/>
      <c r="Z976" s="63"/>
    </row>
    <row r="977" spans="1:26" ht="17.25" customHeight="1" x14ac:dyDescent="0.2">
      <c r="A977" s="75"/>
      <c r="B977" s="63"/>
      <c r="C977" s="63"/>
      <c r="D977" s="76"/>
      <c r="E977" s="75"/>
      <c r="F977" s="76"/>
      <c r="G977" s="63"/>
      <c r="H977" s="63"/>
      <c r="I977" s="76"/>
      <c r="J977" s="75"/>
      <c r="K977" s="63"/>
      <c r="L977" s="75"/>
      <c r="M977" s="76"/>
      <c r="N977" s="76"/>
      <c r="O977" s="78"/>
      <c r="P977" s="78"/>
      <c r="Q977" s="63"/>
      <c r="R977" s="63"/>
      <c r="S977" s="63"/>
      <c r="T977" s="63"/>
      <c r="U977" s="63"/>
      <c r="V977" s="63"/>
      <c r="W977" s="63"/>
      <c r="X977" s="63"/>
      <c r="Y977" s="63"/>
      <c r="Z977" s="63"/>
    </row>
    <row r="978" spans="1:26" ht="17.25" customHeight="1" x14ac:dyDescent="0.2">
      <c r="A978" s="75"/>
      <c r="B978" s="63"/>
      <c r="C978" s="63"/>
      <c r="D978" s="76"/>
      <c r="E978" s="75"/>
      <c r="F978" s="76"/>
      <c r="G978" s="63"/>
      <c r="H978" s="63"/>
      <c r="I978" s="76"/>
      <c r="J978" s="75"/>
      <c r="K978" s="63"/>
      <c r="L978" s="75"/>
      <c r="M978" s="76"/>
      <c r="N978" s="76"/>
      <c r="O978" s="78"/>
      <c r="P978" s="78"/>
      <c r="Q978" s="63"/>
      <c r="R978" s="63"/>
      <c r="S978" s="63"/>
      <c r="T978" s="63"/>
      <c r="U978" s="63"/>
      <c r="V978" s="63"/>
      <c r="W978" s="63"/>
      <c r="X978" s="63"/>
      <c r="Y978" s="63"/>
      <c r="Z978" s="63"/>
    </row>
    <row r="979" spans="1:26" ht="17.25" customHeight="1" x14ac:dyDescent="0.2">
      <c r="A979" s="75"/>
      <c r="B979" s="63"/>
      <c r="C979" s="63"/>
      <c r="D979" s="76"/>
      <c r="E979" s="75"/>
      <c r="F979" s="76"/>
      <c r="G979" s="63"/>
      <c r="H979" s="63"/>
      <c r="I979" s="76"/>
      <c r="J979" s="75"/>
      <c r="K979" s="63"/>
      <c r="L979" s="75"/>
      <c r="M979" s="76"/>
      <c r="N979" s="76"/>
      <c r="O979" s="78"/>
      <c r="P979" s="78"/>
      <c r="Q979" s="63"/>
      <c r="R979" s="63"/>
      <c r="S979" s="63"/>
      <c r="T979" s="63"/>
      <c r="U979" s="63"/>
      <c r="V979" s="63"/>
      <c r="W979" s="63"/>
      <c r="X979" s="63"/>
      <c r="Y979" s="63"/>
      <c r="Z979" s="63"/>
    </row>
    <row r="980" spans="1:26" ht="17.25" customHeight="1" x14ac:dyDescent="0.2">
      <c r="A980" s="75"/>
      <c r="B980" s="63"/>
      <c r="C980" s="63"/>
      <c r="D980" s="76"/>
      <c r="E980" s="75"/>
      <c r="F980" s="76"/>
      <c r="G980" s="63"/>
      <c r="H980" s="63"/>
      <c r="I980" s="76"/>
      <c r="J980" s="75"/>
      <c r="K980" s="63"/>
      <c r="L980" s="75"/>
      <c r="M980" s="76"/>
      <c r="N980" s="76"/>
      <c r="O980" s="78"/>
      <c r="P980" s="78"/>
      <c r="Q980" s="63"/>
      <c r="R980" s="63"/>
      <c r="S980" s="63"/>
      <c r="T980" s="63"/>
      <c r="U980" s="63"/>
      <c r="V980" s="63"/>
      <c r="W980" s="63"/>
      <c r="X980" s="63"/>
      <c r="Y980" s="63"/>
      <c r="Z980" s="63"/>
    </row>
    <row r="981" spans="1:26" ht="17.25" customHeight="1" x14ac:dyDescent="0.2">
      <c r="A981" s="75"/>
      <c r="B981" s="63"/>
      <c r="C981" s="63"/>
      <c r="D981" s="76"/>
      <c r="E981" s="75"/>
      <c r="F981" s="76"/>
      <c r="G981" s="63"/>
      <c r="H981" s="63"/>
      <c r="I981" s="76"/>
      <c r="J981" s="75"/>
      <c r="K981" s="63"/>
      <c r="L981" s="75"/>
      <c r="M981" s="76"/>
      <c r="N981" s="76"/>
      <c r="O981" s="78"/>
      <c r="P981" s="78"/>
      <c r="Q981" s="63"/>
      <c r="R981" s="63"/>
      <c r="S981" s="63"/>
      <c r="T981" s="63"/>
      <c r="U981" s="63"/>
      <c r="V981" s="63"/>
      <c r="W981" s="63"/>
      <c r="X981" s="63"/>
      <c r="Y981" s="63"/>
      <c r="Z981" s="63"/>
    </row>
    <row r="982" spans="1:26" ht="17.25" customHeight="1" x14ac:dyDescent="0.2">
      <c r="A982" s="75"/>
      <c r="B982" s="63"/>
      <c r="C982" s="63"/>
      <c r="D982" s="76"/>
      <c r="E982" s="75"/>
      <c r="F982" s="76"/>
      <c r="G982" s="63"/>
      <c r="H982" s="63"/>
      <c r="I982" s="76"/>
      <c r="J982" s="75"/>
      <c r="K982" s="63"/>
      <c r="L982" s="75"/>
      <c r="M982" s="76"/>
      <c r="N982" s="76"/>
      <c r="O982" s="78"/>
      <c r="P982" s="78"/>
      <c r="Q982" s="63"/>
      <c r="R982" s="63"/>
      <c r="S982" s="63"/>
      <c r="T982" s="63"/>
      <c r="U982" s="63"/>
      <c r="V982" s="63"/>
      <c r="W982" s="63"/>
      <c r="X982" s="63"/>
      <c r="Y982" s="63"/>
      <c r="Z982" s="63"/>
    </row>
    <row r="983" spans="1:26" ht="17.25" customHeight="1" x14ac:dyDescent="0.2">
      <c r="A983" s="75"/>
      <c r="B983" s="63"/>
      <c r="C983" s="63"/>
      <c r="D983" s="76"/>
      <c r="E983" s="75"/>
      <c r="F983" s="76"/>
      <c r="G983" s="63"/>
      <c r="H983" s="63"/>
      <c r="I983" s="76"/>
      <c r="J983" s="75"/>
      <c r="K983" s="63"/>
      <c r="L983" s="75"/>
      <c r="M983" s="76"/>
      <c r="N983" s="76"/>
      <c r="O983" s="78"/>
      <c r="P983" s="78"/>
      <c r="Q983" s="63"/>
      <c r="R983" s="63"/>
      <c r="S983" s="63"/>
      <c r="T983" s="63"/>
      <c r="U983" s="63"/>
      <c r="V983" s="63"/>
      <c r="W983" s="63"/>
      <c r="X983" s="63"/>
      <c r="Y983" s="63"/>
      <c r="Z983" s="63"/>
    </row>
    <row r="984" spans="1:26" ht="17.25" customHeight="1" x14ac:dyDescent="0.2">
      <c r="A984" s="75"/>
      <c r="B984" s="63"/>
      <c r="C984" s="63"/>
      <c r="D984" s="76"/>
      <c r="E984" s="75"/>
      <c r="F984" s="76"/>
      <c r="G984" s="63"/>
      <c r="H984" s="63"/>
      <c r="I984" s="76"/>
      <c r="J984" s="75"/>
      <c r="K984" s="63"/>
      <c r="L984" s="75"/>
      <c r="M984" s="76"/>
      <c r="N984" s="76"/>
      <c r="O984" s="78"/>
      <c r="P984" s="78"/>
      <c r="Q984" s="63"/>
      <c r="R984" s="63"/>
      <c r="S984" s="63"/>
      <c r="T984" s="63"/>
      <c r="U984" s="63"/>
      <c r="V984" s="63"/>
      <c r="W984" s="63"/>
      <c r="X984" s="63"/>
      <c r="Y984" s="63"/>
      <c r="Z984" s="63"/>
    </row>
    <row r="985" spans="1:26" ht="17.25" customHeight="1" x14ac:dyDescent="0.2">
      <c r="A985" s="75"/>
      <c r="B985" s="63"/>
      <c r="C985" s="63"/>
      <c r="D985" s="76"/>
      <c r="E985" s="75"/>
      <c r="F985" s="76"/>
      <c r="G985" s="63"/>
      <c r="H985" s="63"/>
      <c r="I985" s="76"/>
      <c r="J985" s="75"/>
      <c r="K985" s="63"/>
      <c r="L985" s="75"/>
      <c r="M985" s="76"/>
      <c r="N985" s="76"/>
      <c r="O985" s="78"/>
      <c r="P985" s="78"/>
      <c r="Q985" s="63"/>
      <c r="R985" s="63"/>
      <c r="S985" s="63"/>
      <c r="T985" s="63"/>
      <c r="U985" s="63"/>
      <c r="V985" s="63"/>
      <c r="W985" s="63"/>
      <c r="X985" s="63"/>
      <c r="Y985" s="63"/>
      <c r="Z985" s="63"/>
    </row>
    <row r="986" spans="1:26" ht="17.25" customHeight="1" x14ac:dyDescent="0.2">
      <c r="A986" s="75"/>
      <c r="B986" s="63"/>
      <c r="C986" s="63"/>
      <c r="D986" s="76"/>
      <c r="E986" s="75"/>
      <c r="F986" s="76"/>
      <c r="G986" s="63"/>
      <c r="H986" s="63"/>
      <c r="I986" s="76"/>
      <c r="J986" s="75"/>
      <c r="K986" s="63"/>
      <c r="L986" s="75"/>
      <c r="M986" s="76"/>
      <c r="N986" s="76"/>
      <c r="O986" s="78"/>
      <c r="P986" s="78"/>
      <c r="Q986" s="63"/>
      <c r="R986" s="63"/>
      <c r="S986" s="63"/>
      <c r="T986" s="63"/>
      <c r="U986" s="63"/>
      <c r="V986" s="63"/>
      <c r="W986" s="63"/>
      <c r="X986" s="63"/>
      <c r="Y986" s="63"/>
      <c r="Z986" s="63"/>
    </row>
    <row r="987" spans="1:26" ht="17.25" customHeight="1" x14ac:dyDescent="0.2">
      <c r="A987" s="75"/>
      <c r="B987" s="63"/>
      <c r="C987" s="63"/>
      <c r="D987" s="76"/>
      <c r="E987" s="75"/>
      <c r="F987" s="76"/>
      <c r="G987" s="63"/>
      <c r="H987" s="63"/>
      <c r="I987" s="76"/>
      <c r="J987" s="75"/>
      <c r="K987" s="63"/>
      <c r="L987" s="75"/>
      <c r="M987" s="76"/>
      <c r="N987" s="76"/>
      <c r="O987" s="78"/>
      <c r="P987" s="78"/>
      <c r="Q987" s="63"/>
      <c r="R987" s="63"/>
      <c r="S987" s="63"/>
      <c r="T987" s="63"/>
      <c r="U987" s="63"/>
      <c r="V987" s="63"/>
      <c r="W987" s="63"/>
      <c r="X987" s="63"/>
      <c r="Y987" s="63"/>
      <c r="Z987" s="63"/>
    </row>
    <row r="988" spans="1:26" ht="17.25" customHeight="1" x14ac:dyDescent="0.2">
      <c r="A988" s="75"/>
      <c r="B988" s="63"/>
      <c r="C988" s="63"/>
      <c r="D988" s="76"/>
      <c r="E988" s="75"/>
      <c r="F988" s="76"/>
      <c r="G988" s="63"/>
      <c r="H988" s="63"/>
      <c r="I988" s="76"/>
      <c r="J988" s="75"/>
      <c r="K988" s="63"/>
      <c r="L988" s="75"/>
      <c r="M988" s="76"/>
      <c r="N988" s="76"/>
      <c r="O988" s="78"/>
      <c r="P988" s="78"/>
      <c r="Q988" s="63"/>
      <c r="R988" s="63"/>
      <c r="S988" s="63"/>
      <c r="T988" s="63"/>
      <c r="U988" s="63"/>
      <c r="V988" s="63"/>
      <c r="W988" s="63"/>
      <c r="X988" s="63"/>
      <c r="Y988" s="63"/>
      <c r="Z988" s="63"/>
    </row>
    <row r="989" spans="1:26" ht="17.25" customHeight="1" x14ac:dyDescent="0.2">
      <c r="A989" s="75"/>
      <c r="B989" s="63"/>
      <c r="C989" s="63"/>
      <c r="D989" s="76"/>
      <c r="E989" s="75"/>
      <c r="F989" s="76"/>
      <c r="G989" s="63"/>
      <c r="H989" s="63"/>
      <c r="I989" s="76"/>
      <c r="J989" s="75"/>
      <c r="K989" s="63"/>
      <c r="L989" s="75"/>
      <c r="M989" s="76"/>
      <c r="N989" s="76"/>
      <c r="O989" s="78"/>
      <c r="P989" s="78"/>
      <c r="Q989" s="63"/>
      <c r="R989" s="63"/>
      <c r="S989" s="63"/>
      <c r="T989" s="63"/>
      <c r="U989" s="63"/>
      <c r="V989" s="63"/>
      <c r="W989" s="63"/>
      <c r="X989" s="63"/>
      <c r="Y989" s="63"/>
      <c r="Z989" s="63"/>
    </row>
    <row r="990" spans="1:26" ht="17.25" customHeight="1" x14ac:dyDescent="0.2">
      <c r="A990" s="75"/>
      <c r="B990" s="63"/>
      <c r="C990" s="63"/>
      <c r="D990" s="76"/>
      <c r="E990" s="75"/>
      <c r="F990" s="76"/>
      <c r="G990" s="63"/>
      <c r="H990" s="63"/>
      <c r="I990" s="76"/>
      <c r="J990" s="75"/>
      <c r="K990" s="63"/>
      <c r="L990" s="75"/>
      <c r="M990" s="76"/>
      <c r="N990" s="76"/>
      <c r="O990" s="78"/>
      <c r="P990" s="78"/>
      <c r="Q990" s="63"/>
      <c r="R990" s="63"/>
      <c r="S990" s="63"/>
      <c r="T990" s="63"/>
      <c r="U990" s="63"/>
      <c r="V990" s="63"/>
      <c r="W990" s="63"/>
      <c r="X990" s="63"/>
      <c r="Y990" s="63"/>
      <c r="Z990" s="63"/>
    </row>
    <row r="991" spans="1:26" ht="17.25" customHeight="1" x14ac:dyDescent="0.2">
      <c r="A991" s="75"/>
      <c r="B991" s="63"/>
      <c r="C991" s="63"/>
      <c r="D991" s="76"/>
      <c r="E991" s="75"/>
      <c r="F991" s="76"/>
      <c r="G991" s="63"/>
      <c r="H991" s="63"/>
      <c r="I991" s="76"/>
      <c r="J991" s="75"/>
      <c r="K991" s="63"/>
      <c r="L991" s="75"/>
      <c r="M991" s="76"/>
      <c r="N991" s="76"/>
      <c r="O991" s="78"/>
      <c r="P991" s="78"/>
      <c r="Q991" s="63"/>
      <c r="R991" s="63"/>
      <c r="S991" s="63"/>
      <c r="T991" s="63"/>
      <c r="U991" s="63"/>
      <c r="V991" s="63"/>
      <c r="W991" s="63"/>
      <c r="X991" s="63"/>
      <c r="Y991" s="63"/>
      <c r="Z991" s="63"/>
    </row>
    <row r="992" spans="1:26" ht="17.25" customHeight="1" x14ac:dyDescent="0.2">
      <c r="A992" s="75"/>
      <c r="B992" s="63"/>
      <c r="C992" s="63"/>
      <c r="D992" s="76"/>
      <c r="E992" s="75"/>
      <c r="F992" s="76"/>
      <c r="G992" s="63"/>
      <c r="H992" s="63"/>
      <c r="I992" s="76"/>
      <c r="J992" s="75"/>
      <c r="K992" s="63"/>
      <c r="L992" s="75"/>
      <c r="M992" s="76"/>
      <c r="N992" s="76"/>
      <c r="O992" s="78"/>
      <c r="P992" s="78"/>
      <c r="Q992" s="63"/>
      <c r="R992" s="63"/>
      <c r="S992" s="63"/>
      <c r="T992" s="63"/>
      <c r="U992" s="63"/>
      <c r="V992" s="63"/>
      <c r="W992" s="63"/>
      <c r="X992" s="63"/>
      <c r="Y992" s="63"/>
      <c r="Z992" s="63"/>
    </row>
    <row r="993" spans="1:26" ht="17.25" customHeight="1" x14ac:dyDescent="0.2">
      <c r="A993" s="75"/>
      <c r="B993" s="63"/>
      <c r="C993" s="63"/>
      <c r="D993" s="76"/>
      <c r="E993" s="75"/>
      <c r="F993" s="76"/>
      <c r="G993" s="63"/>
      <c r="H993" s="63"/>
      <c r="I993" s="76"/>
      <c r="J993" s="75"/>
      <c r="K993" s="63"/>
      <c r="L993" s="75"/>
      <c r="M993" s="76"/>
      <c r="N993" s="76"/>
      <c r="O993" s="78"/>
      <c r="P993" s="78"/>
      <c r="Q993" s="63"/>
      <c r="R993" s="63"/>
      <c r="S993" s="63"/>
      <c r="T993" s="63"/>
      <c r="U993" s="63"/>
      <c r="V993" s="63"/>
      <c r="W993" s="63"/>
      <c r="X993" s="63"/>
      <c r="Y993" s="63"/>
      <c r="Z993" s="63"/>
    </row>
    <row r="994" spans="1:26" ht="17.25" customHeight="1" x14ac:dyDescent="0.2">
      <c r="A994" s="75"/>
      <c r="B994" s="63"/>
      <c r="C994" s="63"/>
      <c r="D994" s="76"/>
      <c r="E994" s="75"/>
      <c r="F994" s="76"/>
      <c r="G994" s="63"/>
      <c r="H994" s="63"/>
      <c r="I994" s="76"/>
      <c r="J994" s="75"/>
      <c r="K994" s="63"/>
      <c r="L994" s="75"/>
      <c r="M994" s="76"/>
      <c r="N994" s="76"/>
      <c r="O994" s="78"/>
      <c r="P994" s="78"/>
      <c r="Q994" s="63"/>
      <c r="R994" s="63"/>
      <c r="S994" s="63"/>
      <c r="T994" s="63"/>
      <c r="U994" s="63"/>
      <c r="V994" s="63"/>
      <c r="W994" s="63"/>
      <c r="X994" s="63"/>
      <c r="Y994" s="63"/>
      <c r="Z994" s="63"/>
    </row>
    <row r="995" spans="1:26" ht="17.25" customHeight="1" x14ac:dyDescent="0.2">
      <c r="A995" s="75"/>
      <c r="B995" s="63"/>
      <c r="C995" s="63"/>
      <c r="D995" s="76"/>
      <c r="E995" s="75"/>
      <c r="F995" s="76"/>
      <c r="G995" s="63"/>
      <c r="H995" s="63"/>
      <c r="I995" s="76"/>
      <c r="J995" s="75"/>
      <c r="K995" s="63"/>
      <c r="L995" s="75"/>
      <c r="M995" s="76"/>
      <c r="N995" s="76"/>
      <c r="O995" s="78"/>
      <c r="P995" s="78"/>
      <c r="Q995" s="63"/>
      <c r="R995" s="63"/>
      <c r="S995" s="63"/>
      <c r="T995" s="63"/>
      <c r="U995" s="63"/>
      <c r="V995" s="63"/>
      <c r="W995" s="63"/>
      <c r="X995" s="63"/>
      <c r="Y995" s="63"/>
      <c r="Z995" s="63"/>
    </row>
    <row r="996" spans="1:26" ht="17.25" customHeight="1" x14ac:dyDescent="0.2">
      <c r="A996" s="75"/>
      <c r="B996" s="63"/>
      <c r="C996" s="63"/>
      <c r="D996" s="76"/>
      <c r="E996" s="75"/>
      <c r="F996" s="76"/>
      <c r="G996" s="63"/>
      <c r="H996" s="63"/>
      <c r="I996" s="76"/>
      <c r="J996" s="75"/>
      <c r="K996" s="63"/>
      <c r="L996" s="75"/>
      <c r="M996" s="76"/>
      <c r="N996" s="76"/>
      <c r="O996" s="78"/>
      <c r="P996" s="78"/>
      <c r="Q996" s="63"/>
      <c r="R996" s="63"/>
      <c r="S996" s="63"/>
      <c r="T996" s="63"/>
      <c r="U996" s="63"/>
      <c r="V996" s="63"/>
      <c r="W996" s="63"/>
      <c r="X996" s="63"/>
      <c r="Y996" s="63"/>
      <c r="Z996" s="63"/>
    </row>
    <row r="997" spans="1:26" ht="17.25" customHeight="1" x14ac:dyDescent="0.2">
      <c r="A997" s="75"/>
      <c r="B997" s="63"/>
      <c r="C997" s="63"/>
      <c r="D997" s="76"/>
      <c r="E997" s="75"/>
      <c r="F997" s="76"/>
      <c r="G997" s="63"/>
      <c r="H997" s="63"/>
      <c r="I997" s="76"/>
      <c r="J997" s="75"/>
      <c r="K997" s="63"/>
      <c r="L997" s="75"/>
      <c r="M997" s="76"/>
      <c r="N997" s="76"/>
      <c r="O997" s="78"/>
      <c r="P997" s="78"/>
      <c r="Q997" s="63"/>
      <c r="R997" s="63"/>
      <c r="S997" s="63"/>
      <c r="T997" s="63"/>
      <c r="U997" s="63"/>
      <c r="V997" s="63"/>
      <c r="W997" s="63"/>
      <c r="X997" s="63"/>
      <c r="Y997" s="63"/>
      <c r="Z997" s="63"/>
    </row>
    <row r="998" spans="1:26" ht="17.25" customHeight="1" x14ac:dyDescent="0.2">
      <c r="A998" s="75"/>
      <c r="B998" s="63"/>
      <c r="C998" s="63"/>
      <c r="D998" s="76"/>
      <c r="E998" s="75"/>
      <c r="F998" s="76"/>
      <c r="G998" s="63"/>
      <c r="H998" s="63"/>
      <c r="I998" s="76"/>
      <c r="J998" s="75"/>
      <c r="K998" s="63"/>
      <c r="L998" s="75"/>
      <c r="M998" s="76"/>
      <c r="N998" s="76"/>
      <c r="O998" s="78"/>
      <c r="P998" s="78"/>
      <c r="Q998" s="63"/>
      <c r="R998" s="63"/>
      <c r="S998" s="63"/>
      <c r="T998" s="63"/>
      <c r="U998" s="63"/>
      <c r="V998" s="63"/>
      <c r="W998" s="63"/>
      <c r="X998" s="63"/>
      <c r="Y998" s="63"/>
      <c r="Z998" s="63"/>
    </row>
    <row r="999" spans="1:26" ht="17.25" customHeight="1" x14ac:dyDescent="0.2">
      <c r="A999" s="75"/>
      <c r="B999" s="63"/>
      <c r="C999" s="63"/>
      <c r="D999" s="76"/>
      <c r="E999" s="75"/>
      <c r="F999" s="76"/>
      <c r="G999" s="63"/>
      <c r="H999" s="63"/>
      <c r="I999" s="76"/>
      <c r="J999" s="75"/>
      <c r="K999" s="63"/>
      <c r="L999" s="75"/>
      <c r="M999" s="76"/>
      <c r="N999" s="76"/>
      <c r="O999" s="78"/>
      <c r="P999" s="78"/>
      <c r="Q999" s="63"/>
      <c r="R999" s="63"/>
      <c r="S999" s="63"/>
      <c r="T999" s="63"/>
      <c r="U999" s="63"/>
      <c r="V999" s="63"/>
      <c r="W999" s="63"/>
      <c r="X999" s="63"/>
      <c r="Y999" s="63"/>
      <c r="Z999" s="63"/>
    </row>
    <row r="1000" spans="1:26" ht="17.25" customHeight="1" x14ac:dyDescent="0.2">
      <c r="A1000" s="75"/>
      <c r="B1000" s="63"/>
      <c r="C1000" s="63"/>
      <c r="D1000" s="76"/>
      <c r="E1000" s="75"/>
      <c r="F1000" s="76"/>
      <c r="G1000" s="63"/>
      <c r="H1000" s="63"/>
      <c r="I1000" s="76"/>
      <c r="J1000" s="75"/>
      <c r="K1000" s="63"/>
      <c r="L1000" s="75"/>
      <c r="M1000" s="76"/>
      <c r="N1000" s="76"/>
      <c r="O1000" s="78"/>
      <c r="P1000" s="78"/>
      <c r="Q1000" s="63"/>
      <c r="R1000" s="63"/>
      <c r="S1000" s="63"/>
      <c r="T1000" s="63"/>
      <c r="U1000" s="63"/>
      <c r="V1000" s="63"/>
      <c r="W1000" s="63"/>
      <c r="X1000" s="63"/>
      <c r="Y1000" s="63"/>
      <c r="Z1000" s="6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Z979"/>
  <sheetViews>
    <sheetView workbookViewId="0"/>
  </sheetViews>
  <sheetFormatPr baseColWidth="10" defaultColWidth="8.83203125" defaultRowHeight="15" x14ac:dyDescent="0.2"/>
  <cols>
    <col min="1" max="1" width="18.83203125" style="42" bestFit="1" customWidth="1"/>
    <col min="2" max="2" width="16.5" style="14" bestFit="1" customWidth="1"/>
    <col min="3" max="3" width="17" style="14" bestFit="1" customWidth="1"/>
    <col min="4" max="4" width="13.6640625" style="81" bestFit="1" customWidth="1"/>
    <col min="5" max="5" width="12.5" style="42" bestFit="1" customWidth="1"/>
    <col min="6" max="6" width="12.5" style="81" bestFit="1" customWidth="1"/>
    <col min="7" max="7" width="17.5" style="82" bestFit="1" customWidth="1"/>
    <col min="8" max="8" width="18.6640625" style="82" bestFit="1" customWidth="1"/>
    <col min="9" max="9" width="12.5" style="81" bestFit="1" customWidth="1"/>
    <col min="10" max="10" width="12.5" style="42" bestFit="1" customWidth="1"/>
    <col min="11" max="11" width="16.83203125" style="14" bestFit="1" customWidth="1"/>
    <col min="12" max="12" width="20.5" style="42" bestFit="1" customWidth="1"/>
    <col min="13" max="13" width="18.5" style="81" bestFit="1" customWidth="1"/>
    <col min="14" max="14" width="12.5" style="81" bestFit="1" customWidth="1"/>
    <col min="15" max="15" width="12.5" style="84" bestFit="1" customWidth="1"/>
    <col min="16" max="16" width="16" style="84" bestFit="1" customWidth="1"/>
    <col min="17" max="17" width="89.5" bestFit="1" customWidth="1"/>
    <col min="18" max="26" width="11.83203125" bestFit="1" customWidth="1"/>
  </cols>
  <sheetData>
    <row r="1" spans="1:16" ht="17.25" customHeight="1" x14ac:dyDescent="0.2">
      <c r="A1" s="47" t="s">
        <v>0</v>
      </c>
      <c r="B1" s="48" t="s">
        <v>108</v>
      </c>
      <c r="C1" s="48" t="s">
        <v>1</v>
      </c>
      <c r="D1" s="49" t="s">
        <v>109</v>
      </c>
      <c r="E1" s="47" t="s">
        <v>110</v>
      </c>
      <c r="F1" s="49" t="s">
        <v>3</v>
      </c>
      <c r="G1" s="50" t="s">
        <v>111</v>
      </c>
      <c r="H1" s="50" t="s">
        <v>112</v>
      </c>
      <c r="I1" s="49" t="s">
        <v>113</v>
      </c>
      <c r="J1" s="47" t="s">
        <v>114</v>
      </c>
      <c r="K1" s="48" t="s">
        <v>115</v>
      </c>
      <c r="L1" s="47" t="s">
        <v>116</v>
      </c>
      <c r="M1" s="49" t="s">
        <v>117</v>
      </c>
      <c r="N1" s="49" t="s">
        <v>4</v>
      </c>
      <c r="O1" s="51" t="s">
        <v>7</v>
      </c>
      <c r="P1" s="51" t="s">
        <v>118</v>
      </c>
    </row>
    <row r="2" spans="1:16" ht="17.25" customHeight="1" x14ac:dyDescent="0.2">
      <c r="A2" s="52">
        <v>1426</v>
      </c>
      <c r="B2" s="53" t="s">
        <v>123</v>
      </c>
      <c r="C2" s="53" t="s">
        <v>359</v>
      </c>
      <c r="D2" s="54"/>
      <c r="E2" s="55"/>
      <c r="F2" s="54"/>
      <c r="G2" s="85">
        <v>25569.041962604166</v>
      </c>
      <c r="H2" s="85">
        <v>25569.041962604166</v>
      </c>
      <c r="I2" s="59"/>
      <c r="J2" s="62">
        <v>59711</v>
      </c>
      <c r="K2" s="57"/>
      <c r="L2" s="55"/>
      <c r="M2" s="58"/>
      <c r="N2" s="59"/>
      <c r="O2" s="60"/>
      <c r="P2" s="60"/>
    </row>
    <row r="3" spans="1:16" ht="17.25" customHeight="1" x14ac:dyDescent="0.2">
      <c r="A3" s="52">
        <v>1427</v>
      </c>
      <c r="B3" s="53" t="s">
        <v>123</v>
      </c>
      <c r="C3" s="53" t="s">
        <v>360</v>
      </c>
      <c r="D3" s="54"/>
      <c r="E3" s="55"/>
      <c r="F3" s="54"/>
      <c r="G3" s="86">
        <v>25569.041962604166</v>
      </c>
      <c r="H3" s="85">
        <v>25569.041962604166</v>
      </c>
      <c r="I3" s="59"/>
      <c r="J3" s="62">
        <v>468976</v>
      </c>
      <c r="K3" s="57"/>
      <c r="L3" s="55"/>
      <c r="M3" s="58"/>
      <c r="N3" s="59"/>
      <c r="O3" s="60"/>
      <c r="P3" s="60"/>
    </row>
    <row r="4" spans="1:16" ht="17.25" customHeight="1" x14ac:dyDescent="0.2">
      <c r="A4" s="52">
        <v>1428</v>
      </c>
      <c r="B4" s="53" t="s">
        <v>123</v>
      </c>
      <c r="C4" s="53" t="s">
        <v>360</v>
      </c>
      <c r="D4" s="54"/>
      <c r="E4" s="55"/>
      <c r="F4" s="54"/>
      <c r="G4" s="86">
        <v>25569.041962604166</v>
      </c>
      <c r="H4" s="87">
        <v>25569.041962604166</v>
      </c>
      <c r="I4" s="59"/>
      <c r="J4" s="62">
        <v>22547</v>
      </c>
      <c r="K4" s="57"/>
      <c r="L4" s="55"/>
      <c r="M4" s="58"/>
      <c r="N4" s="59"/>
      <c r="O4" s="60"/>
      <c r="P4" s="60"/>
    </row>
    <row r="5" spans="1:16" ht="17.25" customHeight="1" x14ac:dyDescent="0.2">
      <c r="A5" s="52">
        <v>1429</v>
      </c>
      <c r="B5" s="53" t="s">
        <v>123</v>
      </c>
      <c r="C5" s="53" t="s">
        <v>359</v>
      </c>
      <c r="D5" s="54"/>
      <c r="E5" s="55"/>
      <c r="F5" s="54"/>
      <c r="G5" s="87">
        <v>25569.041962604166</v>
      </c>
      <c r="H5" s="87">
        <v>25569.041962604166</v>
      </c>
      <c r="I5" s="59"/>
      <c r="J5" s="62">
        <v>174624</v>
      </c>
      <c r="K5" s="57"/>
      <c r="L5" s="55"/>
      <c r="M5" s="58"/>
      <c r="N5" s="59"/>
      <c r="O5" s="60"/>
      <c r="P5" s="60"/>
    </row>
    <row r="6" spans="1:16" ht="17.25" customHeight="1" x14ac:dyDescent="0.2">
      <c r="A6" s="52">
        <v>1430</v>
      </c>
      <c r="B6" s="53" t="s">
        <v>310</v>
      </c>
      <c r="C6" s="53" t="s">
        <v>162</v>
      </c>
      <c r="D6" s="54"/>
      <c r="E6" s="55"/>
      <c r="F6" s="54"/>
      <c r="G6" s="86"/>
      <c r="H6" s="86"/>
      <c r="I6" s="59"/>
      <c r="J6" s="55"/>
      <c r="K6" s="57"/>
      <c r="L6" s="55"/>
      <c r="M6" s="58"/>
      <c r="N6" s="59"/>
      <c r="O6" s="60"/>
      <c r="P6" s="60"/>
    </row>
    <row r="7" spans="1:16" ht="17.25" customHeight="1" x14ac:dyDescent="0.2">
      <c r="A7" s="52">
        <v>1431</v>
      </c>
      <c r="B7" s="53" t="s">
        <v>29</v>
      </c>
      <c r="C7" s="53" t="s">
        <v>162</v>
      </c>
      <c r="D7" s="54">
        <v>279.19</v>
      </c>
      <c r="E7" s="62">
        <v>1097</v>
      </c>
      <c r="F7" s="54">
        <f t="shared" ref="F7:F38" si="0">0.9933*(D7 + E7/1000)-0.41</f>
        <v>277.99907709999997</v>
      </c>
      <c r="G7" s="86">
        <v>25569.041962604166</v>
      </c>
      <c r="H7" s="88" t="s">
        <v>361</v>
      </c>
      <c r="I7" s="62">
        <v>70</v>
      </c>
      <c r="J7" s="62">
        <v>12288</v>
      </c>
      <c r="K7" s="57" t="s">
        <v>362</v>
      </c>
      <c r="L7" s="52">
        <v>48687</v>
      </c>
      <c r="M7" s="58">
        <f t="shared" ref="M7:M70" si="1">SQRT(L7)</f>
        <v>220.65130862970199</v>
      </c>
      <c r="N7" s="62">
        <v>35413</v>
      </c>
      <c r="O7" s="60">
        <f t="shared" ref="O7:O70" si="2">L7/N7</f>
        <v>1.3748341004715783</v>
      </c>
      <c r="P7" s="60">
        <f t="shared" ref="P7:P70" si="3">M7/N7</f>
        <v>6.2307996676277634E-3</v>
      </c>
    </row>
    <row r="8" spans="1:16" ht="17.25" customHeight="1" x14ac:dyDescent="0.2">
      <c r="A8" s="52">
        <v>1432</v>
      </c>
      <c r="B8" s="53" t="s">
        <v>29</v>
      </c>
      <c r="C8" s="53" t="s">
        <v>162</v>
      </c>
      <c r="D8" s="54">
        <v>278.18</v>
      </c>
      <c r="E8" s="62">
        <v>1097</v>
      </c>
      <c r="F8" s="54">
        <f t="shared" si="0"/>
        <v>276.99584409999994</v>
      </c>
      <c r="G8" s="87">
        <v>25569.041962604166</v>
      </c>
      <c r="H8" s="85">
        <v>25569.041962604166</v>
      </c>
      <c r="I8" s="62">
        <v>70</v>
      </c>
      <c r="J8" s="55"/>
      <c r="K8" s="57" t="s">
        <v>362</v>
      </c>
      <c r="L8" s="52">
        <v>7512</v>
      </c>
      <c r="M8" s="58">
        <f t="shared" si="1"/>
        <v>86.671794720081806</v>
      </c>
      <c r="N8" s="62">
        <v>20666</v>
      </c>
      <c r="O8" s="60">
        <f t="shared" si="2"/>
        <v>0.36349559663214942</v>
      </c>
      <c r="P8" s="60">
        <f t="shared" si="3"/>
        <v>4.1939318068364368E-3</v>
      </c>
    </row>
    <row r="9" spans="1:16" ht="17.25" customHeight="1" x14ac:dyDescent="0.2">
      <c r="A9" s="52">
        <v>1433</v>
      </c>
      <c r="B9" s="53" t="s">
        <v>29</v>
      </c>
      <c r="C9" s="53" t="s">
        <v>162</v>
      </c>
      <c r="D9" s="54">
        <v>277.18</v>
      </c>
      <c r="E9" s="62">
        <v>1097</v>
      </c>
      <c r="F9" s="54">
        <f t="shared" si="0"/>
        <v>276.00254409999997</v>
      </c>
      <c r="G9" s="85">
        <v>25569.041962604166</v>
      </c>
      <c r="H9" s="85">
        <v>25569.041962604166</v>
      </c>
      <c r="I9" s="62">
        <v>70</v>
      </c>
      <c r="J9" s="62">
        <v>12606</v>
      </c>
      <c r="K9" s="57" t="s">
        <v>362</v>
      </c>
      <c r="L9" s="52">
        <v>5344</v>
      </c>
      <c r="M9" s="58">
        <f t="shared" si="1"/>
        <v>73.102667529988267</v>
      </c>
      <c r="N9" s="62">
        <v>26367</v>
      </c>
      <c r="O9" s="60">
        <f t="shared" si="2"/>
        <v>0.20267758941100619</v>
      </c>
      <c r="P9" s="60">
        <f t="shared" si="3"/>
        <v>2.7725060693286406E-3</v>
      </c>
    </row>
    <row r="10" spans="1:16" ht="17.25" customHeight="1" x14ac:dyDescent="0.2">
      <c r="A10" s="52">
        <v>1434</v>
      </c>
      <c r="B10" s="53" t="s">
        <v>29</v>
      </c>
      <c r="C10" s="53" t="s">
        <v>162</v>
      </c>
      <c r="D10" s="54">
        <v>276.17</v>
      </c>
      <c r="E10" s="62">
        <v>1097</v>
      </c>
      <c r="F10" s="54">
        <f t="shared" si="0"/>
        <v>274.99931109999994</v>
      </c>
      <c r="G10" s="85">
        <v>25569.041962604166</v>
      </c>
      <c r="H10" s="85">
        <v>25569.041962604166</v>
      </c>
      <c r="I10" s="62">
        <v>70</v>
      </c>
      <c r="J10" s="62">
        <v>11040</v>
      </c>
      <c r="K10" s="57" t="s">
        <v>362</v>
      </c>
      <c r="L10" s="52">
        <v>2752</v>
      </c>
      <c r="M10" s="58">
        <f t="shared" si="1"/>
        <v>52.459508194416003</v>
      </c>
      <c r="N10" s="62">
        <v>21087</v>
      </c>
      <c r="O10" s="60">
        <f t="shared" si="2"/>
        <v>0.13050694740835586</v>
      </c>
      <c r="P10" s="60">
        <f t="shared" si="3"/>
        <v>2.4877653622808367E-3</v>
      </c>
    </row>
    <row r="11" spans="1:16" ht="17.25" customHeight="1" x14ac:dyDescent="0.2">
      <c r="A11" s="52">
        <v>1435</v>
      </c>
      <c r="B11" s="53" t="s">
        <v>29</v>
      </c>
      <c r="C11" s="53" t="s">
        <v>162</v>
      </c>
      <c r="D11" s="54">
        <v>280.2</v>
      </c>
      <c r="E11" s="62">
        <v>1097</v>
      </c>
      <c r="F11" s="54">
        <f t="shared" si="0"/>
        <v>279.00231009999993</v>
      </c>
      <c r="G11" s="85">
        <v>25569.041962604166</v>
      </c>
      <c r="H11" s="85">
        <v>25569.041962604166</v>
      </c>
      <c r="I11" s="62">
        <v>70</v>
      </c>
      <c r="J11" s="62">
        <v>16044</v>
      </c>
      <c r="K11" s="57" t="s">
        <v>362</v>
      </c>
      <c r="L11" s="52">
        <v>54384</v>
      </c>
      <c r="M11" s="58">
        <f t="shared" si="1"/>
        <v>233.20377355437455</v>
      </c>
      <c r="N11" s="62">
        <v>25959</v>
      </c>
      <c r="O11" s="60">
        <f t="shared" si="2"/>
        <v>2.0949959551600599</v>
      </c>
      <c r="P11" s="60">
        <f t="shared" si="3"/>
        <v>8.9835422610414321E-3</v>
      </c>
    </row>
    <row r="12" spans="1:16" ht="17.25" customHeight="1" x14ac:dyDescent="0.2">
      <c r="A12" s="52">
        <v>1436</v>
      </c>
      <c r="B12" s="53" t="s">
        <v>29</v>
      </c>
      <c r="C12" s="53" t="s">
        <v>162</v>
      </c>
      <c r="D12" s="54">
        <v>281.2</v>
      </c>
      <c r="E12" s="62">
        <v>1097</v>
      </c>
      <c r="F12" s="54">
        <f t="shared" si="0"/>
        <v>279.99561009999991</v>
      </c>
      <c r="G12" s="85">
        <v>25569.041962604166</v>
      </c>
      <c r="H12" s="85">
        <v>25569.041962604166</v>
      </c>
      <c r="I12" s="62">
        <v>70</v>
      </c>
      <c r="J12" s="62">
        <v>17141</v>
      </c>
      <c r="K12" s="57" t="s">
        <v>362</v>
      </c>
      <c r="L12" s="52">
        <v>66074</v>
      </c>
      <c r="M12" s="58">
        <f t="shared" si="1"/>
        <v>257.04863353069982</v>
      </c>
      <c r="N12" s="62">
        <v>29072</v>
      </c>
      <c r="O12" s="60">
        <f t="shared" si="2"/>
        <v>2.2727710511832693</v>
      </c>
      <c r="P12" s="60">
        <f t="shared" si="3"/>
        <v>8.8417939436811997E-3</v>
      </c>
    </row>
    <row r="13" spans="1:16" ht="17.25" customHeight="1" x14ac:dyDescent="0.2">
      <c r="A13" s="52">
        <v>1437</v>
      </c>
      <c r="B13" s="53" t="s">
        <v>29</v>
      </c>
      <c r="C13" s="53" t="s">
        <v>162</v>
      </c>
      <c r="D13" s="54">
        <v>282.20999999999998</v>
      </c>
      <c r="E13" s="62">
        <v>1097</v>
      </c>
      <c r="F13" s="54">
        <f t="shared" si="0"/>
        <v>280.99884309999993</v>
      </c>
      <c r="G13" s="85">
        <v>25569.041962604166</v>
      </c>
      <c r="H13" s="85">
        <v>25569.041962604166</v>
      </c>
      <c r="I13" s="62">
        <v>71</v>
      </c>
      <c r="J13" s="62">
        <v>17191</v>
      </c>
      <c r="K13" s="57" t="s">
        <v>362</v>
      </c>
      <c r="L13" s="52">
        <v>57925</v>
      </c>
      <c r="M13" s="58">
        <f t="shared" si="1"/>
        <v>240.67613093117481</v>
      </c>
      <c r="N13" s="62">
        <v>24660</v>
      </c>
      <c r="O13" s="60">
        <f t="shared" si="2"/>
        <v>2.3489456609894566</v>
      </c>
      <c r="P13" s="60">
        <f t="shared" si="3"/>
        <v>9.7597782210533182E-3</v>
      </c>
    </row>
    <row r="14" spans="1:16" ht="17.25" customHeight="1" x14ac:dyDescent="0.2">
      <c r="A14" s="52">
        <v>1438</v>
      </c>
      <c r="B14" s="53" t="s">
        <v>29</v>
      </c>
      <c r="C14" s="53" t="s">
        <v>162</v>
      </c>
      <c r="D14" s="54">
        <v>283.22000000000003</v>
      </c>
      <c r="E14" s="62">
        <v>1097</v>
      </c>
      <c r="F14" s="54">
        <f t="shared" si="0"/>
        <v>282.00207609999995</v>
      </c>
      <c r="G14" s="85">
        <v>25569.041962604166</v>
      </c>
      <c r="H14" s="85">
        <v>25569.041962604166</v>
      </c>
      <c r="I14" s="62">
        <v>72</v>
      </c>
      <c r="J14" s="62">
        <v>13910</v>
      </c>
      <c r="K14" s="57" t="s">
        <v>362</v>
      </c>
      <c r="L14" s="52">
        <v>55363</v>
      </c>
      <c r="M14" s="58">
        <f t="shared" si="1"/>
        <v>235.29343382253572</v>
      </c>
      <c r="N14" s="62">
        <v>23338</v>
      </c>
      <c r="O14" s="60">
        <f t="shared" si="2"/>
        <v>2.3722255548890221</v>
      </c>
      <c r="P14" s="60">
        <f t="shared" si="3"/>
        <v>1.0081987909098283E-2</v>
      </c>
    </row>
    <row r="15" spans="1:16" ht="17.25" customHeight="1" x14ac:dyDescent="0.2">
      <c r="A15" s="52">
        <v>1439</v>
      </c>
      <c r="B15" s="53" t="s">
        <v>29</v>
      </c>
      <c r="C15" s="53" t="s">
        <v>162</v>
      </c>
      <c r="D15" s="54">
        <v>285.23</v>
      </c>
      <c r="E15" s="62">
        <v>1097</v>
      </c>
      <c r="F15" s="54">
        <f t="shared" si="0"/>
        <v>283.99860909999995</v>
      </c>
      <c r="G15" s="85">
        <v>25569.041962604166</v>
      </c>
      <c r="H15" s="85">
        <v>25569.041962604166</v>
      </c>
      <c r="I15" s="62">
        <v>72</v>
      </c>
      <c r="J15" s="62">
        <v>12659</v>
      </c>
      <c r="K15" s="57" t="s">
        <v>362</v>
      </c>
      <c r="L15" s="52">
        <v>58472</v>
      </c>
      <c r="M15" s="58">
        <f t="shared" si="1"/>
        <v>241.80984264500071</v>
      </c>
      <c r="N15" s="62">
        <v>24350</v>
      </c>
      <c r="O15" s="60">
        <f t="shared" si="2"/>
        <v>2.4013141683778234</v>
      </c>
      <c r="P15" s="60">
        <f t="shared" si="3"/>
        <v>9.9305890203285722E-3</v>
      </c>
    </row>
    <row r="16" spans="1:16" ht="17.25" customHeight="1" x14ac:dyDescent="0.2">
      <c r="A16" s="52">
        <v>1440</v>
      </c>
      <c r="B16" s="53" t="s">
        <v>29</v>
      </c>
      <c r="C16" s="53" t="s">
        <v>162</v>
      </c>
      <c r="D16" s="54">
        <v>287.24</v>
      </c>
      <c r="E16" s="62">
        <v>1097</v>
      </c>
      <c r="F16" s="54">
        <f t="shared" si="0"/>
        <v>285.99514209999995</v>
      </c>
      <c r="G16" s="85">
        <v>25569.041962604166</v>
      </c>
      <c r="H16" s="85">
        <v>25569.041962604166</v>
      </c>
      <c r="I16" s="62">
        <v>72</v>
      </c>
      <c r="J16" s="62">
        <v>21099</v>
      </c>
      <c r="K16" s="57" t="s">
        <v>362</v>
      </c>
      <c r="L16" s="52">
        <v>89110</v>
      </c>
      <c r="M16" s="58">
        <f t="shared" si="1"/>
        <v>298.51298129227143</v>
      </c>
      <c r="N16" s="62">
        <v>37022</v>
      </c>
      <c r="O16" s="60">
        <f t="shared" si="2"/>
        <v>2.4069472205715519</v>
      </c>
      <c r="P16" s="60">
        <f t="shared" si="3"/>
        <v>8.0631241232853833E-3</v>
      </c>
    </row>
    <row r="17" spans="1:16" ht="17.25" customHeight="1" x14ac:dyDescent="0.2">
      <c r="A17" s="52">
        <v>1441</v>
      </c>
      <c r="B17" s="53" t="s">
        <v>29</v>
      </c>
      <c r="C17" s="53" t="s">
        <v>162</v>
      </c>
      <c r="D17" s="54">
        <v>279.69</v>
      </c>
      <c r="E17" s="62">
        <v>1097</v>
      </c>
      <c r="F17" s="54">
        <f t="shared" si="0"/>
        <v>278.49572709999995</v>
      </c>
      <c r="G17" s="85">
        <v>25569.041962604166</v>
      </c>
      <c r="H17" s="85">
        <v>25569.041962604166</v>
      </c>
      <c r="I17" s="62">
        <v>71</v>
      </c>
      <c r="J17" s="62">
        <v>22174</v>
      </c>
      <c r="K17" s="57" t="s">
        <v>362</v>
      </c>
      <c r="L17" s="52">
        <v>76065</v>
      </c>
      <c r="M17" s="58">
        <f t="shared" si="1"/>
        <v>275.79883973650072</v>
      </c>
      <c r="N17" s="62">
        <v>40846</v>
      </c>
      <c r="O17" s="60">
        <f t="shared" si="2"/>
        <v>1.8622386524996328</v>
      </c>
      <c r="P17" s="60">
        <f t="shared" si="3"/>
        <v>6.752162751224128E-3</v>
      </c>
    </row>
    <row r="18" spans="1:16" ht="17.25" customHeight="1" x14ac:dyDescent="0.2">
      <c r="A18" s="52">
        <v>1442</v>
      </c>
      <c r="B18" s="53" t="s">
        <v>29</v>
      </c>
      <c r="C18" s="53" t="s">
        <v>162</v>
      </c>
      <c r="D18" s="54">
        <v>278.83999999999997</v>
      </c>
      <c r="E18" s="62">
        <v>1097</v>
      </c>
      <c r="F18" s="54">
        <f t="shared" si="0"/>
        <v>277.65142209999993</v>
      </c>
      <c r="G18" s="85">
        <v>25569.041962604166</v>
      </c>
      <c r="H18" s="85">
        <v>25569.041962604166</v>
      </c>
      <c r="I18" s="62">
        <v>72</v>
      </c>
      <c r="J18" s="62">
        <v>8345</v>
      </c>
      <c r="K18" s="57" t="s">
        <v>362</v>
      </c>
      <c r="L18" s="52">
        <v>17591</v>
      </c>
      <c r="M18" s="58">
        <f t="shared" si="1"/>
        <v>132.63106725047493</v>
      </c>
      <c r="N18" s="62">
        <v>19168</v>
      </c>
      <c r="O18" s="60">
        <f t="shared" si="2"/>
        <v>0.91772746243739567</v>
      </c>
      <c r="P18" s="60">
        <f t="shared" si="3"/>
        <v>6.9194004199955618E-3</v>
      </c>
    </row>
    <row r="19" spans="1:16" ht="17.25" customHeight="1" x14ac:dyDescent="0.2">
      <c r="A19" s="52">
        <v>1443</v>
      </c>
      <c r="B19" s="53" t="s">
        <v>29</v>
      </c>
      <c r="C19" s="53" t="s">
        <v>162</v>
      </c>
      <c r="D19" s="54">
        <v>278.54000000000002</v>
      </c>
      <c r="E19" s="62">
        <v>1097</v>
      </c>
      <c r="F19" s="54">
        <f t="shared" si="0"/>
        <v>277.35343209999996</v>
      </c>
      <c r="G19" s="85">
        <v>25569.041962604166</v>
      </c>
      <c r="H19" s="85">
        <v>25569.041962604166</v>
      </c>
      <c r="I19" s="62">
        <v>71</v>
      </c>
      <c r="J19" s="62">
        <v>9086</v>
      </c>
      <c r="K19" s="57" t="s">
        <v>362</v>
      </c>
      <c r="L19" s="52">
        <v>11537</v>
      </c>
      <c r="M19" s="58">
        <f t="shared" si="1"/>
        <v>107.41042779916668</v>
      </c>
      <c r="N19" s="62">
        <v>18642</v>
      </c>
      <c r="O19" s="60">
        <f t="shared" si="2"/>
        <v>0.61887136573329038</v>
      </c>
      <c r="P19" s="60">
        <f t="shared" si="3"/>
        <v>5.7617437935396781E-3</v>
      </c>
    </row>
    <row r="20" spans="1:16" ht="17.25" customHeight="1" x14ac:dyDescent="0.2">
      <c r="A20" s="52">
        <v>1444</v>
      </c>
      <c r="B20" s="53" t="s">
        <v>29</v>
      </c>
      <c r="C20" s="53" t="s">
        <v>162</v>
      </c>
      <c r="D20" s="54">
        <v>275.16000000000003</v>
      </c>
      <c r="E20" s="62">
        <v>1097</v>
      </c>
      <c r="F20" s="54">
        <f t="shared" si="0"/>
        <v>273.99607809999998</v>
      </c>
      <c r="G20" s="85">
        <v>25569.041962604166</v>
      </c>
      <c r="H20" s="85">
        <v>25569.041962604166</v>
      </c>
      <c r="I20" s="62">
        <v>71</v>
      </c>
      <c r="J20" s="62">
        <v>11640</v>
      </c>
      <c r="K20" s="57" t="s">
        <v>362</v>
      </c>
      <c r="L20" s="52">
        <v>2129</v>
      </c>
      <c r="M20" s="58">
        <f t="shared" si="1"/>
        <v>46.141087980237309</v>
      </c>
      <c r="N20" s="62">
        <v>22309</v>
      </c>
      <c r="O20" s="60">
        <f t="shared" si="2"/>
        <v>9.5432336725088523E-2</v>
      </c>
      <c r="P20" s="60">
        <f t="shared" si="3"/>
        <v>2.0682723555622085E-3</v>
      </c>
    </row>
    <row r="21" spans="1:16" ht="17.25" customHeight="1" x14ac:dyDescent="0.2">
      <c r="A21" s="52">
        <v>1445</v>
      </c>
      <c r="B21" s="53" t="s">
        <v>29</v>
      </c>
      <c r="C21" s="53" t="s">
        <v>162</v>
      </c>
      <c r="D21" s="54">
        <v>273.14999999999998</v>
      </c>
      <c r="E21" s="62">
        <v>1097</v>
      </c>
      <c r="F21" s="54">
        <f t="shared" si="0"/>
        <v>271.99954509999992</v>
      </c>
      <c r="G21" s="85">
        <v>25569.041962604166</v>
      </c>
      <c r="H21" s="85">
        <v>25569.041962604166</v>
      </c>
      <c r="I21" s="62">
        <v>70</v>
      </c>
      <c r="J21" s="62">
        <v>10423</v>
      </c>
      <c r="K21" s="57" t="s">
        <v>362</v>
      </c>
      <c r="L21" s="52">
        <v>1287</v>
      </c>
      <c r="M21" s="58">
        <f t="shared" si="1"/>
        <v>35.874782229304195</v>
      </c>
      <c r="N21" s="62">
        <v>21637</v>
      </c>
      <c r="O21" s="60">
        <f t="shared" si="2"/>
        <v>5.9481443823080835E-2</v>
      </c>
      <c r="P21" s="60">
        <f t="shared" si="3"/>
        <v>1.6580294046912324E-3</v>
      </c>
    </row>
    <row r="22" spans="1:16" ht="17.25" customHeight="1" x14ac:dyDescent="0.2">
      <c r="A22" s="52">
        <v>1446</v>
      </c>
      <c r="B22" s="53" t="s">
        <v>29</v>
      </c>
      <c r="C22" s="53" t="s">
        <v>162</v>
      </c>
      <c r="D22" s="54">
        <v>271.14</v>
      </c>
      <c r="E22" s="62">
        <v>1097</v>
      </c>
      <c r="F22" s="54">
        <f t="shared" si="0"/>
        <v>270.00301209999992</v>
      </c>
      <c r="G22" s="85">
        <v>25569.041962604166</v>
      </c>
      <c r="H22" s="85">
        <v>25569.041962604166</v>
      </c>
      <c r="I22" s="62">
        <v>69</v>
      </c>
      <c r="J22" s="62">
        <v>14461</v>
      </c>
      <c r="K22" s="57" t="s">
        <v>362</v>
      </c>
      <c r="L22" s="52">
        <v>1648</v>
      </c>
      <c r="M22" s="58">
        <f t="shared" si="1"/>
        <v>40.595566260368876</v>
      </c>
      <c r="N22" s="62">
        <v>36088</v>
      </c>
      <c r="O22" s="60">
        <f t="shared" si="2"/>
        <v>4.5666149412547104E-2</v>
      </c>
      <c r="P22" s="60">
        <f t="shared" si="3"/>
        <v>1.1249048509301949E-3</v>
      </c>
    </row>
    <row r="23" spans="1:16" ht="17.25" customHeight="1" x14ac:dyDescent="0.2">
      <c r="A23" s="52">
        <v>1447</v>
      </c>
      <c r="B23" s="53" t="s">
        <v>123</v>
      </c>
      <c r="C23" s="53" t="s">
        <v>162</v>
      </c>
      <c r="D23" s="54">
        <v>284.22000000000003</v>
      </c>
      <c r="E23" s="62">
        <v>1097</v>
      </c>
      <c r="F23" s="54">
        <f t="shared" si="0"/>
        <v>282.99537609999999</v>
      </c>
      <c r="G23" s="85">
        <v>25569.041962604166</v>
      </c>
      <c r="H23" s="85">
        <v>25569.041962604166</v>
      </c>
      <c r="I23" s="62">
        <v>73</v>
      </c>
      <c r="J23" s="62">
        <v>278181</v>
      </c>
      <c r="K23" s="57" t="s">
        <v>362</v>
      </c>
      <c r="L23" s="52">
        <v>1040138</v>
      </c>
      <c r="M23" s="58">
        <f t="shared" si="1"/>
        <v>1019.871560540836</v>
      </c>
      <c r="N23" s="62">
        <v>430822</v>
      </c>
      <c r="O23" s="60">
        <f t="shared" si="2"/>
        <v>2.4143103184145658</v>
      </c>
      <c r="P23" s="60">
        <f t="shared" si="3"/>
        <v>2.367268989375742E-3</v>
      </c>
    </row>
    <row r="24" spans="1:16" ht="17.25" customHeight="1" x14ac:dyDescent="0.2">
      <c r="A24" s="52">
        <v>1448</v>
      </c>
      <c r="B24" s="53" t="s">
        <v>29</v>
      </c>
      <c r="C24" s="53" t="s">
        <v>363</v>
      </c>
      <c r="D24" s="54">
        <v>331.54</v>
      </c>
      <c r="E24" s="62">
        <v>1097</v>
      </c>
      <c r="F24" s="54">
        <f t="shared" si="0"/>
        <v>329.99833209999997</v>
      </c>
      <c r="G24" s="85">
        <v>25569.041962604166</v>
      </c>
      <c r="H24" s="85">
        <v>25569.041962604166</v>
      </c>
      <c r="I24" s="62">
        <v>80</v>
      </c>
      <c r="J24" s="62">
        <v>22090</v>
      </c>
      <c r="K24" s="57" t="s">
        <v>364</v>
      </c>
      <c r="L24" s="52">
        <v>25534</v>
      </c>
      <c r="M24" s="58">
        <f t="shared" si="1"/>
        <v>159.79361689379209</v>
      </c>
      <c r="N24" s="62">
        <v>32635</v>
      </c>
      <c r="O24" s="60">
        <f t="shared" si="2"/>
        <v>0.78241152137275927</v>
      </c>
      <c r="P24" s="60">
        <f t="shared" si="3"/>
        <v>4.8963878318918977E-3</v>
      </c>
    </row>
    <row r="25" spans="1:16" ht="17.25" customHeight="1" x14ac:dyDescent="0.2">
      <c r="A25" s="52">
        <v>1449</v>
      </c>
      <c r="B25" s="53" t="s">
        <v>29</v>
      </c>
      <c r="C25" s="53" t="s">
        <v>363</v>
      </c>
      <c r="D25" s="54">
        <v>329.53</v>
      </c>
      <c r="E25" s="62">
        <v>1097</v>
      </c>
      <c r="F25" s="54">
        <f t="shared" si="0"/>
        <v>328.00179909999991</v>
      </c>
      <c r="G25" s="85">
        <v>25569.041962604166</v>
      </c>
      <c r="H25" s="85">
        <v>25569.041962604166</v>
      </c>
      <c r="I25" s="62">
        <v>80</v>
      </c>
      <c r="J25" s="62">
        <v>19389</v>
      </c>
      <c r="K25" s="57" t="s">
        <v>364</v>
      </c>
      <c r="L25" s="52">
        <v>11801</v>
      </c>
      <c r="M25" s="58">
        <f t="shared" si="1"/>
        <v>108.63240768757728</v>
      </c>
      <c r="N25" s="62">
        <v>25436</v>
      </c>
      <c r="O25" s="60">
        <f t="shared" si="2"/>
        <v>0.46394873407768517</v>
      </c>
      <c r="P25" s="60">
        <f t="shared" si="3"/>
        <v>4.2708133231474004E-3</v>
      </c>
    </row>
    <row r="26" spans="1:16" ht="17.25" customHeight="1" x14ac:dyDescent="0.2">
      <c r="A26" s="52">
        <v>1450</v>
      </c>
      <c r="B26" s="53" t="s">
        <v>29</v>
      </c>
      <c r="C26" s="53" t="s">
        <v>363</v>
      </c>
      <c r="D26" s="54">
        <v>328.52</v>
      </c>
      <c r="E26" s="62">
        <v>1097</v>
      </c>
      <c r="F26" s="54">
        <f t="shared" si="0"/>
        <v>326.99856609999995</v>
      </c>
      <c r="G26" s="85">
        <v>25569.041962604166</v>
      </c>
      <c r="H26" s="85">
        <v>25569.041962604166</v>
      </c>
      <c r="I26" s="62">
        <v>80</v>
      </c>
      <c r="J26" s="62">
        <v>25397</v>
      </c>
      <c r="K26" s="57" t="s">
        <v>364</v>
      </c>
      <c r="L26" s="52">
        <v>1636</v>
      </c>
      <c r="M26" s="58">
        <f t="shared" si="1"/>
        <v>40.447496832313369</v>
      </c>
      <c r="N26" s="62">
        <v>41047</v>
      </c>
      <c r="O26" s="60">
        <f t="shared" si="2"/>
        <v>3.9856749579750043E-2</v>
      </c>
      <c r="P26" s="60">
        <f t="shared" si="3"/>
        <v>9.8539471416457655E-4</v>
      </c>
    </row>
    <row r="27" spans="1:16" ht="17.25" customHeight="1" x14ac:dyDescent="0.2">
      <c r="A27" s="52">
        <v>1451</v>
      </c>
      <c r="B27" s="53" t="s">
        <v>29</v>
      </c>
      <c r="C27" s="53" t="s">
        <v>365</v>
      </c>
      <c r="D27" s="54">
        <v>327.51</v>
      </c>
      <c r="E27" s="62">
        <v>1097</v>
      </c>
      <c r="F27" s="54">
        <f t="shared" si="0"/>
        <v>325.99533309999993</v>
      </c>
      <c r="G27" s="85">
        <v>25569.041962604166</v>
      </c>
      <c r="H27" s="85">
        <v>25569.041962604166</v>
      </c>
      <c r="I27" s="62">
        <v>81</v>
      </c>
      <c r="J27" s="62">
        <v>25276</v>
      </c>
      <c r="K27" s="57" t="s">
        <v>364</v>
      </c>
      <c r="L27" s="52">
        <v>1676</v>
      </c>
      <c r="M27" s="58">
        <f t="shared" si="1"/>
        <v>40.93897898091744</v>
      </c>
      <c r="N27" s="62">
        <v>40202</v>
      </c>
      <c r="O27" s="60">
        <f t="shared" si="2"/>
        <v>4.1689468185662402E-2</v>
      </c>
      <c r="P27" s="60">
        <f t="shared" si="3"/>
        <v>1.018331898435835E-3</v>
      </c>
    </row>
    <row r="28" spans="1:16" ht="17.25" customHeight="1" x14ac:dyDescent="0.2">
      <c r="A28" s="52">
        <v>1452</v>
      </c>
      <c r="B28" s="53" t="s">
        <v>29</v>
      </c>
      <c r="C28" s="53" t="s">
        <v>366</v>
      </c>
      <c r="D28" s="54">
        <v>330.53</v>
      </c>
      <c r="E28" s="62">
        <v>1097</v>
      </c>
      <c r="F28" s="54">
        <f t="shared" si="0"/>
        <v>328.99509909999989</v>
      </c>
      <c r="G28" s="85">
        <v>25569.041962604166</v>
      </c>
      <c r="H28" s="85">
        <v>25569.041962604166</v>
      </c>
      <c r="I28" s="62">
        <v>81</v>
      </c>
      <c r="J28" s="62">
        <v>12339</v>
      </c>
      <c r="K28" s="57" t="s">
        <v>364</v>
      </c>
      <c r="L28" s="52">
        <v>13470</v>
      </c>
      <c r="M28" s="58">
        <f t="shared" si="1"/>
        <v>116.06032913963324</v>
      </c>
      <c r="N28" s="62">
        <v>18355</v>
      </c>
      <c r="O28" s="60">
        <f t="shared" si="2"/>
        <v>0.73385998365567962</v>
      </c>
      <c r="P28" s="60">
        <f t="shared" si="3"/>
        <v>6.3230906641042351E-3</v>
      </c>
    </row>
    <row r="29" spans="1:16" ht="17.25" customHeight="1" x14ac:dyDescent="0.2">
      <c r="A29" s="52">
        <v>1453</v>
      </c>
      <c r="B29" s="53" t="s">
        <v>29</v>
      </c>
      <c r="C29" s="53" t="s">
        <v>367</v>
      </c>
      <c r="D29" s="54">
        <v>332.55</v>
      </c>
      <c r="E29" s="62">
        <v>1097</v>
      </c>
      <c r="F29" s="54">
        <f t="shared" si="0"/>
        <v>331.00156509999994</v>
      </c>
      <c r="G29" s="85">
        <v>25569.041962604166</v>
      </c>
      <c r="H29" s="85">
        <v>25569.041962604166</v>
      </c>
      <c r="I29" s="62">
        <v>81</v>
      </c>
      <c r="J29" s="62">
        <v>21010</v>
      </c>
      <c r="K29" s="57" t="s">
        <v>364</v>
      </c>
      <c r="L29" s="52">
        <v>27369</v>
      </c>
      <c r="M29" s="58">
        <f t="shared" si="1"/>
        <v>165.43578814754684</v>
      </c>
      <c r="N29" s="62">
        <v>33466</v>
      </c>
      <c r="O29" s="60">
        <f t="shared" si="2"/>
        <v>0.81781509591824542</v>
      </c>
      <c r="P29" s="60">
        <f t="shared" si="3"/>
        <v>4.9433989167377889E-3</v>
      </c>
    </row>
    <row r="30" spans="1:16" ht="17.25" customHeight="1" x14ac:dyDescent="0.2">
      <c r="A30" s="52">
        <v>1454</v>
      </c>
      <c r="B30" s="53" t="s">
        <v>29</v>
      </c>
      <c r="C30" s="53" t="s">
        <v>368</v>
      </c>
      <c r="D30" s="54">
        <v>334.56</v>
      </c>
      <c r="E30" s="62">
        <v>1097</v>
      </c>
      <c r="F30" s="54">
        <f t="shared" si="0"/>
        <v>332.99809809999994</v>
      </c>
      <c r="G30" s="85">
        <v>25569.041962604166</v>
      </c>
      <c r="H30" s="85">
        <v>25569.041962604166</v>
      </c>
      <c r="I30" s="62">
        <v>80</v>
      </c>
      <c r="J30" s="62">
        <v>18217</v>
      </c>
      <c r="K30" s="57" t="s">
        <v>364</v>
      </c>
      <c r="L30" s="52">
        <v>22367</v>
      </c>
      <c r="M30" s="58">
        <f t="shared" si="1"/>
        <v>149.55600957500837</v>
      </c>
      <c r="N30" s="62">
        <v>26882</v>
      </c>
      <c r="O30" s="60">
        <f t="shared" si="2"/>
        <v>0.8320437467450339</v>
      </c>
      <c r="P30" s="60">
        <f t="shared" si="3"/>
        <v>5.5634256965630671E-3</v>
      </c>
    </row>
    <row r="31" spans="1:16" ht="17.25" customHeight="1" x14ac:dyDescent="0.2">
      <c r="A31" s="52">
        <v>1455</v>
      </c>
      <c r="B31" s="53" t="s">
        <v>29</v>
      </c>
      <c r="C31" s="53" t="s">
        <v>369</v>
      </c>
      <c r="D31" s="54">
        <v>336.58</v>
      </c>
      <c r="E31" s="62">
        <v>1097</v>
      </c>
      <c r="F31" s="54">
        <f t="shared" si="0"/>
        <v>335.00456409999993</v>
      </c>
      <c r="G31" s="85">
        <v>25569.041962604166</v>
      </c>
      <c r="H31" s="85">
        <v>25569.041962604166</v>
      </c>
      <c r="I31" s="62">
        <v>80</v>
      </c>
      <c r="J31" s="62">
        <v>16355</v>
      </c>
      <c r="K31" s="57" t="s">
        <v>364</v>
      </c>
      <c r="L31" s="52">
        <v>19924</v>
      </c>
      <c r="M31" s="58">
        <f t="shared" si="1"/>
        <v>141.15239990875111</v>
      </c>
      <c r="N31" s="62">
        <v>23368</v>
      </c>
      <c r="O31" s="60">
        <f t="shared" si="2"/>
        <v>0.85261896610749743</v>
      </c>
      <c r="P31" s="60">
        <f t="shared" si="3"/>
        <v>6.0404142377931836E-3</v>
      </c>
    </row>
    <row r="32" spans="1:16" ht="17.25" customHeight="1" x14ac:dyDescent="0.2">
      <c r="A32" s="52">
        <v>1456</v>
      </c>
      <c r="B32" s="53" t="s">
        <v>29</v>
      </c>
      <c r="C32" s="53" t="s">
        <v>370</v>
      </c>
      <c r="D32" s="54">
        <v>338.59</v>
      </c>
      <c r="E32" s="62">
        <v>1097</v>
      </c>
      <c r="F32" s="54">
        <f t="shared" si="0"/>
        <v>337.00109709999992</v>
      </c>
      <c r="G32" s="85">
        <v>25569.041962604166</v>
      </c>
      <c r="H32" s="85">
        <v>25569.041962604166</v>
      </c>
      <c r="I32" s="62">
        <v>81</v>
      </c>
      <c r="J32" s="62">
        <v>14859</v>
      </c>
      <c r="K32" s="57" t="s">
        <v>364</v>
      </c>
      <c r="L32" s="52">
        <v>24445</v>
      </c>
      <c r="M32" s="58">
        <f t="shared" si="1"/>
        <v>156.34896865665601</v>
      </c>
      <c r="N32" s="62">
        <v>27093</v>
      </c>
      <c r="O32" s="60">
        <f t="shared" si="2"/>
        <v>0.90226257704942237</v>
      </c>
      <c r="P32" s="60">
        <f t="shared" si="3"/>
        <v>5.7708252558467503E-3</v>
      </c>
    </row>
    <row r="33" spans="1:16" ht="17.25" customHeight="1" x14ac:dyDescent="0.2">
      <c r="A33" s="52">
        <v>1457</v>
      </c>
      <c r="B33" s="53" t="s">
        <v>123</v>
      </c>
      <c r="C33" s="53" t="s">
        <v>371</v>
      </c>
      <c r="D33" s="54">
        <v>335.57</v>
      </c>
      <c r="E33" s="62">
        <v>1097</v>
      </c>
      <c r="F33" s="54">
        <f t="shared" si="0"/>
        <v>334.00133109999996</v>
      </c>
      <c r="G33" s="85">
        <v>25569.041962604166</v>
      </c>
      <c r="H33" s="85">
        <v>25569.041962604166</v>
      </c>
      <c r="I33" s="62">
        <v>80</v>
      </c>
      <c r="J33" s="62">
        <v>112220</v>
      </c>
      <c r="K33" s="57" t="s">
        <v>364</v>
      </c>
      <c r="L33" s="52">
        <v>162018</v>
      </c>
      <c r="M33" s="58">
        <f t="shared" si="1"/>
        <v>402.51459600864166</v>
      </c>
      <c r="N33" s="62">
        <v>193687</v>
      </c>
      <c r="O33" s="60">
        <f t="shared" si="2"/>
        <v>0.83649393092979907</v>
      </c>
      <c r="P33" s="60">
        <f t="shared" si="3"/>
        <v>2.0781704296552769E-3</v>
      </c>
    </row>
    <row r="34" spans="1:16" ht="17.25" customHeight="1" x14ac:dyDescent="0.2">
      <c r="A34" s="52">
        <v>1458</v>
      </c>
      <c r="B34" s="53" t="s">
        <v>29</v>
      </c>
      <c r="C34" s="53" t="s">
        <v>372</v>
      </c>
      <c r="D34" s="54">
        <v>325.5</v>
      </c>
      <c r="E34" s="62">
        <v>1097</v>
      </c>
      <c r="F34" s="54">
        <f t="shared" si="0"/>
        <v>323.99880009999993</v>
      </c>
      <c r="G34" s="85">
        <v>25569.041962604166</v>
      </c>
      <c r="H34" s="85">
        <v>25569.041962604166</v>
      </c>
      <c r="I34" s="62">
        <v>80</v>
      </c>
      <c r="J34" s="62">
        <v>82882</v>
      </c>
      <c r="K34" s="57" t="s">
        <v>364</v>
      </c>
      <c r="L34" s="52">
        <v>4443</v>
      </c>
      <c r="M34" s="58">
        <f t="shared" si="1"/>
        <v>66.65583245298194</v>
      </c>
      <c r="N34" s="62">
        <v>141067</v>
      </c>
      <c r="O34" s="60">
        <f t="shared" si="2"/>
        <v>3.149567226920541E-2</v>
      </c>
      <c r="P34" s="60">
        <f t="shared" si="3"/>
        <v>4.7251187345716532E-4</v>
      </c>
    </row>
    <row r="35" spans="1:16" ht="17.25" customHeight="1" x14ac:dyDescent="0.2">
      <c r="A35" s="52">
        <v>1459</v>
      </c>
      <c r="B35" s="53" t="s">
        <v>29</v>
      </c>
      <c r="C35" s="53" t="s">
        <v>373</v>
      </c>
      <c r="D35" s="54">
        <v>232.05</v>
      </c>
      <c r="E35" s="62">
        <v>2936</v>
      </c>
      <c r="F35" s="54">
        <f t="shared" si="0"/>
        <v>233.00159380000002</v>
      </c>
      <c r="G35" s="85">
        <v>25569.041962604166</v>
      </c>
      <c r="H35" s="85">
        <v>25569.041962604166</v>
      </c>
      <c r="I35" s="62">
        <v>320</v>
      </c>
      <c r="J35" s="62">
        <v>13944</v>
      </c>
      <c r="K35" s="57" t="s">
        <v>364</v>
      </c>
      <c r="L35" s="52">
        <v>3797</v>
      </c>
      <c r="M35" s="58">
        <f t="shared" si="1"/>
        <v>61.619802012015583</v>
      </c>
      <c r="N35" s="62">
        <v>103412</v>
      </c>
      <c r="O35" s="60">
        <f t="shared" si="2"/>
        <v>3.6717208834564655E-2</v>
      </c>
      <c r="P35" s="60">
        <f t="shared" si="3"/>
        <v>5.9586703682373019E-4</v>
      </c>
    </row>
    <row r="36" spans="1:16" ht="17.25" customHeight="1" x14ac:dyDescent="0.2">
      <c r="A36" s="52">
        <v>1460</v>
      </c>
      <c r="B36" s="53" t="s">
        <v>29</v>
      </c>
      <c r="C36" s="53" t="s">
        <v>374</v>
      </c>
      <c r="D36" s="54">
        <v>230.03</v>
      </c>
      <c r="E36" s="62">
        <v>2936</v>
      </c>
      <c r="F36" s="54">
        <f t="shared" si="0"/>
        <v>230.99512780000001</v>
      </c>
      <c r="G36" s="85">
        <v>25569.041962604166</v>
      </c>
      <c r="H36" s="85">
        <v>25569.041962604166</v>
      </c>
      <c r="I36" s="62">
        <v>320</v>
      </c>
      <c r="J36" s="62">
        <v>13182</v>
      </c>
      <c r="K36" s="57" t="s">
        <v>364</v>
      </c>
      <c r="L36" s="52">
        <v>3253</v>
      </c>
      <c r="M36" s="58">
        <f t="shared" si="1"/>
        <v>57.035076926396798</v>
      </c>
      <c r="N36" s="62">
        <v>90715</v>
      </c>
      <c r="O36" s="60">
        <f t="shared" si="2"/>
        <v>3.5859560160943611E-2</v>
      </c>
      <c r="P36" s="60">
        <f t="shared" si="3"/>
        <v>6.2872818085649336E-4</v>
      </c>
    </row>
    <row r="37" spans="1:16" ht="17.25" customHeight="1" x14ac:dyDescent="0.2">
      <c r="A37" s="52">
        <v>1461</v>
      </c>
      <c r="B37" s="53" t="s">
        <v>29</v>
      </c>
      <c r="C37" s="53" t="s">
        <v>375</v>
      </c>
      <c r="D37" s="54">
        <v>228.02</v>
      </c>
      <c r="E37" s="62">
        <v>2936</v>
      </c>
      <c r="F37" s="54">
        <f t="shared" si="0"/>
        <v>228.99859480000001</v>
      </c>
      <c r="G37" s="85">
        <v>25569.041962604166</v>
      </c>
      <c r="H37" s="85">
        <v>25569.041962604166</v>
      </c>
      <c r="I37" s="62">
        <v>320</v>
      </c>
      <c r="J37" s="62">
        <v>14727</v>
      </c>
      <c r="K37" s="57" t="s">
        <v>364</v>
      </c>
      <c r="L37" s="52">
        <v>2995</v>
      </c>
      <c r="M37" s="58">
        <f t="shared" si="1"/>
        <v>54.72659317004851</v>
      </c>
      <c r="N37" s="62">
        <v>82289</v>
      </c>
      <c r="O37" s="60">
        <f t="shared" si="2"/>
        <v>3.6396116127307414E-2</v>
      </c>
      <c r="P37" s="60">
        <f t="shared" si="3"/>
        <v>6.6505356937195136E-4</v>
      </c>
    </row>
    <row r="38" spans="1:16" ht="17.25" customHeight="1" x14ac:dyDescent="0.2">
      <c r="A38" s="52">
        <v>1462</v>
      </c>
      <c r="B38" s="53" t="s">
        <v>29</v>
      </c>
      <c r="C38" s="53" t="s">
        <v>376</v>
      </c>
      <c r="D38" s="54">
        <v>226.01</v>
      </c>
      <c r="E38" s="62">
        <v>2936</v>
      </c>
      <c r="F38" s="54">
        <f t="shared" si="0"/>
        <v>227.00206179999998</v>
      </c>
      <c r="G38" s="85">
        <v>25569.041962604166</v>
      </c>
      <c r="H38" s="85">
        <v>25569.041962604166</v>
      </c>
      <c r="I38" s="62">
        <v>310</v>
      </c>
      <c r="J38" s="62">
        <v>13814</v>
      </c>
      <c r="K38" s="57" t="s">
        <v>364</v>
      </c>
      <c r="L38" s="52">
        <v>3465</v>
      </c>
      <c r="M38" s="58">
        <f t="shared" si="1"/>
        <v>58.864250611045748</v>
      </c>
      <c r="N38" s="62">
        <v>95094</v>
      </c>
      <c r="O38" s="60">
        <f t="shared" si="2"/>
        <v>3.6437630134393335E-2</v>
      </c>
      <c r="P38" s="60">
        <f t="shared" si="3"/>
        <v>6.190111953545518E-4</v>
      </c>
    </row>
    <row r="39" spans="1:16" ht="17.25" customHeight="1" x14ac:dyDescent="0.2">
      <c r="A39" s="52">
        <v>1463</v>
      </c>
      <c r="B39" s="53" t="s">
        <v>29</v>
      </c>
      <c r="C39" s="53" t="s">
        <v>377</v>
      </c>
      <c r="D39" s="54">
        <v>223.99</v>
      </c>
      <c r="E39" s="62">
        <v>2936</v>
      </c>
      <c r="F39" s="54">
        <f t="shared" ref="F39:F70" si="4">0.9933*(D39 + E39/1000)-0.41</f>
        <v>224.99559580000002</v>
      </c>
      <c r="G39" s="85">
        <v>25569.041962604166</v>
      </c>
      <c r="H39" s="85">
        <v>25569.041962604166</v>
      </c>
      <c r="I39" s="62">
        <v>290</v>
      </c>
      <c r="J39" s="62">
        <v>11280</v>
      </c>
      <c r="K39" s="57" t="s">
        <v>364</v>
      </c>
      <c r="L39" s="52">
        <v>2795</v>
      </c>
      <c r="M39" s="58">
        <f t="shared" si="1"/>
        <v>52.867759551545213</v>
      </c>
      <c r="N39" s="62">
        <v>79831</v>
      </c>
      <c r="O39" s="60">
        <f t="shared" si="2"/>
        <v>3.5011461712868432E-2</v>
      </c>
      <c r="P39" s="60">
        <f t="shared" si="3"/>
        <v>6.6224598904617525E-4</v>
      </c>
    </row>
    <row r="40" spans="1:16" ht="17.25" customHeight="1" x14ac:dyDescent="0.2">
      <c r="A40" s="52">
        <v>1464</v>
      </c>
      <c r="B40" s="53" t="s">
        <v>29</v>
      </c>
      <c r="C40" s="53" t="s">
        <v>378</v>
      </c>
      <c r="D40" s="54">
        <v>221.98</v>
      </c>
      <c r="E40" s="62">
        <v>2936</v>
      </c>
      <c r="F40" s="54">
        <f t="shared" si="4"/>
        <v>222.99906279999999</v>
      </c>
      <c r="G40" s="85">
        <v>25569.041962604166</v>
      </c>
      <c r="H40" s="85">
        <v>25569.041962604166</v>
      </c>
      <c r="I40" s="62">
        <v>300</v>
      </c>
      <c r="J40" s="62">
        <v>14913</v>
      </c>
      <c r="K40" s="57" t="s">
        <v>364</v>
      </c>
      <c r="L40" s="52">
        <v>500</v>
      </c>
      <c r="M40" s="58">
        <f t="shared" si="1"/>
        <v>22.360679774997898</v>
      </c>
      <c r="N40" s="62">
        <v>77041</v>
      </c>
      <c r="O40" s="60">
        <f t="shared" si="2"/>
        <v>6.4900507521968819E-3</v>
      </c>
      <c r="P40" s="60">
        <f t="shared" si="3"/>
        <v>2.9024389318671744E-4</v>
      </c>
    </row>
    <row r="41" spans="1:16" ht="17.25" customHeight="1" x14ac:dyDescent="0.2">
      <c r="A41" s="52">
        <v>1465</v>
      </c>
      <c r="B41" s="53" t="s">
        <v>29</v>
      </c>
      <c r="C41" s="53" t="s">
        <v>379</v>
      </c>
      <c r="D41" s="54">
        <v>217.97</v>
      </c>
      <c r="E41" s="62">
        <v>2936</v>
      </c>
      <c r="F41" s="54">
        <f t="shared" si="4"/>
        <v>219.01592980000001</v>
      </c>
      <c r="G41" s="85">
        <v>25569.041962604166</v>
      </c>
      <c r="H41" s="85">
        <v>25569.041962604166</v>
      </c>
      <c r="I41" s="62">
        <v>230</v>
      </c>
      <c r="J41" s="62">
        <v>12978</v>
      </c>
      <c r="K41" s="57" t="s">
        <v>364</v>
      </c>
      <c r="L41" s="52">
        <v>674</v>
      </c>
      <c r="M41" s="58">
        <f t="shared" si="1"/>
        <v>25.96150997149434</v>
      </c>
      <c r="N41" s="62">
        <v>63847</v>
      </c>
      <c r="O41" s="60">
        <f t="shared" si="2"/>
        <v>1.055648660077999E-2</v>
      </c>
      <c r="P41" s="60">
        <f t="shared" si="3"/>
        <v>4.0662067084583993E-4</v>
      </c>
    </row>
    <row r="42" spans="1:16" ht="17.25" customHeight="1" x14ac:dyDescent="0.2">
      <c r="A42" s="52">
        <v>1466</v>
      </c>
      <c r="B42" s="53" t="s">
        <v>29</v>
      </c>
      <c r="C42" s="53" t="s">
        <v>380</v>
      </c>
      <c r="D42" s="54">
        <v>215.95</v>
      </c>
      <c r="E42" s="62">
        <v>2936</v>
      </c>
      <c r="F42" s="54">
        <f t="shared" si="4"/>
        <v>217.00946379999999</v>
      </c>
      <c r="G42" s="85">
        <v>25569.041962604166</v>
      </c>
      <c r="H42" s="85">
        <v>25569.041962604166</v>
      </c>
      <c r="I42" s="62">
        <v>255</v>
      </c>
      <c r="J42" s="62">
        <v>17214</v>
      </c>
      <c r="K42" s="57" t="s">
        <v>364</v>
      </c>
      <c r="L42" s="52">
        <v>966</v>
      </c>
      <c r="M42" s="58">
        <f t="shared" si="1"/>
        <v>31.080540535840107</v>
      </c>
      <c r="N42" s="62">
        <v>85604</v>
      </c>
      <c r="O42" s="60">
        <f t="shared" si="2"/>
        <v>1.1284519414980609E-2</v>
      </c>
      <c r="P42" s="60">
        <f t="shared" si="3"/>
        <v>3.6307346077099324E-4</v>
      </c>
    </row>
    <row r="43" spans="1:16" ht="17.25" customHeight="1" x14ac:dyDescent="0.2">
      <c r="A43" s="52">
        <v>1467</v>
      </c>
      <c r="B43" s="53" t="s">
        <v>29</v>
      </c>
      <c r="C43" s="53" t="s">
        <v>381</v>
      </c>
      <c r="D43" s="54">
        <v>219.97</v>
      </c>
      <c r="E43" s="62">
        <v>2936</v>
      </c>
      <c r="F43" s="54">
        <f t="shared" si="4"/>
        <v>221.00252979999999</v>
      </c>
      <c r="G43" s="85">
        <v>25569.041962604166</v>
      </c>
      <c r="H43" s="85">
        <v>25569.041962604166</v>
      </c>
      <c r="I43" s="62">
        <v>255</v>
      </c>
      <c r="J43" s="62">
        <v>14161</v>
      </c>
      <c r="K43" s="57" t="s">
        <v>364</v>
      </c>
      <c r="L43" s="52">
        <v>584</v>
      </c>
      <c r="M43" s="58">
        <f t="shared" si="1"/>
        <v>24.166091947189145</v>
      </c>
      <c r="N43" s="62">
        <v>70313</v>
      </c>
      <c r="O43" s="60">
        <f t="shared" si="2"/>
        <v>8.3057187148891393E-3</v>
      </c>
      <c r="P43" s="60">
        <f t="shared" si="3"/>
        <v>3.4369308587585716E-4</v>
      </c>
    </row>
    <row r="44" spans="1:16" ht="17.25" customHeight="1" x14ac:dyDescent="0.2">
      <c r="A44" s="52">
        <v>1468</v>
      </c>
      <c r="B44" s="53" t="s">
        <v>29</v>
      </c>
      <c r="C44" s="53" t="s">
        <v>382</v>
      </c>
      <c r="D44" s="54">
        <v>230.88</v>
      </c>
      <c r="E44" s="62">
        <v>1085</v>
      </c>
      <c r="F44" s="54">
        <f t="shared" si="4"/>
        <v>230.0008345</v>
      </c>
      <c r="G44" s="85">
        <v>25569.041962604166</v>
      </c>
      <c r="H44" s="85">
        <v>25569.041962604166</v>
      </c>
      <c r="I44" s="62">
        <v>64</v>
      </c>
      <c r="J44" s="62">
        <v>2320029</v>
      </c>
      <c r="K44" s="57" t="s">
        <v>364</v>
      </c>
      <c r="L44" s="52">
        <v>174793</v>
      </c>
      <c r="M44" s="58">
        <f t="shared" si="1"/>
        <v>418.08252773824449</v>
      </c>
      <c r="N44" s="62">
        <v>3740525</v>
      </c>
      <c r="O44" s="60">
        <f t="shared" si="2"/>
        <v>4.6729536629216487E-2</v>
      </c>
      <c r="P44" s="60">
        <f t="shared" si="3"/>
        <v>1.1177108233155627E-4</v>
      </c>
    </row>
    <row r="45" spans="1:16" ht="17.25" customHeight="1" x14ac:dyDescent="0.2">
      <c r="A45" s="52">
        <v>1469</v>
      </c>
      <c r="B45" s="53" t="s">
        <v>29</v>
      </c>
      <c r="C45" s="53" t="s">
        <v>383</v>
      </c>
      <c r="D45" s="54">
        <v>217.46</v>
      </c>
      <c r="E45" s="62">
        <v>2426</v>
      </c>
      <c r="F45" s="54">
        <f t="shared" si="4"/>
        <v>218.0027638</v>
      </c>
      <c r="G45" s="85">
        <v>25569.041962604166</v>
      </c>
      <c r="H45" s="85">
        <v>25569.041962604166</v>
      </c>
      <c r="I45" s="62">
        <v>300</v>
      </c>
      <c r="J45" s="62">
        <v>224904</v>
      </c>
      <c r="K45" s="57" t="s">
        <v>364</v>
      </c>
      <c r="L45" s="52">
        <v>13382</v>
      </c>
      <c r="M45" s="58">
        <f t="shared" si="1"/>
        <v>115.68059474259285</v>
      </c>
      <c r="N45" s="62">
        <v>1394172</v>
      </c>
      <c r="O45" s="60">
        <f t="shared" si="2"/>
        <v>9.5985287324662962E-3</v>
      </c>
      <c r="P45" s="60">
        <f t="shared" si="3"/>
        <v>8.2974406846926234E-5</v>
      </c>
    </row>
    <row r="46" spans="1:16" ht="17.25" customHeight="1" x14ac:dyDescent="0.2">
      <c r="A46" s="52">
        <v>1470</v>
      </c>
      <c r="B46" s="53" t="s">
        <v>29</v>
      </c>
      <c r="C46" s="53" t="s">
        <v>107</v>
      </c>
      <c r="D46" s="54">
        <v>352.37</v>
      </c>
      <c r="E46" s="62">
        <v>402</v>
      </c>
      <c r="F46" s="54">
        <f t="shared" si="4"/>
        <v>349.99842759999996</v>
      </c>
      <c r="G46" s="85">
        <v>25569.041962604166</v>
      </c>
      <c r="H46" s="85">
        <v>25569.041962604166</v>
      </c>
      <c r="I46" s="62">
        <v>5</v>
      </c>
      <c r="J46" s="62">
        <v>7943</v>
      </c>
      <c r="K46" s="57" t="s">
        <v>384</v>
      </c>
      <c r="L46" s="52">
        <v>38739</v>
      </c>
      <c r="M46" s="58">
        <f t="shared" si="1"/>
        <v>196.82225483923307</v>
      </c>
      <c r="N46" s="62">
        <v>909</v>
      </c>
      <c r="O46" s="60">
        <f t="shared" si="2"/>
        <v>42.617161716171616</v>
      </c>
      <c r="P46" s="60">
        <f t="shared" si="3"/>
        <v>0.21652613293645001</v>
      </c>
    </row>
    <row r="47" spans="1:16" ht="17.25" customHeight="1" x14ac:dyDescent="0.2">
      <c r="A47" s="52">
        <v>1471</v>
      </c>
      <c r="B47" s="53" t="s">
        <v>29</v>
      </c>
      <c r="C47" s="53" t="s">
        <v>107</v>
      </c>
      <c r="D47" s="54">
        <v>354.39</v>
      </c>
      <c r="E47" s="62">
        <v>402</v>
      </c>
      <c r="F47" s="54">
        <f t="shared" si="4"/>
        <v>352.00489359999995</v>
      </c>
      <c r="G47" s="85">
        <v>25569.041962604166</v>
      </c>
      <c r="H47" s="85">
        <v>25569.041962604166</v>
      </c>
      <c r="I47" s="62">
        <v>5</v>
      </c>
      <c r="J47" s="62">
        <v>12679</v>
      </c>
      <c r="K47" s="57" t="s">
        <v>384</v>
      </c>
      <c r="L47" s="52">
        <v>48875</v>
      </c>
      <c r="M47" s="58">
        <f t="shared" si="1"/>
        <v>221.07690969434145</v>
      </c>
      <c r="N47" s="62">
        <v>1582</v>
      </c>
      <c r="O47" s="60">
        <f t="shared" si="2"/>
        <v>30.894437420986094</v>
      </c>
      <c r="P47" s="60">
        <f t="shared" si="3"/>
        <v>0.1397452020823903</v>
      </c>
    </row>
    <row r="48" spans="1:16" ht="17.25" customHeight="1" x14ac:dyDescent="0.2">
      <c r="A48" s="52">
        <v>1472</v>
      </c>
      <c r="B48" s="53" t="s">
        <v>29</v>
      </c>
      <c r="C48" s="53" t="s">
        <v>107</v>
      </c>
      <c r="D48" s="54">
        <v>356.4</v>
      </c>
      <c r="E48" s="62">
        <v>402</v>
      </c>
      <c r="F48" s="54">
        <f t="shared" si="4"/>
        <v>354.00142659999995</v>
      </c>
      <c r="G48" s="85">
        <v>25569.041962604166</v>
      </c>
      <c r="H48" s="85">
        <v>25569.041962604166</v>
      </c>
      <c r="I48" s="62">
        <v>5</v>
      </c>
      <c r="J48" s="62">
        <v>5985</v>
      </c>
      <c r="K48" s="57" t="s">
        <v>384</v>
      </c>
      <c r="L48" s="52">
        <v>10948</v>
      </c>
      <c r="M48" s="58">
        <f t="shared" si="1"/>
        <v>104.63269087622663</v>
      </c>
      <c r="N48" s="62">
        <v>635</v>
      </c>
      <c r="O48" s="60">
        <f t="shared" si="2"/>
        <v>17.240944881889764</v>
      </c>
      <c r="P48" s="60">
        <f t="shared" si="3"/>
        <v>0.16477589114366398</v>
      </c>
    </row>
    <row r="49" spans="1:16" ht="17.25" customHeight="1" x14ac:dyDescent="0.2">
      <c r="A49" s="52">
        <v>1473</v>
      </c>
      <c r="B49" s="53" t="s">
        <v>29</v>
      </c>
      <c r="C49" s="53" t="s">
        <v>107</v>
      </c>
      <c r="D49" s="54">
        <v>358.41</v>
      </c>
      <c r="E49" s="62">
        <v>402</v>
      </c>
      <c r="F49" s="54">
        <f t="shared" si="4"/>
        <v>355.99795959999994</v>
      </c>
      <c r="G49" s="85">
        <v>25569.041962604166</v>
      </c>
      <c r="H49" s="85">
        <v>25569.041962604166</v>
      </c>
      <c r="I49" s="62">
        <v>5</v>
      </c>
      <c r="J49" s="62">
        <v>13338</v>
      </c>
      <c r="K49" s="57" t="s">
        <v>384</v>
      </c>
      <c r="L49" s="52">
        <v>15139</v>
      </c>
      <c r="M49" s="58">
        <f t="shared" si="1"/>
        <v>123.04064369142418</v>
      </c>
      <c r="N49" s="62">
        <v>1780</v>
      </c>
      <c r="O49" s="60">
        <f t="shared" si="2"/>
        <v>8.5050561797752806</v>
      </c>
      <c r="P49" s="60">
        <f t="shared" si="3"/>
        <v>6.9123957130013583E-2</v>
      </c>
    </row>
    <row r="50" spans="1:16" ht="17.25" customHeight="1" x14ac:dyDescent="0.2">
      <c r="A50" s="52">
        <v>1474</v>
      </c>
      <c r="B50" s="53" t="s">
        <v>29</v>
      </c>
      <c r="C50" s="53" t="s">
        <v>107</v>
      </c>
      <c r="D50" s="54">
        <v>360.43</v>
      </c>
      <c r="E50" s="62">
        <v>402</v>
      </c>
      <c r="F50" s="54">
        <f t="shared" si="4"/>
        <v>358.00442559999993</v>
      </c>
      <c r="G50" s="85">
        <v>25569.041962604166</v>
      </c>
      <c r="H50" s="85">
        <v>25569.041962604166</v>
      </c>
      <c r="I50" s="62">
        <v>5</v>
      </c>
      <c r="J50" s="62">
        <v>8566</v>
      </c>
      <c r="K50" s="57" t="s">
        <v>384</v>
      </c>
      <c r="L50" s="52">
        <v>5718</v>
      </c>
      <c r="M50" s="58">
        <f t="shared" si="1"/>
        <v>75.617458301638251</v>
      </c>
      <c r="N50" s="62">
        <v>1350</v>
      </c>
      <c r="O50" s="60">
        <f t="shared" si="2"/>
        <v>4.235555555555556</v>
      </c>
      <c r="P50" s="60">
        <f t="shared" si="3"/>
        <v>5.6012932075287597E-2</v>
      </c>
    </row>
    <row r="51" spans="1:16" ht="17.25" customHeight="1" x14ac:dyDescent="0.2">
      <c r="A51" s="52">
        <v>1475</v>
      </c>
      <c r="B51" s="53" t="s">
        <v>29</v>
      </c>
      <c r="C51" s="53" t="s">
        <v>107</v>
      </c>
      <c r="D51" s="54">
        <v>362.44</v>
      </c>
      <c r="E51" s="62">
        <v>402</v>
      </c>
      <c r="F51" s="54">
        <f t="shared" si="4"/>
        <v>360.00095859999993</v>
      </c>
      <c r="G51" s="85">
        <v>25569.041962604166</v>
      </c>
      <c r="H51" s="85">
        <v>25569.041962604166</v>
      </c>
      <c r="I51" s="62">
        <v>5</v>
      </c>
      <c r="J51" s="62">
        <v>10535</v>
      </c>
      <c r="K51" s="57" t="s">
        <v>384</v>
      </c>
      <c r="L51" s="52">
        <v>4212</v>
      </c>
      <c r="M51" s="58">
        <f t="shared" si="1"/>
        <v>64.899922958351809</v>
      </c>
      <c r="N51" s="62">
        <v>1541</v>
      </c>
      <c r="O51" s="60">
        <f t="shared" si="2"/>
        <v>2.7332900713822195</v>
      </c>
      <c r="P51" s="60">
        <f t="shared" si="3"/>
        <v>4.2115459414894099E-2</v>
      </c>
    </row>
    <row r="52" spans="1:16" ht="17.25" customHeight="1" x14ac:dyDescent="0.2">
      <c r="A52" s="52">
        <v>1476</v>
      </c>
      <c r="B52" s="53" t="s">
        <v>29</v>
      </c>
      <c r="C52" s="53" t="s">
        <v>107</v>
      </c>
      <c r="D52" s="54">
        <v>366.47</v>
      </c>
      <c r="E52" s="62">
        <v>402</v>
      </c>
      <c r="F52" s="54">
        <f t="shared" si="4"/>
        <v>364.00395759999998</v>
      </c>
      <c r="G52" s="85">
        <v>25569.041962604166</v>
      </c>
      <c r="H52" s="85">
        <v>25569.041962604166</v>
      </c>
      <c r="I52" s="62">
        <v>5</v>
      </c>
      <c r="J52" s="62">
        <v>13819</v>
      </c>
      <c r="K52" s="57" t="s">
        <v>384</v>
      </c>
      <c r="L52" s="52">
        <v>2408</v>
      </c>
      <c r="M52" s="58">
        <f t="shared" si="1"/>
        <v>49.071376585541188</v>
      </c>
      <c r="N52" s="62">
        <v>1624</v>
      </c>
      <c r="O52" s="60">
        <f t="shared" si="2"/>
        <v>1.4827586206896552</v>
      </c>
      <c r="P52" s="60">
        <f t="shared" si="3"/>
        <v>3.0216364892574624E-2</v>
      </c>
    </row>
    <row r="53" spans="1:16" ht="17.25" customHeight="1" x14ac:dyDescent="0.2">
      <c r="A53" s="52">
        <v>1477</v>
      </c>
      <c r="B53" s="53" t="s">
        <v>29</v>
      </c>
      <c r="C53" s="53" t="s">
        <v>107</v>
      </c>
      <c r="D53" s="54">
        <v>370.49</v>
      </c>
      <c r="E53" s="62">
        <v>402</v>
      </c>
      <c r="F53" s="54">
        <f t="shared" si="4"/>
        <v>367.99702359999998</v>
      </c>
      <c r="G53" s="85">
        <v>25569.041962604166</v>
      </c>
      <c r="H53" s="85">
        <v>25569.041962604166</v>
      </c>
      <c r="I53" s="62">
        <v>5</v>
      </c>
      <c r="J53" s="62">
        <v>12565</v>
      </c>
      <c r="K53" s="57" t="s">
        <v>384</v>
      </c>
      <c r="L53" s="52">
        <v>1835</v>
      </c>
      <c r="M53" s="58">
        <f t="shared" si="1"/>
        <v>42.836899981207793</v>
      </c>
      <c r="N53" s="62">
        <v>1470</v>
      </c>
      <c r="O53" s="60">
        <f t="shared" si="2"/>
        <v>1.2482993197278911</v>
      </c>
      <c r="P53" s="60">
        <f t="shared" si="3"/>
        <v>2.9140748286535914E-2</v>
      </c>
    </row>
    <row r="54" spans="1:16" ht="17.25" customHeight="1" x14ac:dyDescent="0.2">
      <c r="A54" s="52">
        <v>1478</v>
      </c>
      <c r="B54" s="53" t="s">
        <v>29</v>
      </c>
      <c r="C54" s="53" t="s">
        <v>107</v>
      </c>
      <c r="D54" s="54">
        <v>350.36</v>
      </c>
      <c r="E54" s="62">
        <v>402</v>
      </c>
      <c r="F54" s="54">
        <f t="shared" si="4"/>
        <v>348.00189459999996</v>
      </c>
      <c r="G54" s="85">
        <v>25569.041962604166</v>
      </c>
      <c r="H54" s="85">
        <v>25569.041962604166</v>
      </c>
      <c r="I54" s="62">
        <v>5</v>
      </c>
      <c r="J54" s="62">
        <v>6746</v>
      </c>
      <c r="K54" s="57" t="s">
        <v>384</v>
      </c>
      <c r="L54" s="52">
        <v>51094</v>
      </c>
      <c r="M54" s="58">
        <f t="shared" si="1"/>
        <v>226.03981950090122</v>
      </c>
      <c r="N54" s="62">
        <v>824</v>
      </c>
      <c r="O54" s="60">
        <f t="shared" si="2"/>
        <v>62.007281553398059</v>
      </c>
      <c r="P54" s="60">
        <f t="shared" si="3"/>
        <v>0.2743201692972102</v>
      </c>
    </row>
    <row r="55" spans="1:16" ht="17.25" customHeight="1" x14ac:dyDescent="0.2">
      <c r="A55" s="52">
        <v>1479</v>
      </c>
      <c r="B55" s="53" t="s">
        <v>29</v>
      </c>
      <c r="C55" s="53" t="s">
        <v>107</v>
      </c>
      <c r="D55" s="54">
        <v>348.34</v>
      </c>
      <c r="E55" s="62">
        <v>402</v>
      </c>
      <c r="F55" s="54">
        <f t="shared" si="4"/>
        <v>345.99542859999991</v>
      </c>
      <c r="G55" s="85">
        <v>25569.041962604166</v>
      </c>
      <c r="H55" s="85">
        <v>25569.041962604166</v>
      </c>
      <c r="I55" s="62">
        <v>5</v>
      </c>
      <c r="J55" s="62">
        <v>7019</v>
      </c>
      <c r="K55" s="57" t="s">
        <v>384</v>
      </c>
      <c r="L55" s="52">
        <v>41982</v>
      </c>
      <c r="M55" s="58">
        <f t="shared" si="1"/>
        <v>204.89509510966826</v>
      </c>
      <c r="N55" s="62">
        <v>659</v>
      </c>
      <c r="O55" s="60">
        <f t="shared" si="2"/>
        <v>63.705614567526553</v>
      </c>
      <c r="P55" s="60">
        <f t="shared" si="3"/>
        <v>0.31091820198735698</v>
      </c>
    </row>
    <row r="56" spans="1:16" ht="17.25" customHeight="1" x14ac:dyDescent="0.2">
      <c r="A56" s="52">
        <v>1480</v>
      </c>
      <c r="B56" s="53" t="s">
        <v>29</v>
      </c>
      <c r="C56" s="53" t="s">
        <v>107</v>
      </c>
      <c r="D56" s="54">
        <v>346.33</v>
      </c>
      <c r="E56" s="62">
        <v>402</v>
      </c>
      <c r="F56" s="54">
        <f t="shared" si="4"/>
        <v>343.99889559999991</v>
      </c>
      <c r="G56" s="85">
        <v>25569.041962604166</v>
      </c>
      <c r="H56" s="85">
        <v>25569.041962604166</v>
      </c>
      <c r="I56" s="62">
        <v>5</v>
      </c>
      <c r="J56" s="62">
        <v>8269</v>
      </c>
      <c r="K56" s="57" t="s">
        <v>384</v>
      </c>
      <c r="L56" s="52">
        <v>42778</v>
      </c>
      <c r="M56" s="58">
        <f t="shared" si="1"/>
        <v>206.82843131445927</v>
      </c>
      <c r="N56" s="62">
        <v>702</v>
      </c>
      <c r="O56" s="60">
        <f t="shared" si="2"/>
        <v>60.93732193732194</v>
      </c>
      <c r="P56" s="60">
        <f t="shared" si="3"/>
        <v>0.29462739503484225</v>
      </c>
    </row>
    <row r="57" spans="1:16" ht="17.25" customHeight="1" x14ac:dyDescent="0.2">
      <c r="A57" s="52">
        <v>1481</v>
      </c>
      <c r="B57" s="53" t="s">
        <v>29</v>
      </c>
      <c r="C57" s="53" t="s">
        <v>107</v>
      </c>
      <c r="D57" s="54">
        <v>344.32</v>
      </c>
      <c r="E57" s="62">
        <v>402</v>
      </c>
      <c r="F57" s="54">
        <f t="shared" si="4"/>
        <v>342.00236259999997</v>
      </c>
      <c r="G57" s="85">
        <v>25569.041962604166</v>
      </c>
      <c r="H57" s="85">
        <v>25569.041962604166</v>
      </c>
      <c r="I57" s="62">
        <v>5</v>
      </c>
      <c r="J57" s="62">
        <v>6137</v>
      </c>
      <c r="K57" s="57" t="s">
        <v>384</v>
      </c>
      <c r="L57" s="52">
        <v>44460</v>
      </c>
      <c r="M57" s="58">
        <f t="shared" si="1"/>
        <v>210.85540068966694</v>
      </c>
      <c r="N57" s="62">
        <v>853</v>
      </c>
      <c r="O57" s="60">
        <f t="shared" si="2"/>
        <v>52.121922626025793</v>
      </c>
      <c r="P57" s="60">
        <f t="shared" si="3"/>
        <v>0.24719273234427541</v>
      </c>
    </row>
    <row r="58" spans="1:16" ht="17.25" customHeight="1" x14ac:dyDescent="0.2">
      <c r="A58" s="52">
        <v>1482</v>
      </c>
      <c r="B58" s="53" t="s">
        <v>29</v>
      </c>
      <c r="C58" s="53" t="s">
        <v>107</v>
      </c>
      <c r="D58" s="54">
        <v>342.3</v>
      </c>
      <c r="E58" s="62">
        <v>402</v>
      </c>
      <c r="F58" s="54">
        <f t="shared" si="4"/>
        <v>339.99589659999998</v>
      </c>
      <c r="G58" s="85">
        <v>25569.041962604166</v>
      </c>
      <c r="H58" s="85">
        <v>25569.041962604166</v>
      </c>
      <c r="I58" s="62">
        <v>5</v>
      </c>
      <c r="J58" s="62">
        <v>11543</v>
      </c>
      <c r="K58" s="57" t="s">
        <v>384</v>
      </c>
      <c r="L58" s="52">
        <v>25159</v>
      </c>
      <c r="M58" s="58">
        <f t="shared" si="1"/>
        <v>158.61588823317794</v>
      </c>
      <c r="N58" s="62">
        <v>1130</v>
      </c>
      <c r="O58" s="60">
        <f t="shared" si="2"/>
        <v>22.264601769911504</v>
      </c>
      <c r="P58" s="60">
        <f t="shared" si="3"/>
        <v>0.14036804268422826</v>
      </c>
    </row>
    <row r="59" spans="1:16" ht="17.25" customHeight="1" x14ac:dyDescent="0.2">
      <c r="A59" s="52">
        <v>1483</v>
      </c>
      <c r="B59" s="53" t="s">
        <v>29</v>
      </c>
      <c r="C59" s="53" t="s">
        <v>107</v>
      </c>
      <c r="D59" s="54">
        <v>340.29</v>
      </c>
      <c r="E59" s="62">
        <v>402</v>
      </c>
      <c r="F59" s="54">
        <f t="shared" si="4"/>
        <v>337.99936359999998</v>
      </c>
      <c r="G59" s="85">
        <v>25569.041962604166</v>
      </c>
      <c r="H59" s="85">
        <v>25569.041962604166</v>
      </c>
      <c r="I59" s="62">
        <v>5</v>
      </c>
      <c r="J59" s="62">
        <v>5613</v>
      </c>
      <c r="K59" s="57" t="s">
        <v>384</v>
      </c>
      <c r="L59" s="52">
        <v>6004</v>
      </c>
      <c r="M59" s="58">
        <f t="shared" si="1"/>
        <v>77.485482511242068</v>
      </c>
      <c r="N59" s="62">
        <v>887</v>
      </c>
      <c r="O59" s="60">
        <f t="shared" si="2"/>
        <v>6.7688838782412626</v>
      </c>
      <c r="P59" s="60">
        <f t="shared" si="3"/>
        <v>8.73568010273304E-2</v>
      </c>
    </row>
    <row r="60" spans="1:16" ht="17.25" customHeight="1" x14ac:dyDescent="0.2">
      <c r="A60" s="52">
        <v>1484</v>
      </c>
      <c r="B60" s="53" t="s">
        <v>29</v>
      </c>
      <c r="C60" s="53" t="s">
        <v>107</v>
      </c>
      <c r="D60" s="54">
        <v>338.28</v>
      </c>
      <c r="E60" s="62">
        <v>402</v>
      </c>
      <c r="F60" s="54">
        <f t="shared" si="4"/>
        <v>336.00283059999992</v>
      </c>
      <c r="G60" s="85">
        <v>25569.041962604166</v>
      </c>
      <c r="H60" s="85">
        <v>25569.041962604166</v>
      </c>
      <c r="I60" s="62">
        <v>5</v>
      </c>
      <c r="J60" s="62">
        <v>16763</v>
      </c>
      <c r="K60" s="57" t="s">
        <v>384</v>
      </c>
      <c r="L60" s="52">
        <v>5732</v>
      </c>
      <c r="M60" s="58">
        <f t="shared" si="1"/>
        <v>75.709972922990801</v>
      </c>
      <c r="N60" s="62">
        <v>1724</v>
      </c>
      <c r="O60" s="60">
        <f t="shared" si="2"/>
        <v>3.3248259860788862</v>
      </c>
      <c r="P60" s="60">
        <f t="shared" si="3"/>
        <v>4.3915297519136198E-2</v>
      </c>
    </row>
    <row r="61" spans="1:16" ht="17.25" customHeight="1" x14ac:dyDescent="0.2">
      <c r="A61" s="52">
        <v>1485</v>
      </c>
      <c r="B61" s="53" t="s">
        <v>29</v>
      </c>
      <c r="C61" s="53" t="s">
        <v>107</v>
      </c>
      <c r="D61" s="54">
        <v>334.25</v>
      </c>
      <c r="E61" s="62">
        <v>402</v>
      </c>
      <c r="F61" s="54">
        <f t="shared" si="4"/>
        <v>331.99983159999994</v>
      </c>
      <c r="G61" s="85">
        <v>25569.041962604166</v>
      </c>
      <c r="H61" s="85">
        <v>25569.041962604166</v>
      </c>
      <c r="I61" s="62">
        <v>5</v>
      </c>
      <c r="J61" s="62">
        <v>13644</v>
      </c>
      <c r="K61" s="57" t="s">
        <v>384</v>
      </c>
      <c r="L61" s="52">
        <v>1597</v>
      </c>
      <c r="M61" s="58">
        <f t="shared" si="1"/>
        <v>39.962482405376171</v>
      </c>
      <c r="N61" s="62">
        <v>1236</v>
      </c>
      <c r="O61" s="60">
        <f t="shared" si="2"/>
        <v>1.2920711974110033</v>
      </c>
      <c r="P61" s="60">
        <f t="shared" si="3"/>
        <v>3.2332105505967774E-2</v>
      </c>
    </row>
    <row r="62" spans="1:16" ht="17.25" customHeight="1" x14ac:dyDescent="0.2">
      <c r="A62" s="52">
        <v>1486</v>
      </c>
      <c r="B62" s="53" t="s">
        <v>29</v>
      </c>
      <c r="C62" s="53" t="s">
        <v>107</v>
      </c>
      <c r="D62" s="54">
        <v>341.3</v>
      </c>
      <c r="E62" s="62">
        <v>402</v>
      </c>
      <c r="F62" s="54">
        <f t="shared" si="4"/>
        <v>339.00259659999995</v>
      </c>
      <c r="G62" s="85">
        <v>25569.041962604166</v>
      </c>
      <c r="H62" s="85">
        <v>25569.041962604166</v>
      </c>
      <c r="I62" s="62">
        <v>5</v>
      </c>
      <c r="J62" s="62">
        <v>9264</v>
      </c>
      <c r="K62" s="57" t="s">
        <v>384</v>
      </c>
      <c r="L62" s="52">
        <v>13232</v>
      </c>
      <c r="M62" s="58">
        <f t="shared" si="1"/>
        <v>115.03043075638725</v>
      </c>
      <c r="N62" s="62">
        <v>1217</v>
      </c>
      <c r="O62" s="60">
        <f t="shared" si="2"/>
        <v>10.872637633525061</v>
      </c>
      <c r="P62" s="60">
        <f t="shared" si="3"/>
        <v>9.4519663727516232E-2</v>
      </c>
    </row>
    <row r="63" spans="1:16" ht="17.25" customHeight="1" x14ac:dyDescent="0.2">
      <c r="A63" s="52">
        <v>1487</v>
      </c>
      <c r="B63" s="53" t="s">
        <v>29</v>
      </c>
      <c r="C63" s="53" t="s">
        <v>107</v>
      </c>
      <c r="D63" s="54">
        <v>343.31</v>
      </c>
      <c r="E63" s="62">
        <v>402</v>
      </c>
      <c r="F63" s="54">
        <f t="shared" si="4"/>
        <v>340.99912959999995</v>
      </c>
      <c r="G63" s="85">
        <v>25569.041962604166</v>
      </c>
      <c r="H63" s="85">
        <v>25569.041962604166</v>
      </c>
      <c r="I63" s="62">
        <v>5</v>
      </c>
      <c r="J63" s="62">
        <v>11263</v>
      </c>
      <c r="K63" s="57" t="s">
        <v>384</v>
      </c>
      <c r="L63" s="52">
        <v>45510</v>
      </c>
      <c r="M63" s="58">
        <f t="shared" si="1"/>
        <v>213.3307291507719</v>
      </c>
      <c r="N63" s="62">
        <v>1213</v>
      </c>
      <c r="O63" s="60">
        <f t="shared" si="2"/>
        <v>37.518549051937349</v>
      </c>
      <c r="P63" s="60">
        <f t="shared" si="3"/>
        <v>0.17587034554886388</v>
      </c>
    </row>
    <row r="64" spans="1:16" ht="17.25" customHeight="1" x14ac:dyDescent="0.2">
      <c r="A64" s="52">
        <v>1488</v>
      </c>
      <c r="B64" s="53" t="s">
        <v>29</v>
      </c>
      <c r="C64" s="53" t="s">
        <v>107</v>
      </c>
      <c r="D64" s="54">
        <v>351.36</v>
      </c>
      <c r="E64" s="62">
        <v>402</v>
      </c>
      <c r="F64" s="54">
        <f t="shared" si="4"/>
        <v>348.99519459999993</v>
      </c>
      <c r="G64" s="85">
        <v>25569.041962604166</v>
      </c>
      <c r="H64" s="85">
        <v>25569.041962604166</v>
      </c>
      <c r="I64" s="62">
        <v>5</v>
      </c>
      <c r="J64" s="62">
        <v>11604</v>
      </c>
      <c r="K64" s="57" t="s">
        <v>384</v>
      </c>
      <c r="L64" s="52">
        <v>83487</v>
      </c>
      <c r="M64" s="58">
        <f t="shared" si="1"/>
        <v>288.94117048285108</v>
      </c>
      <c r="N64" s="62">
        <v>1497</v>
      </c>
      <c r="O64" s="60">
        <f t="shared" si="2"/>
        <v>55.769539078156313</v>
      </c>
      <c r="P64" s="60">
        <f t="shared" si="3"/>
        <v>0.19301347393644028</v>
      </c>
    </row>
    <row r="65" spans="1:16" ht="17.25" customHeight="1" x14ac:dyDescent="0.2">
      <c r="A65" s="52">
        <v>1489</v>
      </c>
      <c r="B65" s="53" t="s">
        <v>385</v>
      </c>
      <c r="C65" s="53" t="s">
        <v>107</v>
      </c>
      <c r="D65" s="54">
        <v>246.51</v>
      </c>
      <c r="E65" s="62">
        <v>552</v>
      </c>
      <c r="F65" s="54">
        <f t="shared" si="4"/>
        <v>244.99668459999998</v>
      </c>
      <c r="G65" s="85">
        <v>25569.041962604166</v>
      </c>
      <c r="H65" s="85">
        <v>25569.041962604166</v>
      </c>
      <c r="I65" s="62">
        <v>15</v>
      </c>
      <c r="J65" s="62">
        <v>227893</v>
      </c>
      <c r="K65" s="57" t="s">
        <v>384</v>
      </c>
      <c r="L65" s="52">
        <v>579</v>
      </c>
      <c r="M65" s="58">
        <f t="shared" si="1"/>
        <v>24.06241883103193</v>
      </c>
      <c r="N65" s="62">
        <v>81738</v>
      </c>
      <c r="O65" s="60">
        <f t="shared" si="2"/>
        <v>7.0836086030977028E-3</v>
      </c>
      <c r="P65" s="60">
        <f t="shared" si="3"/>
        <v>2.9438472718970284E-4</v>
      </c>
    </row>
    <row r="66" spans="1:16" ht="17.25" customHeight="1" x14ac:dyDescent="0.2">
      <c r="A66" s="52">
        <v>1490</v>
      </c>
      <c r="B66" s="53" t="s">
        <v>385</v>
      </c>
      <c r="C66" s="53" t="s">
        <v>107</v>
      </c>
      <c r="D66" s="54">
        <v>246.21</v>
      </c>
      <c r="E66" s="62">
        <v>852</v>
      </c>
      <c r="F66" s="54">
        <f t="shared" si="4"/>
        <v>244.99668460000001</v>
      </c>
      <c r="G66" s="85">
        <v>25569.041962604166</v>
      </c>
      <c r="H66" s="85">
        <v>25569.041962604166</v>
      </c>
      <c r="I66" s="62">
        <v>53</v>
      </c>
      <c r="J66" s="62">
        <v>95118</v>
      </c>
      <c r="K66" s="57" t="s">
        <v>384</v>
      </c>
      <c r="L66" s="52">
        <v>69152</v>
      </c>
      <c r="M66" s="58">
        <f t="shared" si="1"/>
        <v>262.96767862229763</v>
      </c>
      <c r="N66" s="62">
        <v>111652</v>
      </c>
      <c r="O66" s="60">
        <f t="shared" si="2"/>
        <v>0.61935298964640129</v>
      </c>
      <c r="P66" s="60">
        <f t="shared" si="3"/>
        <v>2.3552437808753773E-3</v>
      </c>
    </row>
    <row r="67" spans="1:16" ht="17.25" customHeight="1" x14ac:dyDescent="0.2">
      <c r="A67" s="52">
        <v>1491</v>
      </c>
      <c r="B67" s="53" t="s">
        <v>29</v>
      </c>
      <c r="C67" s="53" t="s">
        <v>93</v>
      </c>
      <c r="D67" s="54">
        <v>351.92</v>
      </c>
      <c r="E67" s="62">
        <v>852</v>
      </c>
      <c r="F67" s="54">
        <f t="shared" si="4"/>
        <v>349.99842759999996</v>
      </c>
      <c r="G67" s="85">
        <v>25569.041962604166</v>
      </c>
      <c r="H67" s="85">
        <v>25569.041962604166</v>
      </c>
      <c r="I67" s="62">
        <v>52</v>
      </c>
      <c r="J67" s="62">
        <v>6871</v>
      </c>
      <c r="K67" s="57" t="s">
        <v>384</v>
      </c>
      <c r="L67" s="52">
        <v>68205</v>
      </c>
      <c r="M67" s="58">
        <f t="shared" si="1"/>
        <v>261.16086996332359</v>
      </c>
      <c r="N67" s="62">
        <v>6201</v>
      </c>
      <c r="O67" s="60">
        <f t="shared" si="2"/>
        <v>10.999032414126754</v>
      </c>
      <c r="P67" s="60">
        <f t="shared" si="3"/>
        <v>4.211592807020216E-2</v>
      </c>
    </row>
    <row r="68" spans="1:16" ht="17.25" customHeight="1" x14ac:dyDescent="0.2">
      <c r="A68" s="52">
        <v>1492</v>
      </c>
      <c r="B68" s="53" t="s">
        <v>29</v>
      </c>
      <c r="C68" s="53" t="s">
        <v>93</v>
      </c>
      <c r="D68" s="54">
        <v>353.94</v>
      </c>
      <c r="E68" s="62">
        <v>852</v>
      </c>
      <c r="F68" s="54">
        <f t="shared" si="4"/>
        <v>352.00489359999995</v>
      </c>
      <c r="G68" s="85">
        <v>25569.041962604166</v>
      </c>
      <c r="H68" s="85">
        <v>25569.041962604166</v>
      </c>
      <c r="I68" s="62">
        <v>52</v>
      </c>
      <c r="J68" s="62">
        <v>6738</v>
      </c>
      <c r="K68" s="57" t="s">
        <v>384</v>
      </c>
      <c r="L68" s="52">
        <v>54652</v>
      </c>
      <c r="M68" s="58">
        <f t="shared" si="1"/>
        <v>233.77767215882702</v>
      </c>
      <c r="N68" s="62">
        <v>6179</v>
      </c>
      <c r="O68" s="60">
        <f t="shared" si="2"/>
        <v>8.8447968927010852</v>
      </c>
      <c r="P68" s="60">
        <f t="shared" si="3"/>
        <v>3.7834224333844799E-2</v>
      </c>
    </row>
    <row r="69" spans="1:16" ht="17.25" customHeight="1" x14ac:dyDescent="0.2">
      <c r="A69" s="52">
        <v>1493</v>
      </c>
      <c r="B69" s="53" t="s">
        <v>29</v>
      </c>
      <c r="C69" s="53" t="s">
        <v>93</v>
      </c>
      <c r="D69" s="54">
        <v>355.95</v>
      </c>
      <c r="E69" s="62">
        <v>852</v>
      </c>
      <c r="F69" s="54">
        <f t="shared" si="4"/>
        <v>354.00142659999995</v>
      </c>
      <c r="G69" s="85">
        <v>25569.041962604166</v>
      </c>
      <c r="H69" s="85">
        <v>25569.041962604166</v>
      </c>
      <c r="I69" s="62">
        <v>52</v>
      </c>
      <c r="J69" s="62">
        <v>3665</v>
      </c>
      <c r="K69" s="57" t="s">
        <v>384</v>
      </c>
      <c r="L69" s="52">
        <v>44687</v>
      </c>
      <c r="M69" s="58">
        <f t="shared" si="1"/>
        <v>211.39299893799699</v>
      </c>
      <c r="N69" s="62">
        <v>6926</v>
      </c>
      <c r="O69" s="60">
        <f t="shared" si="2"/>
        <v>6.452064683800173</v>
      </c>
      <c r="P69" s="60">
        <f t="shared" si="3"/>
        <v>3.0521657369043748E-2</v>
      </c>
    </row>
    <row r="70" spans="1:16" ht="17.25" customHeight="1" x14ac:dyDescent="0.2">
      <c r="A70" s="52">
        <v>1494</v>
      </c>
      <c r="B70" s="53" t="s">
        <v>29</v>
      </c>
      <c r="C70" s="53" t="s">
        <v>93</v>
      </c>
      <c r="D70" s="54">
        <v>357.96</v>
      </c>
      <c r="E70" s="62">
        <v>852</v>
      </c>
      <c r="F70" s="54">
        <f t="shared" si="4"/>
        <v>355.99795959999989</v>
      </c>
      <c r="G70" s="85">
        <v>25569.041962604166</v>
      </c>
      <c r="H70" s="85">
        <v>25569.041962604166</v>
      </c>
      <c r="I70" s="62">
        <v>52</v>
      </c>
      <c r="J70" s="62">
        <v>6678</v>
      </c>
      <c r="K70" s="57" t="s">
        <v>384</v>
      </c>
      <c r="L70" s="52">
        <v>26414</v>
      </c>
      <c r="M70" s="58">
        <f t="shared" si="1"/>
        <v>162.52384440444425</v>
      </c>
      <c r="N70" s="62">
        <v>6079</v>
      </c>
      <c r="O70" s="60">
        <f t="shared" si="2"/>
        <v>4.345122553051489</v>
      </c>
      <c r="P70" s="60">
        <f t="shared" si="3"/>
        <v>2.6735292713348287E-2</v>
      </c>
    </row>
    <row r="71" spans="1:16" ht="17.25" customHeight="1" x14ac:dyDescent="0.2">
      <c r="A71" s="52">
        <v>1495</v>
      </c>
      <c r="B71" s="53" t="s">
        <v>29</v>
      </c>
      <c r="C71" s="53" t="s">
        <v>93</v>
      </c>
      <c r="D71" s="54">
        <v>359.98</v>
      </c>
      <c r="E71" s="62">
        <v>852</v>
      </c>
      <c r="F71" s="54">
        <f t="shared" ref="F71:F102" si="5">0.9933*(D71 + E71/1000)-0.41</f>
        <v>358.00442559999993</v>
      </c>
      <c r="G71" s="85">
        <v>25569.041962604166</v>
      </c>
      <c r="H71" s="85">
        <v>25569.041962604166</v>
      </c>
      <c r="I71" s="62">
        <v>52</v>
      </c>
      <c r="J71" s="62">
        <v>6836</v>
      </c>
      <c r="K71" s="57" t="s">
        <v>384</v>
      </c>
      <c r="L71" s="52">
        <v>17480</v>
      </c>
      <c r="M71" s="58">
        <f t="shared" ref="M71:M134" si="6">SQRT(L71)</f>
        <v>132.21195104830727</v>
      </c>
      <c r="N71" s="62">
        <v>6207</v>
      </c>
      <c r="O71" s="60">
        <f t="shared" ref="O71:O134" si="7">L71/N71</f>
        <v>2.8161752859674563</v>
      </c>
      <c r="P71" s="60">
        <f t="shared" ref="P71:P134" si="8">M71/N71</f>
        <v>2.1300459327905152E-2</v>
      </c>
    </row>
    <row r="72" spans="1:16" ht="17.25" customHeight="1" x14ac:dyDescent="0.2">
      <c r="A72" s="52">
        <v>1496</v>
      </c>
      <c r="B72" s="53" t="s">
        <v>29</v>
      </c>
      <c r="C72" s="53" t="s">
        <v>93</v>
      </c>
      <c r="D72" s="54">
        <v>361.99</v>
      </c>
      <c r="E72" s="62">
        <v>852</v>
      </c>
      <c r="F72" s="54">
        <f t="shared" si="5"/>
        <v>360.00095859999993</v>
      </c>
      <c r="G72" s="85">
        <v>25569.041962604166</v>
      </c>
      <c r="H72" s="85">
        <v>25569.041962604166</v>
      </c>
      <c r="I72" s="62">
        <v>51</v>
      </c>
      <c r="J72" s="62">
        <v>5688</v>
      </c>
      <c r="K72" s="57" t="s">
        <v>384</v>
      </c>
      <c r="L72" s="52">
        <v>11296</v>
      </c>
      <c r="M72" s="58">
        <f t="shared" si="6"/>
        <v>106.28264204469139</v>
      </c>
      <c r="N72" s="62">
        <v>6047</v>
      </c>
      <c r="O72" s="60">
        <f t="shared" si="7"/>
        <v>1.8680337357367289</v>
      </c>
      <c r="P72" s="60">
        <f t="shared" si="8"/>
        <v>1.7576094269008E-2</v>
      </c>
    </row>
    <row r="73" spans="1:16" ht="17.25" customHeight="1" x14ac:dyDescent="0.2">
      <c r="A73" s="52">
        <v>1497</v>
      </c>
      <c r="B73" s="53" t="s">
        <v>29</v>
      </c>
      <c r="C73" s="53" t="s">
        <v>93</v>
      </c>
      <c r="D73" s="54">
        <v>366.02</v>
      </c>
      <c r="E73" s="62">
        <v>852</v>
      </c>
      <c r="F73" s="54">
        <f t="shared" si="5"/>
        <v>364.00395759999992</v>
      </c>
      <c r="G73" s="85">
        <v>25569.041962604166</v>
      </c>
      <c r="H73" s="85">
        <v>25569.041962604166</v>
      </c>
      <c r="I73" s="62">
        <v>50</v>
      </c>
      <c r="J73" s="62">
        <v>5606</v>
      </c>
      <c r="K73" s="57" t="s">
        <v>384</v>
      </c>
      <c r="L73" s="52">
        <v>5032</v>
      </c>
      <c r="M73" s="58">
        <f t="shared" si="6"/>
        <v>70.936591403872796</v>
      </c>
      <c r="N73" s="62">
        <v>5782</v>
      </c>
      <c r="O73" s="60">
        <f t="shared" si="7"/>
        <v>0.87028709789000347</v>
      </c>
      <c r="P73" s="60">
        <f t="shared" si="8"/>
        <v>1.2268521515716498E-2</v>
      </c>
    </row>
    <row r="74" spans="1:16" ht="17.25" customHeight="1" x14ac:dyDescent="0.2">
      <c r="A74" s="52">
        <v>1498</v>
      </c>
      <c r="B74" s="53" t="s">
        <v>29</v>
      </c>
      <c r="C74" s="53" t="s">
        <v>93</v>
      </c>
      <c r="D74" s="54">
        <v>370.04</v>
      </c>
      <c r="E74" s="62">
        <v>852</v>
      </c>
      <c r="F74" s="54">
        <f t="shared" si="5"/>
        <v>367.99702359999998</v>
      </c>
      <c r="G74" s="85">
        <v>25569.041962604166</v>
      </c>
      <c r="H74" s="85">
        <v>25569.041962604166</v>
      </c>
      <c r="I74" s="62">
        <v>50</v>
      </c>
      <c r="J74" s="62">
        <v>7324</v>
      </c>
      <c r="K74" s="57" t="s">
        <v>384</v>
      </c>
      <c r="L74" s="52">
        <v>3543</v>
      </c>
      <c r="M74" s="58">
        <f t="shared" si="6"/>
        <v>59.523104757732519</v>
      </c>
      <c r="N74" s="62">
        <v>7023</v>
      </c>
      <c r="O74" s="60">
        <f t="shared" si="7"/>
        <v>0.50448526270824434</v>
      </c>
      <c r="P74" s="60">
        <f t="shared" si="8"/>
        <v>8.4754527634532985E-3</v>
      </c>
    </row>
    <row r="75" spans="1:16" ht="17.25" customHeight="1" x14ac:dyDescent="0.2">
      <c r="A75" s="52">
        <v>1499</v>
      </c>
      <c r="B75" s="53" t="s">
        <v>9</v>
      </c>
      <c r="C75" s="53" t="s">
        <v>93</v>
      </c>
      <c r="D75" s="54">
        <v>374.07</v>
      </c>
      <c r="E75" s="62">
        <v>852</v>
      </c>
      <c r="F75" s="54">
        <f t="shared" si="5"/>
        <v>372.00002259999991</v>
      </c>
      <c r="G75" s="85">
        <v>25569.041962604166</v>
      </c>
      <c r="H75" s="85">
        <v>25569.041962604166</v>
      </c>
      <c r="I75" s="62">
        <v>51</v>
      </c>
      <c r="J75" s="62">
        <v>2714</v>
      </c>
      <c r="K75" s="57" t="s">
        <v>384</v>
      </c>
      <c r="L75" s="52">
        <v>1921</v>
      </c>
      <c r="M75" s="58">
        <f t="shared" si="6"/>
        <v>43.829214001622255</v>
      </c>
      <c r="N75" s="62">
        <v>5821</v>
      </c>
      <c r="O75" s="60">
        <f t="shared" si="7"/>
        <v>0.33001202542518465</v>
      </c>
      <c r="P75" s="60">
        <f t="shared" si="8"/>
        <v>7.5294990554238541E-3</v>
      </c>
    </row>
    <row r="76" spans="1:16" ht="17.25" customHeight="1" x14ac:dyDescent="0.2">
      <c r="A76" s="52">
        <v>1500</v>
      </c>
      <c r="B76" s="53" t="s">
        <v>29</v>
      </c>
      <c r="C76" s="53" t="s">
        <v>93</v>
      </c>
      <c r="D76" s="54">
        <v>349.91</v>
      </c>
      <c r="E76" s="62">
        <v>852</v>
      </c>
      <c r="F76" s="54">
        <f t="shared" si="5"/>
        <v>348.00189459999996</v>
      </c>
      <c r="G76" s="85">
        <v>25569.041962604166</v>
      </c>
      <c r="H76" s="85">
        <v>25569.041962604166</v>
      </c>
      <c r="I76" s="62">
        <v>52</v>
      </c>
      <c r="J76" s="62">
        <v>6537</v>
      </c>
      <c r="K76" s="57" t="s">
        <v>384</v>
      </c>
      <c r="L76" s="52">
        <v>74443</v>
      </c>
      <c r="M76" s="58">
        <f t="shared" si="6"/>
        <v>272.84244537828056</v>
      </c>
      <c r="N76" s="62">
        <v>6138</v>
      </c>
      <c r="O76" s="60">
        <f t="shared" si="7"/>
        <v>12.128217660475725</v>
      </c>
      <c r="P76" s="60">
        <f t="shared" si="8"/>
        <v>4.4451359625004981E-2</v>
      </c>
    </row>
    <row r="77" spans="1:16" ht="17.25" customHeight="1" x14ac:dyDescent="0.2">
      <c r="A77" s="52">
        <v>1501</v>
      </c>
      <c r="B77" s="53" t="s">
        <v>29</v>
      </c>
      <c r="C77" s="53" t="s">
        <v>93</v>
      </c>
      <c r="D77" s="54">
        <v>347.89</v>
      </c>
      <c r="E77" s="62">
        <v>852</v>
      </c>
      <c r="F77" s="54">
        <f t="shared" si="5"/>
        <v>345.99542859999991</v>
      </c>
      <c r="G77" s="85">
        <v>25569.041962604166</v>
      </c>
      <c r="H77" s="85">
        <v>25569.041962604166</v>
      </c>
      <c r="I77" s="62">
        <v>52</v>
      </c>
      <c r="J77" s="62">
        <v>5984</v>
      </c>
      <c r="K77" s="57" t="s">
        <v>384</v>
      </c>
      <c r="L77" s="52">
        <v>69964</v>
      </c>
      <c r="M77" s="58">
        <f t="shared" si="6"/>
        <v>264.50708875188957</v>
      </c>
      <c r="N77" s="62">
        <v>5988</v>
      </c>
      <c r="O77" s="60">
        <f t="shared" si="7"/>
        <v>11.684034736138944</v>
      </c>
      <c r="P77" s="60">
        <f t="shared" si="8"/>
        <v>4.417286051300761E-2</v>
      </c>
    </row>
    <row r="78" spans="1:16" ht="17.25" customHeight="1" x14ac:dyDescent="0.2">
      <c r="A78" s="52">
        <v>1502</v>
      </c>
      <c r="B78" s="53" t="s">
        <v>29</v>
      </c>
      <c r="C78" s="53" t="s">
        <v>93</v>
      </c>
      <c r="D78" s="54">
        <v>346.89</v>
      </c>
      <c r="E78" s="62">
        <v>852</v>
      </c>
      <c r="F78" s="54">
        <f t="shared" si="5"/>
        <v>345.00212859999993</v>
      </c>
      <c r="G78" s="85">
        <v>25569.041962604166</v>
      </c>
      <c r="H78" s="85">
        <v>25569.041962604166</v>
      </c>
      <c r="I78" s="62">
        <v>52</v>
      </c>
      <c r="J78" s="62">
        <v>2986</v>
      </c>
      <c r="K78" s="57" t="s">
        <v>384</v>
      </c>
      <c r="L78" s="52">
        <v>72028</v>
      </c>
      <c r="M78" s="58">
        <f t="shared" si="6"/>
        <v>268.38032714787425</v>
      </c>
      <c r="N78" s="62">
        <v>6580</v>
      </c>
      <c r="O78" s="60">
        <f t="shared" si="7"/>
        <v>10.946504559270517</v>
      </c>
      <c r="P78" s="60">
        <f t="shared" si="8"/>
        <v>4.0787283761075113E-2</v>
      </c>
    </row>
    <row r="79" spans="1:16" ht="17.25" customHeight="1" x14ac:dyDescent="0.2">
      <c r="A79" s="52">
        <v>1503</v>
      </c>
      <c r="B79" s="53" t="s">
        <v>29</v>
      </c>
      <c r="C79" s="53" t="s">
        <v>93</v>
      </c>
      <c r="D79" s="54">
        <v>345.88</v>
      </c>
      <c r="E79" s="62">
        <v>852</v>
      </c>
      <c r="F79" s="54">
        <f t="shared" si="5"/>
        <v>343.99889559999991</v>
      </c>
      <c r="G79" s="85">
        <v>25569.041962604166</v>
      </c>
      <c r="H79" s="85">
        <v>25569.041962604166</v>
      </c>
      <c r="I79" s="62">
        <v>52</v>
      </c>
      <c r="J79" s="62">
        <v>6410</v>
      </c>
      <c r="K79" s="57" t="s">
        <v>384</v>
      </c>
      <c r="L79" s="52">
        <v>61615</v>
      </c>
      <c r="M79" s="58">
        <f t="shared" si="6"/>
        <v>248.22368944160024</v>
      </c>
      <c r="N79" s="62">
        <v>6304</v>
      </c>
      <c r="O79" s="60">
        <f t="shared" si="7"/>
        <v>9.7739530456852783</v>
      </c>
      <c r="P79" s="60">
        <f t="shared" si="8"/>
        <v>3.9375585254060951E-2</v>
      </c>
    </row>
    <row r="80" spans="1:16" ht="17.25" customHeight="1" x14ac:dyDescent="0.2">
      <c r="A80" s="52">
        <v>1504</v>
      </c>
      <c r="B80" s="53" t="s">
        <v>29</v>
      </c>
      <c r="C80" s="53" t="s">
        <v>93</v>
      </c>
      <c r="D80" s="54">
        <v>344.87</v>
      </c>
      <c r="E80" s="62">
        <v>852</v>
      </c>
      <c r="F80" s="54">
        <f t="shared" si="5"/>
        <v>342.99566259999995</v>
      </c>
      <c r="G80" s="85">
        <v>25569.041962604166</v>
      </c>
      <c r="H80" s="85">
        <v>25569.041962604166</v>
      </c>
      <c r="I80" s="62">
        <v>52</v>
      </c>
      <c r="J80" s="62">
        <v>6506</v>
      </c>
      <c r="K80" s="57" t="s">
        <v>384</v>
      </c>
      <c r="L80" s="52">
        <v>53215</v>
      </c>
      <c r="M80" s="58">
        <f t="shared" si="6"/>
        <v>230.68376622554089</v>
      </c>
      <c r="N80" s="62">
        <v>6338</v>
      </c>
      <c r="O80" s="60">
        <f t="shared" si="7"/>
        <v>8.396181760807826</v>
      </c>
      <c r="P80" s="60">
        <f t="shared" si="8"/>
        <v>3.6396933768624309E-2</v>
      </c>
    </row>
    <row r="81" spans="1:16" ht="17.25" customHeight="1" x14ac:dyDescent="0.2">
      <c r="A81" s="52">
        <v>1505</v>
      </c>
      <c r="B81" s="53" t="s">
        <v>29</v>
      </c>
      <c r="C81" s="53" t="s">
        <v>93</v>
      </c>
      <c r="D81" s="54">
        <v>343.87</v>
      </c>
      <c r="E81" s="62">
        <v>852</v>
      </c>
      <c r="F81" s="54">
        <f t="shared" si="5"/>
        <v>342.00236259999997</v>
      </c>
      <c r="G81" s="85">
        <v>25569.041962604166</v>
      </c>
      <c r="H81" s="85">
        <v>25569.041962604166</v>
      </c>
      <c r="I81" s="62">
        <v>52</v>
      </c>
      <c r="J81" s="62">
        <v>4777</v>
      </c>
      <c r="K81" s="57" t="s">
        <v>384</v>
      </c>
      <c r="L81" s="52">
        <v>37081</v>
      </c>
      <c r="M81" s="58">
        <f t="shared" si="6"/>
        <v>192.5642749837051</v>
      </c>
      <c r="N81" s="62">
        <v>5783</v>
      </c>
      <c r="O81" s="60">
        <f t="shared" si="7"/>
        <v>6.4120698599342898</v>
      </c>
      <c r="P81" s="60">
        <f t="shared" si="8"/>
        <v>3.3298335636123999E-2</v>
      </c>
    </row>
    <row r="82" spans="1:16" ht="17.25" customHeight="1" x14ac:dyDescent="0.2">
      <c r="A82" s="52">
        <v>1506</v>
      </c>
      <c r="B82" s="53" t="s">
        <v>29</v>
      </c>
      <c r="C82" s="53" t="s">
        <v>93</v>
      </c>
      <c r="D82" s="54">
        <v>342.86</v>
      </c>
      <c r="E82" s="62">
        <v>852</v>
      </c>
      <c r="F82" s="54">
        <f t="shared" si="5"/>
        <v>340.99912959999995</v>
      </c>
      <c r="G82" s="85">
        <v>25569.041962604166</v>
      </c>
      <c r="H82" s="85">
        <v>25569.041962604166</v>
      </c>
      <c r="I82" s="62">
        <v>52</v>
      </c>
      <c r="J82" s="62">
        <v>5061</v>
      </c>
      <c r="K82" s="57" t="s">
        <v>384</v>
      </c>
      <c r="L82" s="52">
        <v>26830</v>
      </c>
      <c r="M82" s="58">
        <f t="shared" si="6"/>
        <v>163.79865689315037</v>
      </c>
      <c r="N82" s="62">
        <v>6317</v>
      </c>
      <c r="O82" s="60">
        <f t="shared" si="7"/>
        <v>4.247269273389267</v>
      </c>
      <c r="P82" s="60">
        <f t="shared" si="8"/>
        <v>2.5929817459735691E-2</v>
      </c>
    </row>
    <row r="83" spans="1:16" ht="17.25" customHeight="1" x14ac:dyDescent="0.2">
      <c r="A83" s="52">
        <v>1507</v>
      </c>
      <c r="B83" s="53" t="s">
        <v>29</v>
      </c>
      <c r="C83" s="53" t="s">
        <v>93</v>
      </c>
      <c r="D83" s="54">
        <v>341.85</v>
      </c>
      <c r="E83" s="62">
        <v>852</v>
      </c>
      <c r="F83" s="54">
        <f t="shared" si="5"/>
        <v>339.99589659999998</v>
      </c>
      <c r="G83" s="85">
        <v>25569.041962604166</v>
      </c>
      <c r="H83" s="85">
        <v>25569.041962604166</v>
      </c>
      <c r="I83" s="62">
        <v>53</v>
      </c>
      <c r="J83" s="62">
        <v>6543</v>
      </c>
      <c r="K83" s="57" t="s">
        <v>384</v>
      </c>
      <c r="L83" s="52">
        <v>15086</v>
      </c>
      <c r="M83" s="58">
        <f t="shared" si="6"/>
        <v>122.82507887235408</v>
      </c>
      <c r="N83" s="62">
        <v>6392</v>
      </c>
      <c r="O83" s="60">
        <f t="shared" si="7"/>
        <v>2.3601376720901128</v>
      </c>
      <c r="P83" s="60">
        <f t="shared" si="8"/>
        <v>1.9215437871144256E-2</v>
      </c>
    </row>
    <row r="84" spans="1:16" ht="17.25" customHeight="1" x14ac:dyDescent="0.2">
      <c r="A84" s="52">
        <v>1508</v>
      </c>
      <c r="B84" s="53" t="s">
        <v>29</v>
      </c>
      <c r="C84" s="53" t="s">
        <v>93</v>
      </c>
      <c r="D84" s="54">
        <v>340.85</v>
      </c>
      <c r="E84" s="62">
        <v>852</v>
      </c>
      <c r="F84" s="54">
        <f t="shared" si="5"/>
        <v>339.00259659999995</v>
      </c>
      <c r="G84" s="85">
        <v>25569.041962604166</v>
      </c>
      <c r="H84" s="85">
        <v>25569.041962604166</v>
      </c>
      <c r="I84" s="62">
        <v>53</v>
      </c>
      <c r="J84" s="62">
        <v>5925</v>
      </c>
      <c r="K84" s="57" t="s">
        <v>384</v>
      </c>
      <c r="L84" s="52">
        <v>8562</v>
      </c>
      <c r="M84" s="58">
        <f t="shared" si="6"/>
        <v>92.531075861031681</v>
      </c>
      <c r="N84" s="62">
        <v>6384</v>
      </c>
      <c r="O84" s="60">
        <f t="shared" si="7"/>
        <v>1.3411654135338347</v>
      </c>
      <c r="P84" s="60">
        <f t="shared" si="8"/>
        <v>1.4494216143645313E-2</v>
      </c>
    </row>
    <row r="85" spans="1:16" ht="17.25" customHeight="1" x14ac:dyDescent="0.2">
      <c r="A85" s="52">
        <v>1509</v>
      </c>
      <c r="B85" s="53" t="s">
        <v>29</v>
      </c>
      <c r="C85" s="53" t="s">
        <v>93</v>
      </c>
      <c r="D85" s="54">
        <v>339.84</v>
      </c>
      <c r="E85" s="62">
        <v>852</v>
      </c>
      <c r="F85" s="54">
        <f t="shared" si="5"/>
        <v>337.99936359999992</v>
      </c>
      <c r="G85" s="85">
        <v>25569.041962604166</v>
      </c>
      <c r="H85" s="85">
        <v>25569.041962604166</v>
      </c>
      <c r="I85" s="62">
        <v>53</v>
      </c>
      <c r="J85" s="62">
        <v>3801</v>
      </c>
      <c r="K85" s="57" t="s">
        <v>384</v>
      </c>
      <c r="L85" s="52">
        <v>6432</v>
      </c>
      <c r="M85" s="58">
        <f t="shared" si="6"/>
        <v>80.199750623053689</v>
      </c>
      <c r="N85" s="62">
        <v>7273</v>
      </c>
      <c r="O85" s="60">
        <f t="shared" si="7"/>
        <v>0.88436683624364087</v>
      </c>
      <c r="P85" s="60">
        <f t="shared" si="8"/>
        <v>1.1027052196212524E-2</v>
      </c>
    </row>
    <row r="86" spans="1:16" ht="17.25" customHeight="1" x14ac:dyDescent="0.2">
      <c r="A86" s="52">
        <v>1510</v>
      </c>
      <c r="B86" s="53" t="s">
        <v>29</v>
      </c>
      <c r="C86" s="53" t="s">
        <v>93</v>
      </c>
      <c r="D86" s="54">
        <v>338.83</v>
      </c>
      <c r="E86" s="62">
        <v>852</v>
      </c>
      <c r="F86" s="54">
        <f t="shared" si="5"/>
        <v>336.9961305999999</v>
      </c>
      <c r="G86" s="85">
        <v>25569.041962604166</v>
      </c>
      <c r="H86" s="85">
        <v>25569.041962604166</v>
      </c>
      <c r="I86" s="62">
        <v>53</v>
      </c>
      <c r="J86" s="62">
        <v>7439</v>
      </c>
      <c r="K86" s="57" t="s">
        <v>384</v>
      </c>
      <c r="L86" s="52">
        <v>4264</v>
      </c>
      <c r="M86" s="58">
        <f t="shared" si="6"/>
        <v>65.299310869258036</v>
      </c>
      <c r="N86" s="62">
        <v>6758</v>
      </c>
      <c r="O86" s="60">
        <f t="shared" si="7"/>
        <v>0.63095590411364311</v>
      </c>
      <c r="P86" s="60">
        <f t="shared" si="8"/>
        <v>9.6625201049508787E-3</v>
      </c>
    </row>
    <row r="87" spans="1:16" ht="17.25" customHeight="1" x14ac:dyDescent="0.2">
      <c r="A87" s="52">
        <v>1511</v>
      </c>
      <c r="B87" s="53" t="s">
        <v>29</v>
      </c>
      <c r="C87" s="53" t="s">
        <v>93</v>
      </c>
      <c r="D87" s="54">
        <v>335.81</v>
      </c>
      <c r="E87" s="62">
        <v>852</v>
      </c>
      <c r="F87" s="54">
        <f t="shared" si="5"/>
        <v>333.99636459999994</v>
      </c>
      <c r="G87" s="85">
        <v>25569.041962604166</v>
      </c>
      <c r="H87" s="85">
        <v>25569.041962604166</v>
      </c>
      <c r="I87" s="62">
        <v>53</v>
      </c>
      <c r="J87" s="62">
        <v>6374</v>
      </c>
      <c r="K87" s="57" t="s">
        <v>384</v>
      </c>
      <c r="L87" s="52">
        <v>1916</v>
      </c>
      <c r="M87" s="58">
        <f t="shared" si="6"/>
        <v>43.77213725647858</v>
      </c>
      <c r="N87" s="62">
        <v>6346</v>
      </c>
      <c r="O87" s="60">
        <f t="shared" si="7"/>
        <v>0.30192247084777812</v>
      </c>
      <c r="P87" s="60">
        <f t="shared" si="8"/>
        <v>6.8975949033215538E-3</v>
      </c>
    </row>
    <row r="88" spans="1:16" ht="17.25" customHeight="1" x14ac:dyDescent="0.2">
      <c r="A88" s="52">
        <v>1512</v>
      </c>
      <c r="B88" s="53" t="s">
        <v>29</v>
      </c>
      <c r="C88" s="53" t="s">
        <v>93</v>
      </c>
      <c r="D88" s="54">
        <v>333.8</v>
      </c>
      <c r="E88" s="62">
        <v>852</v>
      </c>
      <c r="F88" s="54">
        <f t="shared" si="5"/>
        <v>331.99983159999994</v>
      </c>
      <c r="G88" s="85">
        <v>25569.041962604166</v>
      </c>
      <c r="H88" s="85">
        <v>25569.041962604166</v>
      </c>
      <c r="I88" s="62">
        <v>53</v>
      </c>
      <c r="J88" s="62">
        <v>3419</v>
      </c>
      <c r="K88" s="57" t="s">
        <v>384</v>
      </c>
      <c r="L88" s="52">
        <v>1130</v>
      </c>
      <c r="M88" s="58">
        <f t="shared" si="6"/>
        <v>33.61547262794322</v>
      </c>
      <c r="N88" s="62">
        <v>5790</v>
      </c>
      <c r="O88" s="60">
        <f t="shared" si="7"/>
        <v>0.19516407599309155</v>
      </c>
      <c r="P88" s="60">
        <f t="shared" si="8"/>
        <v>5.8057811101801761E-3</v>
      </c>
    </row>
    <row r="89" spans="1:16" ht="17.25" customHeight="1" x14ac:dyDescent="0.2">
      <c r="A89" s="52">
        <v>1513</v>
      </c>
      <c r="B89" s="53" t="s">
        <v>29</v>
      </c>
      <c r="C89" s="53" t="s">
        <v>93</v>
      </c>
      <c r="D89" s="54">
        <v>331.79</v>
      </c>
      <c r="E89" s="62">
        <v>852</v>
      </c>
      <c r="F89" s="54">
        <f t="shared" si="5"/>
        <v>330.00329859999994</v>
      </c>
      <c r="G89" s="85">
        <v>25569.041962604166</v>
      </c>
      <c r="H89" s="85">
        <v>25569.041962604166</v>
      </c>
      <c r="I89" s="62">
        <v>53</v>
      </c>
      <c r="J89" s="62">
        <v>5726</v>
      </c>
      <c r="K89" s="57" t="s">
        <v>384</v>
      </c>
      <c r="L89" s="52">
        <v>815</v>
      </c>
      <c r="M89" s="58">
        <f t="shared" si="6"/>
        <v>28.548204847240395</v>
      </c>
      <c r="N89" s="62">
        <v>5987</v>
      </c>
      <c r="O89" s="60">
        <f t="shared" si="7"/>
        <v>0.13612827793552698</v>
      </c>
      <c r="P89" s="60">
        <f t="shared" si="8"/>
        <v>4.7683656000067475E-3</v>
      </c>
    </row>
    <row r="90" spans="1:16" ht="17.25" customHeight="1" x14ac:dyDescent="0.2">
      <c r="A90" s="52">
        <v>1514</v>
      </c>
      <c r="B90" s="53" t="s">
        <v>29</v>
      </c>
      <c r="C90" s="53" t="s">
        <v>93</v>
      </c>
      <c r="D90" s="54">
        <v>337.83</v>
      </c>
      <c r="E90" s="62">
        <v>852</v>
      </c>
      <c r="F90" s="54">
        <f t="shared" si="5"/>
        <v>336.00283059999992</v>
      </c>
      <c r="G90" s="85">
        <v>25569.041962604166</v>
      </c>
      <c r="H90" s="85">
        <v>25569.041962604166</v>
      </c>
      <c r="I90" s="62">
        <v>53</v>
      </c>
      <c r="J90" s="62">
        <v>5728</v>
      </c>
      <c r="K90" s="57" t="s">
        <v>384</v>
      </c>
      <c r="L90" s="52">
        <v>2974</v>
      </c>
      <c r="M90" s="58">
        <f t="shared" si="6"/>
        <v>54.534392817743921</v>
      </c>
      <c r="N90" s="62">
        <v>6394</v>
      </c>
      <c r="O90" s="60">
        <f t="shared" si="7"/>
        <v>0.46512355333124805</v>
      </c>
      <c r="P90" s="60">
        <f t="shared" si="8"/>
        <v>8.5289948104072446E-3</v>
      </c>
    </row>
    <row r="91" spans="1:16" ht="17.25" customHeight="1" x14ac:dyDescent="0.2">
      <c r="A91" s="52">
        <v>1515</v>
      </c>
      <c r="B91" s="53" t="s">
        <v>385</v>
      </c>
      <c r="C91" s="53" t="s">
        <v>93</v>
      </c>
      <c r="D91" s="54">
        <v>246.21</v>
      </c>
      <c r="E91" s="62">
        <v>852</v>
      </c>
      <c r="F91" s="54">
        <f t="shared" si="5"/>
        <v>244.99668460000001</v>
      </c>
      <c r="G91" s="85">
        <v>25569.041962604166</v>
      </c>
      <c r="H91" s="85">
        <v>25569.041962604166</v>
      </c>
      <c r="I91" s="62">
        <v>50</v>
      </c>
      <c r="J91" s="62">
        <v>83218</v>
      </c>
      <c r="K91" s="57" t="s">
        <v>384</v>
      </c>
      <c r="L91" s="52">
        <v>45939</v>
      </c>
      <c r="M91" s="58">
        <f t="shared" si="6"/>
        <v>214.3338517360242</v>
      </c>
      <c r="N91" s="62">
        <v>94717</v>
      </c>
      <c r="O91" s="60">
        <f t="shared" si="7"/>
        <v>0.48501324999736056</v>
      </c>
      <c r="P91" s="60">
        <f t="shared" si="8"/>
        <v>2.262886828510449E-3</v>
      </c>
    </row>
    <row r="92" spans="1:16" ht="17.25" customHeight="1" x14ac:dyDescent="0.2">
      <c r="A92" s="52">
        <v>1516</v>
      </c>
      <c r="B92" s="53" t="s">
        <v>157</v>
      </c>
      <c r="C92" s="53" t="s">
        <v>93</v>
      </c>
      <c r="D92" s="54">
        <v>300.38</v>
      </c>
      <c r="E92" s="62">
        <v>2055</v>
      </c>
      <c r="F92" s="54">
        <f t="shared" si="5"/>
        <v>299.99868549999997</v>
      </c>
      <c r="G92" s="85">
        <v>25569.041962604166</v>
      </c>
      <c r="H92" s="85">
        <v>25569.041962604166</v>
      </c>
      <c r="I92" s="62">
        <v>250</v>
      </c>
      <c r="J92" s="62">
        <v>2072691</v>
      </c>
      <c r="K92" s="57" t="s">
        <v>384</v>
      </c>
      <c r="L92" s="52">
        <v>11759382</v>
      </c>
      <c r="M92" s="58">
        <f t="shared" si="6"/>
        <v>3429.1955324828009</v>
      </c>
      <c r="N92" s="62">
        <v>8390439</v>
      </c>
      <c r="O92" s="60">
        <f t="shared" si="7"/>
        <v>1.4015216605472014</v>
      </c>
      <c r="P92" s="60">
        <f t="shared" si="8"/>
        <v>4.0870275470482543E-4</v>
      </c>
    </row>
    <row r="93" spans="1:16" ht="17.25" customHeight="1" x14ac:dyDescent="0.2">
      <c r="A93" s="52">
        <v>1517</v>
      </c>
      <c r="B93" s="53" t="s">
        <v>30</v>
      </c>
      <c r="C93" s="53" t="s">
        <v>93</v>
      </c>
      <c r="D93" s="54">
        <v>373.97</v>
      </c>
      <c r="E93" s="62">
        <v>952</v>
      </c>
      <c r="F93" s="54">
        <f t="shared" si="5"/>
        <v>372.00002259999997</v>
      </c>
      <c r="G93" s="85">
        <v>25569.041962604166</v>
      </c>
      <c r="H93" s="85">
        <v>25569.041962604166</v>
      </c>
      <c r="I93" s="62">
        <v>50</v>
      </c>
      <c r="J93" s="62">
        <v>8806</v>
      </c>
      <c r="K93" s="57" t="s">
        <v>384</v>
      </c>
      <c r="L93" s="52">
        <v>2393</v>
      </c>
      <c r="M93" s="58">
        <f t="shared" si="6"/>
        <v>48.918299234540036</v>
      </c>
      <c r="N93" s="62">
        <v>7563</v>
      </c>
      <c r="O93" s="60">
        <f t="shared" si="7"/>
        <v>0.31640883247388601</v>
      </c>
      <c r="P93" s="60">
        <f t="shared" si="8"/>
        <v>6.4681077924818239E-3</v>
      </c>
    </row>
    <row r="94" spans="1:16" ht="17.25" customHeight="1" x14ac:dyDescent="0.2">
      <c r="A94" s="52">
        <v>1518</v>
      </c>
      <c r="B94" s="53" t="s">
        <v>30</v>
      </c>
      <c r="C94" s="53" t="s">
        <v>93</v>
      </c>
      <c r="D94" s="54">
        <v>369.94</v>
      </c>
      <c r="E94" s="62">
        <v>952</v>
      </c>
      <c r="F94" s="54">
        <f t="shared" si="5"/>
        <v>367.99702359999998</v>
      </c>
      <c r="G94" s="85">
        <v>25569.041962604166</v>
      </c>
      <c r="H94" s="85">
        <v>25569.041962604166</v>
      </c>
      <c r="I94" s="62">
        <v>55</v>
      </c>
      <c r="J94" s="62">
        <v>7308</v>
      </c>
      <c r="K94" s="57" t="s">
        <v>384</v>
      </c>
      <c r="L94" s="52">
        <v>3590</v>
      </c>
      <c r="M94" s="58">
        <f t="shared" si="6"/>
        <v>59.916608715780967</v>
      </c>
      <c r="N94" s="62">
        <v>6965</v>
      </c>
      <c r="O94" s="60">
        <f t="shared" si="7"/>
        <v>0.51543431442928933</v>
      </c>
      <c r="P94" s="60">
        <f t="shared" si="8"/>
        <v>8.6025281716842743E-3</v>
      </c>
    </row>
    <row r="95" spans="1:16" ht="17.25" customHeight="1" x14ac:dyDescent="0.2">
      <c r="A95" s="52">
        <v>1519</v>
      </c>
      <c r="B95" s="53" t="s">
        <v>30</v>
      </c>
      <c r="C95" s="53" t="s">
        <v>93</v>
      </c>
      <c r="D95" s="54">
        <v>365.92</v>
      </c>
      <c r="E95" s="62">
        <v>952</v>
      </c>
      <c r="F95" s="54">
        <f t="shared" si="5"/>
        <v>364.00395759999998</v>
      </c>
      <c r="G95" s="85">
        <v>25569.041962604166</v>
      </c>
      <c r="H95" s="85">
        <v>25569.041962604166</v>
      </c>
      <c r="I95" s="62">
        <v>54</v>
      </c>
      <c r="J95" s="62">
        <v>6087</v>
      </c>
      <c r="K95" s="57" t="s">
        <v>384</v>
      </c>
      <c r="L95" s="52">
        <v>6736</v>
      </c>
      <c r="M95" s="58">
        <f t="shared" si="6"/>
        <v>82.073138114732771</v>
      </c>
      <c r="N95" s="62">
        <v>8002</v>
      </c>
      <c r="O95" s="60">
        <f t="shared" si="7"/>
        <v>0.84178955261184707</v>
      </c>
      <c r="P95" s="60">
        <f t="shared" si="8"/>
        <v>1.0256578119811644E-2</v>
      </c>
    </row>
    <row r="96" spans="1:16" ht="17.25" customHeight="1" x14ac:dyDescent="0.2">
      <c r="A96" s="52">
        <v>1520</v>
      </c>
      <c r="B96" s="53" t="s">
        <v>30</v>
      </c>
      <c r="C96" s="53" t="s">
        <v>93</v>
      </c>
      <c r="D96" s="54">
        <v>361.89</v>
      </c>
      <c r="E96" s="62">
        <v>952</v>
      </c>
      <c r="F96" s="54">
        <f t="shared" si="5"/>
        <v>360.00095859999993</v>
      </c>
      <c r="G96" s="85">
        <v>25569.041962604166</v>
      </c>
      <c r="H96" s="85">
        <v>25569.041962604166</v>
      </c>
      <c r="I96" s="62">
        <v>53</v>
      </c>
      <c r="J96" s="62">
        <v>7877</v>
      </c>
      <c r="K96" s="57" t="s">
        <v>384</v>
      </c>
      <c r="L96" s="52">
        <v>12550</v>
      </c>
      <c r="M96" s="58">
        <f t="shared" si="6"/>
        <v>112.0267825120404</v>
      </c>
      <c r="N96" s="62">
        <v>7084</v>
      </c>
      <c r="O96" s="60">
        <f t="shared" si="7"/>
        <v>1.7715979672501412</v>
      </c>
      <c r="P96" s="60">
        <f t="shared" si="8"/>
        <v>1.5814057384534216E-2</v>
      </c>
    </row>
    <row r="97" spans="1:26" ht="17.25" customHeight="1" x14ac:dyDescent="0.2">
      <c r="A97" s="52">
        <v>1521</v>
      </c>
      <c r="B97" s="53" t="s">
        <v>30</v>
      </c>
      <c r="C97" s="53" t="s">
        <v>93</v>
      </c>
      <c r="D97" s="54">
        <v>359.88</v>
      </c>
      <c r="E97" s="62">
        <v>952</v>
      </c>
      <c r="F97" s="54">
        <f t="shared" si="5"/>
        <v>358.00442559999993</v>
      </c>
      <c r="G97" s="85">
        <v>25569.041962604166</v>
      </c>
      <c r="H97" s="85">
        <v>25569.041962604166</v>
      </c>
      <c r="I97" s="62">
        <v>53</v>
      </c>
      <c r="J97" s="62">
        <v>5269</v>
      </c>
      <c r="K97" s="57" t="s">
        <v>384</v>
      </c>
      <c r="L97" s="52">
        <v>19527</v>
      </c>
      <c r="M97" s="58">
        <f t="shared" si="6"/>
        <v>139.73904250423359</v>
      </c>
      <c r="N97" s="62">
        <v>7166</v>
      </c>
      <c r="O97" s="60">
        <f t="shared" si="7"/>
        <v>2.7249511582472787</v>
      </c>
      <c r="P97" s="60">
        <f t="shared" si="8"/>
        <v>1.9500285027104883E-2</v>
      </c>
    </row>
    <row r="98" spans="1:26" ht="17.25" customHeight="1" x14ac:dyDescent="0.2">
      <c r="A98" s="52">
        <v>1522</v>
      </c>
      <c r="B98" s="53" t="s">
        <v>30</v>
      </c>
      <c r="C98" s="53" t="s">
        <v>93</v>
      </c>
      <c r="D98" s="54">
        <v>357.86</v>
      </c>
      <c r="E98" s="62">
        <v>952</v>
      </c>
      <c r="F98" s="54">
        <f t="shared" si="5"/>
        <v>355.99795959999994</v>
      </c>
      <c r="G98" s="85">
        <v>25569.041962604166</v>
      </c>
      <c r="H98" s="85">
        <v>25569.041962604166</v>
      </c>
      <c r="I98" s="62">
        <v>53</v>
      </c>
      <c r="J98" s="62">
        <v>7167</v>
      </c>
      <c r="K98" s="57" t="s">
        <v>384</v>
      </c>
      <c r="L98" s="52">
        <v>27267</v>
      </c>
      <c r="M98" s="58">
        <f t="shared" si="6"/>
        <v>165.12722367919832</v>
      </c>
      <c r="N98" s="62">
        <v>6434</v>
      </c>
      <c r="O98" s="60">
        <f t="shared" si="7"/>
        <v>4.2379546161019581</v>
      </c>
      <c r="P98" s="60">
        <f t="shared" si="8"/>
        <v>2.5664784532048231E-2</v>
      </c>
    </row>
    <row r="99" spans="1:26" ht="17.25" customHeight="1" x14ac:dyDescent="0.2">
      <c r="A99" s="52">
        <v>1523</v>
      </c>
      <c r="B99" s="53" t="s">
        <v>30</v>
      </c>
      <c r="C99" s="53" t="s">
        <v>93</v>
      </c>
      <c r="D99" s="54">
        <v>355.85</v>
      </c>
      <c r="E99" s="62">
        <v>952</v>
      </c>
      <c r="F99" s="54">
        <f t="shared" si="5"/>
        <v>354.0014266</v>
      </c>
      <c r="G99" s="85">
        <v>25569.041962604166</v>
      </c>
      <c r="H99" s="85">
        <v>25569.041962604166</v>
      </c>
      <c r="I99" s="62">
        <v>52</v>
      </c>
      <c r="J99" s="62">
        <v>7328</v>
      </c>
      <c r="K99" s="57" t="s">
        <v>384</v>
      </c>
      <c r="L99" s="52">
        <v>39135</v>
      </c>
      <c r="M99" s="58">
        <f t="shared" si="6"/>
        <v>197.82568084048137</v>
      </c>
      <c r="N99" s="62">
        <v>6165</v>
      </c>
      <c r="O99" s="60">
        <f t="shared" si="7"/>
        <v>6.3479318734793191</v>
      </c>
      <c r="P99" s="60">
        <f t="shared" si="8"/>
        <v>3.2088512707296249E-2</v>
      </c>
      <c r="Q99" s="89"/>
      <c r="R99" s="63"/>
      <c r="S99" s="63"/>
      <c r="T99" s="63"/>
      <c r="U99" s="63"/>
      <c r="V99" s="63"/>
      <c r="W99" s="63"/>
      <c r="X99" s="63"/>
      <c r="Y99" s="63"/>
      <c r="Z99" s="63"/>
    </row>
    <row r="100" spans="1:26" ht="17.25" customHeight="1" x14ac:dyDescent="0.2">
      <c r="A100" s="52">
        <v>1524</v>
      </c>
      <c r="B100" s="53" t="s">
        <v>30</v>
      </c>
      <c r="C100" s="53" t="s">
        <v>93</v>
      </c>
      <c r="D100" s="54">
        <v>353.84</v>
      </c>
      <c r="E100" s="62">
        <v>952</v>
      </c>
      <c r="F100" s="54">
        <f t="shared" si="5"/>
        <v>352.00489359999995</v>
      </c>
      <c r="G100" s="85">
        <v>25569.041962604166</v>
      </c>
      <c r="H100" s="85">
        <v>25569.041962604166</v>
      </c>
      <c r="I100" s="62">
        <v>52</v>
      </c>
      <c r="J100" s="62">
        <v>4636</v>
      </c>
      <c r="K100" s="57" t="s">
        <v>384</v>
      </c>
      <c r="L100" s="52">
        <v>54216</v>
      </c>
      <c r="M100" s="58">
        <f t="shared" si="6"/>
        <v>232.84329494318706</v>
      </c>
      <c r="N100" s="62">
        <v>6211</v>
      </c>
      <c r="O100" s="60">
        <f t="shared" si="7"/>
        <v>8.729029141845114</v>
      </c>
      <c r="P100" s="60">
        <f t="shared" si="8"/>
        <v>3.7488857662725333E-2</v>
      </c>
      <c r="Q100" s="89"/>
      <c r="R100" s="63"/>
      <c r="S100" s="63"/>
      <c r="T100" s="63"/>
      <c r="U100" s="63"/>
      <c r="V100" s="63"/>
      <c r="W100" s="63"/>
      <c r="X100" s="63"/>
      <c r="Y100" s="63"/>
      <c r="Z100" s="63"/>
    </row>
    <row r="101" spans="1:26" ht="17.25" customHeight="1" x14ac:dyDescent="0.2">
      <c r="A101" s="52">
        <v>1525</v>
      </c>
      <c r="B101" s="53" t="s">
        <v>30</v>
      </c>
      <c r="C101" s="53" t="s">
        <v>93</v>
      </c>
      <c r="D101" s="54">
        <v>351.82</v>
      </c>
      <c r="E101" s="62">
        <v>952</v>
      </c>
      <c r="F101" s="54">
        <f t="shared" si="5"/>
        <v>349.99842759999996</v>
      </c>
      <c r="G101" s="85">
        <v>25569.041962604166</v>
      </c>
      <c r="H101" s="85">
        <v>25569.041962604166</v>
      </c>
      <c r="I101" s="62">
        <v>52</v>
      </c>
      <c r="J101" s="62">
        <v>6975</v>
      </c>
      <c r="K101" s="57" t="s">
        <v>384</v>
      </c>
      <c r="L101" s="52">
        <v>69517</v>
      </c>
      <c r="M101" s="58">
        <f t="shared" si="6"/>
        <v>263.66076689564568</v>
      </c>
      <c r="N101" s="62">
        <v>6426</v>
      </c>
      <c r="O101" s="60">
        <f t="shared" si="7"/>
        <v>10.818082788671024</v>
      </c>
      <c r="P101" s="60">
        <f t="shared" si="8"/>
        <v>4.1030309196334526E-2</v>
      </c>
      <c r="Q101" s="89"/>
      <c r="R101" s="63"/>
      <c r="S101" s="63"/>
      <c r="T101" s="63"/>
      <c r="U101" s="63"/>
      <c r="V101" s="63"/>
      <c r="W101" s="63"/>
      <c r="X101" s="63"/>
      <c r="Y101" s="63"/>
      <c r="Z101" s="63"/>
    </row>
    <row r="102" spans="1:26" ht="17.25" customHeight="1" x14ac:dyDescent="0.2">
      <c r="A102" s="52">
        <v>1526</v>
      </c>
      <c r="B102" s="53" t="s">
        <v>30</v>
      </c>
      <c r="C102" s="53" t="s">
        <v>93</v>
      </c>
      <c r="D102" s="54">
        <v>349.81</v>
      </c>
      <c r="E102" s="62">
        <v>952</v>
      </c>
      <c r="F102" s="54">
        <f t="shared" si="5"/>
        <v>348.00189459999996</v>
      </c>
      <c r="G102" s="85">
        <v>25569.041962604166</v>
      </c>
      <c r="H102" s="85">
        <v>25569.041962604166</v>
      </c>
      <c r="I102" s="62">
        <v>51</v>
      </c>
      <c r="J102" s="62">
        <v>7240</v>
      </c>
      <c r="K102" s="57" t="s">
        <v>384</v>
      </c>
      <c r="L102" s="52">
        <v>73414</v>
      </c>
      <c r="M102" s="58">
        <f t="shared" si="6"/>
        <v>270.95017992243521</v>
      </c>
      <c r="N102" s="62">
        <v>6180</v>
      </c>
      <c r="O102" s="60">
        <f t="shared" si="7"/>
        <v>11.879288025889968</v>
      </c>
      <c r="P102" s="60">
        <f t="shared" si="8"/>
        <v>4.3843071184860069E-2</v>
      </c>
      <c r="Q102" s="89"/>
      <c r="R102" s="63"/>
      <c r="S102" s="63"/>
      <c r="T102" s="63"/>
      <c r="U102" s="63"/>
      <c r="V102" s="63"/>
      <c r="W102" s="63"/>
      <c r="X102" s="63"/>
      <c r="Y102" s="63"/>
      <c r="Z102" s="63"/>
    </row>
    <row r="103" spans="1:26" ht="17.25" customHeight="1" x14ac:dyDescent="0.2">
      <c r="A103" s="52">
        <v>1527</v>
      </c>
      <c r="B103" s="53" t="s">
        <v>30</v>
      </c>
      <c r="C103" s="53" t="s">
        <v>93</v>
      </c>
      <c r="D103" s="54">
        <v>347.79</v>
      </c>
      <c r="E103" s="62">
        <v>952</v>
      </c>
      <c r="F103" s="54">
        <f t="shared" ref="F103:F134" si="9">0.9933*(D103 + E103/1000)-0.41</f>
        <v>345.99542859999997</v>
      </c>
      <c r="G103" s="85">
        <v>25569.041962604166</v>
      </c>
      <c r="H103" s="85">
        <v>25569.041962604166</v>
      </c>
      <c r="I103" s="62">
        <v>51</v>
      </c>
      <c r="J103" s="62">
        <v>5302</v>
      </c>
      <c r="K103" s="57" t="s">
        <v>384</v>
      </c>
      <c r="L103" s="52">
        <v>78405</v>
      </c>
      <c r="M103" s="58">
        <f t="shared" si="6"/>
        <v>280.00892842907706</v>
      </c>
      <c r="N103" s="62">
        <v>6826</v>
      </c>
      <c r="O103" s="60">
        <f t="shared" si="7"/>
        <v>11.486229123937884</v>
      </c>
      <c r="P103" s="60">
        <f t="shared" si="8"/>
        <v>4.102093882641035E-2</v>
      </c>
      <c r="Q103" s="89"/>
      <c r="R103" s="63"/>
      <c r="S103" s="63"/>
      <c r="T103" s="63"/>
      <c r="U103" s="63"/>
      <c r="V103" s="63"/>
      <c r="W103" s="63"/>
      <c r="X103" s="63"/>
      <c r="Y103" s="63"/>
      <c r="Z103" s="63"/>
    </row>
    <row r="104" spans="1:26" ht="17.25" customHeight="1" x14ac:dyDescent="0.2">
      <c r="A104" s="52">
        <v>1528</v>
      </c>
      <c r="B104" s="53" t="s">
        <v>30</v>
      </c>
      <c r="C104" s="53" t="s">
        <v>93</v>
      </c>
      <c r="D104" s="54">
        <v>346.79</v>
      </c>
      <c r="E104" s="62">
        <v>952</v>
      </c>
      <c r="F104" s="54">
        <f t="shared" si="9"/>
        <v>345.00212859999999</v>
      </c>
      <c r="G104" s="85">
        <v>25569.041962604166</v>
      </c>
      <c r="H104" s="85">
        <v>25569.041962604166</v>
      </c>
      <c r="I104" s="62">
        <v>51</v>
      </c>
      <c r="J104" s="62">
        <v>6641</v>
      </c>
      <c r="K104" s="57" t="s">
        <v>384</v>
      </c>
      <c r="L104" s="52">
        <v>67891</v>
      </c>
      <c r="M104" s="58">
        <f t="shared" si="6"/>
        <v>260.55901442859351</v>
      </c>
      <c r="N104" s="62">
        <v>6414</v>
      </c>
      <c r="O104" s="60">
        <f t="shared" si="7"/>
        <v>10.584814468350483</v>
      </c>
      <c r="P104" s="60">
        <f t="shared" si="8"/>
        <v>4.0623482137292409E-2</v>
      </c>
      <c r="Q104" s="89"/>
      <c r="R104" s="63"/>
      <c r="S104" s="63"/>
      <c r="T104" s="63"/>
      <c r="U104" s="63"/>
      <c r="V104" s="63"/>
      <c r="W104" s="63"/>
      <c r="X104" s="63"/>
      <c r="Y104" s="63"/>
      <c r="Z104" s="63"/>
    </row>
    <row r="105" spans="1:26" ht="17.25" customHeight="1" x14ac:dyDescent="0.2">
      <c r="A105" s="52">
        <v>1529</v>
      </c>
      <c r="B105" s="53" t="s">
        <v>30</v>
      </c>
      <c r="C105" s="53" t="s">
        <v>93</v>
      </c>
      <c r="D105" s="54">
        <v>345.78</v>
      </c>
      <c r="E105" s="62">
        <v>952</v>
      </c>
      <c r="F105" s="54">
        <f t="shared" si="9"/>
        <v>343.99889559999991</v>
      </c>
      <c r="G105" s="85">
        <v>25569.041962604166</v>
      </c>
      <c r="H105" s="85">
        <v>25569.041962604166</v>
      </c>
      <c r="I105" s="62">
        <v>50</v>
      </c>
      <c r="J105" s="62">
        <v>7479</v>
      </c>
      <c r="K105" s="57" t="s">
        <v>384</v>
      </c>
      <c r="L105" s="52">
        <v>63775</v>
      </c>
      <c r="M105" s="58">
        <f t="shared" si="6"/>
        <v>252.53712598348781</v>
      </c>
      <c r="N105" s="62">
        <v>6696</v>
      </c>
      <c r="O105" s="60">
        <f t="shared" si="7"/>
        <v>9.5243428912783745</v>
      </c>
      <c r="P105" s="60">
        <f t="shared" si="8"/>
        <v>3.7714624549505346E-2</v>
      </c>
      <c r="Q105" s="89"/>
      <c r="R105" s="63"/>
      <c r="S105" s="63"/>
      <c r="T105" s="63"/>
      <c r="U105" s="63"/>
      <c r="V105" s="63"/>
      <c r="W105" s="63"/>
      <c r="X105" s="63"/>
      <c r="Y105" s="63"/>
      <c r="Z105" s="63"/>
    </row>
    <row r="106" spans="1:26" ht="17.25" customHeight="1" x14ac:dyDescent="0.2">
      <c r="A106" s="52">
        <v>1530</v>
      </c>
      <c r="B106" s="53" t="s">
        <v>30</v>
      </c>
      <c r="C106" s="53" t="s">
        <v>93</v>
      </c>
      <c r="D106" s="54">
        <v>344.77</v>
      </c>
      <c r="E106" s="62">
        <v>952</v>
      </c>
      <c r="F106" s="54">
        <f t="shared" si="9"/>
        <v>342.99566259999995</v>
      </c>
      <c r="G106" s="85">
        <v>25569.041962604166</v>
      </c>
      <c r="H106" s="85">
        <v>25569.041962604166</v>
      </c>
      <c r="I106" s="62">
        <v>50</v>
      </c>
      <c r="J106" s="62">
        <v>3547</v>
      </c>
      <c r="K106" s="57" t="s">
        <v>384</v>
      </c>
      <c r="L106" s="52">
        <v>48082</v>
      </c>
      <c r="M106" s="58">
        <f t="shared" si="6"/>
        <v>219.27608168699112</v>
      </c>
      <c r="N106" s="62">
        <v>6023</v>
      </c>
      <c r="O106" s="60">
        <f t="shared" si="7"/>
        <v>7.9830649178150423</v>
      </c>
      <c r="P106" s="60">
        <f t="shared" si="8"/>
        <v>3.6406455534947889E-2</v>
      </c>
      <c r="Q106" s="89"/>
      <c r="R106" s="63"/>
      <c r="S106" s="63"/>
      <c r="T106" s="63"/>
      <c r="U106" s="63"/>
      <c r="V106" s="63"/>
      <c r="W106" s="63"/>
      <c r="X106" s="63"/>
      <c r="Y106" s="63"/>
      <c r="Z106" s="63"/>
    </row>
    <row r="107" spans="1:26" ht="17.25" customHeight="1" x14ac:dyDescent="0.2">
      <c r="A107" s="52">
        <v>1531</v>
      </c>
      <c r="B107" s="53" t="s">
        <v>30</v>
      </c>
      <c r="C107" s="53" t="s">
        <v>93</v>
      </c>
      <c r="D107" s="54">
        <v>343.77</v>
      </c>
      <c r="E107" s="62">
        <v>952</v>
      </c>
      <c r="F107" s="54">
        <f t="shared" si="9"/>
        <v>342.00236259999997</v>
      </c>
      <c r="G107" s="85">
        <v>25569.041962604166</v>
      </c>
      <c r="H107" s="85">
        <v>25569.041962604166</v>
      </c>
      <c r="I107" s="62">
        <v>50</v>
      </c>
      <c r="J107" s="62">
        <v>5479</v>
      </c>
      <c r="K107" s="57" t="s">
        <v>384</v>
      </c>
      <c r="L107" s="52">
        <v>37864</v>
      </c>
      <c r="M107" s="58">
        <f t="shared" si="6"/>
        <v>194.58674158328466</v>
      </c>
      <c r="N107" s="62">
        <v>6336</v>
      </c>
      <c r="O107" s="60">
        <f t="shared" si="7"/>
        <v>5.9760101010101012</v>
      </c>
      <c r="P107" s="60">
        <f t="shared" si="8"/>
        <v>3.0711291285240635E-2</v>
      </c>
      <c r="Q107" s="89"/>
      <c r="R107" s="63"/>
      <c r="S107" s="63"/>
      <c r="T107" s="63"/>
      <c r="U107" s="63"/>
      <c r="V107" s="63"/>
      <c r="W107" s="63"/>
      <c r="X107" s="63"/>
      <c r="Y107" s="63"/>
      <c r="Z107" s="63"/>
    </row>
    <row r="108" spans="1:26" ht="17.25" customHeight="1" x14ac:dyDescent="0.2">
      <c r="A108" s="52">
        <v>1532</v>
      </c>
      <c r="B108" s="53" t="s">
        <v>30</v>
      </c>
      <c r="C108" s="53" t="s">
        <v>93</v>
      </c>
      <c r="D108" s="54">
        <v>342.76</v>
      </c>
      <c r="E108" s="62">
        <v>952</v>
      </c>
      <c r="F108" s="54">
        <f t="shared" si="9"/>
        <v>340.99912959999995</v>
      </c>
      <c r="G108" s="85">
        <v>25569.041962604166</v>
      </c>
      <c r="H108" s="85">
        <v>25569.041962604166</v>
      </c>
      <c r="I108" s="62">
        <v>50</v>
      </c>
      <c r="J108" s="62">
        <v>5145</v>
      </c>
      <c r="K108" s="57" t="s">
        <v>384</v>
      </c>
      <c r="L108" s="52">
        <v>23432</v>
      </c>
      <c r="M108" s="58">
        <f t="shared" si="6"/>
        <v>153.07514494521962</v>
      </c>
      <c r="N108" s="62">
        <v>5958</v>
      </c>
      <c r="O108" s="60">
        <f t="shared" si="7"/>
        <v>3.9328633769721382</v>
      </c>
      <c r="P108" s="60">
        <f t="shared" si="8"/>
        <v>2.5692370752806247E-2</v>
      </c>
      <c r="Q108" s="89"/>
      <c r="R108" s="63"/>
      <c r="S108" s="63"/>
      <c r="T108" s="63"/>
      <c r="U108" s="63"/>
      <c r="V108" s="63"/>
      <c r="W108" s="63"/>
      <c r="X108" s="63"/>
      <c r="Y108" s="63"/>
      <c r="Z108" s="63"/>
    </row>
    <row r="109" spans="1:26" ht="17.25" customHeight="1" x14ac:dyDescent="0.2">
      <c r="A109" s="52">
        <v>1533</v>
      </c>
      <c r="B109" s="53" t="s">
        <v>30</v>
      </c>
      <c r="C109" s="53" t="s">
        <v>93</v>
      </c>
      <c r="D109" s="54">
        <v>341.75</v>
      </c>
      <c r="E109" s="62">
        <v>952</v>
      </c>
      <c r="F109" s="54">
        <f t="shared" si="9"/>
        <v>339.99589659999998</v>
      </c>
      <c r="G109" s="85">
        <v>25569.041962604166</v>
      </c>
      <c r="H109" s="85">
        <v>25569.041962604166</v>
      </c>
      <c r="I109" s="62">
        <v>49</v>
      </c>
      <c r="J109" s="62">
        <v>4837</v>
      </c>
      <c r="K109" s="57" t="s">
        <v>384</v>
      </c>
      <c r="L109" s="52">
        <v>13090</v>
      </c>
      <c r="M109" s="58">
        <f t="shared" si="6"/>
        <v>114.41153787970862</v>
      </c>
      <c r="N109" s="62">
        <v>6208</v>
      </c>
      <c r="O109" s="60">
        <f t="shared" si="7"/>
        <v>2.1085695876288661</v>
      </c>
      <c r="P109" s="60">
        <f t="shared" si="8"/>
        <v>1.8429693601757186E-2</v>
      </c>
      <c r="Q109" s="89"/>
      <c r="R109" s="63"/>
      <c r="S109" s="63"/>
      <c r="T109" s="63"/>
      <c r="U109" s="63"/>
      <c r="V109" s="63"/>
      <c r="W109" s="63"/>
      <c r="X109" s="63"/>
      <c r="Y109" s="63"/>
      <c r="Z109" s="63"/>
    </row>
    <row r="110" spans="1:26" ht="17.25" customHeight="1" x14ac:dyDescent="0.2">
      <c r="A110" s="52">
        <v>1534</v>
      </c>
      <c r="B110" s="53" t="s">
        <v>30</v>
      </c>
      <c r="C110" s="53" t="s">
        <v>93</v>
      </c>
      <c r="D110" s="54">
        <v>340.75</v>
      </c>
      <c r="E110" s="62">
        <v>952</v>
      </c>
      <c r="F110" s="54">
        <f t="shared" si="9"/>
        <v>339.00259659999995</v>
      </c>
      <c r="G110" s="85">
        <v>25569.041962604166</v>
      </c>
      <c r="H110" s="85">
        <v>25569.041962604166</v>
      </c>
      <c r="I110" s="62">
        <v>48</v>
      </c>
      <c r="J110" s="62">
        <v>6232</v>
      </c>
      <c r="K110" s="57" t="s">
        <v>384</v>
      </c>
      <c r="L110" s="52">
        <v>10539</v>
      </c>
      <c r="M110" s="58">
        <f t="shared" si="6"/>
        <v>102.65963179361204</v>
      </c>
      <c r="N110" s="62">
        <v>8370</v>
      </c>
      <c r="O110" s="60">
        <f t="shared" si="7"/>
        <v>1.2591397849462365</v>
      </c>
      <c r="P110" s="60">
        <f t="shared" si="8"/>
        <v>1.2265188983705141E-2</v>
      </c>
      <c r="Q110" s="89"/>
      <c r="R110" s="63"/>
      <c r="S110" s="63"/>
      <c r="T110" s="63"/>
      <c r="U110" s="63"/>
      <c r="V110" s="63"/>
      <c r="W110" s="63"/>
      <c r="X110" s="63"/>
      <c r="Y110" s="63"/>
      <c r="Z110" s="63"/>
    </row>
    <row r="111" spans="1:26" ht="17.25" customHeight="1" x14ac:dyDescent="0.2">
      <c r="A111" s="52">
        <v>1535</v>
      </c>
      <c r="B111" s="53" t="s">
        <v>30</v>
      </c>
      <c r="C111" s="53" t="s">
        <v>93</v>
      </c>
      <c r="D111" s="54">
        <v>339.74</v>
      </c>
      <c r="E111" s="62">
        <v>952</v>
      </c>
      <c r="F111" s="54">
        <f t="shared" si="9"/>
        <v>337.99936359999998</v>
      </c>
      <c r="G111" s="85">
        <v>25569.041962604166</v>
      </c>
      <c r="H111" s="85">
        <v>25569.041962604166</v>
      </c>
      <c r="I111" s="62">
        <v>48</v>
      </c>
      <c r="J111" s="62">
        <v>3711</v>
      </c>
      <c r="K111" s="57" t="s">
        <v>384</v>
      </c>
      <c r="L111" s="52">
        <v>6351</v>
      </c>
      <c r="M111" s="58">
        <f t="shared" si="6"/>
        <v>79.693161563587125</v>
      </c>
      <c r="N111" s="62">
        <v>7501</v>
      </c>
      <c r="O111" s="60">
        <f t="shared" si="7"/>
        <v>0.84668710838554861</v>
      </c>
      <c r="P111" s="60">
        <f t="shared" si="8"/>
        <v>1.062433829670539E-2</v>
      </c>
      <c r="Q111" s="89"/>
      <c r="R111" s="63"/>
      <c r="S111" s="63"/>
      <c r="T111" s="63"/>
      <c r="U111" s="63"/>
      <c r="V111" s="63"/>
      <c r="W111" s="63"/>
      <c r="X111" s="63"/>
      <c r="Y111" s="63"/>
      <c r="Z111" s="63"/>
    </row>
    <row r="112" spans="1:26" ht="17.25" customHeight="1" x14ac:dyDescent="0.2">
      <c r="A112" s="52">
        <v>1536</v>
      </c>
      <c r="B112" s="53" t="s">
        <v>30</v>
      </c>
      <c r="C112" s="53" t="s">
        <v>93</v>
      </c>
      <c r="D112" s="54">
        <v>338.73</v>
      </c>
      <c r="E112" s="62">
        <v>952</v>
      </c>
      <c r="F112" s="54">
        <f t="shared" si="9"/>
        <v>336.99613059999996</v>
      </c>
      <c r="G112" s="85">
        <v>25569.041962604166</v>
      </c>
      <c r="H112" s="85">
        <v>25569.041962604166</v>
      </c>
      <c r="I112" s="62">
        <v>48</v>
      </c>
      <c r="J112" s="62">
        <v>10117</v>
      </c>
      <c r="K112" s="57" t="s">
        <v>384</v>
      </c>
      <c r="L112" s="52">
        <v>4883</v>
      </c>
      <c r="M112" s="58">
        <f t="shared" si="6"/>
        <v>69.878465924775426</v>
      </c>
      <c r="N112" s="62">
        <v>8512</v>
      </c>
      <c r="O112" s="60">
        <f t="shared" si="7"/>
        <v>0.5736607142857143</v>
      </c>
      <c r="P112" s="60">
        <f t="shared" si="8"/>
        <v>8.2094062411625264E-3</v>
      </c>
      <c r="Q112" s="89"/>
      <c r="R112" s="63"/>
      <c r="S112" s="63"/>
      <c r="T112" s="63"/>
      <c r="U112" s="63"/>
      <c r="V112" s="63"/>
      <c r="W112" s="63"/>
      <c r="X112" s="63"/>
      <c r="Y112" s="63"/>
      <c r="Z112" s="63"/>
    </row>
    <row r="113" spans="1:26" ht="17.25" customHeight="1" x14ac:dyDescent="0.2">
      <c r="A113" s="52">
        <v>1537</v>
      </c>
      <c r="B113" s="53" t="s">
        <v>30</v>
      </c>
      <c r="C113" s="53" t="s">
        <v>93</v>
      </c>
      <c r="D113" s="54">
        <v>337.73</v>
      </c>
      <c r="E113" s="62">
        <v>952</v>
      </c>
      <c r="F113" s="54">
        <f t="shared" si="9"/>
        <v>336.00283059999998</v>
      </c>
      <c r="G113" s="85">
        <v>25569.041962604166</v>
      </c>
      <c r="H113" s="85">
        <v>25569.041962604166</v>
      </c>
      <c r="I113" s="62">
        <v>59</v>
      </c>
      <c r="J113" s="62">
        <v>4923</v>
      </c>
      <c r="K113" s="57" t="s">
        <v>384</v>
      </c>
      <c r="L113" s="52">
        <v>3972</v>
      </c>
      <c r="M113" s="58">
        <f t="shared" si="6"/>
        <v>63.023805026354921</v>
      </c>
      <c r="N113" s="62">
        <v>8993</v>
      </c>
      <c r="O113" s="60">
        <f t="shared" si="7"/>
        <v>0.44167685977982873</v>
      </c>
      <c r="P113" s="60">
        <f t="shared" si="8"/>
        <v>7.0080957440625952E-3</v>
      </c>
      <c r="Q113" s="89"/>
      <c r="R113" s="63"/>
      <c r="S113" s="63"/>
      <c r="T113" s="63"/>
      <c r="U113" s="63"/>
      <c r="V113" s="63"/>
      <c r="W113" s="63"/>
      <c r="X113" s="63"/>
      <c r="Y113" s="63"/>
      <c r="Z113" s="63"/>
    </row>
    <row r="114" spans="1:26" ht="17.25" customHeight="1" x14ac:dyDescent="0.2">
      <c r="A114" s="52">
        <v>1538</v>
      </c>
      <c r="B114" s="53" t="s">
        <v>30</v>
      </c>
      <c r="C114" s="53" t="s">
        <v>93</v>
      </c>
      <c r="D114" s="54">
        <v>335.71</v>
      </c>
      <c r="E114" s="62">
        <v>952</v>
      </c>
      <c r="F114" s="54">
        <f t="shared" si="9"/>
        <v>333.99636459999994</v>
      </c>
      <c r="G114" s="85">
        <v>25569.041962604166</v>
      </c>
      <c r="H114" s="85">
        <v>25569.041962604166</v>
      </c>
      <c r="I114" s="62">
        <v>58</v>
      </c>
      <c r="J114" s="62">
        <v>8735</v>
      </c>
      <c r="K114" s="57" t="s">
        <v>384</v>
      </c>
      <c r="L114" s="52">
        <v>2723</v>
      </c>
      <c r="M114" s="58">
        <f t="shared" si="6"/>
        <v>52.182372502598994</v>
      </c>
      <c r="N114" s="62">
        <v>9320</v>
      </c>
      <c r="O114" s="60">
        <f t="shared" si="7"/>
        <v>0.29216738197424891</v>
      </c>
      <c r="P114" s="60">
        <f t="shared" si="8"/>
        <v>5.5989670067166306E-3</v>
      </c>
      <c r="Q114" s="89"/>
      <c r="R114" s="63"/>
      <c r="S114" s="63"/>
      <c r="T114" s="63"/>
      <c r="U114" s="63"/>
      <c r="V114" s="63"/>
      <c r="W114" s="63"/>
      <c r="X114" s="63"/>
      <c r="Y114" s="63"/>
      <c r="Z114" s="63"/>
    </row>
    <row r="115" spans="1:26" ht="17.25" customHeight="1" x14ac:dyDescent="0.2">
      <c r="A115" s="52">
        <v>1539</v>
      </c>
      <c r="B115" s="53" t="s">
        <v>30</v>
      </c>
      <c r="C115" s="53" t="s">
        <v>93</v>
      </c>
      <c r="D115" s="54">
        <v>333.7</v>
      </c>
      <c r="E115" s="62">
        <v>952</v>
      </c>
      <c r="F115" s="54">
        <f t="shared" si="9"/>
        <v>331.99983159999994</v>
      </c>
      <c r="G115" s="85">
        <v>25569.041962604166</v>
      </c>
      <c r="H115" s="85">
        <v>25569.041962604166</v>
      </c>
      <c r="I115" s="62">
        <v>57</v>
      </c>
      <c r="J115" s="62">
        <v>7077</v>
      </c>
      <c r="K115" s="57" t="s">
        <v>384</v>
      </c>
      <c r="L115" s="52">
        <v>1275</v>
      </c>
      <c r="M115" s="58">
        <f t="shared" si="6"/>
        <v>35.707142142714247</v>
      </c>
      <c r="N115" s="62">
        <v>6956</v>
      </c>
      <c r="O115" s="60">
        <f t="shared" si="7"/>
        <v>0.18329499712478436</v>
      </c>
      <c r="P115" s="60">
        <f t="shared" si="8"/>
        <v>5.1332866795161369E-3</v>
      </c>
      <c r="Q115" s="89"/>
      <c r="R115" s="63"/>
      <c r="S115" s="63"/>
      <c r="T115" s="63"/>
      <c r="U115" s="63"/>
      <c r="V115" s="63"/>
      <c r="W115" s="63"/>
      <c r="X115" s="63"/>
      <c r="Y115" s="63"/>
      <c r="Z115" s="63"/>
    </row>
    <row r="116" spans="1:26" ht="17.25" customHeight="1" x14ac:dyDescent="0.2">
      <c r="A116" s="52">
        <v>1540</v>
      </c>
      <c r="B116" s="53" t="s">
        <v>30</v>
      </c>
      <c r="C116" s="53" t="s">
        <v>93</v>
      </c>
      <c r="D116" s="54">
        <v>331.69</v>
      </c>
      <c r="E116" s="62">
        <v>952</v>
      </c>
      <c r="F116" s="54">
        <f t="shared" si="9"/>
        <v>330.00329859999994</v>
      </c>
      <c r="G116" s="85">
        <v>25569.041962604166</v>
      </c>
      <c r="H116" s="85">
        <v>25569.041962604166</v>
      </c>
      <c r="I116" s="62">
        <v>56</v>
      </c>
      <c r="J116" s="62">
        <v>9851</v>
      </c>
      <c r="K116" s="57" t="s">
        <v>384</v>
      </c>
      <c r="L116" s="52">
        <v>1960</v>
      </c>
      <c r="M116" s="58">
        <f t="shared" si="6"/>
        <v>44.271887242357309</v>
      </c>
      <c r="N116" s="62">
        <v>13907</v>
      </c>
      <c r="O116" s="60">
        <f t="shared" si="7"/>
        <v>0.14093621917020205</v>
      </c>
      <c r="P116" s="60">
        <f t="shared" si="8"/>
        <v>3.1834246956466031E-3</v>
      </c>
      <c r="Q116" s="89"/>
      <c r="R116" s="63"/>
      <c r="S116" s="63"/>
      <c r="T116" s="63"/>
      <c r="U116" s="63"/>
      <c r="V116" s="63"/>
      <c r="W116" s="63"/>
      <c r="X116" s="63"/>
      <c r="Y116" s="63"/>
      <c r="Z116" s="63"/>
    </row>
    <row r="117" spans="1:26" ht="17.25" customHeight="1" x14ac:dyDescent="0.2">
      <c r="A117" s="52">
        <v>1541</v>
      </c>
      <c r="B117" s="53" t="s">
        <v>30</v>
      </c>
      <c r="C117" s="53" t="s">
        <v>93</v>
      </c>
      <c r="D117" s="54">
        <v>261.20999999999998</v>
      </c>
      <c r="E117" s="62">
        <v>952</v>
      </c>
      <c r="F117" s="54">
        <f t="shared" si="9"/>
        <v>259.99551459999992</v>
      </c>
      <c r="G117" s="85">
        <v>25569.041962604166</v>
      </c>
      <c r="H117" s="85">
        <v>25569.041962604166</v>
      </c>
      <c r="I117" s="62">
        <v>54</v>
      </c>
      <c r="J117" s="62">
        <v>6360</v>
      </c>
      <c r="K117" s="57" t="s">
        <v>384</v>
      </c>
      <c r="L117" s="52">
        <v>1091</v>
      </c>
      <c r="M117" s="58">
        <f t="shared" si="6"/>
        <v>33.030289129827487</v>
      </c>
      <c r="N117" s="62">
        <v>7212</v>
      </c>
      <c r="O117" s="60">
        <f t="shared" si="7"/>
        <v>0.15127565169162507</v>
      </c>
      <c r="P117" s="60">
        <f t="shared" si="8"/>
        <v>4.5799069786227799E-3</v>
      </c>
      <c r="Q117" s="89"/>
      <c r="R117" s="63"/>
      <c r="S117" s="63"/>
      <c r="T117" s="63"/>
      <c r="U117" s="63"/>
      <c r="V117" s="63"/>
      <c r="W117" s="63"/>
      <c r="X117" s="63"/>
      <c r="Y117" s="63"/>
      <c r="Z117" s="63"/>
    </row>
    <row r="118" spans="1:26" ht="17.25" customHeight="1" x14ac:dyDescent="0.2">
      <c r="A118" s="52">
        <v>1542</v>
      </c>
      <c r="B118" s="53" t="s">
        <v>30</v>
      </c>
      <c r="C118" s="53" t="s">
        <v>93</v>
      </c>
      <c r="D118" s="54">
        <v>257.19</v>
      </c>
      <c r="E118" s="62">
        <v>952</v>
      </c>
      <c r="F118" s="54">
        <f t="shared" si="9"/>
        <v>256.00244859999998</v>
      </c>
      <c r="G118" s="85">
        <v>25569.041962604166</v>
      </c>
      <c r="H118" s="85">
        <v>25569.041962604166</v>
      </c>
      <c r="I118" s="62">
        <v>58</v>
      </c>
      <c r="J118" s="62">
        <v>8652</v>
      </c>
      <c r="K118" s="57" t="s">
        <v>384</v>
      </c>
      <c r="L118" s="52">
        <v>1408</v>
      </c>
      <c r="M118" s="58">
        <f t="shared" si="6"/>
        <v>37.523326078587438</v>
      </c>
      <c r="N118" s="62">
        <v>8465</v>
      </c>
      <c r="O118" s="60">
        <f t="shared" si="7"/>
        <v>0.16633195510927348</v>
      </c>
      <c r="P118" s="60">
        <f t="shared" si="8"/>
        <v>4.4327614977657933E-3</v>
      </c>
      <c r="Q118" s="89"/>
      <c r="R118" s="63"/>
      <c r="S118" s="63"/>
      <c r="T118" s="63"/>
      <c r="U118" s="63"/>
      <c r="V118" s="63"/>
      <c r="W118" s="63"/>
      <c r="X118" s="63"/>
      <c r="Y118" s="63"/>
      <c r="Z118" s="63"/>
    </row>
    <row r="119" spans="1:26" ht="17.25" customHeight="1" x14ac:dyDescent="0.25">
      <c r="A119" s="52">
        <v>1543</v>
      </c>
      <c r="B119" s="53" t="s">
        <v>30</v>
      </c>
      <c r="C119" s="53" t="s">
        <v>93</v>
      </c>
      <c r="D119" s="54">
        <v>253.16</v>
      </c>
      <c r="E119" s="62">
        <v>952</v>
      </c>
      <c r="F119" s="54">
        <f t="shared" si="9"/>
        <v>251.99944959999999</v>
      </c>
      <c r="G119" s="85">
        <v>25569.041962604166</v>
      </c>
      <c r="H119" s="85">
        <v>25569.041962604166</v>
      </c>
      <c r="I119" s="62">
        <v>58</v>
      </c>
      <c r="J119" s="62">
        <v>4060</v>
      </c>
      <c r="K119" s="57" t="s">
        <v>384</v>
      </c>
      <c r="L119" s="52">
        <v>1837</v>
      </c>
      <c r="M119" s="58">
        <f t="shared" si="6"/>
        <v>42.860237983473681</v>
      </c>
      <c r="N119" s="62">
        <v>7878</v>
      </c>
      <c r="O119" s="60">
        <f t="shared" si="7"/>
        <v>0.23318101040873318</v>
      </c>
      <c r="P119" s="60">
        <f t="shared" si="8"/>
        <v>5.4404973322510382E-3</v>
      </c>
      <c r="Q119" s="90"/>
      <c r="R119" s="63"/>
      <c r="S119" s="63"/>
      <c r="T119" s="63"/>
      <c r="U119" s="63"/>
      <c r="V119" s="63"/>
      <c r="W119" s="63"/>
      <c r="X119" s="63"/>
      <c r="Y119" s="63"/>
      <c r="Z119" s="63"/>
    </row>
    <row r="120" spans="1:26" ht="17.25" customHeight="1" x14ac:dyDescent="0.2">
      <c r="A120" s="52">
        <v>1544</v>
      </c>
      <c r="B120" s="53" t="s">
        <v>30</v>
      </c>
      <c r="C120" s="53" t="s">
        <v>93</v>
      </c>
      <c r="D120" s="54">
        <v>249.13</v>
      </c>
      <c r="E120" s="62">
        <v>952</v>
      </c>
      <c r="F120" s="54">
        <f t="shared" si="9"/>
        <v>247.99645059999997</v>
      </c>
      <c r="G120" s="85">
        <v>25569.041962604166</v>
      </c>
      <c r="H120" s="85">
        <v>25569.041962604166</v>
      </c>
      <c r="I120" s="62">
        <v>54</v>
      </c>
      <c r="J120" s="62">
        <v>6932</v>
      </c>
      <c r="K120" s="57" t="s">
        <v>384</v>
      </c>
      <c r="L120" s="52">
        <v>2327</v>
      </c>
      <c r="M120" s="58">
        <f t="shared" si="6"/>
        <v>48.238988380769349</v>
      </c>
      <c r="N120" s="62">
        <v>7005</v>
      </c>
      <c r="O120" s="60">
        <f t="shared" si="7"/>
        <v>0.33219129193433261</v>
      </c>
      <c r="P120" s="60">
        <f t="shared" si="8"/>
        <v>6.8863652220941254E-3</v>
      </c>
      <c r="Q120" s="89"/>
      <c r="R120" s="63"/>
      <c r="S120" s="63"/>
      <c r="T120" s="63"/>
      <c r="U120" s="63"/>
      <c r="V120" s="63"/>
      <c r="W120" s="63"/>
      <c r="X120" s="63"/>
      <c r="Y120" s="63"/>
      <c r="Z120" s="63"/>
    </row>
    <row r="121" spans="1:26" ht="17.25" customHeight="1" x14ac:dyDescent="0.2">
      <c r="A121" s="52">
        <v>1545</v>
      </c>
      <c r="B121" s="53" t="s">
        <v>30</v>
      </c>
      <c r="C121" s="53" t="s">
        <v>93</v>
      </c>
      <c r="D121" s="54">
        <v>247.12</v>
      </c>
      <c r="E121" s="62">
        <v>952</v>
      </c>
      <c r="F121" s="54">
        <f t="shared" si="9"/>
        <v>245.9999176</v>
      </c>
      <c r="G121" s="85">
        <v>25569.041962604166</v>
      </c>
      <c r="H121" s="85">
        <v>25569.041962604166</v>
      </c>
      <c r="I121" s="62">
        <v>54</v>
      </c>
      <c r="J121" s="62">
        <v>8227</v>
      </c>
      <c r="K121" s="57" t="s">
        <v>384</v>
      </c>
      <c r="L121" s="52">
        <v>4512</v>
      </c>
      <c r="M121" s="58">
        <f t="shared" si="6"/>
        <v>67.171422494986658</v>
      </c>
      <c r="N121" s="62">
        <v>10300</v>
      </c>
      <c r="O121" s="60">
        <f t="shared" si="7"/>
        <v>0.43805825242718449</v>
      </c>
      <c r="P121" s="60">
        <f t="shared" si="8"/>
        <v>6.5214973296103549E-3</v>
      </c>
      <c r="Q121" s="89"/>
      <c r="R121" s="63"/>
      <c r="S121" s="63"/>
      <c r="T121" s="63"/>
      <c r="U121" s="63"/>
      <c r="V121" s="63"/>
      <c r="W121" s="63"/>
      <c r="X121" s="63"/>
      <c r="Y121" s="63"/>
      <c r="Z121" s="63"/>
    </row>
    <row r="122" spans="1:26" ht="17.25" customHeight="1" x14ac:dyDescent="0.2">
      <c r="A122" s="52">
        <v>1546</v>
      </c>
      <c r="B122" s="53" t="s">
        <v>30</v>
      </c>
      <c r="C122" s="53" t="s">
        <v>93</v>
      </c>
      <c r="D122" s="54">
        <v>245.11</v>
      </c>
      <c r="E122" s="62">
        <v>952</v>
      </c>
      <c r="F122" s="54">
        <f t="shared" si="9"/>
        <v>244.0033846</v>
      </c>
      <c r="G122" s="85">
        <v>25569.041962604166</v>
      </c>
      <c r="H122" s="85">
        <v>25569.041962604166</v>
      </c>
      <c r="I122" s="62">
        <v>53</v>
      </c>
      <c r="J122" s="62">
        <v>6802</v>
      </c>
      <c r="K122" s="57" t="s">
        <v>384</v>
      </c>
      <c r="L122" s="52">
        <v>3718</v>
      </c>
      <c r="M122" s="58">
        <f t="shared" si="6"/>
        <v>60.975404877704584</v>
      </c>
      <c r="N122" s="62">
        <v>6885</v>
      </c>
      <c r="O122" s="60">
        <f t="shared" si="7"/>
        <v>0.54001452432824981</v>
      </c>
      <c r="P122" s="60">
        <f t="shared" si="8"/>
        <v>8.8562679560936219E-3</v>
      </c>
      <c r="Q122" s="89"/>
      <c r="R122" s="63"/>
      <c r="S122" s="63"/>
      <c r="T122" s="63"/>
      <c r="U122" s="63"/>
      <c r="V122" s="63"/>
      <c r="W122" s="63"/>
      <c r="X122" s="63"/>
      <c r="Y122" s="63"/>
      <c r="Z122" s="63"/>
    </row>
    <row r="123" spans="1:26" ht="17.25" customHeight="1" x14ac:dyDescent="0.2">
      <c r="A123" s="52">
        <v>1547</v>
      </c>
      <c r="B123" s="53" t="s">
        <v>30</v>
      </c>
      <c r="C123" s="53" t="s">
        <v>93</v>
      </c>
      <c r="D123" s="54">
        <v>243.09</v>
      </c>
      <c r="E123" s="62">
        <v>952</v>
      </c>
      <c r="F123" s="54">
        <f t="shared" si="9"/>
        <v>241.99691859999999</v>
      </c>
      <c r="G123" s="85">
        <v>25569.041962604166</v>
      </c>
      <c r="H123" s="85">
        <v>25569.041962604166</v>
      </c>
      <c r="I123" s="62">
        <v>57</v>
      </c>
      <c r="J123" s="62">
        <v>6605</v>
      </c>
      <c r="K123" s="57" t="s">
        <v>384</v>
      </c>
      <c r="L123" s="52">
        <v>4827</v>
      </c>
      <c r="M123" s="58">
        <f t="shared" si="6"/>
        <v>69.476614770726997</v>
      </c>
      <c r="N123" s="62">
        <v>6798</v>
      </c>
      <c r="O123" s="60">
        <f t="shared" si="7"/>
        <v>0.7100617828773168</v>
      </c>
      <c r="P123" s="60">
        <f t="shared" si="8"/>
        <v>1.0220155158977199E-2</v>
      </c>
      <c r="Q123" s="89"/>
      <c r="R123" s="63"/>
      <c r="S123" s="63"/>
      <c r="T123" s="63"/>
      <c r="U123" s="63"/>
      <c r="V123" s="63"/>
      <c r="W123" s="63"/>
      <c r="X123" s="63"/>
      <c r="Y123" s="63"/>
      <c r="Z123" s="63"/>
    </row>
    <row r="124" spans="1:26" ht="17.25" customHeight="1" x14ac:dyDescent="0.2">
      <c r="A124" s="52">
        <v>1548</v>
      </c>
      <c r="B124" s="53" t="s">
        <v>30</v>
      </c>
      <c r="C124" s="53" t="s">
        <v>93</v>
      </c>
      <c r="D124" s="54">
        <v>241.08</v>
      </c>
      <c r="E124" s="62">
        <v>952</v>
      </c>
      <c r="F124" s="54">
        <f t="shared" si="9"/>
        <v>240.00038560000002</v>
      </c>
      <c r="G124" s="85">
        <v>25569.041962604166</v>
      </c>
      <c r="H124" s="85">
        <v>25569.041962604166</v>
      </c>
      <c r="I124" s="62">
        <v>57</v>
      </c>
      <c r="J124" s="62">
        <v>7562</v>
      </c>
      <c r="K124" s="57" t="s">
        <v>384</v>
      </c>
      <c r="L124" s="52">
        <v>9373</v>
      </c>
      <c r="M124" s="58">
        <f t="shared" si="6"/>
        <v>96.814255148712476</v>
      </c>
      <c r="N124" s="62">
        <v>9944</v>
      </c>
      <c r="O124" s="60">
        <f t="shared" si="7"/>
        <v>0.94257843925985518</v>
      </c>
      <c r="P124" s="60">
        <f t="shared" si="8"/>
        <v>9.7359468170467086E-3</v>
      </c>
      <c r="Q124" s="89"/>
      <c r="R124" s="63"/>
      <c r="S124" s="63"/>
      <c r="T124" s="63"/>
      <c r="U124" s="63"/>
      <c r="V124" s="63"/>
      <c r="W124" s="63"/>
      <c r="X124" s="63"/>
      <c r="Y124" s="63"/>
      <c r="Z124" s="63"/>
    </row>
    <row r="125" spans="1:26" ht="17.25" customHeight="1" x14ac:dyDescent="0.2">
      <c r="A125" s="52">
        <v>1549</v>
      </c>
      <c r="B125" s="53" t="s">
        <v>30</v>
      </c>
      <c r="C125" s="53" t="s">
        <v>93</v>
      </c>
      <c r="D125" s="54">
        <v>239.07</v>
      </c>
      <c r="E125" s="62">
        <v>952</v>
      </c>
      <c r="F125" s="54">
        <f t="shared" si="9"/>
        <v>238.00385259999999</v>
      </c>
      <c r="G125" s="85">
        <v>25569.041962604166</v>
      </c>
      <c r="H125" s="85">
        <v>25569.041962604166</v>
      </c>
      <c r="I125" s="62">
        <v>57</v>
      </c>
      <c r="J125" s="62">
        <v>6225</v>
      </c>
      <c r="K125" s="57" t="s">
        <v>384</v>
      </c>
      <c r="L125" s="52">
        <v>8274</v>
      </c>
      <c r="M125" s="58">
        <f t="shared" si="6"/>
        <v>90.961530330134622</v>
      </c>
      <c r="N125" s="62">
        <v>6967</v>
      </c>
      <c r="O125" s="60">
        <f t="shared" si="7"/>
        <v>1.1875986794890196</v>
      </c>
      <c r="P125" s="60">
        <f t="shared" si="8"/>
        <v>1.3056054303162713E-2</v>
      </c>
      <c r="Q125" s="89"/>
      <c r="R125" s="63"/>
      <c r="S125" s="63"/>
      <c r="T125" s="63"/>
      <c r="U125" s="63"/>
      <c r="V125" s="63"/>
      <c r="W125" s="63"/>
      <c r="X125" s="63"/>
      <c r="Y125" s="63"/>
      <c r="Z125" s="63"/>
    </row>
    <row r="126" spans="1:26" ht="17.25" customHeight="1" x14ac:dyDescent="0.2">
      <c r="A126" s="52">
        <v>1550</v>
      </c>
      <c r="B126" s="53" t="s">
        <v>30</v>
      </c>
      <c r="C126" s="53" t="s">
        <v>93</v>
      </c>
      <c r="D126" s="54">
        <v>237.05</v>
      </c>
      <c r="E126" s="62">
        <v>952</v>
      </c>
      <c r="F126" s="54">
        <f t="shared" si="9"/>
        <v>235.9973866</v>
      </c>
      <c r="G126" s="85">
        <v>25569.041962604166</v>
      </c>
      <c r="H126" s="85">
        <v>25569.041962604166</v>
      </c>
      <c r="I126" s="62">
        <v>56</v>
      </c>
      <c r="J126" s="62">
        <v>5912</v>
      </c>
      <c r="K126" s="57" t="s">
        <v>384</v>
      </c>
      <c r="L126" s="52">
        <v>10115</v>
      </c>
      <c r="M126" s="58">
        <f t="shared" si="6"/>
        <v>100.57335631269348</v>
      </c>
      <c r="N126" s="62">
        <v>6710</v>
      </c>
      <c r="O126" s="60">
        <f t="shared" si="7"/>
        <v>1.507451564828614</v>
      </c>
      <c r="P126" s="60">
        <f t="shared" si="8"/>
        <v>1.4988577691906629E-2</v>
      </c>
      <c r="Q126" s="89"/>
      <c r="R126" s="63"/>
      <c r="S126" s="63"/>
      <c r="T126" s="63"/>
      <c r="U126" s="63"/>
      <c r="V126" s="63"/>
      <c r="W126" s="63"/>
      <c r="X126" s="63"/>
      <c r="Y126" s="63"/>
      <c r="Z126" s="63"/>
    </row>
    <row r="127" spans="1:26" ht="17.25" customHeight="1" x14ac:dyDescent="0.2">
      <c r="A127" s="52">
        <v>1551</v>
      </c>
      <c r="B127" s="53" t="s">
        <v>30</v>
      </c>
      <c r="C127" s="53" t="s">
        <v>93</v>
      </c>
      <c r="D127" s="54">
        <v>235.04</v>
      </c>
      <c r="E127" s="62">
        <v>952</v>
      </c>
      <c r="F127" s="54">
        <f t="shared" si="9"/>
        <v>234.00085359999997</v>
      </c>
      <c r="G127" s="85">
        <v>25569.041962604166</v>
      </c>
      <c r="H127" s="85">
        <v>25569.041962604166</v>
      </c>
      <c r="I127" s="62">
        <v>55</v>
      </c>
      <c r="J127" s="62">
        <v>5445</v>
      </c>
      <c r="K127" s="57" t="s">
        <v>384</v>
      </c>
      <c r="L127" s="52">
        <v>11355</v>
      </c>
      <c r="M127" s="58">
        <f t="shared" si="6"/>
        <v>106.55984234222571</v>
      </c>
      <c r="N127" s="62">
        <v>6581</v>
      </c>
      <c r="O127" s="60">
        <f t="shared" si="7"/>
        <v>1.725421668439447</v>
      </c>
      <c r="P127" s="60">
        <f t="shared" si="8"/>
        <v>1.6192044118253413E-2</v>
      </c>
      <c r="Q127" s="89"/>
      <c r="R127" s="63"/>
      <c r="S127" s="63"/>
      <c r="T127" s="63"/>
      <c r="U127" s="63"/>
      <c r="V127" s="63"/>
      <c r="W127" s="63"/>
      <c r="X127" s="63"/>
      <c r="Y127" s="63"/>
      <c r="Z127" s="63"/>
    </row>
    <row r="128" spans="1:26" ht="17.25" customHeight="1" x14ac:dyDescent="0.2">
      <c r="A128" s="52">
        <v>1552</v>
      </c>
      <c r="B128" s="53" t="s">
        <v>30</v>
      </c>
      <c r="C128" s="53" t="s">
        <v>93</v>
      </c>
      <c r="D128" s="54">
        <v>233.03</v>
      </c>
      <c r="E128" s="62">
        <v>952</v>
      </c>
      <c r="F128" s="54">
        <f t="shared" si="9"/>
        <v>232.0043206</v>
      </c>
      <c r="G128" s="85">
        <v>25569.041962604166</v>
      </c>
      <c r="H128" s="85">
        <v>25569.041962604166</v>
      </c>
      <c r="I128" s="62">
        <v>54</v>
      </c>
      <c r="J128" s="62">
        <v>5449</v>
      </c>
      <c r="K128" s="57" t="s">
        <v>384</v>
      </c>
      <c r="L128" s="52">
        <v>11436</v>
      </c>
      <c r="M128" s="58">
        <f t="shared" si="6"/>
        <v>106.93923508235881</v>
      </c>
      <c r="N128" s="62">
        <v>6460</v>
      </c>
      <c r="O128" s="60">
        <f t="shared" si="7"/>
        <v>1.7702786377708979</v>
      </c>
      <c r="P128" s="60">
        <f t="shared" si="8"/>
        <v>1.6554061158259876E-2</v>
      </c>
      <c r="Q128" s="89"/>
      <c r="R128" s="63"/>
      <c r="S128" s="63"/>
      <c r="T128" s="63"/>
      <c r="U128" s="63"/>
      <c r="V128" s="63"/>
      <c r="W128" s="63"/>
      <c r="X128" s="63"/>
      <c r="Y128" s="63"/>
      <c r="Z128" s="63"/>
    </row>
    <row r="129" spans="1:26" ht="17.25" customHeight="1" x14ac:dyDescent="0.2">
      <c r="A129" s="52">
        <v>1553</v>
      </c>
      <c r="B129" s="53" t="s">
        <v>30</v>
      </c>
      <c r="C129" s="53" t="s">
        <v>93</v>
      </c>
      <c r="D129" s="54">
        <v>231.01</v>
      </c>
      <c r="E129" s="62">
        <v>952</v>
      </c>
      <c r="F129" s="54">
        <f t="shared" si="9"/>
        <v>229.99785459999998</v>
      </c>
      <c r="G129" s="85">
        <v>25569.041962604166</v>
      </c>
      <c r="H129" s="85">
        <v>25569.041962604166</v>
      </c>
      <c r="I129" s="62">
        <v>53</v>
      </c>
      <c r="J129" s="62">
        <v>6566</v>
      </c>
      <c r="K129" s="57" t="s">
        <v>384</v>
      </c>
      <c r="L129" s="52">
        <v>10840</v>
      </c>
      <c r="M129" s="58">
        <f t="shared" si="6"/>
        <v>104.11532067856297</v>
      </c>
      <c r="N129" s="62">
        <v>6492</v>
      </c>
      <c r="O129" s="60">
        <f t="shared" si="7"/>
        <v>1.669747381392483</v>
      </c>
      <c r="P129" s="60">
        <f t="shared" si="8"/>
        <v>1.603748007987723E-2</v>
      </c>
      <c r="Q129" s="89"/>
      <c r="R129" s="63"/>
      <c r="S129" s="63"/>
      <c r="T129" s="63"/>
      <c r="U129" s="63"/>
      <c r="V129" s="63"/>
      <c r="W129" s="63"/>
      <c r="X129" s="63"/>
      <c r="Y129" s="63"/>
      <c r="Z129" s="63"/>
    </row>
    <row r="130" spans="1:26" ht="17.25" customHeight="1" x14ac:dyDescent="0.2">
      <c r="A130" s="52">
        <v>1554</v>
      </c>
      <c r="B130" s="53" t="s">
        <v>30</v>
      </c>
      <c r="C130" s="53" t="s">
        <v>93</v>
      </c>
      <c r="D130" s="52">
        <v>229</v>
      </c>
      <c r="E130" s="62">
        <v>952</v>
      </c>
      <c r="F130" s="54">
        <f t="shared" si="9"/>
        <v>228.00132159999998</v>
      </c>
      <c r="G130" s="85">
        <v>25569.041962604166</v>
      </c>
      <c r="H130" s="85">
        <v>25569.041962604166</v>
      </c>
      <c r="I130" s="62">
        <v>52</v>
      </c>
      <c r="J130" s="62">
        <v>11949</v>
      </c>
      <c r="K130" s="57" t="s">
        <v>384</v>
      </c>
      <c r="L130" s="52">
        <v>22096</v>
      </c>
      <c r="M130" s="58">
        <f t="shared" si="6"/>
        <v>148.64723340849636</v>
      </c>
      <c r="N130" s="62">
        <v>15946</v>
      </c>
      <c r="O130" s="60">
        <f t="shared" si="7"/>
        <v>1.3856766587231908</v>
      </c>
      <c r="P130" s="60">
        <f t="shared" si="8"/>
        <v>9.3219135462496144E-3</v>
      </c>
      <c r="Q130" s="89"/>
      <c r="R130" s="63"/>
      <c r="S130" s="63"/>
      <c r="T130" s="63"/>
      <c r="U130" s="63"/>
      <c r="V130" s="63"/>
      <c r="W130" s="63"/>
      <c r="X130" s="63"/>
      <c r="Y130" s="63"/>
      <c r="Z130" s="63"/>
    </row>
    <row r="131" spans="1:26" ht="17.25" customHeight="1" x14ac:dyDescent="0.2">
      <c r="A131" s="52">
        <v>1555</v>
      </c>
      <c r="B131" s="53" t="s">
        <v>30</v>
      </c>
      <c r="C131" s="53" t="s">
        <v>93</v>
      </c>
      <c r="D131" s="54">
        <v>226.99</v>
      </c>
      <c r="E131" s="62">
        <v>952</v>
      </c>
      <c r="F131" s="54">
        <f t="shared" si="9"/>
        <v>226.00478860000001</v>
      </c>
      <c r="G131" s="85">
        <v>25569.041962604166</v>
      </c>
      <c r="H131" s="85">
        <v>25569.041962604166</v>
      </c>
      <c r="I131" s="62">
        <v>50</v>
      </c>
      <c r="J131" s="62">
        <v>7863</v>
      </c>
      <c r="K131" s="57" t="s">
        <v>384</v>
      </c>
      <c r="L131" s="52">
        <v>6850</v>
      </c>
      <c r="M131" s="58">
        <f t="shared" si="6"/>
        <v>82.764726786234249</v>
      </c>
      <c r="N131" s="62">
        <v>7895</v>
      </c>
      <c r="O131" s="60">
        <f t="shared" si="7"/>
        <v>0.86763774540848637</v>
      </c>
      <c r="P131" s="60">
        <f t="shared" si="8"/>
        <v>1.0483182620168998E-2</v>
      </c>
      <c r="Q131" s="89"/>
      <c r="R131" s="63"/>
      <c r="S131" s="63"/>
      <c r="T131" s="63"/>
      <c r="U131" s="63"/>
      <c r="V131" s="63"/>
      <c r="W131" s="63"/>
      <c r="X131" s="63"/>
      <c r="Y131" s="63"/>
      <c r="Z131" s="63"/>
    </row>
    <row r="132" spans="1:26" ht="17.25" customHeight="1" x14ac:dyDescent="0.2">
      <c r="A132" s="52">
        <v>1556</v>
      </c>
      <c r="B132" s="53" t="s">
        <v>30</v>
      </c>
      <c r="C132" s="53" t="s">
        <v>93</v>
      </c>
      <c r="D132" s="54">
        <v>224.97</v>
      </c>
      <c r="E132" s="62">
        <v>952</v>
      </c>
      <c r="F132" s="54">
        <f t="shared" si="9"/>
        <v>223.99832259999999</v>
      </c>
      <c r="G132" s="85">
        <v>25569.041962604166</v>
      </c>
      <c r="H132" s="85">
        <v>25569.041962604166</v>
      </c>
      <c r="I132" s="62">
        <v>49</v>
      </c>
      <c r="J132" s="62">
        <v>8139</v>
      </c>
      <c r="K132" s="57" t="s">
        <v>384</v>
      </c>
      <c r="L132" s="52">
        <v>1947</v>
      </c>
      <c r="M132" s="58">
        <f t="shared" si="6"/>
        <v>44.124822945820419</v>
      </c>
      <c r="N132" s="62">
        <v>10286</v>
      </c>
      <c r="O132" s="60">
        <f t="shared" si="7"/>
        <v>0.18928640871086913</v>
      </c>
      <c r="P132" s="60">
        <f t="shared" si="8"/>
        <v>4.289794181005291E-3</v>
      </c>
      <c r="Q132" s="89"/>
      <c r="R132" s="63"/>
      <c r="S132" s="63"/>
      <c r="T132" s="63"/>
      <c r="U132" s="63"/>
      <c r="V132" s="63"/>
      <c r="W132" s="63"/>
      <c r="X132" s="63"/>
      <c r="Y132" s="63"/>
      <c r="Z132" s="63"/>
    </row>
    <row r="133" spans="1:26" ht="17.25" customHeight="1" x14ac:dyDescent="0.2">
      <c r="A133" s="52">
        <v>1557</v>
      </c>
      <c r="B133" s="53" t="s">
        <v>30</v>
      </c>
      <c r="C133" s="53" t="s">
        <v>93</v>
      </c>
      <c r="D133" s="54">
        <v>222.96</v>
      </c>
      <c r="E133" s="62">
        <v>952</v>
      </c>
      <c r="F133" s="54">
        <f t="shared" si="9"/>
        <v>222.0017896</v>
      </c>
      <c r="G133" s="85">
        <v>25569.041962604166</v>
      </c>
      <c r="H133" s="85">
        <v>25569.041962604166</v>
      </c>
      <c r="I133" s="62">
        <v>47</v>
      </c>
      <c r="J133" s="62">
        <v>8749</v>
      </c>
      <c r="K133" s="57" t="s">
        <v>384</v>
      </c>
      <c r="L133" s="52">
        <v>482</v>
      </c>
      <c r="M133" s="58">
        <f t="shared" si="6"/>
        <v>21.95449840010015</v>
      </c>
      <c r="N133" s="62">
        <v>8411</v>
      </c>
      <c r="O133" s="60">
        <f t="shared" si="7"/>
        <v>5.7305908928783733E-2</v>
      </c>
      <c r="P133" s="60">
        <f t="shared" si="8"/>
        <v>2.6102126263345795E-3</v>
      </c>
      <c r="Q133" s="89"/>
      <c r="R133" s="63"/>
      <c r="S133" s="63"/>
      <c r="T133" s="63"/>
      <c r="U133" s="63"/>
      <c r="V133" s="63"/>
      <c r="W133" s="63"/>
      <c r="X133" s="63"/>
      <c r="Y133" s="63"/>
      <c r="Z133" s="63"/>
    </row>
    <row r="134" spans="1:26" ht="17.25" customHeight="1" x14ac:dyDescent="0.2">
      <c r="A134" s="52">
        <v>1558</v>
      </c>
      <c r="B134" s="53" t="s">
        <v>30</v>
      </c>
      <c r="C134" s="53" t="s">
        <v>93</v>
      </c>
      <c r="D134" s="54">
        <v>220.94</v>
      </c>
      <c r="E134" s="62">
        <v>952</v>
      </c>
      <c r="F134" s="54">
        <f t="shared" si="9"/>
        <v>219.99532359999998</v>
      </c>
      <c r="G134" s="85">
        <v>25569.041962604166</v>
      </c>
      <c r="H134" s="85">
        <v>25569.041962604166</v>
      </c>
      <c r="I134" s="62">
        <v>47</v>
      </c>
      <c r="J134" s="62">
        <v>10124</v>
      </c>
      <c r="K134" s="57" t="s">
        <v>384</v>
      </c>
      <c r="L134" s="52">
        <v>321</v>
      </c>
      <c r="M134" s="58">
        <f t="shared" si="6"/>
        <v>17.916472867168917</v>
      </c>
      <c r="N134" s="62">
        <v>9110</v>
      </c>
      <c r="O134" s="60">
        <f t="shared" si="7"/>
        <v>3.5236004390779362E-2</v>
      </c>
      <c r="P134" s="60">
        <f t="shared" si="8"/>
        <v>1.966681983223811E-3</v>
      </c>
      <c r="Q134" s="89"/>
      <c r="R134" s="63"/>
      <c r="S134" s="63"/>
      <c r="T134" s="63"/>
      <c r="U134" s="63"/>
      <c r="V134" s="63"/>
      <c r="W134" s="63"/>
      <c r="X134" s="63"/>
      <c r="Y134" s="63"/>
      <c r="Z134" s="63"/>
    </row>
    <row r="135" spans="1:26" ht="17.25" customHeight="1" x14ac:dyDescent="0.2">
      <c r="A135" s="52">
        <v>1559</v>
      </c>
      <c r="B135" s="53" t="s">
        <v>30</v>
      </c>
      <c r="C135" s="53" t="s">
        <v>93</v>
      </c>
      <c r="D135" s="54">
        <v>216.92</v>
      </c>
      <c r="E135" s="62">
        <v>952</v>
      </c>
      <c r="F135" s="54">
        <f t="shared" ref="F135:F139" si="10">0.9933*(D135 + E135/1000)-0.41</f>
        <v>216.00225759999998</v>
      </c>
      <c r="G135" s="85">
        <v>25569.041962604166</v>
      </c>
      <c r="H135" s="85">
        <v>25569.041962604166</v>
      </c>
      <c r="I135" s="62">
        <v>48</v>
      </c>
      <c r="J135" s="62">
        <v>5146</v>
      </c>
      <c r="K135" s="57" t="s">
        <v>384</v>
      </c>
      <c r="L135" s="52">
        <v>120</v>
      </c>
      <c r="M135" s="58">
        <f t="shared" ref="M135:M198" si="11">SQRT(L135)</f>
        <v>10.954451150103322</v>
      </c>
      <c r="N135" s="62">
        <v>5478</v>
      </c>
      <c r="O135" s="60">
        <f t="shared" ref="O135:O198" si="12">L135/N135</f>
        <v>2.1905805038335158E-2</v>
      </c>
      <c r="P135" s="60">
        <f t="shared" ref="P135:P198" si="13">M135/N135</f>
        <v>1.9997172599677477E-3</v>
      </c>
      <c r="Q135" s="89"/>
      <c r="R135" s="63"/>
      <c r="S135" s="63"/>
      <c r="T135" s="63"/>
      <c r="U135" s="63"/>
      <c r="V135" s="63"/>
      <c r="W135" s="63"/>
      <c r="X135" s="63"/>
      <c r="Y135" s="63"/>
      <c r="Z135" s="63"/>
    </row>
    <row r="136" spans="1:26" ht="17.25" customHeight="1" x14ac:dyDescent="0.2">
      <c r="A136" s="52">
        <v>1560</v>
      </c>
      <c r="B136" s="53" t="s">
        <v>30</v>
      </c>
      <c r="C136" s="53" t="s">
        <v>93</v>
      </c>
      <c r="D136" s="54">
        <v>225.98</v>
      </c>
      <c r="E136" s="62">
        <v>952</v>
      </c>
      <c r="F136" s="54">
        <f t="shared" si="10"/>
        <v>225.00155559999999</v>
      </c>
      <c r="G136" s="85">
        <v>25569.041962604166</v>
      </c>
      <c r="H136" s="85">
        <v>25569.041962604166</v>
      </c>
      <c r="I136" s="62">
        <v>49</v>
      </c>
      <c r="J136" s="62">
        <v>6405</v>
      </c>
      <c r="K136" s="57" t="s">
        <v>384</v>
      </c>
      <c r="L136" s="52">
        <v>3116</v>
      </c>
      <c r="M136" s="58">
        <f t="shared" si="11"/>
        <v>55.821142947811452</v>
      </c>
      <c r="N136" s="62">
        <v>5925</v>
      </c>
      <c r="O136" s="60">
        <f t="shared" si="12"/>
        <v>0.5259071729957806</v>
      </c>
      <c r="P136" s="60">
        <f t="shared" si="13"/>
        <v>9.4212899489977131E-3</v>
      </c>
      <c r="Q136" s="89"/>
      <c r="R136" s="63"/>
      <c r="S136" s="63"/>
      <c r="T136" s="63"/>
      <c r="U136" s="63"/>
      <c r="V136" s="63"/>
      <c r="W136" s="63"/>
      <c r="X136" s="63"/>
      <c r="Y136" s="63"/>
      <c r="Z136" s="63"/>
    </row>
    <row r="137" spans="1:26" ht="17.25" customHeight="1" x14ac:dyDescent="0.2">
      <c r="A137" s="52">
        <v>1561</v>
      </c>
      <c r="B137" s="53" t="s">
        <v>30</v>
      </c>
      <c r="C137" s="53" t="s">
        <v>93</v>
      </c>
      <c r="D137" s="54">
        <v>227.99</v>
      </c>
      <c r="E137" s="62">
        <v>952</v>
      </c>
      <c r="F137" s="54">
        <f t="shared" si="10"/>
        <v>226.99808859999999</v>
      </c>
      <c r="G137" s="85">
        <v>25569.041962604166</v>
      </c>
      <c r="H137" s="85">
        <v>25569.041962604166</v>
      </c>
      <c r="I137" s="62">
        <v>48</v>
      </c>
      <c r="J137" s="62">
        <v>5916</v>
      </c>
      <c r="K137" s="57" t="s">
        <v>384</v>
      </c>
      <c r="L137" s="52">
        <v>6991</v>
      </c>
      <c r="M137" s="58">
        <f t="shared" si="11"/>
        <v>83.612200066736676</v>
      </c>
      <c r="N137" s="62">
        <v>6095</v>
      </c>
      <c r="O137" s="60">
        <f t="shared" si="12"/>
        <v>1.147005742411813</v>
      </c>
      <c r="P137" s="60">
        <f t="shared" si="13"/>
        <v>1.3718162439169266E-2</v>
      </c>
      <c r="Q137" s="89"/>
      <c r="R137" s="63"/>
      <c r="S137" s="63"/>
      <c r="T137" s="63"/>
      <c r="U137" s="63"/>
      <c r="V137" s="63"/>
      <c r="W137" s="63"/>
      <c r="X137" s="63"/>
      <c r="Y137" s="63"/>
      <c r="Z137" s="63"/>
    </row>
    <row r="138" spans="1:26" ht="17.25" customHeight="1" x14ac:dyDescent="0.2">
      <c r="A138" s="52">
        <v>1562</v>
      </c>
      <c r="B138" s="53" t="s">
        <v>385</v>
      </c>
      <c r="C138" s="53" t="s">
        <v>93</v>
      </c>
      <c r="D138" s="54">
        <v>246.11</v>
      </c>
      <c r="E138" s="62">
        <v>952</v>
      </c>
      <c r="F138" s="54">
        <f t="shared" si="10"/>
        <v>244.99668460000001</v>
      </c>
      <c r="G138" s="85">
        <v>25569.041962604166</v>
      </c>
      <c r="H138" s="85">
        <v>25569.041962604166</v>
      </c>
      <c r="I138" s="62">
        <v>56</v>
      </c>
      <c r="J138" s="62">
        <v>82379</v>
      </c>
      <c r="K138" s="57"/>
      <c r="L138" s="52">
        <v>53240</v>
      </c>
      <c r="M138" s="58">
        <f t="shared" si="11"/>
        <v>230.73794659743334</v>
      </c>
      <c r="N138" s="62">
        <v>108818</v>
      </c>
      <c r="O138" s="60">
        <f t="shared" si="12"/>
        <v>0.48925729199213364</v>
      </c>
      <c r="P138" s="60">
        <f t="shared" si="13"/>
        <v>2.1204023837732115E-3</v>
      </c>
      <c r="Q138" s="89"/>
      <c r="R138" s="63"/>
      <c r="S138" s="63"/>
      <c r="T138" s="63"/>
      <c r="U138" s="63"/>
      <c r="V138" s="63"/>
      <c r="W138" s="63"/>
      <c r="X138" s="63"/>
      <c r="Y138" s="63"/>
      <c r="Z138" s="63"/>
    </row>
    <row r="139" spans="1:26" ht="17.25" customHeight="1" x14ac:dyDescent="0.2">
      <c r="A139" s="52">
        <v>1563</v>
      </c>
      <c r="B139" s="53" t="s">
        <v>157</v>
      </c>
      <c r="C139" s="53" t="s">
        <v>93</v>
      </c>
      <c r="D139" s="54">
        <v>239.43</v>
      </c>
      <c r="E139" s="62">
        <v>2600</v>
      </c>
      <c r="F139" s="54">
        <f t="shared" si="10"/>
        <v>239.99839900000001</v>
      </c>
      <c r="G139" s="85">
        <v>25569.041962604166</v>
      </c>
      <c r="H139" s="85">
        <v>25569.041962604166</v>
      </c>
      <c r="I139" s="62">
        <v>295</v>
      </c>
      <c r="J139" s="55"/>
      <c r="K139" s="57" t="s">
        <v>384</v>
      </c>
      <c r="L139" s="52"/>
      <c r="M139" s="58">
        <f t="shared" si="11"/>
        <v>0</v>
      </c>
      <c r="N139" s="59">
        <v>5426482</v>
      </c>
      <c r="O139" s="71">
        <f t="shared" si="12"/>
        <v>0</v>
      </c>
      <c r="P139" s="60">
        <f t="shared" si="13"/>
        <v>0</v>
      </c>
      <c r="Q139" s="89"/>
      <c r="R139" s="63"/>
      <c r="S139" s="63"/>
      <c r="T139" s="63"/>
      <c r="U139" s="63"/>
      <c r="V139" s="63"/>
      <c r="W139" s="63"/>
      <c r="X139" s="63"/>
      <c r="Y139" s="63"/>
      <c r="Z139" s="63"/>
    </row>
    <row r="140" spans="1:26" ht="17.25" customHeight="1" x14ac:dyDescent="0.2">
      <c r="A140" s="52">
        <v>1564</v>
      </c>
      <c r="B140" s="53" t="s">
        <v>157</v>
      </c>
      <c r="C140" s="53" t="s">
        <v>93</v>
      </c>
      <c r="D140" s="54">
        <v>289.77</v>
      </c>
      <c r="E140" s="62">
        <v>2600</v>
      </c>
      <c r="F140" s="54">
        <v>290</v>
      </c>
      <c r="G140" s="85">
        <v>25569.041962604166</v>
      </c>
      <c r="H140" s="85">
        <v>25569.041962604166</v>
      </c>
      <c r="I140" s="62">
        <v>315</v>
      </c>
      <c r="J140" s="55"/>
      <c r="K140" s="57" t="s">
        <v>384</v>
      </c>
      <c r="L140" s="52"/>
      <c r="M140" s="58">
        <f t="shared" si="11"/>
        <v>0</v>
      </c>
      <c r="N140" s="59">
        <v>15564901.991198128</v>
      </c>
      <c r="O140" s="71">
        <f t="shared" si="12"/>
        <v>0</v>
      </c>
      <c r="P140" s="60">
        <f t="shared" si="13"/>
        <v>0</v>
      </c>
      <c r="Q140" s="89"/>
      <c r="R140" s="63"/>
      <c r="S140" s="63"/>
      <c r="T140" s="63"/>
      <c r="U140" s="63"/>
      <c r="V140" s="63"/>
      <c r="W140" s="63"/>
      <c r="X140" s="63"/>
      <c r="Y140" s="63"/>
      <c r="Z140" s="63"/>
    </row>
    <row r="141" spans="1:26" ht="17.25" customHeight="1" x14ac:dyDescent="0.2">
      <c r="A141" s="52">
        <v>1565</v>
      </c>
      <c r="B141" s="53" t="s">
        <v>31</v>
      </c>
      <c r="C141" s="53" t="s">
        <v>93</v>
      </c>
      <c r="D141" s="54">
        <v>261.20999999999998</v>
      </c>
      <c r="E141" s="62">
        <v>956</v>
      </c>
      <c r="F141" s="54">
        <f t="shared" ref="F141:F158" si="14">0.9933*(D141 + E141/1000)-0.41</f>
        <v>259.99948779999994</v>
      </c>
      <c r="G141" s="85">
        <v>25569.041962604166</v>
      </c>
      <c r="H141" s="85">
        <v>25569.041962604166</v>
      </c>
      <c r="I141" s="62">
        <v>54</v>
      </c>
      <c r="J141" s="62">
        <v>5596</v>
      </c>
      <c r="K141" s="57" t="s">
        <v>384</v>
      </c>
      <c r="L141" s="52">
        <v>1013</v>
      </c>
      <c r="M141" s="58">
        <f t="shared" si="11"/>
        <v>31.827660925679098</v>
      </c>
      <c r="N141" s="62">
        <v>8203</v>
      </c>
      <c r="O141" s="60">
        <f t="shared" si="12"/>
        <v>0.12349140558332318</v>
      </c>
      <c r="P141" s="60">
        <f t="shared" si="13"/>
        <v>3.8800025509788004E-3</v>
      </c>
      <c r="Q141" s="89"/>
      <c r="R141" s="63"/>
      <c r="S141" s="63"/>
      <c r="T141" s="63"/>
      <c r="U141" s="63"/>
      <c r="V141" s="63"/>
      <c r="W141" s="63"/>
      <c r="X141" s="63"/>
      <c r="Y141" s="63"/>
      <c r="Z141" s="63"/>
    </row>
    <row r="142" spans="1:26" ht="17.25" customHeight="1" x14ac:dyDescent="0.2">
      <c r="A142" s="52">
        <v>1566</v>
      </c>
      <c r="B142" s="53" t="s">
        <v>31</v>
      </c>
      <c r="C142" s="53" t="s">
        <v>93</v>
      </c>
      <c r="D142" s="54">
        <v>257.18</v>
      </c>
      <c r="E142" s="62">
        <v>956</v>
      </c>
      <c r="F142" s="54">
        <f t="shared" si="14"/>
        <v>255.99648880000004</v>
      </c>
      <c r="G142" s="85">
        <v>25569.041962604166</v>
      </c>
      <c r="H142" s="85">
        <v>25569.041962604166</v>
      </c>
      <c r="I142" s="62">
        <v>55</v>
      </c>
      <c r="J142" s="62">
        <v>8501</v>
      </c>
      <c r="K142" s="57" t="s">
        <v>384</v>
      </c>
      <c r="L142" s="52">
        <v>1114</v>
      </c>
      <c r="M142" s="58">
        <f t="shared" si="11"/>
        <v>33.376638536557273</v>
      </c>
      <c r="N142" s="62">
        <v>7974</v>
      </c>
      <c r="O142" s="60">
        <f t="shared" si="12"/>
        <v>0.1397040381239027</v>
      </c>
      <c r="P142" s="60">
        <f t="shared" si="13"/>
        <v>4.1856832877548624E-3</v>
      </c>
      <c r="Q142" s="89"/>
      <c r="R142" s="63"/>
      <c r="S142" s="63"/>
      <c r="T142" s="63"/>
      <c r="U142" s="63"/>
      <c r="V142" s="63"/>
      <c r="W142" s="63"/>
      <c r="X142" s="63"/>
      <c r="Y142" s="63"/>
      <c r="Z142" s="63"/>
    </row>
    <row r="143" spans="1:26" ht="17.25" customHeight="1" x14ac:dyDescent="0.2">
      <c r="A143" s="52">
        <v>1567</v>
      </c>
      <c r="B143" s="53" t="s">
        <v>31</v>
      </c>
      <c r="C143" s="53" t="s">
        <v>93</v>
      </c>
      <c r="D143" s="54">
        <v>253.16</v>
      </c>
      <c r="E143" s="62">
        <v>956</v>
      </c>
      <c r="F143" s="54">
        <f t="shared" si="14"/>
        <v>252.00342279999998</v>
      </c>
      <c r="G143" s="85">
        <v>25569.041962604166</v>
      </c>
      <c r="H143" s="85">
        <v>25569.041962604166</v>
      </c>
      <c r="I143" s="62">
        <v>56</v>
      </c>
      <c r="J143" s="62">
        <v>6648</v>
      </c>
      <c r="K143" s="57" t="s">
        <v>384</v>
      </c>
      <c r="L143" s="52">
        <v>1192</v>
      </c>
      <c r="M143" s="58">
        <f t="shared" si="11"/>
        <v>34.525353003264136</v>
      </c>
      <c r="N143" s="62">
        <v>6552</v>
      </c>
      <c r="O143" s="60">
        <f t="shared" si="12"/>
        <v>0.18192918192918192</v>
      </c>
      <c r="P143" s="60">
        <f t="shared" si="13"/>
        <v>5.26943727156046E-3</v>
      </c>
      <c r="Q143" s="89"/>
      <c r="R143" s="63"/>
      <c r="S143" s="63"/>
      <c r="T143" s="63"/>
      <c r="U143" s="63"/>
      <c r="V143" s="63"/>
      <c r="W143" s="63"/>
      <c r="X143" s="63"/>
      <c r="Y143" s="63"/>
      <c r="Z143" s="63"/>
    </row>
    <row r="144" spans="1:26" ht="17.25" customHeight="1" x14ac:dyDescent="0.2">
      <c r="A144" s="52">
        <v>1568</v>
      </c>
      <c r="B144" s="53" t="s">
        <v>31</v>
      </c>
      <c r="C144" s="53" t="s">
        <v>93</v>
      </c>
      <c r="D144" s="54">
        <v>249.13</v>
      </c>
      <c r="E144" s="62">
        <v>956</v>
      </c>
      <c r="F144" s="54">
        <f t="shared" si="14"/>
        <v>248.00042379999996</v>
      </c>
      <c r="G144" s="85">
        <v>25569.041962604166</v>
      </c>
      <c r="H144" s="85">
        <v>25569.041962604166</v>
      </c>
      <c r="I144" s="62">
        <v>55</v>
      </c>
      <c r="J144" s="62">
        <v>5464</v>
      </c>
      <c r="K144" s="57" t="s">
        <v>384</v>
      </c>
      <c r="L144" s="52">
        <v>1762</v>
      </c>
      <c r="M144" s="58">
        <f t="shared" si="11"/>
        <v>41.976183723630712</v>
      </c>
      <c r="N144" s="62">
        <v>6589</v>
      </c>
      <c r="O144" s="60">
        <f t="shared" si="12"/>
        <v>0.26741538928517228</v>
      </c>
      <c r="P144" s="60">
        <f t="shared" si="13"/>
        <v>6.370645579546321E-3</v>
      </c>
      <c r="Q144" s="89"/>
      <c r="R144" s="63"/>
      <c r="S144" s="63"/>
      <c r="T144" s="63"/>
      <c r="U144" s="63"/>
      <c r="V144" s="63"/>
      <c r="W144" s="63"/>
      <c r="X144" s="63"/>
      <c r="Y144" s="63"/>
      <c r="Z144" s="63"/>
    </row>
    <row r="145" spans="1:26" ht="17.25" customHeight="1" x14ac:dyDescent="0.2">
      <c r="A145" s="52">
        <v>1569</v>
      </c>
      <c r="B145" s="53" t="s">
        <v>31</v>
      </c>
      <c r="C145" s="53" t="s">
        <v>93</v>
      </c>
      <c r="D145" s="54">
        <v>247.12</v>
      </c>
      <c r="E145" s="62">
        <v>956</v>
      </c>
      <c r="F145" s="54">
        <f t="shared" si="14"/>
        <v>246.00389079999999</v>
      </c>
      <c r="G145" s="85">
        <v>25569.041962604166</v>
      </c>
      <c r="H145" s="85">
        <v>25569.041962604166</v>
      </c>
      <c r="I145" s="62">
        <v>55</v>
      </c>
      <c r="J145" s="62">
        <v>9340</v>
      </c>
      <c r="K145" s="57" t="s">
        <v>384</v>
      </c>
      <c r="L145" s="52">
        <v>2916</v>
      </c>
      <c r="M145" s="58">
        <f t="shared" si="11"/>
        <v>54</v>
      </c>
      <c r="N145" s="62">
        <v>9058</v>
      </c>
      <c r="O145" s="60">
        <f t="shared" si="12"/>
        <v>0.32192536983881653</v>
      </c>
      <c r="P145" s="60">
        <f t="shared" si="13"/>
        <v>5.9615809229410467E-3</v>
      </c>
      <c r="Q145" s="89"/>
      <c r="R145" s="63"/>
      <c r="S145" s="63"/>
      <c r="T145" s="63"/>
      <c r="U145" s="63"/>
      <c r="V145" s="63"/>
      <c r="W145" s="63"/>
      <c r="X145" s="63"/>
      <c r="Y145" s="63"/>
      <c r="Z145" s="63"/>
    </row>
    <row r="146" spans="1:26" ht="17.25" customHeight="1" x14ac:dyDescent="0.2">
      <c r="A146" s="52">
        <v>1570</v>
      </c>
      <c r="B146" s="53" t="s">
        <v>31</v>
      </c>
      <c r="C146" s="53" t="s">
        <v>93</v>
      </c>
      <c r="D146" s="54">
        <v>245.1</v>
      </c>
      <c r="E146" s="62">
        <v>956</v>
      </c>
      <c r="F146" s="54">
        <f t="shared" si="14"/>
        <v>243.99742479999998</v>
      </c>
      <c r="G146" s="85">
        <v>25569.041962604166</v>
      </c>
      <c r="H146" s="85">
        <v>25569.041962604166</v>
      </c>
      <c r="I146" s="62">
        <v>55</v>
      </c>
      <c r="J146" s="62">
        <v>4148</v>
      </c>
      <c r="K146" s="57" t="s">
        <v>384</v>
      </c>
      <c r="L146" s="52">
        <v>2795</v>
      </c>
      <c r="M146" s="58">
        <f t="shared" si="11"/>
        <v>52.867759551545213</v>
      </c>
      <c r="N146" s="62">
        <v>6879</v>
      </c>
      <c r="O146" s="60">
        <f t="shared" si="12"/>
        <v>0.40630905654891697</v>
      </c>
      <c r="P146" s="60">
        <f t="shared" si="13"/>
        <v>7.6853844383697068E-3</v>
      </c>
      <c r="Q146" s="89"/>
      <c r="R146" s="63"/>
      <c r="S146" s="63"/>
      <c r="T146" s="63"/>
      <c r="U146" s="63"/>
      <c r="V146" s="63"/>
      <c r="W146" s="63"/>
      <c r="X146" s="63"/>
      <c r="Y146" s="63"/>
      <c r="Z146" s="63"/>
    </row>
    <row r="147" spans="1:26" ht="17.25" customHeight="1" x14ac:dyDescent="0.2">
      <c r="A147" s="52">
        <v>1571</v>
      </c>
      <c r="B147" s="53" t="s">
        <v>31</v>
      </c>
      <c r="C147" s="53" t="s">
        <v>93</v>
      </c>
      <c r="D147" s="54">
        <v>243.09</v>
      </c>
      <c r="E147" s="62">
        <v>956</v>
      </c>
      <c r="F147" s="54">
        <f t="shared" si="14"/>
        <v>242.00089179999998</v>
      </c>
      <c r="G147" s="85">
        <v>25569.041962604166</v>
      </c>
      <c r="H147" s="85">
        <v>25569.041962604166</v>
      </c>
      <c r="I147" s="62">
        <v>55</v>
      </c>
      <c r="J147" s="62">
        <v>9132</v>
      </c>
      <c r="K147" s="57" t="s">
        <v>384</v>
      </c>
      <c r="L147" s="52">
        <v>4856</v>
      </c>
      <c r="M147" s="58">
        <f t="shared" si="11"/>
        <v>69.68500556073738</v>
      </c>
      <c r="N147" s="62">
        <v>9496</v>
      </c>
      <c r="O147" s="60">
        <f t="shared" si="12"/>
        <v>0.51137320977253575</v>
      </c>
      <c r="P147" s="60">
        <f t="shared" si="13"/>
        <v>7.3383535763202803E-3</v>
      </c>
      <c r="Q147" s="89"/>
      <c r="R147" s="63"/>
      <c r="S147" s="63"/>
      <c r="T147" s="63"/>
      <c r="U147" s="63"/>
      <c r="V147" s="63"/>
      <c r="W147" s="63"/>
      <c r="X147" s="63"/>
      <c r="Y147" s="63"/>
      <c r="Z147" s="63"/>
    </row>
    <row r="148" spans="1:26" ht="17.25" customHeight="1" x14ac:dyDescent="0.2">
      <c r="A148" s="52">
        <v>1572</v>
      </c>
      <c r="B148" s="53" t="s">
        <v>31</v>
      </c>
      <c r="C148" s="53" t="s">
        <v>93</v>
      </c>
      <c r="D148" s="54">
        <v>241.08</v>
      </c>
      <c r="E148" s="62">
        <v>956</v>
      </c>
      <c r="F148" s="54">
        <f t="shared" si="14"/>
        <v>240.00435880000001</v>
      </c>
      <c r="G148" s="85">
        <v>25569.041962604166</v>
      </c>
      <c r="H148" s="85">
        <v>25569.041962604166</v>
      </c>
      <c r="I148" s="62">
        <v>56</v>
      </c>
      <c r="J148" s="62">
        <v>8541</v>
      </c>
      <c r="K148" s="57" t="s">
        <v>384</v>
      </c>
      <c r="L148" s="52">
        <v>8156</v>
      </c>
      <c r="M148" s="58">
        <f t="shared" si="11"/>
        <v>90.31057523900509</v>
      </c>
      <c r="N148" s="62">
        <v>12153</v>
      </c>
      <c r="O148" s="60">
        <f t="shared" si="12"/>
        <v>0.6711100139883156</v>
      </c>
      <c r="P148" s="60">
        <f t="shared" si="13"/>
        <v>7.4311343074965099E-3</v>
      </c>
      <c r="Q148" s="89"/>
      <c r="R148" s="63"/>
      <c r="S148" s="63"/>
      <c r="T148" s="63"/>
      <c r="U148" s="63"/>
      <c r="V148" s="63"/>
      <c r="W148" s="63"/>
      <c r="X148" s="63"/>
      <c r="Y148" s="63"/>
      <c r="Z148" s="63"/>
    </row>
    <row r="149" spans="1:26" ht="17.25" customHeight="1" x14ac:dyDescent="0.2">
      <c r="A149" s="52">
        <v>1573</v>
      </c>
      <c r="B149" s="53" t="s">
        <v>31</v>
      </c>
      <c r="C149" s="53" t="s">
        <v>93</v>
      </c>
      <c r="D149" s="54">
        <v>239.06</v>
      </c>
      <c r="E149" s="62">
        <v>956</v>
      </c>
      <c r="F149" s="54">
        <f t="shared" si="14"/>
        <v>237.99789279999999</v>
      </c>
      <c r="G149" s="85">
        <v>25569.041962604166</v>
      </c>
      <c r="H149" s="85">
        <v>25569.041962604166</v>
      </c>
      <c r="I149" s="62">
        <v>57</v>
      </c>
      <c r="J149" s="62">
        <v>7705</v>
      </c>
      <c r="K149" s="57" t="s">
        <v>384</v>
      </c>
      <c r="L149" s="52">
        <v>6652</v>
      </c>
      <c r="M149" s="58">
        <f t="shared" si="11"/>
        <v>81.559794016414727</v>
      </c>
      <c r="N149" s="62">
        <v>7571</v>
      </c>
      <c r="O149" s="60">
        <f t="shared" si="12"/>
        <v>0.8786157707040021</v>
      </c>
      <c r="P149" s="60">
        <f t="shared" si="13"/>
        <v>1.0772658039415496E-2</v>
      </c>
      <c r="Q149" s="89"/>
      <c r="R149" s="63"/>
      <c r="S149" s="63"/>
      <c r="T149" s="63"/>
      <c r="U149" s="63"/>
      <c r="V149" s="63"/>
      <c r="W149" s="63"/>
      <c r="X149" s="63"/>
      <c r="Y149" s="63"/>
      <c r="Z149" s="63"/>
    </row>
    <row r="150" spans="1:26" ht="17.25" customHeight="1" x14ac:dyDescent="0.2">
      <c r="A150" s="52">
        <v>1574</v>
      </c>
      <c r="B150" s="53" t="s">
        <v>31</v>
      </c>
      <c r="C150" s="53" t="s">
        <v>93</v>
      </c>
      <c r="D150" s="54">
        <v>237.05</v>
      </c>
      <c r="E150" s="62">
        <v>956</v>
      </c>
      <c r="F150" s="54">
        <f t="shared" si="14"/>
        <v>236.00135979999999</v>
      </c>
      <c r="G150" s="85">
        <v>25569.041962604166</v>
      </c>
      <c r="H150" s="85">
        <v>25569.041962604166</v>
      </c>
      <c r="I150" s="62">
        <v>56</v>
      </c>
      <c r="J150" s="62">
        <v>7499</v>
      </c>
      <c r="K150" s="57" t="s">
        <v>384</v>
      </c>
      <c r="L150" s="52">
        <v>8627</v>
      </c>
      <c r="M150" s="58">
        <f t="shared" si="11"/>
        <v>92.881645118936177</v>
      </c>
      <c r="N150" s="62">
        <v>7488</v>
      </c>
      <c r="O150" s="60">
        <f t="shared" si="12"/>
        <v>1.1521100427350428</v>
      </c>
      <c r="P150" s="60">
        <f t="shared" si="13"/>
        <v>1.2404065854558784E-2</v>
      </c>
      <c r="Q150" s="89"/>
      <c r="R150" s="63"/>
      <c r="S150" s="63"/>
      <c r="T150" s="63"/>
      <c r="U150" s="63"/>
      <c r="V150" s="63"/>
      <c r="W150" s="63"/>
      <c r="X150" s="63"/>
      <c r="Y150" s="63"/>
      <c r="Z150" s="63"/>
    </row>
    <row r="151" spans="1:26" ht="17.25" customHeight="1" x14ac:dyDescent="0.2">
      <c r="A151" s="52">
        <v>1575</v>
      </c>
      <c r="B151" s="53" t="s">
        <v>31</v>
      </c>
      <c r="C151" s="53" t="s">
        <v>93</v>
      </c>
      <c r="D151" s="54">
        <v>235.04</v>
      </c>
      <c r="E151" s="62">
        <v>956</v>
      </c>
      <c r="F151" s="54">
        <f t="shared" si="14"/>
        <v>234.00482679999999</v>
      </c>
      <c r="G151" s="85">
        <v>25569.041962604166</v>
      </c>
      <c r="H151" s="85">
        <v>25569.041962604166</v>
      </c>
      <c r="I151" s="62">
        <v>56</v>
      </c>
      <c r="J151" s="62">
        <v>2726</v>
      </c>
      <c r="K151" s="57" t="s">
        <v>384</v>
      </c>
      <c r="L151" s="52">
        <v>9643</v>
      </c>
      <c r="M151" s="58">
        <f t="shared" si="11"/>
        <v>98.19877799647</v>
      </c>
      <c r="N151" s="62">
        <v>6737</v>
      </c>
      <c r="O151" s="60">
        <f t="shared" si="12"/>
        <v>1.4313492652515956</v>
      </c>
      <c r="P151" s="60">
        <f t="shared" si="13"/>
        <v>1.4576039482925634E-2</v>
      </c>
      <c r="Q151" s="89"/>
      <c r="R151" s="63"/>
      <c r="S151" s="63"/>
      <c r="T151" s="63"/>
      <c r="U151" s="63"/>
      <c r="V151" s="63"/>
      <c r="W151" s="63"/>
      <c r="X151" s="63"/>
      <c r="Y151" s="63"/>
      <c r="Z151" s="63"/>
    </row>
    <row r="152" spans="1:26" ht="17.25" customHeight="1" x14ac:dyDescent="0.2">
      <c r="A152" s="52">
        <v>1576</v>
      </c>
      <c r="B152" s="53" t="s">
        <v>31</v>
      </c>
      <c r="C152" s="53" t="s">
        <v>93</v>
      </c>
      <c r="D152" s="54">
        <v>233.02</v>
      </c>
      <c r="E152" s="62">
        <v>956</v>
      </c>
      <c r="F152" s="54">
        <f t="shared" si="14"/>
        <v>231.9983608</v>
      </c>
      <c r="G152" s="85">
        <v>25569.041962604166</v>
      </c>
      <c r="H152" s="85">
        <v>25569.041962604166</v>
      </c>
      <c r="I152" s="62">
        <v>56</v>
      </c>
      <c r="J152" s="62">
        <v>7317</v>
      </c>
      <c r="K152" s="57" t="s">
        <v>384</v>
      </c>
      <c r="L152" s="52">
        <v>10184</v>
      </c>
      <c r="M152" s="58">
        <f t="shared" si="11"/>
        <v>100.91580649234291</v>
      </c>
      <c r="N152" s="62">
        <v>6748</v>
      </c>
      <c r="O152" s="60">
        <f t="shared" si="12"/>
        <v>1.5091879075281565</v>
      </c>
      <c r="P152" s="60">
        <f t="shared" si="13"/>
        <v>1.4954920938402921E-2</v>
      </c>
      <c r="Q152" s="89"/>
      <c r="R152" s="63"/>
      <c r="S152" s="63"/>
      <c r="T152" s="63"/>
      <c r="U152" s="63"/>
      <c r="V152" s="63"/>
      <c r="W152" s="63"/>
      <c r="X152" s="63"/>
      <c r="Y152" s="63"/>
      <c r="Z152" s="63"/>
    </row>
    <row r="153" spans="1:26" ht="17.25" customHeight="1" x14ac:dyDescent="0.2">
      <c r="A153" s="52">
        <v>1577</v>
      </c>
      <c r="B153" s="53" t="s">
        <v>31</v>
      </c>
      <c r="C153" s="53" t="s">
        <v>93</v>
      </c>
      <c r="D153" s="54">
        <v>231.01</v>
      </c>
      <c r="E153" s="62">
        <v>956</v>
      </c>
      <c r="F153" s="54">
        <f t="shared" si="14"/>
        <v>230.00182779999997</v>
      </c>
      <c r="G153" s="85">
        <v>25569.041962604166</v>
      </c>
      <c r="H153" s="85">
        <v>25569.041962604166</v>
      </c>
      <c r="I153" s="62">
        <v>56</v>
      </c>
      <c r="J153" s="62">
        <v>8029</v>
      </c>
      <c r="K153" s="57" t="s">
        <v>384</v>
      </c>
      <c r="L153" s="52">
        <v>11654</v>
      </c>
      <c r="M153" s="58">
        <f t="shared" si="11"/>
        <v>107.95369377654477</v>
      </c>
      <c r="N153" s="62">
        <v>7801</v>
      </c>
      <c r="O153" s="60">
        <f t="shared" si="12"/>
        <v>1.4939110370465325</v>
      </c>
      <c r="P153" s="60">
        <f t="shared" si="13"/>
        <v>1.383844299148119E-2</v>
      </c>
      <c r="Q153" s="89"/>
      <c r="R153" s="63"/>
      <c r="S153" s="63"/>
      <c r="T153" s="63"/>
      <c r="U153" s="63"/>
      <c r="V153" s="63"/>
      <c r="W153" s="63"/>
      <c r="X153" s="63"/>
      <c r="Y153" s="63"/>
      <c r="Z153" s="63"/>
    </row>
    <row r="154" spans="1:26" ht="17.25" customHeight="1" x14ac:dyDescent="0.2">
      <c r="A154" s="52">
        <v>1578</v>
      </c>
      <c r="B154" s="53" t="s">
        <v>31</v>
      </c>
      <c r="C154" s="53" t="s">
        <v>93</v>
      </c>
      <c r="D154" s="54">
        <v>228.99</v>
      </c>
      <c r="E154" s="62">
        <v>956</v>
      </c>
      <c r="F154" s="54">
        <f t="shared" si="14"/>
        <v>227.99536179999998</v>
      </c>
      <c r="G154" s="85">
        <v>25569.041962604166</v>
      </c>
      <c r="H154" s="85">
        <v>25569.041962604166</v>
      </c>
      <c r="I154" s="62">
        <v>55</v>
      </c>
      <c r="J154" s="62">
        <v>4071</v>
      </c>
      <c r="K154" s="57" t="s">
        <v>384</v>
      </c>
      <c r="L154" s="52">
        <v>9322</v>
      </c>
      <c r="M154" s="58">
        <f t="shared" si="11"/>
        <v>96.550504918410454</v>
      </c>
      <c r="N154" s="62">
        <v>7342</v>
      </c>
      <c r="O154" s="60">
        <f t="shared" si="12"/>
        <v>1.2696812857532007</v>
      </c>
      <c r="P154" s="60">
        <f t="shared" si="13"/>
        <v>1.3150436518443265E-2</v>
      </c>
      <c r="Q154" s="89"/>
      <c r="R154" s="63"/>
      <c r="S154" s="63"/>
      <c r="T154" s="63"/>
      <c r="U154" s="63"/>
      <c r="V154" s="63"/>
      <c r="W154" s="63"/>
      <c r="X154" s="63"/>
      <c r="Y154" s="63"/>
      <c r="Z154" s="63"/>
    </row>
    <row r="155" spans="1:26" ht="17.25" customHeight="1" x14ac:dyDescent="0.2">
      <c r="A155" s="52">
        <v>1579</v>
      </c>
      <c r="B155" s="53" t="s">
        <v>31</v>
      </c>
      <c r="C155" s="53" t="s">
        <v>93</v>
      </c>
      <c r="D155" s="54">
        <v>226.99</v>
      </c>
      <c r="E155" s="62">
        <v>956</v>
      </c>
      <c r="F155" s="54">
        <f t="shared" si="14"/>
        <v>226.0087618</v>
      </c>
      <c r="G155" s="85">
        <v>25569.041962604166</v>
      </c>
      <c r="H155" s="85">
        <v>25569.041962604166</v>
      </c>
      <c r="I155" s="62">
        <v>54</v>
      </c>
      <c r="J155" s="62">
        <v>7766</v>
      </c>
      <c r="K155" s="57" t="s">
        <v>384</v>
      </c>
      <c r="L155" s="52">
        <v>6493</v>
      </c>
      <c r="M155" s="58">
        <f t="shared" si="11"/>
        <v>80.579153631693103</v>
      </c>
      <c r="N155" s="62">
        <v>7771</v>
      </c>
      <c r="O155" s="60">
        <f t="shared" si="12"/>
        <v>0.83554240123536228</v>
      </c>
      <c r="P155" s="60">
        <f t="shared" si="13"/>
        <v>1.036921292390852E-2</v>
      </c>
      <c r="Q155" s="89"/>
      <c r="R155" s="63"/>
      <c r="S155" s="63"/>
      <c r="T155" s="63"/>
      <c r="U155" s="63"/>
      <c r="V155" s="63"/>
      <c r="W155" s="63"/>
      <c r="X155" s="63"/>
      <c r="Y155" s="63"/>
      <c r="Z155" s="63"/>
    </row>
    <row r="156" spans="1:26" ht="17.25" customHeight="1" x14ac:dyDescent="0.2">
      <c r="A156" s="52">
        <v>1580</v>
      </c>
      <c r="B156" s="53" t="s">
        <v>31</v>
      </c>
      <c r="C156" s="53" t="s">
        <v>93</v>
      </c>
      <c r="D156" s="54">
        <v>224.97</v>
      </c>
      <c r="E156" s="62">
        <v>956</v>
      </c>
      <c r="F156" s="54">
        <f t="shared" si="14"/>
        <v>224.00229579999998</v>
      </c>
      <c r="G156" s="85">
        <v>25569.041962604166</v>
      </c>
      <c r="H156" s="85">
        <v>25569.041962604166</v>
      </c>
      <c r="I156" s="62">
        <v>54</v>
      </c>
      <c r="J156" s="62">
        <v>7244</v>
      </c>
      <c r="K156" s="57" t="s">
        <v>384</v>
      </c>
      <c r="L156" s="52">
        <v>1264</v>
      </c>
      <c r="M156" s="58">
        <f t="shared" si="11"/>
        <v>35.552777669262355</v>
      </c>
      <c r="N156" s="62">
        <v>7360</v>
      </c>
      <c r="O156" s="60">
        <f t="shared" si="12"/>
        <v>0.17173913043478262</v>
      </c>
      <c r="P156" s="60">
        <f t="shared" si="13"/>
        <v>4.8305404441932546E-3</v>
      </c>
      <c r="Q156" s="89"/>
      <c r="R156" s="63"/>
      <c r="S156" s="63"/>
      <c r="T156" s="63"/>
      <c r="U156" s="63"/>
      <c r="V156" s="63"/>
      <c r="W156" s="63"/>
      <c r="X156" s="63"/>
      <c r="Y156" s="63"/>
      <c r="Z156" s="63"/>
    </row>
    <row r="157" spans="1:26" ht="17.25" customHeight="1" x14ac:dyDescent="0.2">
      <c r="A157" s="52">
        <v>1581</v>
      </c>
      <c r="B157" s="53" t="s">
        <v>31</v>
      </c>
      <c r="C157" s="53" t="s">
        <v>93</v>
      </c>
      <c r="D157" s="54">
        <v>222.95</v>
      </c>
      <c r="E157" s="62">
        <v>956</v>
      </c>
      <c r="F157" s="54">
        <f t="shared" si="14"/>
        <v>221.99582979999997</v>
      </c>
      <c r="G157" s="85">
        <v>25569.041962604166</v>
      </c>
      <c r="H157" s="85">
        <v>25569.041962604166</v>
      </c>
      <c r="I157" s="62">
        <v>54</v>
      </c>
      <c r="J157" s="62">
        <v>4924</v>
      </c>
      <c r="K157" s="57" t="s">
        <v>384</v>
      </c>
      <c r="L157" s="52">
        <v>354</v>
      </c>
      <c r="M157" s="58">
        <f t="shared" si="11"/>
        <v>18.814887722226779</v>
      </c>
      <c r="N157" s="62">
        <v>6720</v>
      </c>
      <c r="O157" s="60">
        <f t="shared" si="12"/>
        <v>5.2678571428571429E-2</v>
      </c>
      <c r="P157" s="60">
        <f t="shared" si="13"/>
        <v>2.7998344824742231E-3</v>
      </c>
      <c r="Q157" s="89"/>
      <c r="R157" s="63"/>
      <c r="S157" s="63"/>
      <c r="T157" s="63"/>
      <c r="U157" s="63"/>
      <c r="V157" s="63"/>
      <c r="W157" s="63"/>
      <c r="X157" s="63"/>
      <c r="Y157" s="63"/>
      <c r="Z157" s="63"/>
    </row>
    <row r="158" spans="1:26" ht="17.25" customHeight="1" x14ac:dyDescent="0.2">
      <c r="A158" s="52">
        <v>1582</v>
      </c>
      <c r="B158" s="53" t="s">
        <v>31</v>
      </c>
      <c r="C158" s="53" t="s">
        <v>93</v>
      </c>
      <c r="D158" s="54">
        <v>227.99</v>
      </c>
      <c r="E158" s="62">
        <v>956</v>
      </c>
      <c r="F158" s="54">
        <f t="shared" si="14"/>
        <v>227.00206179999998</v>
      </c>
      <c r="G158" s="85">
        <v>25569.041962604166</v>
      </c>
      <c r="H158" s="85">
        <v>25569.041962604166</v>
      </c>
      <c r="I158" s="62">
        <v>54</v>
      </c>
      <c r="J158" s="62">
        <v>10012</v>
      </c>
      <c r="K158" s="57" t="s">
        <v>384</v>
      </c>
      <c r="L158" s="52">
        <v>11694</v>
      </c>
      <c r="M158" s="58">
        <f t="shared" si="11"/>
        <v>108.1387996974259</v>
      </c>
      <c r="N158" s="62">
        <v>10744</v>
      </c>
      <c r="O158" s="60">
        <f t="shared" si="12"/>
        <v>1.088421444527178</v>
      </c>
      <c r="P158" s="60">
        <f t="shared" si="13"/>
        <v>1.0065040924927949E-2</v>
      </c>
      <c r="Q158" s="89"/>
      <c r="R158" s="63"/>
      <c r="S158" s="63"/>
      <c r="T158" s="63"/>
      <c r="U158" s="63"/>
      <c r="V158" s="63"/>
      <c r="W158" s="63"/>
      <c r="X158" s="63"/>
      <c r="Y158" s="63"/>
      <c r="Z158" s="63"/>
    </row>
    <row r="159" spans="1:26" ht="17.25" customHeight="1" x14ac:dyDescent="0.2">
      <c r="A159" s="52">
        <v>1583</v>
      </c>
      <c r="B159" s="53" t="s">
        <v>31</v>
      </c>
      <c r="C159" s="53" t="s">
        <v>93</v>
      </c>
      <c r="D159" s="54">
        <v>225.97</v>
      </c>
      <c r="E159" s="62">
        <v>956</v>
      </c>
      <c r="F159" s="54">
        <v>224.99559579999999</v>
      </c>
      <c r="G159" s="85">
        <v>25569.041962604166</v>
      </c>
      <c r="H159" s="85">
        <v>25569.041962604166</v>
      </c>
      <c r="I159" s="62">
        <v>54</v>
      </c>
      <c r="J159" s="62">
        <v>5765</v>
      </c>
      <c r="K159" s="57" t="s">
        <v>384</v>
      </c>
      <c r="L159" s="52">
        <v>5092</v>
      </c>
      <c r="M159" s="58">
        <f t="shared" si="11"/>
        <v>71.358251099645088</v>
      </c>
      <c r="N159" s="62">
        <v>9997</v>
      </c>
      <c r="O159" s="60">
        <f t="shared" si="12"/>
        <v>0.50935280584175258</v>
      </c>
      <c r="P159" s="60">
        <f t="shared" si="13"/>
        <v>7.137966499914483E-3</v>
      </c>
      <c r="Q159" s="89"/>
      <c r="R159" s="63"/>
      <c r="S159" s="63"/>
      <c r="T159" s="63"/>
      <c r="U159" s="63"/>
      <c r="V159" s="63"/>
      <c r="W159" s="63"/>
      <c r="X159" s="63"/>
      <c r="Y159" s="63"/>
      <c r="Z159" s="63"/>
    </row>
    <row r="160" spans="1:26" ht="17.25" customHeight="1" x14ac:dyDescent="0.2">
      <c r="A160" s="52">
        <v>1584</v>
      </c>
      <c r="B160" s="53" t="s">
        <v>31</v>
      </c>
      <c r="C160" s="53" t="s">
        <v>93</v>
      </c>
      <c r="D160" s="54">
        <v>220.94</v>
      </c>
      <c r="E160" s="62">
        <v>956</v>
      </c>
      <c r="F160" s="54">
        <f>0.9933*(D160 + E160/1000)-0.41</f>
        <v>219.99929679999997</v>
      </c>
      <c r="G160" s="85">
        <v>25569.041962604166</v>
      </c>
      <c r="H160" s="85">
        <v>25569.041962604166</v>
      </c>
      <c r="I160" s="62">
        <v>53</v>
      </c>
      <c r="J160" s="62">
        <v>6402</v>
      </c>
      <c r="K160" s="57" t="s">
        <v>384</v>
      </c>
      <c r="L160" s="52">
        <v>207</v>
      </c>
      <c r="M160" s="58">
        <f t="shared" si="11"/>
        <v>14.387494569938159</v>
      </c>
      <c r="N160" s="62">
        <v>6465</v>
      </c>
      <c r="O160" s="60">
        <f t="shared" si="12"/>
        <v>3.2018561484918794E-2</v>
      </c>
      <c r="P160" s="60">
        <f t="shared" si="13"/>
        <v>2.2254438623260878E-3</v>
      </c>
      <c r="Q160" s="89"/>
      <c r="R160" s="63"/>
      <c r="S160" s="63"/>
      <c r="T160" s="63"/>
      <c r="U160" s="63"/>
      <c r="V160" s="63"/>
      <c r="W160" s="63"/>
      <c r="X160" s="63"/>
      <c r="Y160" s="63"/>
      <c r="Z160" s="63"/>
    </row>
    <row r="161" spans="1:26" ht="17.25" customHeight="1" x14ac:dyDescent="0.2">
      <c r="A161" s="52">
        <v>1585</v>
      </c>
      <c r="B161" s="53" t="s">
        <v>31</v>
      </c>
      <c r="C161" s="53" t="s">
        <v>93</v>
      </c>
      <c r="D161" s="54">
        <v>216.91</v>
      </c>
      <c r="E161" s="62">
        <v>956</v>
      </c>
      <c r="F161" s="54">
        <f>0.9933*(D161 + E161/1000)-0.41</f>
        <v>215.99629779999998</v>
      </c>
      <c r="G161" s="85">
        <v>25569.041962604166</v>
      </c>
      <c r="H161" s="85">
        <v>25569.041962604166</v>
      </c>
      <c r="I161" s="62">
        <v>53</v>
      </c>
      <c r="J161" s="62">
        <v>10118</v>
      </c>
      <c r="K161" s="57" t="s">
        <v>384</v>
      </c>
      <c r="L161" s="52">
        <v>228</v>
      </c>
      <c r="M161" s="58">
        <f t="shared" si="11"/>
        <v>15.0996688705415</v>
      </c>
      <c r="N161" s="62">
        <v>11970</v>
      </c>
      <c r="O161" s="60">
        <f t="shared" si="12"/>
        <v>1.9047619047619049E-2</v>
      </c>
      <c r="P161" s="60">
        <f t="shared" si="13"/>
        <v>1.2614593876809942E-3</v>
      </c>
      <c r="Q161" s="89"/>
      <c r="R161" s="63"/>
      <c r="S161" s="63"/>
      <c r="T161" s="63"/>
      <c r="U161" s="63"/>
      <c r="V161" s="63"/>
      <c r="W161" s="63"/>
      <c r="X161" s="63"/>
      <c r="Y161" s="63"/>
      <c r="Z161" s="63"/>
    </row>
    <row r="162" spans="1:26" ht="17.25" customHeight="1" x14ac:dyDescent="0.2">
      <c r="A162" s="52">
        <v>1586</v>
      </c>
      <c r="B162" s="53" t="s">
        <v>385</v>
      </c>
      <c r="C162" s="53" t="s">
        <v>93</v>
      </c>
      <c r="D162" s="54">
        <v>246.11</v>
      </c>
      <c r="E162" s="62">
        <v>956</v>
      </c>
      <c r="F162" s="54">
        <f>0.9933*(D162 + E162/1000)-0.41</f>
        <v>245.0006578</v>
      </c>
      <c r="G162" s="85">
        <v>25569.041962604166</v>
      </c>
      <c r="H162" s="86"/>
      <c r="I162" s="62">
        <v>56</v>
      </c>
      <c r="J162" s="55"/>
      <c r="K162" s="57"/>
      <c r="L162" s="52"/>
      <c r="M162" s="58">
        <f t="shared" si="11"/>
        <v>0</v>
      </c>
      <c r="N162" s="59"/>
      <c r="O162" s="71" t="e">
        <f t="shared" si="12"/>
        <v>#DIV/0!</v>
      </c>
      <c r="P162" s="60" t="e">
        <f t="shared" si="13"/>
        <v>#DIV/0!</v>
      </c>
      <c r="Q162" s="89"/>
      <c r="R162" s="63"/>
      <c r="S162" s="63"/>
      <c r="T162" s="63"/>
      <c r="U162" s="63"/>
      <c r="V162" s="63"/>
      <c r="W162" s="63"/>
      <c r="X162" s="63"/>
      <c r="Y162" s="63"/>
      <c r="Z162" s="63"/>
    </row>
    <row r="163" spans="1:26" ht="17.25" customHeight="1" x14ac:dyDescent="0.2">
      <c r="A163" s="52">
        <v>1587</v>
      </c>
      <c r="B163" s="53" t="s">
        <v>123</v>
      </c>
      <c r="C163" s="53" t="s">
        <v>93</v>
      </c>
      <c r="D163" s="54"/>
      <c r="E163" s="62">
        <v>956</v>
      </c>
      <c r="F163" s="54">
        <f>0.9933*(D163 + E163/1000)-0.41</f>
        <v>0.53959479999999993</v>
      </c>
      <c r="G163" s="85">
        <v>25569.041962604166</v>
      </c>
      <c r="H163" s="86"/>
      <c r="I163" s="59"/>
      <c r="J163" s="55"/>
      <c r="K163" s="57"/>
      <c r="L163" s="52"/>
      <c r="M163" s="58">
        <f t="shared" si="11"/>
        <v>0</v>
      </c>
      <c r="N163" s="59"/>
      <c r="O163" s="71" t="e">
        <f t="shared" si="12"/>
        <v>#DIV/0!</v>
      </c>
      <c r="P163" s="60" t="e">
        <f t="shared" si="13"/>
        <v>#DIV/0!</v>
      </c>
      <c r="Q163" s="89"/>
      <c r="R163" s="63"/>
      <c r="S163" s="63"/>
      <c r="T163" s="63"/>
      <c r="U163" s="63"/>
      <c r="V163" s="63"/>
      <c r="W163" s="63"/>
      <c r="X163" s="63"/>
      <c r="Y163" s="63"/>
      <c r="Z163" s="63"/>
    </row>
    <row r="164" spans="1:26" ht="17.25" customHeight="1" x14ac:dyDescent="0.2">
      <c r="A164" s="52">
        <v>1588</v>
      </c>
      <c r="B164" s="53" t="s">
        <v>310</v>
      </c>
      <c r="C164" s="53" t="s">
        <v>93</v>
      </c>
      <c r="D164" s="54"/>
      <c r="E164" s="62">
        <v>956</v>
      </c>
      <c r="F164" s="54">
        <f>0.9933*(D164 + E164/1000)-0.41</f>
        <v>0.53959479999999993</v>
      </c>
      <c r="G164" s="86"/>
      <c r="H164" s="86"/>
      <c r="I164" s="59"/>
      <c r="J164" s="55"/>
      <c r="K164" s="57"/>
      <c r="L164" s="52"/>
      <c r="M164" s="58">
        <f t="shared" si="11"/>
        <v>0</v>
      </c>
      <c r="N164" s="59"/>
      <c r="O164" s="71" t="e">
        <f t="shared" si="12"/>
        <v>#DIV/0!</v>
      </c>
      <c r="P164" s="60" t="e">
        <f t="shared" si="13"/>
        <v>#DIV/0!</v>
      </c>
      <c r="Q164" s="89"/>
      <c r="R164" s="63"/>
      <c r="S164" s="63"/>
      <c r="T164" s="63"/>
      <c r="U164" s="63"/>
      <c r="V164" s="63"/>
      <c r="W164" s="63"/>
      <c r="X164" s="63"/>
      <c r="Y164" s="63"/>
      <c r="Z164" s="63"/>
    </row>
    <row r="165" spans="1:26" ht="17.25" customHeight="1" x14ac:dyDescent="0.2">
      <c r="A165" s="52">
        <v>1589</v>
      </c>
      <c r="B165" s="53" t="s">
        <v>157</v>
      </c>
      <c r="C165" s="53" t="s">
        <v>93</v>
      </c>
      <c r="D165" s="54">
        <v>279.7</v>
      </c>
      <c r="E165" s="62">
        <v>2602</v>
      </c>
      <c r="F165" s="54">
        <v>280</v>
      </c>
      <c r="G165" s="85">
        <v>25569.041962604166</v>
      </c>
      <c r="H165" s="85">
        <v>25569.041962604166</v>
      </c>
      <c r="I165" s="62">
        <v>305</v>
      </c>
      <c r="J165" s="55"/>
      <c r="K165" s="57"/>
      <c r="L165" s="52"/>
      <c r="M165" s="58">
        <f t="shared" si="11"/>
        <v>0</v>
      </c>
      <c r="N165" s="59">
        <v>13934960</v>
      </c>
      <c r="O165" s="71">
        <f t="shared" si="12"/>
        <v>0</v>
      </c>
      <c r="P165" s="60">
        <f t="shared" si="13"/>
        <v>0</v>
      </c>
      <c r="Q165" s="89"/>
      <c r="R165" s="63"/>
      <c r="S165" s="63"/>
      <c r="T165" s="63"/>
      <c r="U165" s="63"/>
      <c r="V165" s="63"/>
      <c r="W165" s="63"/>
      <c r="X165" s="63"/>
      <c r="Y165" s="63"/>
      <c r="Z165" s="63"/>
    </row>
    <row r="166" spans="1:26" ht="17.25" customHeight="1" x14ac:dyDescent="0.2">
      <c r="A166" s="52">
        <v>1590</v>
      </c>
      <c r="B166" s="53" t="s">
        <v>123</v>
      </c>
      <c r="C166" s="53" t="s">
        <v>93</v>
      </c>
      <c r="D166" s="52">
        <v>0</v>
      </c>
      <c r="E166" s="62">
        <v>0</v>
      </c>
      <c r="F166" s="54">
        <f t="shared" ref="F166:F229" si="15">0.9933*(D166 + E166/1000)-0.41</f>
        <v>-0.41</v>
      </c>
      <c r="G166" s="85">
        <v>25569.041962604166</v>
      </c>
      <c r="H166" s="85">
        <v>25569.041962604166</v>
      </c>
      <c r="I166" s="59"/>
      <c r="J166" s="62">
        <v>15638</v>
      </c>
      <c r="K166" s="57"/>
      <c r="L166" s="52"/>
      <c r="M166" s="58">
        <f t="shared" si="11"/>
        <v>0</v>
      </c>
      <c r="N166" s="59"/>
      <c r="O166" s="71" t="e">
        <f t="shared" si="12"/>
        <v>#DIV/0!</v>
      </c>
      <c r="P166" s="60" t="e">
        <f t="shared" si="13"/>
        <v>#DIV/0!</v>
      </c>
      <c r="Q166" s="89"/>
      <c r="R166" s="63"/>
      <c r="S166" s="63"/>
      <c r="T166" s="63"/>
      <c r="U166" s="63"/>
      <c r="V166" s="63"/>
      <c r="W166" s="63"/>
      <c r="X166" s="63"/>
      <c r="Y166" s="63"/>
      <c r="Z166" s="63"/>
    </row>
    <row r="167" spans="1:26" ht="17.25" customHeight="1" x14ac:dyDescent="0.2">
      <c r="A167" s="52">
        <v>1591</v>
      </c>
      <c r="B167" s="53" t="s">
        <v>32</v>
      </c>
      <c r="C167" s="53" t="s">
        <v>93</v>
      </c>
      <c r="D167" s="54">
        <v>261.20999999999998</v>
      </c>
      <c r="E167" s="62">
        <v>950</v>
      </c>
      <c r="F167" s="54">
        <f t="shared" si="15"/>
        <v>259.99352799999991</v>
      </c>
      <c r="G167" s="85">
        <v>25569.041962604166</v>
      </c>
      <c r="H167" s="85">
        <v>25569.041962604166</v>
      </c>
      <c r="I167" s="62">
        <v>55</v>
      </c>
      <c r="J167" s="62">
        <v>1348</v>
      </c>
      <c r="K167" s="57" t="s">
        <v>384</v>
      </c>
      <c r="L167" s="52">
        <v>689</v>
      </c>
      <c r="M167" s="58">
        <f t="shared" si="11"/>
        <v>26.248809496813376</v>
      </c>
      <c r="N167" s="59"/>
      <c r="O167" s="71" t="e">
        <f t="shared" si="12"/>
        <v>#DIV/0!</v>
      </c>
      <c r="P167" s="60" t="e">
        <f t="shared" si="13"/>
        <v>#DIV/0!</v>
      </c>
      <c r="Q167" s="89"/>
      <c r="R167" s="63"/>
      <c r="S167" s="63"/>
      <c r="T167" s="63"/>
      <c r="U167" s="63"/>
      <c r="V167" s="63"/>
      <c r="W167" s="63"/>
      <c r="X167" s="63"/>
      <c r="Y167" s="63"/>
      <c r="Z167" s="63"/>
    </row>
    <row r="168" spans="1:26" ht="17.25" customHeight="1" x14ac:dyDescent="0.2">
      <c r="A168" s="52">
        <v>1592</v>
      </c>
      <c r="B168" s="53" t="s">
        <v>32</v>
      </c>
      <c r="C168" s="53" t="s">
        <v>93</v>
      </c>
      <c r="D168" s="54">
        <v>257.18</v>
      </c>
      <c r="E168" s="62">
        <v>950</v>
      </c>
      <c r="F168" s="54">
        <f t="shared" si="15"/>
        <v>255.99052900000001</v>
      </c>
      <c r="G168" s="85">
        <v>25569.041962604166</v>
      </c>
      <c r="H168" s="85">
        <v>25569.041962604166</v>
      </c>
      <c r="I168" s="62">
        <v>55</v>
      </c>
      <c r="J168" s="62">
        <v>2031</v>
      </c>
      <c r="K168" s="57" t="s">
        <v>384</v>
      </c>
      <c r="L168" s="52">
        <v>1108</v>
      </c>
      <c r="M168" s="58">
        <f t="shared" si="11"/>
        <v>33.286633954186478</v>
      </c>
      <c r="N168" s="62">
        <v>10689</v>
      </c>
      <c r="O168" s="60">
        <f t="shared" si="12"/>
        <v>0.10365796613340818</v>
      </c>
      <c r="P168" s="60">
        <f t="shared" si="13"/>
        <v>3.1141017825976683E-3</v>
      </c>
      <c r="Q168" s="89"/>
      <c r="R168" s="63"/>
      <c r="S168" s="63"/>
      <c r="T168" s="63"/>
      <c r="U168" s="63"/>
      <c r="V168" s="63"/>
      <c r="W168" s="63"/>
      <c r="X168" s="63"/>
      <c r="Y168" s="63"/>
      <c r="Z168" s="63"/>
    </row>
    <row r="169" spans="1:26" ht="17.25" customHeight="1" x14ac:dyDescent="0.2">
      <c r="A169" s="52">
        <v>1593</v>
      </c>
      <c r="B169" s="53" t="s">
        <v>32</v>
      </c>
      <c r="C169" s="53" t="s">
        <v>93</v>
      </c>
      <c r="D169" s="54">
        <v>253.16</v>
      </c>
      <c r="E169" s="62">
        <v>950</v>
      </c>
      <c r="F169" s="54">
        <f t="shared" si="15"/>
        <v>251.99746299999998</v>
      </c>
      <c r="G169" s="85">
        <v>25569.041962604166</v>
      </c>
      <c r="H169" s="85">
        <v>25569.041962604166</v>
      </c>
      <c r="I169" s="62">
        <v>55</v>
      </c>
      <c r="J169" s="62">
        <v>1478</v>
      </c>
      <c r="K169" s="57" t="s">
        <v>384</v>
      </c>
      <c r="L169" s="52">
        <v>1001</v>
      </c>
      <c r="M169" s="58">
        <f t="shared" si="11"/>
        <v>31.63858403911275</v>
      </c>
      <c r="N169" s="62">
        <v>7079</v>
      </c>
      <c r="O169" s="60">
        <f t="shared" si="12"/>
        <v>0.14140415312897303</v>
      </c>
      <c r="P169" s="60">
        <f t="shared" si="13"/>
        <v>4.4693578244261551E-3</v>
      </c>
      <c r="Q169" s="89"/>
      <c r="R169" s="63"/>
      <c r="S169" s="63"/>
      <c r="T169" s="63"/>
      <c r="U169" s="63"/>
      <c r="V169" s="63"/>
      <c r="W169" s="63"/>
      <c r="X169" s="63"/>
      <c r="Y169" s="63"/>
      <c r="Z169" s="63"/>
    </row>
    <row r="170" spans="1:26" ht="17.25" customHeight="1" x14ac:dyDescent="0.2">
      <c r="A170" s="52">
        <v>1594</v>
      </c>
      <c r="B170" s="53" t="s">
        <v>32</v>
      </c>
      <c r="C170" s="53" t="s">
        <v>93</v>
      </c>
      <c r="D170" s="54">
        <v>249.13</v>
      </c>
      <c r="E170" s="62">
        <v>950</v>
      </c>
      <c r="F170" s="54">
        <f t="shared" si="15"/>
        <v>247.99446399999997</v>
      </c>
      <c r="G170" s="85">
        <v>25569.041962604166</v>
      </c>
      <c r="H170" s="85">
        <v>25569.041962604166</v>
      </c>
      <c r="I170" s="62">
        <v>55</v>
      </c>
      <c r="J170" s="62">
        <v>1349</v>
      </c>
      <c r="K170" s="57" t="s">
        <v>384</v>
      </c>
      <c r="L170" s="52">
        <v>1467</v>
      </c>
      <c r="M170" s="58">
        <f t="shared" si="11"/>
        <v>38.301436004411116</v>
      </c>
      <c r="N170" s="62">
        <v>6855</v>
      </c>
      <c r="O170" s="60">
        <f t="shared" si="12"/>
        <v>0.21400437636761488</v>
      </c>
      <c r="P170" s="60">
        <f t="shared" si="13"/>
        <v>5.5873721377696743E-3</v>
      </c>
      <c r="Q170" s="89"/>
      <c r="R170" s="63"/>
      <c r="S170" s="63"/>
      <c r="T170" s="63"/>
      <c r="U170" s="63"/>
      <c r="V170" s="63"/>
      <c r="W170" s="63"/>
      <c r="X170" s="63"/>
      <c r="Y170" s="63"/>
      <c r="Z170" s="63"/>
    </row>
    <row r="171" spans="1:26" ht="17.25" customHeight="1" x14ac:dyDescent="0.2">
      <c r="A171" s="52">
        <v>1595</v>
      </c>
      <c r="B171" s="53" t="s">
        <v>32</v>
      </c>
      <c r="C171" s="53" t="s">
        <v>93</v>
      </c>
      <c r="D171" s="54">
        <v>247.12</v>
      </c>
      <c r="E171" s="62">
        <v>950</v>
      </c>
      <c r="F171" s="54">
        <f t="shared" si="15"/>
        <v>245.99793099999999</v>
      </c>
      <c r="G171" s="85">
        <v>25569.041962604166</v>
      </c>
      <c r="H171" s="85">
        <v>25569.041962604166</v>
      </c>
      <c r="I171" s="62">
        <v>55</v>
      </c>
      <c r="J171" s="62">
        <v>1293</v>
      </c>
      <c r="K171" s="57" t="s">
        <v>384</v>
      </c>
      <c r="L171" s="52">
        <v>1845</v>
      </c>
      <c r="M171" s="58">
        <f t="shared" si="11"/>
        <v>42.953463189829058</v>
      </c>
      <c r="N171" s="62">
        <v>6630</v>
      </c>
      <c r="O171" s="60">
        <f t="shared" si="12"/>
        <v>0.27828054298642535</v>
      </c>
      <c r="P171" s="60">
        <f t="shared" si="13"/>
        <v>6.4786520648309285E-3</v>
      </c>
      <c r="Q171" s="89"/>
      <c r="R171" s="63"/>
      <c r="S171" s="63"/>
      <c r="T171" s="63"/>
      <c r="U171" s="63"/>
      <c r="V171" s="63"/>
      <c r="W171" s="63"/>
      <c r="X171" s="63"/>
      <c r="Y171" s="63"/>
      <c r="Z171" s="63"/>
    </row>
    <row r="172" spans="1:26" ht="17.25" customHeight="1" x14ac:dyDescent="0.2">
      <c r="A172" s="52">
        <v>1596</v>
      </c>
      <c r="B172" s="53" t="s">
        <v>32</v>
      </c>
      <c r="C172" s="53" t="s">
        <v>93</v>
      </c>
      <c r="D172" s="54">
        <v>245.1</v>
      </c>
      <c r="E172" s="62">
        <v>950</v>
      </c>
      <c r="F172" s="54">
        <f t="shared" si="15"/>
        <v>243.99146499999998</v>
      </c>
      <c r="G172" s="85">
        <v>25569.041962604166</v>
      </c>
      <c r="H172" s="85">
        <v>25569.041962604166</v>
      </c>
      <c r="I172" s="62">
        <v>53</v>
      </c>
      <c r="J172" s="62">
        <v>1396</v>
      </c>
      <c r="K172" s="57" t="s">
        <v>384</v>
      </c>
      <c r="L172" s="52">
        <v>2369</v>
      </c>
      <c r="M172" s="58">
        <f t="shared" si="11"/>
        <v>48.672374094551827</v>
      </c>
      <c r="N172" s="62">
        <v>6846</v>
      </c>
      <c r="O172" s="60">
        <f t="shared" si="12"/>
        <v>0.34604148407829388</v>
      </c>
      <c r="P172" s="60">
        <f t="shared" si="13"/>
        <v>7.1096076679158376E-3</v>
      </c>
      <c r="Q172" s="89"/>
      <c r="R172" s="63"/>
      <c r="S172" s="63"/>
      <c r="T172" s="63"/>
      <c r="U172" s="63"/>
      <c r="V172" s="63"/>
      <c r="W172" s="63"/>
      <c r="X172" s="63"/>
      <c r="Y172" s="63"/>
      <c r="Z172" s="63"/>
    </row>
    <row r="173" spans="1:26" ht="17.25" customHeight="1" x14ac:dyDescent="0.2">
      <c r="A173" s="52">
        <v>1597</v>
      </c>
      <c r="B173" s="53" t="s">
        <v>32</v>
      </c>
      <c r="C173" s="53" t="s">
        <v>93</v>
      </c>
      <c r="D173" s="54">
        <v>243.09</v>
      </c>
      <c r="E173" s="62">
        <v>950</v>
      </c>
      <c r="F173" s="54">
        <f t="shared" si="15"/>
        <v>241.99493199999998</v>
      </c>
      <c r="G173" s="85">
        <v>25569.041962604166</v>
      </c>
      <c r="H173" s="85">
        <v>25569.041962604166</v>
      </c>
      <c r="I173" s="62">
        <v>54</v>
      </c>
      <c r="J173" s="62">
        <v>1304</v>
      </c>
      <c r="K173" s="57" t="s">
        <v>384</v>
      </c>
      <c r="L173" s="52">
        <v>2704</v>
      </c>
      <c r="M173" s="58">
        <f t="shared" si="11"/>
        <v>52</v>
      </c>
      <c r="N173" s="62">
        <v>6646</v>
      </c>
      <c r="O173" s="60">
        <f t="shared" si="12"/>
        <v>0.4068612699368041</v>
      </c>
      <c r="P173" s="60">
        <f t="shared" si="13"/>
        <v>7.8242551910923872E-3</v>
      </c>
      <c r="Q173" s="89"/>
      <c r="R173" s="63"/>
      <c r="S173" s="63"/>
      <c r="T173" s="63"/>
      <c r="U173" s="63"/>
      <c r="V173" s="63"/>
      <c r="W173" s="63"/>
      <c r="X173" s="63"/>
      <c r="Y173" s="63"/>
      <c r="Z173" s="63"/>
    </row>
    <row r="174" spans="1:26" ht="17.25" customHeight="1" x14ac:dyDescent="0.2">
      <c r="A174" s="52">
        <v>1598</v>
      </c>
      <c r="B174" s="53" t="s">
        <v>32</v>
      </c>
      <c r="C174" s="53" t="s">
        <v>93</v>
      </c>
      <c r="D174" s="54">
        <v>241.08</v>
      </c>
      <c r="E174" s="62">
        <v>950</v>
      </c>
      <c r="F174" s="54">
        <f t="shared" si="15"/>
        <v>239.99839900000001</v>
      </c>
      <c r="G174" s="85">
        <v>25569.041962604166</v>
      </c>
      <c r="H174" s="85">
        <v>25569.041962604166</v>
      </c>
      <c r="I174" s="62">
        <v>55</v>
      </c>
      <c r="J174" s="62">
        <v>1699</v>
      </c>
      <c r="K174" s="57" t="s">
        <v>384</v>
      </c>
      <c r="L174" s="52">
        <v>4712</v>
      </c>
      <c r="M174" s="58">
        <f t="shared" si="11"/>
        <v>68.64400920692205</v>
      </c>
      <c r="N174" s="62">
        <v>8806</v>
      </c>
      <c r="O174" s="60">
        <f t="shared" si="12"/>
        <v>0.53508971156029983</v>
      </c>
      <c r="P174" s="60">
        <f t="shared" si="13"/>
        <v>7.7951407230209008E-3</v>
      </c>
      <c r="Q174" s="89"/>
      <c r="R174" s="63"/>
      <c r="S174" s="63"/>
      <c r="T174" s="63"/>
      <c r="U174" s="63"/>
      <c r="V174" s="63"/>
      <c r="W174" s="63"/>
      <c r="X174" s="63"/>
      <c r="Y174" s="63"/>
      <c r="Z174" s="63"/>
    </row>
    <row r="175" spans="1:26" ht="17.25" customHeight="1" x14ac:dyDescent="0.2">
      <c r="A175" s="52">
        <v>1599</v>
      </c>
      <c r="B175" s="53" t="s">
        <v>9</v>
      </c>
      <c r="C175" s="53" t="s">
        <v>93</v>
      </c>
      <c r="D175" s="54">
        <v>239.07</v>
      </c>
      <c r="E175" s="62">
        <v>950</v>
      </c>
      <c r="F175" s="54">
        <f t="shared" si="15"/>
        <v>238.00186599999998</v>
      </c>
      <c r="G175" s="85">
        <v>25569.041962604166</v>
      </c>
      <c r="H175" s="85">
        <v>25569.041962604166</v>
      </c>
      <c r="I175" s="62">
        <v>54</v>
      </c>
      <c r="J175" s="62">
        <v>1488</v>
      </c>
      <c r="K175" s="57" t="s">
        <v>384</v>
      </c>
      <c r="L175" s="52">
        <v>5200</v>
      </c>
      <c r="M175" s="58">
        <f t="shared" si="11"/>
        <v>72.111025509279784</v>
      </c>
      <c r="N175" s="62">
        <v>7258</v>
      </c>
      <c r="O175" s="60">
        <f t="shared" si="12"/>
        <v>0.71645081289611467</v>
      </c>
      <c r="P175" s="60">
        <f t="shared" si="13"/>
        <v>9.9353851624799927E-3</v>
      </c>
      <c r="Q175" s="89"/>
      <c r="R175" s="63"/>
      <c r="S175" s="63"/>
      <c r="T175" s="63"/>
      <c r="U175" s="63"/>
      <c r="V175" s="63"/>
      <c r="W175" s="63"/>
      <c r="X175" s="63"/>
      <c r="Y175" s="63"/>
      <c r="Z175" s="63"/>
    </row>
    <row r="176" spans="1:26" ht="17.25" customHeight="1" x14ac:dyDescent="0.2">
      <c r="A176" s="52">
        <v>1600</v>
      </c>
      <c r="B176" s="53" t="s">
        <v>32</v>
      </c>
      <c r="C176" s="53" t="s">
        <v>93</v>
      </c>
      <c r="D176" s="54">
        <v>237.05</v>
      </c>
      <c r="E176" s="62">
        <v>950</v>
      </c>
      <c r="F176" s="54">
        <f t="shared" si="15"/>
        <v>235.99539999999999</v>
      </c>
      <c r="G176" s="85">
        <v>25569.041962604166</v>
      </c>
      <c r="H176" s="85">
        <v>25569.041962604166</v>
      </c>
      <c r="I176" s="62">
        <v>53</v>
      </c>
      <c r="J176" s="62">
        <v>1413</v>
      </c>
      <c r="K176" s="57" t="s">
        <v>384</v>
      </c>
      <c r="L176" s="52">
        <v>6906</v>
      </c>
      <c r="M176" s="58">
        <f t="shared" si="11"/>
        <v>83.102346537266925</v>
      </c>
      <c r="N176" s="62">
        <v>6745</v>
      </c>
      <c r="O176" s="60">
        <f t="shared" si="12"/>
        <v>1.0238695329873981</v>
      </c>
      <c r="P176" s="60">
        <f t="shared" si="13"/>
        <v>1.2320585105599248E-2</v>
      </c>
      <c r="Q176" s="89"/>
      <c r="R176" s="63"/>
      <c r="S176" s="63"/>
      <c r="T176" s="63"/>
      <c r="U176" s="63"/>
      <c r="V176" s="63"/>
      <c r="W176" s="63"/>
      <c r="X176" s="63"/>
      <c r="Y176" s="63"/>
      <c r="Z176" s="63"/>
    </row>
    <row r="177" spans="1:26" ht="17.25" customHeight="1" x14ac:dyDescent="0.2">
      <c r="A177" s="52">
        <v>1601</v>
      </c>
      <c r="B177" s="53" t="s">
        <v>32</v>
      </c>
      <c r="C177" s="53" t="s">
        <v>93</v>
      </c>
      <c r="D177" s="54">
        <v>235.04</v>
      </c>
      <c r="E177" s="62">
        <v>950</v>
      </c>
      <c r="F177" s="54">
        <f t="shared" si="15"/>
        <v>233.99886699999996</v>
      </c>
      <c r="G177" s="85">
        <v>25569.041962604166</v>
      </c>
      <c r="H177" s="85">
        <v>25569.041962604166</v>
      </c>
      <c r="I177" s="62">
        <v>53</v>
      </c>
      <c r="J177" s="62">
        <v>1359</v>
      </c>
      <c r="K177" s="57" t="s">
        <v>384</v>
      </c>
      <c r="L177" s="52">
        <v>8365</v>
      </c>
      <c r="M177" s="58">
        <f t="shared" si="11"/>
        <v>91.460373933195797</v>
      </c>
      <c r="N177" s="62">
        <v>6497</v>
      </c>
      <c r="O177" s="60">
        <f t="shared" si="12"/>
        <v>1.2875173156841619</v>
      </c>
      <c r="P177" s="60">
        <f t="shared" si="13"/>
        <v>1.4077323985408003E-2</v>
      </c>
      <c r="Q177" s="89"/>
      <c r="R177" s="63"/>
      <c r="S177" s="63"/>
      <c r="T177" s="63"/>
      <c r="U177" s="63"/>
      <c r="V177" s="63"/>
      <c r="W177" s="63"/>
      <c r="X177" s="63"/>
      <c r="Y177" s="63"/>
      <c r="Z177" s="63"/>
    </row>
    <row r="178" spans="1:26" ht="17.25" customHeight="1" x14ac:dyDescent="0.2">
      <c r="A178" s="52">
        <v>1602</v>
      </c>
      <c r="B178" s="53" t="s">
        <v>32</v>
      </c>
      <c r="C178" s="53" t="s">
        <v>93</v>
      </c>
      <c r="D178" s="54">
        <v>233.03</v>
      </c>
      <c r="E178" s="62">
        <v>950</v>
      </c>
      <c r="F178" s="54">
        <f t="shared" si="15"/>
        <v>232.00233399999999</v>
      </c>
      <c r="G178" s="85">
        <v>25569.041962604166</v>
      </c>
      <c r="H178" s="85">
        <v>25569.041962604166</v>
      </c>
      <c r="I178" s="62">
        <v>53</v>
      </c>
      <c r="J178" s="62">
        <v>1282</v>
      </c>
      <c r="K178" s="57" t="s">
        <v>384</v>
      </c>
      <c r="L178" s="52">
        <v>8840</v>
      </c>
      <c r="M178" s="58">
        <f t="shared" si="11"/>
        <v>94.021274188345274</v>
      </c>
      <c r="N178" s="62">
        <v>6222</v>
      </c>
      <c r="O178" s="60">
        <f t="shared" si="12"/>
        <v>1.4207650273224044</v>
      </c>
      <c r="P178" s="60">
        <f t="shared" si="13"/>
        <v>1.511110160532711E-2</v>
      </c>
      <c r="Q178" s="89"/>
      <c r="R178" s="63"/>
      <c r="S178" s="63"/>
      <c r="T178" s="63"/>
      <c r="U178" s="63"/>
      <c r="V178" s="63"/>
      <c r="W178" s="63"/>
      <c r="X178" s="63"/>
      <c r="Y178" s="63"/>
      <c r="Z178" s="63"/>
    </row>
    <row r="179" spans="1:26" ht="17.25" customHeight="1" x14ac:dyDescent="0.2">
      <c r="A179" s="52">
        <v>1603</v>
      </c>
      <c r="B179" s="53" t="s">
        <v>32</v>
      </c>
      <c r="C179" s="53" t="s">
        <v>93</v>
      </c>
      <c r="D179" s="54">
        <v>231.01</v>
      </c>
      <c r="E179" s="62">
        <v>950</v>
      </c>
      <c r="F179" s="54">
        <f t="shared" si="15"/>
        <v>229.99586799999997</v>
      </c>
      <c r="G179" s="85">
        <v>25569.041962604166</v>
      </c>
      <c r="H179" s="85">
        <v>25569.041962604166</v>
      </c>
      <c r="I179" s="62">
        <v>52</v>
      </c>
      <c r="J179" s="62">
        <v>1427</v>
      </c>
      <c r="K179" s="57" t="s">
        <v>384</v>
      </c>
      <c r="L179" s="52">
        <v>9332</v>
      </c>
      <c r="M179" s="58">
        <f t="shared" si="11"/>
        <v>96.602277405866573</v>
      </c>
      <c r="N179" s="62">
        <v>6989</v>
      </c>
      <c r="O179" s="60">
        <f t="shared" si="12"/>
        <v>1.335241093146373</v>
      </c>
      <c r="P179" s="60">
        <f t="shared" si="13"/>
        <v>1.3822045701225723E-2</v>
      </c>
      <c r="Q179" s="89"/>
      <c r="R179" s="63"/>
      <c r="S179" s="63"/>
      <c r="T179" s="63"/>
      <c r="U179" s="63"/>
      <c r="V179" s="63"/>
      <c r="W179" s="63"/>
      <c r="X179" s="63"/>
      <c r="Y179" s="63"/>
      <c r="Z179" s="63"/>
    </row>
    <row r="180" spans="1:26" ht="17.25" customHeight="1" x14ac:dyDescent="0.2">
      <c r="A180" s="52">
        <v>1604</v>
      </c>
      <c r="B180" s="53" t="s">
        <v>32</v>
      </c>
      <c r="C180" s="53" t="s">
        <v>93</v>
      </c>
      <c r="D180" s="54">
        <v>228.99</v>
      </c>
      <c r="E180" s="62">
        <v>950</v>
      </c>
      <c r="F180" s="54">
        <f t="shared" si="15"/>
        <v>227.98940199999998</v>
      </c>
      <c r="G180" s="85">
        <v>25569.041962604166</v>
      </c>
      <c r="H180" s="85">
        <v>25569.041962604166</v>
      </c>
      <c r="I180" s="62">
        <v>52</v>
      </c>
      <c r="J180" s="62">
        <v>1359</v>
      </c>
      <c r="K180" s="57" t="s">
        <v>384</v>
      </c>
      <c r="L180" s="52">
        <v>7794</v>
      </c>
      <c r="M180" s="58">
        <f t="shared" si="11"/>
        <v>88.283633817372973</v>
      </c>
      <c r="N180" s="62">
        <v>6722</v>
      </c>
      <c r="O180" s="60">
        <f t="shared" si="12"/>
        <v>1.1594763463254985</v>
      </c>
      <c r="P180" s="60">
        <f t="shared" si="13"/>
        <v>1.3133536717847808E-2</v>
      </c>
      <c r="Q180" s="89"/>
      <c r="R180" s="63"/>
      <c r="S180" s="63"/>
      <c r="T180" s="63"/>
      <c r="U180" s="63"/>
      <c r="V180" s="63"/>
      <c r="W180" s="63"/>
      <c r="X180" s="63"/>
      <c r="Y180" s="63"/>
      <c r="Z180" s="63"/>
    </row>
    <row r="181" spans="1:26" ht="17.25" customHeight="1" x14ac:dyDescent="0.2">
      <c r="A181" s="52">
        <v>1605</v>
      </c>
      <c r="B181" s="53" t="s">
        <v>32</v>
      </c>
      <c r="C181" s="53" t="s">
        <v>93</v>
      </c>
      <c r="D181" s="54">
        <v>227.99</v>
      </c>
      <c r="E181" s="62">
        <v>950</v>
      </c>
      <c r="F181" s="54">
        <f t="shared" si="15"/>
        <v>226.99610199999998</v>
      </c>
      <c r="G181" s="85">
        <v>25569.041962604166</v>
      </c>
      <c r="H181" s="85">
        <v>25569.041962604166</v>
      </c>
      <c r="I181" s="62">
        <v>53</v>
      </c>
      <c r="J181" s="62">
        <v>1337</v>
      </c>
      <c r="K181" s="57" t="s">
        <v>384</v>
      </c>
      <c r="L181" s="52">
        <v>6766</v>
      </c>
      <c r="M181" s="58">
        <f t="shared" si="11"/>
        <v>82.255698890715166</v>
      </c>
      <c r="N181" s="62">
        <v>6489</v>
      </c>
      <c r="O181" s="60">
        <f t="shared" si="12"/>
        <v>1.0426876252118971</v>
      </c>
      <c r="P181" s="60">
        <f t="shared" si="13"/>
        <v>1.2676174894546951E-2</v>
      </c>
      <c r="Q181" s="89"/>
      <c r="R181" s="63"/>
      <c r="S181" s="63"/>
      <c r="T181" s="63"/>
      <c r="U181" s="63"/>
      <c r="V181" s="63"/>
      <c r="W181" s="63"/>
      <c r="X181" s="63"/>
      <c r="Y181" s="63"/>
      <c r="Z181" s="63"/>
    </row>
    <row r="182" spans="1:26" ht="17.25" customHeight="1" x14ac:dyDescent="0.2">
      <c r="A182" s="52">
        <v>1606</v>
      </c>
      <c r="B182" s="53" t="s">
        <v>32</v>
      </c>
      <c r="C182" s="53" t="s">
        <v>93</v>
      </c>
      <c r="D182" s="54">
        <v>226.98</v>
      </c>
      <c r="E182" s="62">
        <v>950</v>
      </c>
      <c r="F182" s="54">
        <f t="shared" si="15"/>
        <v>225.99286899999998</v>
      </c>
      <c r="G182" s="85">
        <v>25569.041962604166</v>
      </c>
      <c r="H182" s="85">
        <v>25569.041962604166</v>
      </c>
      <c r="I182" s="62">
        <v>51</v>
      </c>
      <c r="J182" s="62">
        <v>1919</v>
      </c>
      <c r="K182" s="57" t="s">
        <v>384</v>
      </c>
      <c r="L182" s="52">
        <v>7340</v>
      </c>
      <c r="M182" s="58">
        <f t="shared" si="11"/>
        <v>85.673799962415586</v>
      </c>
      <c r="N182" s="62">
        <v>9215</v>
      </c>
      <c r="O182" s="60">
        <f t="shared" si="12"/>
        <v>0.79652740097666852</v>
      </c>
      <c r="P182" s="60">
        <f t="shared" si="13"/>
        <v>9.2972110648307741E-3</v>
      </c>
      <c r="Q182" s="89"/>
      <c r="R182" s="63"/>
      <c r="S182" s="63"/>
      <c r="T182" s="63"/>
      <c r="U182" s="63"/>
      <c r="V182" s="63"/>
      <c r="W182" s="63"/>
      <c r="X182" s="63"/>
      <c r="Y182" s="63"/>
      <c r="Z182" s="63"/>
    </row>
    <row r="183" spans="1:26" ht="17.25" customHeight="1" x14ac:dyDescent="0.2">
      <c r="A183" s="52">
        <v>1607</v>
      </c>
      <c r="B183" s="53" t="s">
        <v>32</v>
      </c>
      <c r="C183" s="53" t="s">
        <v>93</v>
      </c>
      <c r="D183" s="54">
        <v>225.97</v>
      </c>
      <c r="E183" s="62">
        <v>950</v>
      </c>
      <c r="F183" s="54">
        <f t="shared" si="15"/>
        <v>224.98963599999999</v>
      </c>
      <c r="G183" s="85">
        <v>25569.041962604166</v>
      </c>
      <c r="H183" s="85">
        <v>25569.041962604166</v>
      </c>
      <c r="I183" s="62">
        <v>51</v>
      </c>
      <c r="J183" s="62">
        <v>1659</v>
      </c>
      <c r="K183" s="57" t="s">
        <v>384</v>
      </c>
      <c r="L183" s="52">
        <v>3874</v>
      </c>
      <c r="M183" s="58">
        <f t="shared" si="11"/>
        <v>62.241465278381739</v>
      </c>
      <c r="N183" s="62">
        <v>7933</v>
      </c>
      <c r="O183" s="60">
        <f t="shared" si="12"/>
        <v>0.4883398462120257</v>
      </c>
      <c r="P183" s="60">
        <f t="shared" si="13"/>
        <v>7.8458925095653276E-3</v>
      </c>
      <c r="Q183" s="89"/>
      <c r="R183" s="63"/>
      <c r="S183" s="63"/>
      <c r="T183" s="63"/>
      <c r="U183" s="63"/>
      <c r="V183" s="63"/>
      <c r="W183" s="63"/>
      <c r="X183" s="63"/>
      <c r="Y183" s="63"/>
      <c r="Z183" s="63"/>
    </row>
    <row r="184" spans="1:26" ht="17.25" customHeight="1" x14ac:dyDescent="0.2">
      <c r="A184" s="52">
        <v>1608</v>
      </c>
      <c r="B184" s="53" t="s">
        <v>32</v>
      </c>
      <c r="C184" s="53" t="s">
        <v>93</v>
      </c>
      <c r="D184" s="54">
        <v>224.97</v>
      </c>
      <c r="E184" s="62">
        <v>950</v>
      </c>
      <c r="F184" s="54">
        <f t="shared" si="15"/>
        <v>223.99633599999999</v>
      </c>
      <c r="G184" s="85">
        <v>25569.041962604166</v>
      </c>
      <c r="H184" s="85">
        <v>25569.041962604166</v>
      </c>
      <c r="I184" s="62">
        <v>47</v>
      </c>
      <c r="J184" s="62">
        <v>1453</v>
      </c>
      <c r="K184" s="57" t="s">
        <v>384</v>
      </c>
      <c r="L184" s="52">
        <v>1025</v>
      </c>
      <c r="M184" s="58">
        <f t="shared" si="11"/>
        <v>32.015621187164243</v>
      </c>
      <c r="N184" s="62">
        <v>6433</v>
      </c>
      <c r="O184" s="60">
        <f t="shared" si="12"/>
        <v>0.15933468055339656</v>
      </c>
      <c r="P184" s="60">
        <f t="shared" si="13"/>
        <v>4.9767792922686526E-3</v>
      </c>
      <c r="Q184" s="89"/>
      <c r="R184" s="63"/>
      <c r="S184" s="63"/>
      <c r="T184" s="63"/>
      <c r="U184" s="63"/>
      <c r="V184" s="63"/>
      <c r="W184" s="63"/>
      <c r="X184" s="63"/>
      <c r="Y184" s="63"/>
      <c r="Z184" s="63"/>
    </row>
    <row r="185" spans="1:26" ht="17.25" customHeight="1" x14ac:dyDescent="0.2">
      <c r="A185" s="52">
        <v>1609</v>
      </c>
      <c r="B185" s="53" t="s">
        <v>32</v>
      </c>
      <c r="C185" s="53" t="s">
        <v>93</v>
      </c>
      <c r="D185" s="54">
        <v>222.95</v>
      </c>
      <c r="E185" s="62">
        <v>950</v>
      </c>
      <c r="F185" s="54">
        <f t="shared" si="15"/>
        <v>221.98986999999997</v>
      </c>
      <c r="G185" s="85">
        <v>25569.041962604166</v>
      </c>
      <c r="H185" s="85">
        <v>25569.041962604166</v>
      </c>
      <c r="I185" s="62">
        <v>50</v>
      </c>
      <c r="J185" s="62">
        <v>2126</v>
      </c>
      <c r="K185" s="57" t="s">
        <v>384</v>
      </c>
      <c r="L185" s="52">
        <v>475</v>
      </c>
      <c r="M185" s="58">
        <f t="shared" si="11"/>
        <v>21.794494717703369</v>
      </c>
      <c r="N185" s="62">
        <v>10070</v>
      </c>
      <c r="O185" s="60">
        <f t="shared" si="12"/>
        <v>4.716981132075472E-2</v>
      </c>
      <c r="P185" s="60">
        <f t="shared" si="13"/>
        <v>2.1642993761373753E-3</v>
      </c>
      <c r="Q185" s="89"/>
      <c r="R185" s="63"/>
      <c r="S185" s="63"/>
      <c r="T185" s="63"/>
      <c r="U185" s="63"/>
      <c r="V185" s="63"/>
      <c r="W185" s="63"/>
      <c r="X185" s="63"/>
      <c r="Y185" s="63"/>
      <c r="Z185" s="63"/>
    </row>
    <row r="186" spans="1:26" ht="17.25" customHeight="1" x14ac:dyDescent="0.2">
      <c r="A186" s="52">
        <v>1610</v>
      </c>
      <c r="B186" s="53" t="s">
        <v>32</v>
      </c>
      <c r="C186" s="53" t="s">
        <v>93</v>
      </c>
      <c r="D186" s="54">
        <v>220.94</v>
      </c>
      <c r="E186" s="62">
        <v>950</v>
      </c>
      <c r="F186" s="54">
        <f t="shared" si="15"/>
        <v>219.99333699999997</v>
      </c>
      <c r="G186" s="85">
        <v>25569.041962604166</v>
      </c>
      <c r="H186" s="85">
        <v>25569.041962604166</v>
      </c>
      <c r="I186" s="62">
        <v>50</v>
      </c>
      <c r="J186" s="62">
        <v>1453</v>
      </c>
      <c r="K186" s="57" t="s">
        <v>384</v>
      </c>
      <c r="L186" s="52">
        <v>210</v>
      </c>
      <c r="M186" s="58">
        <f t="shared" si="11"/>
        <v>14.491376746189438</v>
      </c>
      <c r="N186" s="62">
        <v>6919</v>
      </c>
      <c r="O186" s="60">
        <f t="shared" si="12"/>
        <v>3.0351206821795058E-2</v>
      </c>
      <c r="P186" s="60">
        <f t="shared" si="13"/>
        <v>2.0944322512197484E-3</v>
      </c>
      <c r="Q186" s="89"/>
      <c r="R186" s="63"/>
      <c r="S186" s="63"/>
      <c r="T186" s="63"/>
      <c r="U186" s="63"/>
      <c r="V186" s="63"/>
      <c r="W186" s="63"/>
      <c r="X186" s="63"/>
      <c r="Y186" s="63"/>
      <c r="Z186" s="63"/>
    </row>
    <row r="187" spans="1:26" ht="17.25" customHeight="1" x14ac:dyDescent="0.2">
      <c r="A187" s="52">
        <v>1611</v>
      </c>
      <c r="B187" s="53" t="s">
        <v>32</v>
      </c>
      <c r="C187" s="53" t="s">
        <v>93</v>
      </c>
      <c r="D187" s="54">
        <v>216.92</v>
      </c>
      <c r="E187" s="62">
        <v>950</v>
      </c>
      <c r="F187" s="54">
        <f t="shared" si="15"/>
        <v>216.00027099999997</v>
      </c>
      <c r="G187" s="85">
        <v>25569.041962604166</v>
      </c>
      <c r="H187" s="85">
        <v>25569.041962604166</v>
      </c>
      <c r="I187" s="62">
        <v>50</v>
      </c>
      <c r="J187" s="62">
        <v>1546</v>
      </c>
      <c r="K187" s="57" t="s">
        <v>384</v>
      </c>
      <c r="L187" s="52">
        <v>113</v>
      </c>
      <c r="M187" s="58">
        <f t="shared" si="11"/>
        <v>10.63014581273465</v>
      </c>
      <c r="N187" s="62">
        <v>6975</v>
      </c>
      <c r="O187" s="60">
        <f t="shared" si="12"/>
        <v>1.6200716845878135E-2</v>
      </c>
      <c r="P187" s="60">
        <f t="shared" si="13"/>
        <v>1.5240352419691255E-3</v>
      </c>
      <c r="Q187" s="89"/>
      <c r="R187" s="63"/>
      <c r="S187" s="63"/>
      <c r="T187" s="63"/>
      <c r="U187" s="63"/>
      <c r="V187" s="63"/>
      <c r="W187" s="63"/>
      <c r="X187" s="63"/>
      <c r="Y187" s="63"/>
      <c r="Z187" s="63"/>
    </row>
    <row r="188" spans="1:26" ht="17.25" customHeight="1" x14ac:dyDescent="0.2">
      <c r="A188" s="52">
        <v>1612</v>
      </c>
      <c r="B188" s="53" t="s">
        <v>385</v>
      </c>
      <c r="C188" s="53" t="s">
        <v>93</v>
      </c>
      <c r="D188" s="54">
        <v>246.12</v>
      </c>
      <c r="E188" s="62">
        <v>950</v>
      </c>
      <c r="F188" s="54">
        <f t="shared" si="15"/>
        <v>245.00463099999999</v>
      </c>
      <c r="G188" s="85">
        <v>25569.041962604166</v>
      </c>
      <c r="H188" s="85">
        <v>25569.041962604166</v>
      </c>
      <c r="I188" s="62">
        <v>53</v>
      </c>
      <c r="J188" s="55"/>
      <c r="K188" s="57"/>
      <c r="L188" s="52"/>
      <c r="M188" s="58">
        <f t="shared" si="11"/>
        <v>0</v>
      </c>
      <c r="N188" s="59"/>
      <c r="O188" s="71" t="e">
        <f t="shared" si="12"/>
        <v>#DIV/0!</v>
      </c>
      <c r="P188" s="60" t="e">
        <f t="shared" si="13"/>
        <v>#DIV/0!</v>
      </c>
      <c r="Q188" s="89"/>
      <c r="R188" s="63"/>
      <c r="S188" s="63"/>
      <c r="T188" s="63"/>
      <c r="U188" s="63"/>
      <c r="V188" s="63"/>
      <c r="W188" s="63"/>
      <c r="X188" s="63"/>
      <c r="Y188" s="63"/>
      <c r="Z188" s="63"/>
    </row>
    <row r="189" spans="1:26" ht="17.25" customHeight="1" x14ac:dyDescent="0.2">
      <c r="A189" s="52">
        <v>1613</v>
      </c>
      <c r="B189" s="53" t="s">
        <v>157</v>
      </c>
      <c r="C189" s="53" t="s">
        <v>93</v>
      </c>
      <c r="D189" s="54">
        <v>249.5</v>
      </c>
      <c r="E189" s="62">
        <v>2602</v>
      </c>
      <c r="F189" s="54">
        <f t="shared" si="15"/>
        <v>250.00291659999999</v>
      </c>
      <c r="G189" s="85">
        <v>25569.041962604166</v>
      </c>
      <c r="H189" s="85">
        <v>25569.041962604166</v>
      </c>
      <c r="I189" s="62">
        <v>260</v>
      </c>
      <c r="J189" s="62">
        <v>216139</v>
      </c>
      <c r="K189" s="57" t="s">
        <v>384</v>
      </c>
      <c r="L189" s="52">
        <v>1067104</v>
      </c>
      <c r="M189" s="58">
        <f t="shared" si="11"/>
        <v>1033.0072603810681</v>
      </c>
      <c r="N189" s="62">
        <v>5616558</v>
      </c>
      <c r="O189" s="60">
        <f t="shared" si="12"/>
        <v>0.18999251854961705</v>
      </c>
      <c r="P189" s="60">
        <f t="shared" si="13"/>
        <v>1.8392176496371409E-4</v>
      </c>
      <c r="Q189" s="89"/>
      <c r="R189" s="63"/>
      <c r="S189" s="63"/>
      <c r="T189" s="63"/>
      <c r="U189" s="63"/>
      <c r="V189" s="63"/>
      <c r="W189" s="63"/>
      <c r="X189" s="63"/>
      <c r="Y189" s="63"/>
      <c r="Z189" s="63"/>
    </row>
    <row r="190" spans="1:26" ht="17.25" customHeight="1" x14ac:dyDescent="0.2">
      <c r="A190" s="52">
        <v>1614</v>
      </c>
      <c r="B190" s="53" t="s">
        <v>157</v>
      </c>
      <c r="C190" s="53" t="s">
        <v>93</v>
      </c>
      <c r="D190" s="54">
        <v>269.70699999999999</v>
      </c>
      <c r="E190" s="62">
        <v>2606</v>
      </c>
      <c r="F190" s="54">
        <f t="shared" si="15"/>
        <v>270.07850289999993</v>
      </c>
      <c r="G190" s="85">
        <v>25569.041962604166</v>
      </c>
      <c r="H190" s="85">
        <v>25569.041962604166</v>
      </c>
      <c r="I190" s="62">
        <v>315</v>
      </c>
      <c r="J190" s="62">
        <v>524422</v>
      </c>
      <c r="K190" s="57" t="s">
        <v>384</v>
      </c>
      <c r="L190" s="52">
        <v>2614729</v>
      </c>
      <c r="M190" s="58">
        <f t="shared" si="11"/>
        <v>1617.0123685364933</v>
      </c>
      <c r="N190" s="58">
        <v>16177592.4</v>
      </c>
      <c r="O190" s="60">
        <f t="shared" si="12"/>
        <v>0.16162658418813913</v>
      </c>
      <c r="P190" s="60">
        <f t="shared" si="13"/>
        <v>9.9953832965682415E-5</v>
      </c>
      <c r="Q190" s="89"/>
      <c r="R190" s="63"/>
      <c r="S190" s="63"/>
      <c r="T190" s="63"/>
      <c r="U190" s="63"/>
      <c r="V190" s="63"/>
      <c r="W190" s="63"/>
      <c r="X190" s="63"/>
      <c r="Y190" s="63"/>
      <c r="Z190" s="63"/>
    </row>
    <row r="191" spans="1:26" ht="17.25" customHeight="1" x14ac:dyDescent="0.2">
      <c r="A191" s="52">
        <v>1621</v>
      </c>
      <c r="B191" s="53" t="s">
        <v>33</v>
      </c>
      <c r="C191" s="53" t="s">
        <v>93</v>
      </c>
      <c r="D191" s="54">
        <v>243.1</v>
      </c>
      <c r="E191" s="62">
        <v>965</v>
      </c>
      <c r="F191" s="54">
        <f t="shared" si="15"/>
        <v>242.01976449999998</v>
      </c>
      <c r="G191" s="85">
        <v>25569.041962604166</v>
      </c>
      <c r="H191" s="85">
        <v>25569.041962604166</v>
      </c>
      <c r="I191" s="62">
        <v>50</v>
      </c>
      <c r="J191" s="62">
        <v>3269</v>
      </c>
      <c r="K191" s="57" t="s">
        <v>384</v>
      </c>
      <c r="L191" s="52">
        <v>5081</v>
      </c>
      <c r="M191" s="58">
        <f t="shared" si="11"/>
        <v>71.28113354878694</v>
      </c>
      <c r="N191" s="58">
        <v>15807.63</v>
      </c>
      <c r="O191" s="60">
        <f t="shared" si="12"/>
        <v>0.32142705769302549</v>
      </c>
      <c r="P191" s="60">
        <f t="shared" si="13"/>
        <v>4.5092865628046045E-3</v>
      </c>
      <c r="Q191" s="89"/>
      <c r="R191" s="63"/>
      <c r="S191" s="63"/>
      <c r="T191" s="63"/>
      <c r="U191" s="63"/>
      <c r="V191" s="63"/>
      <c r="W191" s="63"/>
      <c r="X191" s="63"/>
      <c r="Y191" s="63"/>
      <c r="Z191" s="63"/>
    </row>
    <row r="192" spans="1:26" ht="17.25" customHeight="1" x14ac:dyDescent="0.2">
      <c r="A192" s="52">
        <v>1622</v>
      </c>
      <c r="B192" s="53" t="s">
        <v>33</v>
      </c>
      <c r="C192" s="53" t="s">
        <v>93</v>
      </c>
      <c r="D192" s="54">
        <v>241.1</v>
      </c>
      <c r="E192" s="62">
        <v>967</v>
      </c>
      <c r="F192" s="54">
        <f t="shared" si="15"/>
        <v>240.03515110000001</v>
      </c>
      <c r="G192" s="85">
        <v>25569.041962604166</v>
      </c>
      <c r="H192" s="85">
        <v>25569.041962604166</v>
      </c>
      <c r="I192" s="62">
        <v>51</v>
      </c>
      <c r="J192" s="62">
        <v>2514</v>
      </c>
      <c r="K192" s="57" t="s">
        <v>384</v>
      </c>
      <c r="L192" s="52">
        <v>5089</v>
      </c>
      <c r="M192" s="58">
        <f t="shared" si="11"/>
        <v>71.337227308047233</v>
      </c>
      <c r="N192" s="58">
        <v>12487.89</v>
      </c>
      <c r="O192" s="60">
        <f t="shared" si="12"/>
        <v>0.40751480033856802</v>
      </c>
      <c r="P192" s="60">
        <f t="shared" si="13"/>
        <v>5.7125124667215385E-3</v>
      </c>
      <c r="Q192" s="89"/>
      <c r="R192" s="63"/>
      <c r="S192" s="63"/>
      <c r="T192" s="63"/>
      <c r="U192" s="63"/>
      <c r="V192" s="63"/>
      <c r="W192" s="63"/>
      <c r="X192" s="63"/>
      <c r="Y192" s="63"/>
      <c r="Z192" s="63"/>
    </row>
    <row r="193" spans="1:26" ht="17.25" customHeight="1" x14ac:dyDescent="0.2">
      <c r="A193" s="52">
        <v>1623</v>
      </c>
      <c r="B193" s="53" t="s">
        <v>33</v>
      </c>
      <c r="C193" s="53" t="s">
        <v>93</v>
      </c>
      <c r="D193" s="54">
        <v>239.1</v>
      </c>
      <c r="E193" s="62">
        <v>967</v>
      </c>
      <c r="F193" s="54">
        <f t="shared" si="15"/>
        <v>238.0485511</v>
      </c>
      <c r="G193" s="85">
        <v>25569.041962604166</v>
      </c>
      <c r="H193" s="85">
        <v>25569.041962604166</v>
      </c>
      <c r="I193" s="62">
        <v>52</v>
      </c>
      <c r="J193" s="62">
        <v>1991</v>
      </c>
      <c r="K193" s="57" t="s">
        <v>384</v>
      </c>
      <c r="L193" s="52">
        <v>5273</v>
      </c>
      <c r="M193" s="58">
        <f t="shared" si="11"/>
        <v>72.615425358528341</v>
      </c>
      <c r="N193" s="58">
        <v>9818.7000000000007</v>
      </c>
      <c r="O193" s="60">
        <f t="shared" si="12"/>
        <v>0.53703647122327802</v>
      </c>
      <c r="P193" s="60">
        <f t="shared" si="13"/>
        <v>7.3956252211115868E-3</v>
      </c>
      <c r="Q193" s="89"/>
      <c r="R193" s="63"/>
      <c r="S193" s="63"/>
      <c r="T193" s="63"/>
      <c r="U193" s="63"/>
      <c r="V193" s="63"/>
      <c r="W193" s="63"/>
      <c r="X193" s="63"/>
      <c r="Y193" s="63"/>
      <c r="Z193" s="63"/>
    </row>
    <row r="194" spans="1:26" ht="17.25" customHeight="1" x14ac:dyDescent="0.2">
      <c r="A194" s="52">
        <v>1624</v>
      </c>
      <c r="B194" s="53" t="s">
        <v>33</v>
      </c>
      <c r="C194" s="53" t="s">
        <v>93</v>
      </c>
      <c r="D194" s="54">
        <v>237.09</v>
      </c>
      <c r="E194" s="62">
        <v>967</v>
      </c>
      <c r="F194" s="54">
        <f t="shared" si="15"/>
        <v>236.0520181</v>
      </c>
      <c r="G194" s="85">
        <v>25569.041962604166</v>
      </c>
      <c r="H194" s="85">
        <v>25569.041962604166</v>
      </c>
      <c r="I194" s="62">
        <v>51</v>
      </c>
      <c r="J194" s="62">
        <v>1753</v>
      </c>
      <c r="K194" s="57" t="s">
        <v>384</v>
      </c>
      <c r="L194" s="52">
        <v>6502</v>
      </c>
      <c r="M194" s="58">
        <f t="shared" si="11"/>
        <v>80.634980002477832</v>
      </c>
      <c r="N194" s="58">
        <v>8575.51</v>
      </c>
      <c r="O194" s="60">
        <f t="shared" si="12"/>
        <v>0.75820563441707833</v>
      </c>
      <c r="P194" s="60">
        <f t="shared" si="13"/>
        <v>9.4029369684692603E-3</v>
      </c>
      <c r="Q194" s="89"/>
      <c r="R194" s="63"/>
      <c r="S194" s="63"/>
      <c r="T194" s="63"/>
      <c r="U194" s="63"/>
      <c r="V194" s="63"/>
      <c r="W194" s="63"/>
      <c r="X194" s="63"/>
      <c r="Y194" s="63"/>
      <c r="Z194" s="63"/>
    </row>
    <row r="195" spans="1:26" ht="17.25" customHeight="1" x14ac:dyDescent="0.2">
      <c r="A195" s="52">
        <v>1625</v>
      </c>
      <c r="B195" s="53" t="s">
        <v>33</v>
      </c>
      <c r="C195" s="53" t="s">
        <v>93</v>
      </c>
      <c r="D195" s="54">
        <v>235.09</v>
      </c>
      <c r="E195" s="62">
        <v>967</v>
      </c>
      <c r="F195" s="54">
        <f t="shared" si="15"/>
        <v>234.06541810000002</v>
      </c>
      <c r="G195" s="85">
        <v>25569.041962604166</v>
      </c>
      <c r="H195" s="85">
        <v>25569.041962604166</v>
      </c>
      <c r="I195" s="62">
        <v>52</v>
      </c>
      <c r="J195" s="62">
        <v>1551</v>
      </c>
      <c r="K195" s="57" t="s">
        <v>384</v>
      </c>
      <c r="L195" s="52">
        <v>7973</v>
      </c>
      <c r="M195" s="58">
        <f t="shared" si="11"/>
        <v>89.291656945092015</v>
      </c>
      <c r="N195" s="58">
        <v>7562.82</v>
      </c>
      <c r="O195" s="60">
        <f t="shared" si="12"/>
        <v>1.0542363827249623</v>
      </c>
      <c r="P195" s="60">
        <f t="shared" si="13"/>
        <v>1.1806661661270798E-2</v>
      </c>
      <c r="Q195" s="89"/>
      <c r="R195" s="63"/>
      <c r="S195" s="63"/>
      <c r="T195" s="63"/>
      <c r="U195" s="63"/>
      <c r="V195" s="63"/>
      <c r="W195" s="63"/>
      <c r="X195" s="63"/>
      <c r="Y195" s="63"/>
      <c r="Z195" s="63"/>
    </row>
    <row r="196" spans="1:26" ht="17.25" customHeight="1" x14ac:dyDescent="0.2">
      <c r="A196" s="52">
        <v>1626</v>
      </c>
      <c r="B196" s="53" t="s">
        <v>33</v>
      </c>
      <c r="C196" s="53" t="s">
        <v>93</v>
      </c>
      <c r="D196" s="54">
        <v>233.07499999999999</v>
      </c>
      <c r="E196" s="62">
        <v>967</v>
      </c>
      <c r="F196" s="54">
        <f t="shared" si="15"/>
        <v>232.06391859999999</v>
      </c>
      <c r="G196" s="85">
        <v>25569.041962604166</v>
      </c>
      <c r="H196" s="85">
        <v>25569.041962604166</v>
      </c>
      <c r="I196" s="62">
        <v>53</v>
      </c>
      <c r="J196" s="62">
        <v>1481</v>
      </c>
      <c r="K196" s="57" t="s">
        <v>384</v>
      </c>
      <c r="L196" s="52">
        <v>9361</v>
      </c>
      <c r="M196" s="58">
        <f t="shared" si="11"/>
        <v>96.752260955493952</v>
      </c>
      <c r="N196" s="58">
        <v>7421.46</v>
      </c>
      <c r="O196" s="60">
        <f t="shared" si="12"/>
        <v>1.2613421078871274</v>
      </c>
      <c r="P196" s="60">
        <f t="shared" si="13"/>
        <v>1.3036823071941903E-2</v>
      </c>
      <c r="Q196" s="89"/>
      <c r="R196" s="63"/>
      <c r="S196" s="63"/>
      <c r="T196" s="63"/>
      <c r="U196" s="63"/>
      <c r="V196" s="63"/>
      <c r="W196" s="63"/>
      <c r="X196" s="63"/>
      <c r="Y196" s="63"/>
      <c r="Z196" s="63"/>
    </row>
    <row r="197" spans="1:26" ht="17.25" customHeight="1" x14ac:dyDescent="0.2">
      <c r="A197" s="52">
        <v>1627</v>
      </c>
      <c r="B197" s="53" t="s">
        <v>33</v>
      </c>
      <c r="C197" s="53" t="s">
        <v>93</v>
      </c>
      <c r="D197" s="54">
        <v>231.06800000000001</v>
      </c>
      <c r="E197" s="62">
        <v>967</v>
      </c>
      <c r="F197" s="54">
        <f t="shared" si="15"/>
        <v>230.07036550000001</v>
      </c>
      <c r="G197" s="85">
        <v>25569.041962604166</v>
      </c>
      <c r="H197" s="85">
        <v>25569.041962604166</v>
      </c>
      <c r="I197" s="62">
        <v>52</v>
      </c>
      <c r="J197" s="62">
        <v>1382</v>
      </c>
      <c r="K197" s="57" t="s">
        <v>384</v>
      </c>
      <c r="L197" s="52">
        <v>8812</v>
      </c>
      <c r="M197" s="58">
        <f t="shared" si="11"/>
        <v>93.872253621610682</v>
      </c>
      <c r="N197" s="58">
        <v>6878.02</v>
      </c>
      <c r="O197" s="60">
        <f t="shared" si="12"/>
        <v>1.2811826659416516</v>
      </c>
      <c r="P197" s="60">
        <f t="shared" si="13"/>
        <v>1.3648150720935774E-2</v>
      </c>
      <c r="Q197" s="89"/>
      <c r="R197" s="63"/>
      <c r="S197" s="63"/>
      <c r="T197" s="63"/>
      <c r="U197" s="63"/>
      <c r="V197" s="63"/>
      <c r="W197" s="63"/>
      <c r="X197" s="63"/>
      <c r="Y197" s="63"/>
      <c r="Z197" s="63"/>
    </row>
    <row r="198" spans="1:26" ht="17.25" customHeight="1" x14ac:dyDescent="0.2">
      <c r="A198" s="52">
        <v>1628</v>
      </c>
      <c r="B198" s="53" t="s">
        <v>33</v>
      </c>
      <c r="C198" s="53" t="s">
        <v>93</v>
      </c>
      <c r="D198" s="54">
        <v>229.06700000000001</v>
      </c>
      <c r="E198" s="62">
        <v>967</v>
      </c>
      <c r="F198" s="54">
        <f t="shared" si="15"/>
        <v>228.08277220000002</v>
      </c>
      <c r="G198" s="85">
        <v>25569.041962604166</v>
      </c>
      <c r="H198" s="85">
        <v>25569.041962604166</v>
      </c>
      <c r="I198" s="62">
        <v>52</v>
      </c>
      <c r="J198" s="62">
        <v>1245</v>
      </c>
      <c r="K198" s="57" t="s">
        <v>384</v>
      </c>
      <c r="L198" s="52">
        <v>6806</v>
      </c>
      <c r="M198" s="58">
        <f t="shared" si="11"/>
        <v>82.498484834571357</v>
      </c>
      <c r="N198" s="58">
        <v>6093.6</v>
      </c>
      <c r="O198" s="60">
        <f t="shared" si="12"/>
        <v>1.1169095444400683</v>
      </c>
      <c r="P198" s="60">
        <f t="shared" si="13"/>
        <v>1.3538546152450334E-2</v>
      </c>
      <c r="Q198" s="89"/>
      <c r="R198" s="63"/>
      <c r="S198" s="63"/>
      <c r="T198" s="63"/>
      <c r="U198" s="63"/>
      <c r="V198" s="63"/>
      <c r="W198" s="63"/>
      <c r="X198" s="63"/>
      <c r="Y198" s="63"/>
      <c r="Z198" s="63"/>
    </row>
    <row r="199" spans="1:26" ht="17.25" customHeight="1" x14ac:dyDescent="0.2">
      <c r="A199" s="52">
        <v>1629</v>
      </c>
      <c r="B199" s="53" t="s">
        <v>33</v>
      </c>
      <c r="C199" s="53" t="s">
        <v>93</v>
      </c>
      <c r="D199" s="54">
        <v>228.05</v>
      </c>
      <c r="E199" s="62">
        <v>967</v>
      </c>
      <c r="F199" s="54">
        <f t="shared" si="15"/>
        <v>227.07258610000002</v>
      </c>
      <c r="G199" s="85">
        <v>25569.041962604166</v>
      </c>
      <c r="H199" s="85">
        <v>25569.041962604166</v>
      </c>
      <c r="I199" s="62">
        <v>52</v>
      </c>
      <c r="J199" s="62">
        <v>1658</v>
      </c>
      <c r="K199" s="57" t="s">
        <v>384</v>
      </c>
      <c r="L199" s="52">
        <v>6592</v>
      </c>
      <c r="M199" s="58">
        <f t="shared" ref="M199:M218" si="16">SQRT(L199)</f>
        <v>81.191132520737753</v>
      </c>
      <c r="N199" s="58">
        <v>6637.14</v>
      </c>
      <c r="O199" s="60">
        <f t="shared" ref="O199:O262" si="17">L199/N199</f>
        <v>0.99319887782990857</v>
      </c>
      <c r="P199" s="60">
        <f t="shared" ref="P199:P262" si="18">M199/N199</f>
        <v>1.2232849167071623E-2</v>
      </c>
      <c r="Q199" s="89"/>
      <c r="R199" s="63"/>
      <c r="S199" s="63"/>
      <c r="T199" s="63"/>
      <c r="U199" s="63"/>
      <c r="V199" s="63"/>
      <c r="W199" s="63"/>
      <c r="X199" s="63"/>
      <c r="Y199" s="63"/>
      <c r="Z199" s="63"/>
    </row>
    <row r="200" spans="1:26" ht="17.25" customHeight="1" x14ac:dyDescent="0.2">
      <c r="A200" s="52">
        <v>1630</v>
      </c>
      <c r="B200" s="53" t="s">
        <v>33</v>
      </c>
      <c r="C200" s="53" t="s">
        <v>93</v>
      </c>
      <c r="D200" s="54">
        <v>227.05</v>
      </c>
      <c r="E200" s="62">
        <v>967</v>
      </c>
      <c r="F200" s="54">
        <f t="shared" si="15"/>
        <v>226.07928610000002</v>
      </c>
      <c r="G200" s="85">
        <v>25569.041962604166</v>
      </c>
      <c r="H200" s="85">
        <v>25569.041962604166</v>
      </c>
      <c r="I200" s="62">
        <v>51</v>
      </c>
      <c r="J200" s="62">
        <v>1738</v>
      </c>
      <c r="K200" s="57" t="s">
        <v>384</v>
      </c>
      <c r="L200" s="52">
        <v>6439</v>
      </c>
      <c r="M200" s="58">
        <f t="shared" si="16"/>
        <v>80.243379789238688</v>
      </c>
      <c r="N200" s="58">
        <v>8340.31</v>
      </c>
      <c r="O200" s="60">
        <f t="shared" si="17"/>
        <v>0.77203365342535235</v>
      </c>
      <c r="P200" s="60">
        <f t="shared" si="18"/>
        <v>9.6211507473030009E-3</v>
      </c>
      <c r="Q200" s="89"/>
      <c r="R200" s="63"/>
      <c r="S200" s="63"/>
      <c r="T200" s="63"/>
      <c r="U200" s="63"/>
      <c r="V200" s="63"/>
      <c r="W200" s="63"/>
      <c r="X200" s="63"/>
      <c r="Y200" s="63"/>
      <c r="Z200" s="63"/>
    </row>
    <row r="201" spans="1:26" ht="17.25" customHeight="1" x14ac:dyDescent="0.2">
      <c r="A201" s="52">
        <v>1631</v>
      </c>
      <c r="B201" s="53" t="s">
        <v>33</v>
      </c>
      <c r="C201" s="53" t="s">
        <v>93</v>
      </c>
      <c r="D201" s="54">
        <v>226.053</v>
      </c>
      <c r="E201" s="62">
        <v>967</v>
      </c>
      <c r="F201" s="54">
        <f t="shared" si="15"/>
        <v>225.088966</v>
      </c>
      <c r="G201" s="85">
        <v>25569.041962604166</v>
      </c>
      <c r="H201" s="85">
        <v>25569.041962604166</v>
      </c>
      <c r="I201" s="62">
        <v>52</v>
      </c>
      <c r="J201" s="62">
        <v>1068</v>
      </c>
      <c r="K201" s="57" t="s">
        <v>384</v>
      </c>
      <c r="L201" s="52">
        <v>2442</v>
      </c>
      <c r="M201" s="58">
        <f t="shared" si="16"/>
        <v>49.416596402423345</v>
      </c>
      <c r="N201" s="58">
        <v>5122.43</v>
      </c>
      <c r="O201" s="60">
        <f t="shared" si="17"/>
        <v>0.47672686596010094</v>
      </c>
      <c r="P201" s="60">
        <f t="shared" si="18"/>
        <v>9.647100380566126E-3</v>
      </c>
      <c r="Q201" s="89"/>
      <c r="R201" s="63"/>
      <c r="S201" s="63"/>
      <c r="T201" s="63"/>
      <c r="U201" s="63"/>
      <c r="V201" s="63"/>
      <c r="W201" s="63"/>
      <c r="X201" s="63"/>
      <c r="Y201" s="63"/>
      <c r="Z201" s="63"/>
    </row>
    <row r="202" spans="1:26" ht="17.25" customHeight="1" x14ac:dyDescent="0.2">
      <c r="A202" s="52">
        <v>1632</v>
      </c>
      <c r="B202" s="53" t="s">
        <v>33</v>
      </c>
      <c r="C202" s="53" t="s">
        <v>93</v>
      </c>
      <c r="D202" s="54">
        <v>225.03200000000001</v>
      </c>
      <c r="E202" s="62">
        <v>967</v>
      </c>
      <c r="F202" s="54">
        <f t="shared" si="15"/>
        <v>224.07480670000001</v>
      </c>
      <c r="G202" s="85">
        <v>25569.041962604166</v>
      </c>
      <c r="H202" s="85">
        <v>25569.041962604166</v>
      </c>
      <c r="I202" s="62">
        <v>53</v>
      </c>
      <c r="J202" s="62">
        <v>1313</v>
      </c>
      <c r="K202" s="57" t="s">
        <v>384</v>
      </c>
      <c r="L202" s="52">
        <v>1034</v>
      </c>
      <c r="M202" s="58">
        <f t="shared" si="16"/>
        <v>32.155870381627054</v>
      </c>
      <c r="N202" s="58">
        <v>6499.5</v>
      </c>
      <c r="O202" s="60">
        <f t="shared" si="17"/>
        <v>0.15908916070466958</v>
      </c>
      <c r="P202" s="60">
        <f t="shared" si="18"/>
        <v>4.9474375539083088E-3</v>
      </c>
      <c r="Q202" s="89"/>
      <c r="R202" s="63"/>
      <c r="S202" s="63"/>
      <c r="T202" s="63"/>
      <c r="U202" s="63"/>
      <c r="V202" s="63"/>
      <c r="W202" s="63"/>
      <c r="X202" s="63"/>
      <c r="Y202" s="63"/>
      <c r="Z202" s="63"/>
    </row>
    <row r="203" spans="1:26" ht="17.25" customHeight="1" x14ac:dyDescent="0.2">
      <c r="A203" s="52">
        <v>1633</v>
      </c>
      <c r="B203" s="53" t="s">
        <v>33</v>
      </c>
      <c r="C203" s="53" t="s">
        <v>93</v>
      </c>
      <c r="D203" s="54">
        <v>224.04499999999999</v>
      </c>
      <c r="E203" s="62">
        <v>967</v>
      </c>
      <c r="F203" s="54">
        <f t="shared" si="15"/>
        <v>223.09441960000001</v>
      </c>
      <c r="G203" s="85">
        <v>25569.041962604166</v>
      </c>
      <c r="H203" s="85">
        <v>25569.041962604166</v>
      </c>
      <c r="I203" s="62">
        <v>53</v>
      </c>
      <c r="J203" s="62">
        <v>1585</v>
      </c>
      <c r="K203" s="57" t="s">
        <v>384</v>
      </c>
      <c r="L203" s="52">
        <v>510</v>
      </c>
      <c r="M203" s="58">
        <f t="shared" si="16"/>
        <v>22.583179581272429</v>
      </c>
      <c r="N203" s="58">
        <v>7830.4189999999999</v>
      </c>
      <c r="O203" s="60">
        <f t="shared" si="17"/>
        <v>6.513061433877293E-2</v>
      </c>
      <c r="P203" s="60">
        <f t="shared" si="18"/>
        <v>2.8840320781394237E-3</v>
      </c>
      <c r="Q203" s="89"/>
      <c r="R203" s="63"/>
      <c r="S203" s="63"/>
      <c r="T203" s="63"/>
      <c r="U203" s="63"/>
      <c r="V203" s="63"/>
      <c r="W203" s="63"/>
      <c r="X203" s="63"/>
      <c r="Y203" s="63"/>
      <c r="Z203" s="63"/>
    </row>
    <row r="204" spans="1:26" ht="17.25" customHeight="1" x14ac:dyDescent="0.2">
      <c r="A204" s="52">
        <v>1634</v>
      </c>
      <c r="B204" s="53" t="s">
        <v>33</v>
      </c>
      <c r="C204" s="53" t="s">
        <v>93</v>
      </c>
      <c r="D204" s="54">
        <v>222.03800000000001</v>
      </c>
      <c r="E204" s="62">
        <v>967</v>
      </c>
      <c r="F204" s="54">
        <f t="shared" si="15"/>
        <v>221.10086650000002</v>
      </c>
      <c r="G204" s="85">
        <v>25569.041962604166</v>
      </c>
      <c r="H204" s="85">
        <v>25569.041962604166</v>
      </c>
      <c r="I204" s="62">
        <v>52</v>
      </c>
      <c r="J204" s="62">
        <v>1668</v>
      </c>
      <c r="K204" s="57" t="s">
        <v>384</v>
      </c>
      <c r="L204" s="52">
        <v>300</v>
      </c>
      <c r="M204" s="58">
        <f t="shared" si="16"/>
        <v>17.320508075688775</v>
      </c>
      <c r="N204" s="58">
        <v>8367.51</v>
      </c>
      <c r="O204" s="60">
        <f t="shared" si="17"/>
        <v>3.585295984109968E-2</v>
      </c>
      <c r="P204" s="60">
        <f t="shared" si="18"/>
        <v>2.0699716015503745E-3</v>
      </c>
      <c r="Q204" s="89"/>
      <c r="R204" s="63"/>
      <c r="S204" s="63"/>
      <c r="T204" s="63"/>
      <c r="U204" s="63"/>
      <c r="V204" s="63"/>
      <c r="W204" s="63"/>
      <c r="X204" s="63"/>
      <c r="Y204" s="63"/>
      <c r="Z204" s="63"/>
    </row>
    <row r="205" spans="1:26" ht="17.25" customHeight="1" x14ac:dyDescent="0.2">
      <c r="A205" s="52">
        <v>1635</v>
      </c>
      <c r="B205" s="53" t="s">
        <v>33</v>
      </c>
      <c r="C205" s="53" t="s">
        <v>93</v>
      </c>
      <c r="D205" s="54">
        <v>220.03</v>
      </c>
      <c r="E205" s="62">
        <v>967</v>
      </c>
      <c r="F205" s="54">
        <f t="shared" si="15"/>
        <v>219.1063201</v>
      </c>
      <c r="G205" s="85">
        <v>25569.041962604166</v>
      </c>
      <c r="H205" s="85">
        <v>25569.041962604166</v>
      </c>
      <c r="I205" s="62">
        <v>52</v>
      </c>
      <c r="J205" s="62">
        <v>1040</v>
      </c>
      <c r="K205" s="57" t="s">
        <v>384</v>
      </c>
      <c r="L205" s="52">
        <v>116</v>
      </c>
      <c r="M205" s="58">
        <f t="shared" si="16"/>
        <v>10.770329614269007</v>
      </c>
      <c r="N205" s="58">
        <v>5012.24</v>
      </c>
      <c r="O205" s="60">
        <f t="shared" si="17"/>
        <v>2.3143345091216704E-2</v>
      </c>
      <c r="P205" s="60">
        <f t="shared" si="18"/>
        <v>2.1488056466308493E-3</v>
      </c>
      <c r="Q205" s="89"/>
      <c r="R205" s="63"/>
      <c r="S205" s="63"/>
      <c r="T205" s="63"/>
      <c r="U205" s="63"/>
      <c r="V205" s="63"/>
      <c r="W205" s="63"/>
      <c r="X205" s="63"/>
      <c r="Y205" s="63"/>
      <c r="Z205" s="63"/>
    </row>
    <row r="206" spans="1:26" ht="17.25" customHeight="1" x14ac:dyDescent="0.2">
      <c r="A206" s="52">
        <v>1636</v>
      </c>
      <c r="B206" s="53" t="s">
        <v>33</v>
      </c>
      <c r="C206" s="53" t="s">
        <v>93</v>
      </c>
      <c r="D206" s="54">
        <v>216.02199999999999</v>
      </c>
      <c r="E206" s="62">
        <v>967</v>
      </c>
      <c r="F206" s="54">
        <f t="shared" si="15"/>
        <v>215.1251737</v>
      </c>
      <c r="G206" s="85">
        <v>25569.041962604166</v>
      </c>
      <c r="H206" s="85">
        <v>25569.041962604166</v>
      </c>
      <c r="I206" s="62">
        <v>51</v>
      </c>
      <c r="J206" s="62">
        <v>1688</v>
      </c>
      <c r="K206" s="57" t="s">
        <v>384</v>
      </c>
      <c r="L206" s="52">
        <v>124</v>
      </c>
      <c r="M206" s="58">
        <f t="shared" si="16"/>
        <v>11.135528725660043</v>
      </c>
      <c r="N206" s="58">
        <v>8198.69</v>
      </c>
      <c r="O206" s="60">
        <f t="shared" si="17"/>
        <v>1.5124367429430798E-2</v>
      </c>
      <c r="P206" s="60">
        <f t="shared" si="18"/>
        <v>1.3582082900634178E-3</v>
      </c>
      <c r="Q206" s="89"/>
      <c r="R206" s="63"/>
      <c r="S206" s="63"/>
      <c r="T206" s="63"/>
      <c r="U206" s="63"/>
      <c r="V206" s="63"/>
      <c r="W206" s="63"/>
      <c r="X206" s="63"/>
      <c r="Y206" s="63"/>
      <c r="Z206" s="63"/>
    </row>
    <row r="207" spans="1:26" ht="17.25" customHeight="1" x14ac:dyDescent="0.2">
      <c r="A207" s="52">
        <v>1637</v>
      </c>
      <c r="B207" s="53" t="s">
        <v>33</v>
      </c>
      <c r="C207" s="53" t="s">
        <v>93</v>
      </c>
      <c r="D207" s="54">
        <v>261.10000000000002</v>
      </c>
      <c r="E207" s="62">
        <v>967</v>
      </c>
      <c r="F207" s="54">
        <f t="shared" si="15"/>
        <v>259.90115109999999</v>
      </c>
      <c r="G207" s="85">
        <v>25569.041962604166</v>
      </c>
      <c r="H207" s="85">
        <v>25569.041962604166</v>
      </c>
      <c r="I207" s="62">
        <v>56</v>
      </c>
      <c r="J207" s="62">
        <v>1766</v>
      </c>
      <c r="K207" s="57" t="s">
        <v>384</v>
      </c>
      <c r="L207" s="52">
        <v>820</v>
      </c>
      <c r="M207" s="58">
        <f t="shared" si="16"/>
        <v>28.635642126552707</v>
      </c>
      <c r="N207" s="58">
        <v>9235.67</v>
      </c>
      <c r="O207" s="60">
        <f t="shared" si="17"/>
        <v>8.8786195262498549E-2</v>
      </c>
      <c r="P207" s="60">
        <f t="shared" si="18"/>
        <v>3.1005484308721195E-3</v>
      </c>
      <c r="Q207" s="89"/>
      <c r="R207" s="63"/>
      <c r="S207" s="63"/>
      <c r="T207" s="63"/>
      <c r="U207" s="63"/>
      <c r="V207" s="63"/>
      <c r="W207" s="63"/>
      <c r="X207" s="63"/>
      <c r="Y207" s="63"/>
      <c r="Z207" s="63"/>
    </row>
    <row r="208" spans="1:26" ht="17.25" customHeight="1" x14ac:dyDescent="0.2">
      <c r="A208" s="52">
        <v>1638</v>
      </c>
      <c r="B208" s="53" t="s">
        <v>33</v>
      </c>
      <c r="C208" s="53" t="s">
        <v>93</v>
      </c>
      <c r="D208" s="54">
        <v>257.125</v>
      </c>
      <c r="E208" s="62">
        <v>967</v>
      </c>
      <c r="F208" s="54">
        <f t="shared" si="15"/>
        <v>255.9527836</v>
      </c>
      <c r="G208" s="85">
        <v>25569.041962604166</v>
      </c>
      <c r="H208" s="85">
        <v>25569.041962604166</v>
      </c>
      <c r="I208" s="62">
        <v>56</v>
      </c>
      <c r="J208" s="62">
        <v>1170</v>
      </c>
      <c r="K208" s="57" t="s">
        <v>384</v>
      </c>
      <c r="L208" s="52">
        <v>581</v>
      </c>
      <c r="M208" s="58">
        <f t="shared" si="16"/>
        <v>24.103941586387901</v>
      </c>
      <c r="N208" s="58">
        <v>6173.85</v>
      </c>
      <c r="O208" s="60">
        <f t="shared" si="17"/>
        <v>9.4106594750439351E-2</v>
      </c>
      <c r="P208" s="60">
        <f t="shared" si="18"/>
        <v>3.9041994195498594E-3</v>
      </c>
      <c r="Q208" s="89"/>
      <c r="R208" s="63"/>
      <c r="S208" s="63"/>
      <c r="T208" s="63"/>
      <c r="U208" s="63"/>
      <c r="V208" s="63"/>
      <c r="W208" s="63"/>
      <c r="X208" s="63"/>
      <c r="Y208" s="63"/>
      <c r="Z208" s="63"/>
    </row>
    <row r="209" spans="1:26" ht="17.25" customHeight="1" x14ac:dyDescent="0.2">
      <c r="A209" s="52">
        <v>1639</v>
      </c>
      <c r="B209" s="53" t="s">
        <v>33</v>
      </c>
      <c r="C209" s="53" t="s">
        <v>93</v>
      </c>
      <c r="D209" s="54">
        <v>253.11</v>
      </c>
      <c r="E209" s="62">
        <v>967</v>
      </c>
      <c r="F209" s="54">
        <f t="shared" si="15"/>
        <v>251.96468410000003</v>
      </c>
      <c r="G209" s="85">
        <v>25569.041962604166</v>
      </c>
      <c r="H209" s="85">
        <v>25569.041962604166</v>
      </c>
      <c r="I209" s="62">
        <v>56</v>
      </c>
      <c r="J209" s="62">
        <v>975</v>
      </c>
      <c r="K209" s="57" t="s">
        <v>384</v>
      </c>
      <c r="L209" s="52">
        <v>523</v>
      </c>
      <c r="M209" s="58">
        <f t="shared" si="16"/>
        <v>22.869193252058544</v>
      </c>
      <c r="N209" s="58">
        <v>4978.99</v>
      </c>
      <c r="O209" s="60">
        <f t="shared" si="17"/>
        <v>0.10504138389512734</v>
      </c>
      <c r="P209" s="60">
        <f t="shared" si="18"/>
        <v>4.5931390205761697E-3</v>
      </c>
      <c r="Q209" s="89"/>
      <c r="R209" s="63"/>
      <c r="S209" s="63"/>
      <c r="T209" s="63"/>
      <c r="U209" s="63"/>
      <c r="V209" s="63"/>
      <c r="W209" s="63"/>
      <c r="X209" s="63"/>
      <c r="Y209" s="63"/>
      <c r="Z209" s="63"/>
    </row>
    <row r="210" spans="1:26" ht="17.25" customHeight="1" x14ac:dyDescent="0.2">
      <c r="A210" s="52">
        <v>1640</v>
      </c>
      <c r="B210" s="53" t="s">
        <v>33</v>
      </c>
      <c r="C210" s="53" t="s">
        <v>93</v>
      </c>
      <c r="D210" s="54">
        <v>249.1</v>
      </c>
      <c r="E210" s="62">
        <v>967</v>
      </c>
      <c r="F210" s="54">
        <f t="shared" si="15"/>
        <v>247.98155109999999</v>
      </c>
      <c r="G210" s="85">
        <v>25569.041962604166</v>
      </c>
      <c r="H210" s="85">
        <v>25569.041962604166</v>
      </c>
      <c r="I210" s="62">
        <v>56</v>
      </c>
      <c r="J210" s="62">
        <v>596</v>
      </c>
      <c r="K210" s="57" t="s">
        <v>384</v>
      </c>
      <c r="L210" s="52">
        <v>524</v>
      </c>
      <c r="M210" s="58">
        <f t="shared" si="16"/>
        <v>22.891046284519195</v>
      </c>
      <c r="N210" s="58">
        <v>2945.03</v>
      </c>
      <c r="O210" s="60">
        <f t="shared" si="17"/>
        <v>0.17792688020155992</v>
      </c>
      <c r="P210" s="60">
        <f t="shared" si="18"/>
        <v>7.7727718510572702E-3</v>
      </c>
      <c r="Q210" s="89"/>
      <c r="R210" s="63"/>
      <c r="S210" s="63"/>
      <c r="T210" s="63"/>
      <c r="U210" s="63"/>
      <c r="V210" s="63"/>
      <c r="W210" s="63"/>
      <c r="X210" s="63"/>
      <c r="Y210" s="63"/>
      <c r="Z210" s="63"/>
    </row>
    <row r="211" spans="1:26" ht="17.25" customHeight="1" x14ac:dyDescent="0.2">
      <c r="A211" s="52">
        <v>1641</v>
      </c>
      <c r="B211" s="53" t="s">
        <v>33</v>
      </c>
      <c r="C211" s="53" t="s">
        <v>93</v>
      </c>
      <c r="D211" s="54">
        <v>245.1</v>
      </c>
      <c r="E211" s="62">
        <v>967</v>
      </c>
      <c r="F211" s="54">
        <f t="shared" si="15"/>
        <v>244.0083511</v>
      </c>
      <c r="G211" s="85">
        <v>25569.041962604166</v>
      </c>
      <c r="H211" s="85">
        <v>25569.041962604166</v>
      </c>
      <c r="I211" s="62">
        <v>56</v>
      </c>
      <c r="J211" s="62">
        <v>403</v>
      </c>
      <c r="K211" s="57" t="s">
        <v>384</v>
      </c>
      <c r="L211" s="52">
        <v>577</v>
      </c>
      <c r="M211" s="58">
        <f t="shared" si="16"/>
        <v>24.020824298928627</v>
      </c>
      <c r="N211" s="58">
        <v>1979.04</v>
      </c>
      <c r="O211" s="60">
        <f t="shared" si="17"/>
        <v>0.29155550165736921</v>
      </c>
      <c r="P211" s="60">
        <f t="shared" si="18"/>
        <v>1.2137614347829567E-2</v>
      </c>
      <c r="Q211" s="89"/>
      <c r="R211" s="63"/>
      <c r="S211" s="63"/>
      <c r="T211" s="63"/>
      <c r="U211" s="63"/>
      <c r="V211" s="63"/>
      <c r="W211" s="63"/>
      <c r="X211" s="63"/>
      <c r="Y211" s="63"/>
      <c r="Z211" s="63"/>
    </row>
    <row r="212" spans="1:26" ht="17.25" customHeight="1" x14ac:dyDescent="0.2">
      <c r="A212" s="52">
        <v>1642</v>
      </c>
      <c r="B212" s="53" t="s">
        <v>33</v>
      </c>
      <c r="C212" s="53" t="s">
        <v>93</v>
      </c>
      <c r="D212" s="54">
        <v>241.09200000000001</v>
      </c>
      <c r="E212" s="62">
        <v>967</v>
      </c>
      <c r="F212" s="54">
        <f t="shared" si="15"/>
        <v>240.02720470000003</v>
      </c>
      <c r="G212" s="85">
        <v>25569.041962604166</v>
      </c>
      <c r="H212" s="85">
        <v>25569.041962604166</v>
      </c>
      <c r="I212" s="62">
        <v>55</v>
      </c>
      <c r="J212" s="62">
        <v>401</v>
      </c>
      <c r="K212" s="57" t="s">
        <v>384</v>
      </c>
      <c r="L212" s="52">
        <v>724</v>
      </c>
      <c r="M212" s="58">
        <f t="shared" si="16"/>
        <v>26.90724809414742</v>
      </c>
      <c r="N212" s="58">
        <v>1658.89</v>
      </c>
      <c r="O212" s="60">
        <f t="shared" si="17"/>
        <v>0.4364364122997908</v>
      </c>
      <c r="P212" s="60">
        <f t="shared" si="18"/>
        <v>1.6220031523577462E-2</v>
      </c>
      <c r="Q212" s="89"/>
      <c r="R212" s="63"/>
      <c r="S212" s="63"/>
      <c r="T212" s="63"/>
      <c r="U212" s="63"/>
      <c r="V212" s="63"/>
      <c r="W212" s="63"/>
      <c r="X212" s="63"/>
      <c r="Y212" s="63"/>
      <c r="Z212" s="63"/>
    </row>
    <row r="213" spans="1:26" ht="17.25" customHeight="1" x14ac:dyDescent="0.2">
      <c r="A213" s="52">
        <v>1658</v>
      </c>
      <c r="B213" s="53" t="s">
        <v>385</v>
      </c>
      <c r="C213" s="53" t="s">
        <v>93</v>
      </c>
      <c r="D213" s="54">
        <v>246.12100000000001</v>
      </c>
      <c r="E213" s="62">
        <v>950</v>
      </c>
      <c r="F213" s="54">
        <f t="shared" si="15"/>
        <v>245.00562429999999</v>
      </c>
      <c r="G213" s="85">
        <v>25569.041962604166</v>
      </c>
      <c r="H213" s="85">
        <v>25569.041962604166</v>
      </c>
      <c r="I213" s="62">
        <v>52</v>
      </c>
      <c r="J213" s="62">
        <v>18008</v>
      </c>
      <c r="K213" s="57" t="s">
        <v>384</v>
      </c>
      <c r="L213" s="52">
        <v>23719</v>
      </c>
      <c r="M213" s="58">
        <f t="shared" si="16"/>
        <v>154.00973995173163</v>
      </c>
      <c r="N213" s="58">
        <v>95735.55</v>
      </c>
      <c r="O213" s="60">
        <f t="shared" si="17"/>
        <v>0.24775540538493798</v>
      </c>
      <c r="P213" s="60">
        <f t="shared" si="18"/>
        <v>1.6086995891466819E-3</v>
      </c>
      <c r="Q213" s="89"/>
      <c r="R213" s="63"/>
      <c r="S213" s="63"/>
      <c r="T213" s="63"/>
      <c r="U213" s="63"/>
      <c r="V213" s="63"/>
      <c r="W213" s="63"/>
      <c r="X213" s="63"/>
      <c r="Y213" s="63"/>
      <c r="Z213" s="63"/>
    </row>
    <row r="214" spans="1:26" ht="17.25" customHeight="1" x14ac:dyDescent="0.2">
      <c r="A214" s="52">
        <v>1659</v>
      </c>
      <c r="B214" s="53" t="s">
        <v>385</v>
      </c>
      <c r="C214" s="53" t="s">
        <v>93</v>
      </c>
      <c r="D214" s="54">
        <v>245.81200000000001</v>
      </c>
      <c r="E214" s="62">
        <v>1289</v>
      </c>
      <c r="F214" s="54">
        <f t="shared" si="15"/>
        <v>245.03542329999999</v>
      </c>
      <c r="G214" s="85">
        <v>25569.041962604166</v>
      </c>
      <c r="H214" s="85">
        <v>25569.041962604166</v>
      </c>
      <c r="I214" s="62">
        <v>53</v>
      </c>
      <c r="J214" s="62">
        <v>23909</v>
      </c>
      <c r="K214" s="57" t="s">
        <v>384</v>
      </c>
      <c r="L214" s="52">
        <v>42822</v>
      </c>
      <c r="M214" s="58">
        <f t="shared" si="16"/>
        <v>206.93477233176642</v>
      </c>
      <c r="N214" s="58">
        <v>122988.46</v>
      </c>
      <c r="O214" s="60">
        <f t="shared" si="17"/>
        <v>0.34817900801424784</v>
      </c>
      <c r="P214" s="60">
        <f t="shared" si="18"/>
        <v>1.6825543821897308E-3</v>
      </c>
      <c r="Q214" s="89"/>
      <c r="R214" s="63"/>
      <c r="S214" s="63"/>
      <c r="T214" s="63"/>
      <c r="U214" s="63"/>
      <c r="V214" s="63"/>
      <c r="W214" s="63"/>
      <c r="X214" s="63"/>
      <c r="Y214" s="63"/>
      <c r="Z214" s="63"/>
    </row>
    <row r="215" spans="1:26" ht="17.25" customHeight="1" x14ac:dyDescent="0.2">
      <c r="A215" s="52">
        <v>1660</v>
      </c>
      <c r="B215" s="53" t="s">
        <v>310</v>
      </c>
      <c r="C215" s="53" t="s">
        <v>93</v>
      </c>
      <c r="D215" s="54">
        <v>231.11</v>
      </c>
      <c r="E215" s="62">
        <v>2649</v>
      </c>
      <c r="F215" s="54">
        <f t="shared" si="15"/>
        <v>231.78281470000002</v>
      </c>
      <c r="G215" s="85">
        <v>25569.041962604166</v>
      </c>
      <c r="H215" s="85">
        <v>25569.041962604166</v>
      </c>
      <c r="I215" s="62">
        <v>53</v>
      </c>
      <c r="J215" s="62">
        <v>745</v>
      </c>
      <c r="K215" s="57" t="s">
        <v>384</v>
      </c>
      <c r="L215" s="52">
        <v>5322</v>
      </c>
      <c r="M215" s="58">
        <f t="shared" si="16"/>
        <v>72.952039039357899</v>
      </c>
      <c r="N215" s="58">
        <v>3559.32</v>
      </c>
      <c r="O215" s="60">
        <f t="shared" si="17"/>
        <v>1.4952294258453862</v>
      </c>
      <c r="P215" s="60">
        <f t="shared" si="18"/>
        <v>2.0496060775473376E-2</v>
      </c>
      <c r="Q215" s="89"/>
      <c r="R215" s="63"/>
      <c r="S215" s="63"/>
      <c r="T215" s="63"/>
      <c r="U215" s="63"/>
      <c r="V215" s="63"/>
      <c r="W215" s="63"/>
      <c r="X215" s="63"/>
      <c r="Y215" s="63"/>
      <c r="Z215" s="63"/>
    </row>
    <row r="216" spans="1:26" ht="17.25" customHeight="1" x14ac:dyDescent="0.2">
      <c r="A216" s="52">
        <v>1661</v>
      </c>
      <c r="B216" s="53" t="s">
        <v>310</v>
      </c>
      <c r="C216" s="53" t="s">
        <v>93</v>
      </c>
      <c r="D216" s="54">
        <v>231.11</v>
      </c>
      <c r="E216" s="62">
        <v>2649</v>
      </c>
      <c r="F216" s="54">
        <f t="shared" si="15"/>
        <v>231.78281470000002</v>
      </c>
      <c r="G216" s="85">
        <v>25569.041962604166</v>
      </c>
      <c r="H216" s="85">
        <v>25569.041962604166</v>
      </c>
      <c r="I216" s="62">
        <v>54</v>
      </c>
      <c r="J216" s="62">
        <v>991</v>
      </c>
      <c r="K216" s="57" t="s">
        <v>384</v>
      </c>
      <c r="L216" s="52">
        <v>5907</v>
      </c>
      <c r="M216" s="58">
        <f t="shared" si="16"/>
        <v>76.857010090166796</v>
      </c>
      <c r="N216" s="58">
        <v>4900.5</v>
      </c>
      <c r="O216" s="60">
        <f t="shared" si="17"/>
        <v>1.2053872053872055</v>
      </c>
      <c r="P216" s="60">
        <f t="shared" si="18"/>
        <v>1.5683503742509295E-2</v>
      </c>
      <c r="Q216" s="89"/>
      <c r="R216" s="63"/>
      <c r="S216" s="63"/>
      <c r="T216" s="63"/>
      <c r="U216" s="63"/>
      <c r="V216" s="63"/>
      <c r="W216" s="63"/>
      <c r="X216" s="63"/>
      <c r="Y216" s="63"/>
      <c r="Z216" s="63"/>
    </row>
    <row r="217" spans="1:26" ht="17.25" customHeight="1" x14ac:dyDescent="0.2">
      <c r="A217" s="52">
        <v>1662</v>
      </c>
      <c r="B217" s="53" t="s">
        <v>310</v>
      </c>
      <c r="C217" s="53" t="s">
        <v>93</v>
      </c>
      <c r="D217" s="54">
        <v>231.11</v>
      </c>
      <c r="E217" s="62">
        <v>2649</v>
      </c>
      <c r="F217" s="54">
        <f t="shared" si="15"/>
        <v>231.78281470000002</v>
      </c>
      <c r="G217" s="85">
        <v>25569.041962604166</v>
      </c>
      <c r="H217" s="85">
        <v>25569.041962604166</v>
      </c>
      <c r="I217" s="62">
        <v>54</v>
      </c>
      <c r="J217" s="62">
        <v>1005</v>
      </c>
      <c r="K217" s="57" t="s">
        <v>384</v>
      </c>
      <c r="L217" s="52">
        <v>6363</v>
      </c>
      <c r="M217" s="58">
        <f t="shared" si="16"/>
        <v>79.768414801849985</v>
      </c>
      <c r="N217" s="58">
        <v>5143.74</v>
      </c>
      <c r="O217" s="60">
        <f t="shared" si="17"/>
        <v>1.2370376418714788</v>
      </c>
      <c r="P217" s="60">
        <f t="shared" si="18"/>
        <v>1.5507862917225597E-2</v>
      </c>
      <c r="Q217" s="89"/>
      <c r="R217" s="63"/>
      <c r="S217" s="63"/>
      <c r="T217" s="63"/>
      <c r="U217" s="63"/>
      <c r="V217" s="63"/>
      <c r="W217" s="63"/>
      <c r="X217" s="63"/>
      <c r="Y217" s="63"/>
      <c r="Z217" s="63"/>
    </row>
    <row r="218" spans="1:26" ht="17.25" customHeight="1" x14ac:dyDescent="0.2">
      <c r="A218" s="52">
        <v>1663</v>
      </c>
      <c r="B218" s="53" t="s">
        <v>310</v>
      </c>
      <c r="C218" s="53" t="s">
        <v>93</v>
      </c>
      <c r="D218" s="54">
        <v>231.11</v>
      </c>
      <c r="E218" s="62">
        <v>2649</v>
      </c>
      <c r="F218" s="54">
        <f t="shared" si="15"/>
        <v>231.78281470000002</v>
      </c>
      <c r="G218" s="85">
        <v>25569.041962604166</v>
      </c>
      <c r="H218" s="85">
        <v>25569.041962604166</v>
      </c>
      <c r="I218" s="62">
        <v>52</v>
      </c>
      <c r="J218" s="62">
        <v>917</v>
      </c>
      <c r="K218" s="57" t="s">
        <v>384</v>
      </c>
      <c r="L218" s="52">
        <v>5238</v>
      </c>
      <c r="M218" s="58">
        <f t="shared" si="16"/>
        <v>72.374028490888918</v>
      </c>
      <c r="N218" s="58">
        <v>4397.91</v>
      </c>
      <c r="O218" s="60">
        <f t="shared" si="17"/>
        <v>1.1910202800875871</v>
      </c>
      <c r="P218" s="60">
        <f t="shared" si="18"/>
        <v>1.645645965717555E-2</v>
      </c>
      <c r="Q218" s="89"/>
      <c r="R218" s="63"/>
      <c r="S218" s="63"/>
      <c r="T218" s="63"/>
      <c r="U218" s="63"/>
      <c r="V218" s="63"/>
      <c r="W218" s="63"/>
      <c r="X218" s="63"/>
      <c r="Y218" s="63"/>
      <c r="Z218" s="63"/>
    </row>
    <row r="219" spans="1:26" ht="17.25" customHeight="1" x14ac:dyDescent="0.2">
      <c r="A219" s="52">
        <v>1664</v>
      </c>
      <c r="B219" s="53" t="s">
        <v>310</v>
      </c>
      <c r="C219" s="53" t="s">
        <v>93</v>
      </c>
      <c r="D219" s="54">
        <v>231.11</v>
      </c>
      <c r="E219" s="62">
        <v>2649</v>
      </c>
      <c r="F219" s="54">
        <f t="shared" si="15"/>
        <v>231.78281470000002</v>
      </c>
      <c r="G219" s="85">
        <v>25569.041962604166</v>
      </c>
      <c r="H219" s="85">
        <v>25569.041962604166</v>
      </c>
      <c r="I219" s="59" t="s">
        <v>386</v>
      </c>
      <c r="J219" s="62">
        <v>849</v>
      </c>
      <c r="K219" s="57" t="s">
        <v>384</v>
      </c>
      <c r="L219" s="52">
        <v>5244</v>
      </c>
      <c r="M219" s="58">
        <v>4040.36</v>
      </c>
      <c r="N219" s="58">
        <v>4040.36</v>
      </c>
      <c r="O219" s="60">
        <f t="shared" si="17"/>
        <v>1.297904147155204</v>
      </c>
      <c r="P219" s="60">
        <f t="shared" si="18"/>
        <v>1</v>
      </c>
      <c r="Q219" s="89"/>
      <c r="R219" s="63"/>
      <c r="S219" s="63"/>
      <c r="T219" s="63"/>
      <c r="U219" s="63"/>
      <c r="V219" s="63"/>
      <c r="W219" s="63"/>
      <c r="X219" s="63"/>
      <c r="Y219" s="63"/>
      <c r="Z219" s="63"/>
    </row>
    <row r="220" spans="1:26" ht="17.25" customHeight="1" x14ac:dyDescent="0.2">
      <c r="A220" s="52">
        <v>1665</v>
      </c>
      <c r="B220" s="53" t="s">
        <v>310</v>
      </c>
      <c r="C220" s="53" t="s">
        <v>93</v>
      </c>
      <c r="D220" s="54">
        <v>231.11</v>
      </c>
      <c r="E220" s="62">
        <v>2649</v>
      </c>
      <c r="F220" s="54">
        <f t="shared" si="15"/>
        <v>231.78281470000002</v>
      </c>
      <c r="G220" s="85">
        <v>25569.041962604166</v>
      </c>
      <c r="H220" s="85">
        <v>25569.041962604166</v>
      </c>
      <c r="I220" s="59" t="s">
        <v>387</v>
      </c>
      <c r="J220" s="62">
        <v>911</v>
      </c>
      <c r="K220" s="57" t="s">
        <v>384</v>
      </c>
      <c r="L220" s="52">
        <v>5859</v>
      </c>
      <c r="M220" s="58">
        <f t="shared" ref="M220:M283" si="19">SQRT(L220)</f>
        <v>76.54410493303844</v>
      </c>
      <c r="N220" s="58">
        <v>4460.04</v>
      </c>
      <c r="O220" s="60">
        <f t="shared" si="17"/>
        <v>1.3136653482928404</v>
      </c>
      <c r="P220" s="60">
        <f t="shared" si="18"/>
        <v>1.7162201445062922E-2</v>
      </c>
      <c r="Q220" s="89"/>
      <c r="R220" s="63"/>
      <c r="S220" s="63"/>
      <c r="T220" s="63"/>
      <c r="U220" s="63"/>
      <c r="V220" s="63"/>
      <c r="W220" s="63"/>
      <c r="X220" s="63"/>
      <c r="Y220" s="63"/>
      <c r="Z220" s="63"/>
    </row>
    <row r="221" spans="1:26" ht="17.25" customHeight="1" x14ac:dyDescent="0.2">
      <c r="A221" s="52">
        <v>1666</v>
      </c>
      <c r="B221" s="53" t="s">
        <v>310</v>
      </c>
      <c r="C221" s="53" t="s">
        <v>93</v>
      </c>
      <c r="D221" s="54">
        <v>231.11</v>
      </c>
      <c r="E221" s="62">
        <v>2649</v>
      </c>
      <c r="F221" s="54">
        <f t="shared" si="15"/>
        <v>231.78281470000002</v>
      </c>
      <c r="G221" s="85">
        <v>25569.041962604166</v>
      </c>
      <c r="H221" s="85">
        <v>25569.041962604166</v>
      </c>
      <c r="I221" s="59" t="s">
        <v>388</v>
      </c>
      <c r="J221" s="62">
        <v>938</v>
      </c>
      <c r="K221" s="57" t="s">
        <v>384</v>
      </c>
      <c r="L221" s="52">
        <v>6170</v>
      </c>
      <c r="M221" s="58">
        <f t="shared" si="19"/>
        <v>78.549347546621931</v>
      </c>
      <c r="N221" s="58">
        <v>4425.25</v>
      </c>
      <c r="O221" s="60">
        <f t="shared" si="17"/>
        <v>1.394271510084176</v>
      </c>
      <c r="P221" s="60">
        <f t="shared" si="18"/>
        <v>1.7750262142618368E-2</v>
      </c>
      <c r="Q221" s="89"/>
      <c r="R221" s="63"/>
      <c r="S221" s="63"/>
      <c r="T221" s="63"/>
      <c r="U221" s="63"/>
      <c r="V221" s="63"/>
      <c r="W221" s="63"/>
      <c r="X221" s="63"/>
      <c r="Y221" s="63"/>
      <c r="Z221" s="63"/>
    </row>
    <row r="222" spans="1:26" ht="17.25" customHeight="1" x14ac:dyDescent="0.2">
      <c r="A222" s="52">
        <v>1667</v>
      </c>
      <c r="B222" s="53" t="s">
        <v>310</v>
      </c>
      <c r="C222" s="53" t="s">
        <v>93</v>
      </c>
      <c r="D222" s="54">
        <v>231.11</v>
      </c>
      <c r="E222" s="62">
        <v>2649</v>
      </c>
      <c r="F222" s="54">
        <f t="shared" si="15"/>
        <v>231.78281470000002</v>
      </c>
      <c r="G222" s="85">
        <v>25569.041962604166</v>
      </c>
      <c r="H222" s="85">
        <v>25569.041962604166</v>
      </c>
      <c r="I222" s="59" t="s">
        <v>389</v>
      </c>
      <c r="J222" s="62">
        <v>1205</v>
      </c>
      <c r="K222" s="57" t="s">
        <v>384</v>
      </c>
      <c r="L222" s="52">
        <v>2049</v>
      </c>
      <c r="M222" s="58">
        <f t="shared" si="19"/>
        <v>45.265881191025102</v>
      </c>
      <c r="N222" s="58">
        <v>1738.86</v>
      </c>
      <c r="O222" s="60">
        <f t="shared" si="17"/>
        <v>1.1783582347054968</v>
      </c>
      <c r="P222" s="60">
        <f t="shared" si="18"/>
        <v>2.6031929649899994E-2</v>
      </c>
      <c r="Q222" s="89"/>
      <c r="R222" s="63"/>
      <c r="S222" s="63"/>
      <c r="T222" s="63"/>
      <c r="U222" s="63"/>
      <c r="V222" s="63"/>
      <c r="W222" s="63"/>
      <c r="X222" s="63"/>
      <c r="Y222" s="63"/>
      <c r="Z222" s="63"/>
    </row>
    <row r="223" spans="1:26" ht="17.25" customHeight="1" x14ac:dyDescent="0.2">
      <c r="A223" s="52">
        <v>1668</v>
      </c>
      <c r="B223" s="53" t="s">
        <v>310</v>
      </c>
      <c r="C223" s="53" t="s">
        <v>93</v>
      </c>
      <c r="D223" s="54">
        <v>231.11</v>
      </c>
      <c r="E223" s="62">
        <v>2649</v>
      </c>
      <c r="F223" s="54">
        <f t="shared" si="15"/>
        <v>231.78281470000002</v>
      </c>
      <c r="G223" s="85">
        <v>25569.041962604166</v>
      </c>
      <c r="H223" s="85">
        <v>25569.041962604166</v>
      </c>
      <c r="I223" s="59" t="s">
        <v>390</v>
      </c>
      <c r="J223" s="62">
        <v>1079</v>
      </c>
      <c r="K223" s="57" t="s">
        <v>384</v>
      </c>
      <c r="L223" s="52">
        <v>6627</v>
      </c>
      <c r="M223" s="58">
        <f t="shared" si="19"/>
        <v>81.40638795573723</v>
      </c>
      <c r="N223" s="58">
        <v>4786.97</v>
      </c>
      <c r="O223" s="60">
        <f t="shared" si="17"/>
        <v>1.3843830230814063</v>
      </c>
      <c r="P223" s="60">
        <f t="shared" si="18"/>
        <v>1.7005827894416976E-2</v>
      </c>
      <c r="Q223" s="89"/>
      <c r="R223" s="63"/>
      <c r="S223" s="63"/>
      <c r="T223" s="63"/>
      <c r="U223" s="63"/>
      <c r="V223" s="63"/>
      <c r="W223" s="63"/>
      <c r="X223" s="63"/>
      <c r="Y223" s="63"/>
      <c r="Z223" s="63"/>
    </row>
    <row r="224" spans="1:26" ht="17.25" customHeight="1" x14ac:dyDescent="0.2">
      <c r="A224" s="52">
        <v>1669</v>
      </c>
      <c r="B224" s="53" t="s">
        <v>310</v>
      </c>
      <c r="C224" s="53" t="s">
        <v>93</v>
      </c>
      <c r="D224" s="54">
        <v>232.75</v>
      </c>
      <c r="E224" s="62">
        <v>1047</v>
      </c>
      <c r="F224" s="54">
        <f t="shared" si="15"/>
        <v>231.82056009999999</v>
      </c>
      <c r="G224" s="85">
        <v>25569.041962604166</v>
      </c>
      <c r="H224" s="85">
        <v>25569.041962604166</v>
      </c>
      <c r="I224" s="62">
        <v>52</v>
      </c>
      <c r="J224" s="62">
        <v>948</v>
      </c>
      <c r="K224" s="57" t="s">
        <v>384</v>
      </c>
      <c r="L224" s="52">
        <v>6528</v>
      </c>
      <c r="M224" s="58">
        <f t="shared" si="19"/>
        <v>80.796039506896619</v>
      </c>
      <c r="N224" s="58">
        <v>4697.7299999999996</v>
      </c>
      <c r="O224" s="60">
        <f t="shared" si="17"/>
        <v>1.3896073209826876</v>
      </c>
      <c r="P224" s="60">
        <f t="shared" si="18"/>
        <v>1.7198953432167586E-2</v>
      </c>
      <c r="Q224" s="89"/>
      <c r="R224" s="63"/>
      <c r="S224" s="63"/>
      <c r="T224" s="63"/>
      <c r="U224" s="63"/>
      <c r="V224" s="63"/>
      <c r="W224" s="63"/>
      <c r="X224" s="63"/>
      <c r="Y224" s="63"/>
      <c r="Z224" s="63"/>
    </row>
    <row r="225" spans="1:26" ht="17.25" customHeight="1" x14ac:dyDescent="0.2">
      <c r="A225" s="52">
        <v>1670</v>
      </c>
      <c r="B225" s="53" t="s">
        <v>157</v>
      </c>
      <c r="C225" s="53" t="s">
        <v>93</v>
      </c>
      <c r="D225" s="54">
        <v>259.22000000000003</v>
      </c>
      <c r="E225" s="62">
        <v>2942</v>
      </c>
      <c r="F225" s="54">
        <f t="shared" si="15"/>
        <v>259.99551459999998</v>
      </c>
      <c r="G225" s="85">
        <v>25569.041962604166</v>
      </c>
      <c r="H225" s="85">
        <v>25569.041962604166</v>
      </c>
      <c r="I225" s="59" t="s">
        <v>391</v>
      </c>
      <c r="J225" s="62">
        <v>509193</v>
      </c>
      <c r="K225" s="57" t="s">
        <v>384</v>
      </c>
      <c r="L225" s="52">
        <v>1075686</v>
      </c>
      <c r="M225" s="58">
        <f t="shared" si="19"/>
        <v>1037.1528334821248</v>
      </c>
      <c r="N225" s="58">
        <v>11500900.949999999</v>
      </c>
      <c r="O225" s="60">
        <f t="shared" si="17"/>
        <v>9.3530585532083904E-2</v>
      </c>
      <c r="P225" s="60">
        <f t="shared" si="18"/>
        <v>9.0180137885817097E-5</v>
      </c>
      <c r="Q225" s="89"/>
      <c r="R225" s="63"/>
      <c r="S225" s="63"/>
      <c r="T225" s="63"/>
      <c r="U225" s="63"/>
      <c r="V225" s="63"/>
      <c r="W225" s="63"/>
      <c r="X225" s="63"/>
      <c r="Y225" s="63"/>
      <c r="Z225" s="63"/>
    </row>
    <row r="226" spans="1:26" ht="17.25" customHeight="1" x14ac:dyDescent="0.2">
      <c r="A226" s="52">
        <v>1671</v>
      </c>
      <c r="B226" s="53" t="s">
        <v>334</v>
      </c>
      <c r="C226" s="53" t="s">
        <v>93</v>
      </c>
      <c r="D226" s="54">
        <v>261.113</v>
      </c>
      <c r="E226" s="62">
        <v>960</v>
      </c>
      <c r="F226" s="54">
        <f t="shared" si="15"/>
        <v>259.90711089999996</v>
      </c>
      <c r="G226" s="85">
        <v>25569.041962604166</v>
      </c>
      <c r="H226" s="85">
        <v>25569.041962604166</v>
      </c>
      <c r="I226" s="62">
        <v>79</v>
      </c>
      <c r="J226" s="62">
        <v>8032</v>
      </c>
      <c r="K226" s="57" t="s">
        <v>384</v>
      </c>
      <c r="L226" s="52">
        <v>5202</v>
      </c>
      <c r="M226" s="58">
        <f t="shared" si="19"/>
        <v>72.124891681027847</v>
      </c>
      <c r="N226" s="58">
        <v>61023.02</v>
      </c>
      <c r="O226" s="60">
        <f t="shared" si="17"/>
        <v>8.5246518445006497E-2</v>
      </c>
      <c r="P226" s="60">
        <f t="shared" si="18"/>
        <v>1.1819292404903568E-3</v>
      </c>
      <c r="Q226" s="89"/>
      <c r="R226" s="63"/>
      <c r="S226" s="63"/>
      <c r="T226" s="63"/>
      <c r="U226" s="63"/>
      <c r="V226" s="63"/>
      <c r="W226" s="63"/>
      <c r="X226" s="63"/>
      <c r="Y226" s="63"/>
      <c r="Z226" s="63"/>
    </row>
    <row r="227" spans="1:26" ht="17.25" customHeight="1" x14ac:dyDescent="0.2">
      <c r="A227" s="52">
        <v>1672</v>
      </c>
      <c r="B227" s="53" t="s">
        <v>334</v>
      </c>
      <c r="C227" s="53" t="s">
        <v>93</v>
      </c>
      <c r="D227" s="54">
        <v>257.11799999999999</v>
      </c>
      <c r="E227" s="62">
        <v>960</v>
      </c>
      <c r="F227" s="54">
        <f t="shared" si="15"/>
        <v>255.9388774</v>
      </c>
      <c r="G227" s="85">
        <v>25569.041962604166</v>
      </c>
      <c r="H227" s="85">
        <v>25569.041962604166</v>
      </c>
      <c r="I227" s="62">
        <v>74</v>
      </c>
      <c r="J227" s="62">
        <v>3028</v>
      </c>
      <c r="K227" s="57" t="s">
        <v>384</v>
      </c>
      <c r="L227" s="52">
        <v>1815</v>
      </c>
      <c r="M227" s="58">
        <f t="shared" si="19"/>
        <v>42.602816808281588</v>
      </c>
      <c r="N227" s="58">
        <v>21559.8</v>
      </c>
      <c r="O227" s="60">
        <f t="shared" si="17"/>
        <v>8.4184454401246764E-2</v>
      </c>
      <c r="P227" s="60">
        <f t="shared" si="18"/>
        <v>1.976030241852039E-3</v>
      </c>
      <c r="Q227" s="89"/>
      <c r="R227" s="63"/>
      <c r="S227" s="63"/>
      <c r="T227" s="63"/>
      <c r="U227" s="63"/>
      <c r="V227" s="63"/>
      <c r="W227" s="63"/>
      <c r="X227" s="63"/>
      <c r="Y227" s="63"/>
      <c r="Z227" s="63"/>
    </row>
    <row r="228" spans="1:26" ht="17.25" customHeight="1" x14ac:dyDescent="0.2">
      <c r="A228" s="52">
        <v>1673</v>
      </c>
      <c r="B228" s="53" t="s">
        <v>334</v>
      </c>
      <c r="C228" s="53" t="s">
        <v>93</v>
      </c>
      <c r="D228" s="54">
        <v>253.11</v>
      </c>
      <c r="E228" s="62">
        <v>960</v>
      </c>
      <c r="F228" s="54">
        <f t="shared" si="15"/>
        <v>251.95773100000002</v>
      </c>
      <c r="G228" s="85">
        <v>25569.041962604166</v>
      </c>
      <c r="H228" s="85">
        <v>25569.041962604166</v>
      </c>
      <c r="I228" s="62">
        <v>73</v>
      </c>
      <c r="J228" s="62">
        <v>2021</v>
      </c>
      <c r="K228" s="57" t="s">
        <v>384</v>
      </c>
      <c r="L228" s="52">
        <v>1354</v>
      </c>
      <c r="M228" s="58">
        <f t="shared" si="19"/>
        <v>36.796738985948195</v>
      </c>
      <c r="N228" s="58">
        <v>13731.2</v>
      </c>
      <c r="O228" s="60">
        <f t="shared" si="17"/>
        <v>9.8607550687485432E-2</v>
      </c>
      <c r="P228" s="60">
        <f t="shared" si="18"/>
        <v>2.6797904761381519E-3</v>
      </c>
      <c r="Q228" s="89"/>
      <c r="R228" s="63"/>
      <c r="S228" s="63"/>
      <c r="T228" s="63"/>
      <c r="U228" s="63"/>
      <c r="V228" s="63"/>
      <c r="W228" s="63"/>
      <c r="X228" s="63"/>
      <c r="Y228" s="63"/>
      <c r="Z228" s="63"/>
    </row>
    <row r="229" spans="1:26" ht="17.25" customHeight="1" x14ac:dyDescent="0.2">
      <c r="A229" s="52">
        <v>1674</v>
      </c>
      <c r="B229" s="53" t="s">
        <v>334</v>
      </c>
      <c r="C229" s="53" t="s">
        <v>93</v>
      </c>
      <c r="D229" s="54">
        <v>249.108</v>
      </c>
      <c r="E229" s="62">
        <v>960</v>
      </c>
      <c r="F229" s="54">
        <f t="shared" si="15"/>
        <v>247.98254439999999</v>
      </c>
      <c r="G229" s="85">
        <v>25569.041962604166</v>
      </c>
      <c r="H229" s="85">
        <v>25569.041962604166</v>
      </c>
      <c r="I229" s="62">
        <v>71</v>
      </c>
      <c r="J229" s="62">
        <v>1248</v>
      </c>
      <c r="K229" s="57" t="s">
        <v>384</v>
      </c>
      <c r="L229" s="52">
        <v>1294</v>
      </c>
      <c r="M229" s="58">
        <f t="shared" si="19"/>
        <v>35.972211497209898</v>
      </c>
      <c r="N229" s="58">
        <v>8021.49</v>
      </c>
      <c r="O229" s="60">
        <f t="shared" si="17"/>
        <v>0.16131666311371079</v>
      </c>
      <c r="P229" s="60">
        <f t="shared" si="18"/>
        <v>4.4844800027438667E-3</v>
      </c>
      <c r="Q229" s="89"/>
      <c r="R229" s="63"/>
      <c r="S229" s="63"/>
      <c r="T229" s="63"/>
      <c r="U229" s="63"/>
      <c r="V229" s="63"/>
      <c r="W229" s="63"/>
      <c r="X229" s="63"/>
      <c r="Y229" s="63"/>
      <c r="Z229" s="63"/>
    </row>
    <row r="230" spans="1:26" ht="17.25" customHeight="1" x14ac:dyDescent="0.2">
      <c r="A230" s="52">
        <v>1675</v>
      </c>
      <c r="B230" s="53" t="s">
        <v>334</v>
      </c>
      <c r="C230" s="53" t="s">
        <v>93</v>
      </c>
      <c r="D230" s="54">
        <v>245.1</v>
      </c>
      <c r="E230" s="62">
        <v>960</v>
      </c>
      <c r="F230" s="54">
        <f t="shared" ref="F230:F293" si="20">0.9933*(D230 + E230/1000)-0.41</f>
        <v>244.00139799999999</v>
      </c>
      <c r="G230" s="85">
        <v>25569.041962604166</v>
      </c>
      <c r="H230" s="85">
        <v>25569.041962604166</v>
      </c>
      <c r="I230" s="62">
        <v>67</v>
      </c>
      <c r="J230" s="62">
        <v>1316</v>
      </c>
      <c r="K230" s="57" t="s">
        <v>384</v>
      </c>
      <c r="L230" s="52">
        <v>2097</v>
      </c>
      <c r="M230" s="58">
        <f t="shared" si="19"/>
        <v>45.793012567421243</v>
      </c>
      <c r="N230" s="58">
        <v>8411.17</v>
      </c>
      <c r="O230" s="60">
        <f t="shared" si="17"/>
        <v>0.24931133243056555</v>
      </c>
      <c r="P230" s="60">
        <f t="shared" si="18"/>
        <v>5.4443094798251896E-3</v>
      </c>
      <c r="Q230" s="89"/>
      <c r="R230" s="63"/>
      <c r="S230" s="63"/>
      <c r="T230" s="63"/>
      <c r="U230" s="63"/>
      <c r="V230" s="63"/>
      <c r="W230" s="63"/>
      <c r="X230" s="63"/>
      <c r="Y230" s="63"/>
      <c r="Z230" s="63"/>
    </row>
    <row r="231" spans="1:26" ht="17.25" customHeight="1" x14ac:dyDescent="0.2">
      <c r="A231" s="52">
        <v>1676</v>
      </c>
      <c r="B231" s="53" t="s">
        <v>334</v>
      </c>
      <c r="C231" s="53" t="s">
        <v>93</v>
      </c>
      <c r="D231" s="54">
        <v>241.09</v>
      </c>
      <c r="E231" s="62">
        <v>960</v>
      </c>
      <c r="F231" s="54">
        <f t="shared" si="20"/>
        <v>240.01826500000001</v>
      </c>
      <c r="G231" s="85">
        <v>25569.041962604166</v>
      </c>
      <c r="H231" s="85">
        <v>25569.041962604166</v>
      </c>
      <c r="I231" s="62">
        <v>66</v>
      </c>
      <c r="J231" s="62">
        <v>1034</v>
      </c>
      <c r="K231" s="57" t="s">
        <v>384</v>
      </c>
      <c r="L231" s="52">
        <v>2238</v>
      </c>
      <c r="M231" s="58">
        <f t="shared" si="19"/>
        <v>47.307504690059481</v>
      </c>
      <c r="N231" s="58">
        <v>6375.21</v>
      </c>
      <c r="O231" s="60">
        <f t="shared" si="17"/>
        <v>0.35104725961968314</v>
      </c>
      <c r="P231" s="60">
        <f t="shared" si="18"/>
        <v>7.4205406080834167E-3</v>
      </c>
      <c r="Q231" s="89"/>
      <c r="R231" s="63"/>
      <c r="S231" s="63"/>
      <c r="T231" s="63"/>
      <c r="U231" s="63"/>
      <c r="V231" s="63"/>
      <c r="W231" s="63"/>
      <c r="X231" s="63"/>
      <c r="Y231" s="63"/>
      <c r="Z231" s="63"/>
    </row>
    <row r="232" spans="1:26" ht="17.25" customHeight="1" x14ac:dyDescent="0.2">
      <c r="A232" s="52">
        <v>1677</v>
      </c>
      <c r="B232" s="53" t="s">
        <v>334</v>
      </c>
      <c r="C232" s="53" t="s">
        <v>93</v>
      </c>
      <c r="D232" s="54">
        <v>239.078</v>
      </c>
      <c r="E232" s="62">
        <v>960</v>
      </c>
      <c r="F232" s="54">
        <f t="shared" si="20"/>
        <v>238.01974540000001</v>
      </c>
      <c r="G232" s="85">
        <v>25569.041962604166</v>
      </c>
      <c r="H232" s="85">
        <v>25569.041962604166</v>
      </c>
      <c r="I232" s="59" t="s">
        <v>392</v>
      </c>
      <c r="J232" s="62">
        <v>938</v>
      </c>
      <c r="K232" s="57" t="s">
        <v>384</v>
      </c>
      <c r="L232" s="52">
        <v>2744</v>
      </c>
      <c r="M232" s="58">
        <f t="shared" si="19"/>
        <v>52.38320341483518</v>
      </c>
      <c r="N232" s="58">
        <v>5387.38</v>
      </c>
      <c r="O232" s="60">
        <f t="shared" si="17"/>
        <v>0.50933849106615836</v>
      </c>
      <c r="P232" s="60">
        <f t="shared" si="18"/>
        <v>9.7233169768672668E-3</v>
      </c>
      <c r="Q232" s="89"/>
      <c r="R232" s="63"/>
      <c r="S232" s="63"/>
      <c r="T232" s="63"/>
      <c r="U232" s="63"/>
      <c r="V232" s="63"/>
      <c r="W232" s="63"/>
      <c r="X232" s="63"/>
      <c r="Y232" s="63"/>
      <c r="Z232" s="63"/>
    </row>
    <row r="233" spans="1:26" ht="17.25" customHeight="1" x14ac:dyDescent="0.2">
      <c r="A233" s="52">
        <v>1678</v>
      </c>
      <c r="B233" s="53" t="s">
        <v>334</v>
      </c>
      <c r="C233" s="53" t="s">
        <v>93</v>
      </c>
      <c r="D233" s="54">
        <v>237.07</v>
      </c>
      <c r="E233" s="62">
        <v>960</v>
      </c>
      <c r="F233" s="54">
        <f t="shared" si="20"/>
        <v>236.02519899999999</v>
      </c>
      <c r="G233" s="85">
        <v>25569.041962604166</v>
      </c>
      <c r="H233" s="85">
        <v>25569.041962604166</v>
      </c>
      <c r="I233" s="62">
        <v>64</v>
      </c>
      <c r="J233" s="62">
        <v>1909</v>
      </c>
      <c r="K233" s="57" t="s">
        <v>384</v>
      </c>
      <c r="L233" s="52">
        <v>8413</v>
      </c>
      <c r="M233" s="58">
        <f t="shared" si="19"/>
        <v>91.72240729505522</v>
      </c>
      <c r="N233" s="58">
        <v>11622.78</v>
      </c>
      <c r="O233" s="60">
        <f t="shared" si="17"/>
        <v>0.72383715427806428</v>
      </c>
      <c r="P233" s="60">
        <f t="shared" si="18"/>
        <v>7.8916065945544202E-3</v>
      </c>
      <c r="Q233" s="89"/>
      <c r="R233" s="63"/>
      <c r="S233" s="63"/>
      <c r="T233" s="63"/>
      <c r="U233" s="63"/>
      <c r="V233" s="63"/>
      <c r="W233" s="63"/>
      <c r="X233" s="63"/>
      <c r="Y233" s="63"/>
      <c r="Z233" s="63"/>
    </row>
    <row r="234" spans="1:26" ht="17.25" customHeight="1" x14ac:dyDescent="0.2">
      <c r="A234" s="52">
        <v>1679</v>
      </c>
      <c r="B234" s="53" t="s">
        <v>334</v>
      </c>
      <c r="C234" s="53" t="s">
        <v>93</v>
      </c>
      <c r="D234" s="54">
        <v>235.07</v>
      </c>
      <c r="E234" s="62">
        <v>960</v>
      </c>
      <c r="F234" s="54">
        <f t="shared" si="20"/>
        <v>234.038599</v>
      </c>
      <c r="G234" s="85">
        <v>25569.041962604166</v>
      </c>
      <c r="H234" s="85">
        <v>25569.041962604166</v>
      </c>
      <c r="I234" s="62">
        <v>64</v>
      </c>
      <c r="J234" s="62">
        <v>1006</v>
      </c>
      <c r="K234" s="57" t="s">
        <v>384</v>
      </c>
      <c r="L234" s="52">
        <v>5566</v>
      </c>
      <c r="M234" s="58">
        <f t="shared" si="19"/>
        <v>74.605629814377949</v>
      </c>
      <c r="N234" s="58">
        <v>5894.96</v>
      </c>
      <c r="O234" s="60">
        <f t="shared" si="17"/>
        <v>0.94419639827920798</v>
      </c>
      <c r="P234" s="60">
        <f t="shared" si="18"/>
        <v>1.2655833086972252E-2</v>
      </c>
      <c r="Q234" s="89"/>
      <c r="R234" s="63"/>
      <c r="S234" s="63"/>
      <c r="T234" s="63"/>
      <c r="U234" s="63"/>
      <c r="V234" s="63"/>
      <c r="W234" s="63"/>
      <c r="X234" s="63"/>
      <c r="Y234" s="63"/>
      <c r="Z234" s="63"/>
    </row>
    <row r="235" spans="1:26" ht="17.25" customHeight="1" x14ac:dyDescent="0.2">
      <c r="A235" s="52">
        <v>1680</v>
      </c>
      <c r="B235" s="53" t="s">
        <v>334</v>
      </c>
      <c r="C235" s="53" t="s">
        <v>93</v>
      </c>
      <c r="D235" s="54">
        <v>233.06200000000001</v>
      </c>
      <c r="E235" s="62">
        <v>960</v>
      </c>
      <c r="F235" s="54">
        <f t="shared" si="20"/>
        <v>232.04405260000001</v>
      </c>
      <c r="G235" s="85">
        <v>25569.041962604166</v>
      </c>
      <c r="H235" s="85">
        <v>25569.041962604166</v>
      </c>
      <c r="I235" s="62">
        <v>62</v>
      </c>
      <c r="J235" s="62">
        <v>811</v>
      </c>
      <c r="K235" s="57" t="s">
        <v>384</v>
      </c>
      <c r="L235" s="52">
        <v>5427</v>
      </c>
      <c r="M235" s="58">
        <f t="shared" si="19"/>
        <v>73.668174946852048</v>
      </c>
      <c r="N235" s="58">
        <v>4620.12</v>
      </c>
      <c r="O235" s="60">
        <f t="shared" si="17"/>
        <v>1.1746448144204047</v>
      </c>
      <c r="P235" s="60">
        <f t="shared" si="18"/>
        <v>1.5945078254861789E-2</v>
      </c>
      <c r="Q235" s="89"/>
      <c r="R235" s="63"/>
      <c r="S235" s="63"/>
      <c r="T235" s="63"/>
      <c r="U235" s="63"/>
      <c r="V235" s="63"/>
      <c r="W235" s="63"/>
      <c r="X235" s="63"/>
      <c r="Y235" s="63"/>
      <c r="Z235" s="63"/>
    </row>
    <row r="236" spans="1:26" ht="17.25" customHeight="1" x14ac:dyDescent="0.2">
      <c r="A236" s="52">
        <v>1681</v>
      </c>
      <c r="B236" s="53" t="s">
        <v>334</v>
      </c>
      <c r="C236" s="53" t="s">
        <v>93</v>
      </c>
      <c r="D236" s="54">
        <v>231.05500000000001</v>
      </c>
      <c r="E236" s="62">
        <v>960</v>
      </c>
      <c r="F236" s="54">
        <f t="shared" si="20"/>
        <v>230.0504995</v>
      </c>
      <c r="G236" s="85">
        <v>25569.041962604166</v>
      </c>
      <c r="H236" s="85">
        <v>25569.041962604166</v>
      </c>
      <c r="I236" s="62">
        <v>61</v>
      </c>
      <c r="J236" s="62">
        <v>809</v>
      </c>
      <c r="K236" s="57" t="s">
        <v>384</v>
      </c>
      <c r="L236" s="52">
        <v>5278</v>
      </c>
      <c r="M236" s="58">
        <f t="shared" si="19"/>
        <v>72.649845147804683</v>
      </c>
      <c r="N236" s="58">
        <v>4451.5200000000004</v>
      </c>
      <c r="O236" s="60">
        <f t="shared" si="17"/>
        <v>1.1856624254187333</v>
      </c>
      <c r="P236" s="60">
        <f t="shared" si="18"/>
        <v>1.6320233346767996E-2</v>
      </c>
      <c r="Q236" s="89"/>
      <c r="R236" s="63"/>
      <c r="S236" s="63"/>
      <c r="T236" s="63"/>
      <c r="U236" s="63"/>
      <c r="V236" s="63"/>
      <c r="W236" s="63"/>
      <c r="X236" s="63"/>
      <c r="Y236" s="63"/>
      <c r="Z236" s="63"/>
    </row>
    <row r="237" spans="1:26" ht="17.25" customHeight="1" x14ac:dyDescent="0.2">
      <c r="A237" s="52">
        <v>1682</v>
      </c>
      <c r="B237" s="53" t="s">
        <v>334</v>
      </c>
      <c r="C237" s="53" t="s">
        <v>93</v>
      </c>
      <c r="D237" s="54">
        <v>229.054</v>
      </c>
      <c r="E237" s="62">
        <v>960</v>
      </c>
      <c r="F237" s="54">
        <f t="shared" si="20"/>
        <v>228.06290620000001</v>
      </c>
      <c r="G237" s="85">
        <v>25569.041962604166</v>
      </c>
      <c r="H237" s="85">
        <v>25569.041962604166</v>
      </c>
      <c r="I237" s="62">
        <v>62</v>
      </c>
      <c r="J237" s="62">
        <v>872</v>
      </c>
      <c r="K237" s="57" t="s">
        <v>384</v>
      </c>
      <c r="L237" s="52">
        <v>5277</v>
      </c>
      <c r="M237" s="58">
        <f t="shared" si="19"/>
        <v>72.642962494656018</v>
      </c>
      <c r="N237" s="58">
        <v>5226.01</v>
      </c>
      <c r="O237" s="60">
        <f t="shared" si="17"/>
        <v>1.0097569656391778</v>
      </c>
      <c r="P237" s="60">
        <f t="shared" si="18"/>
        <v>1.3900272386515911E-2</v>
      </c>
      <c r="Q237" s="89"/>
      <c r="R237" s="63"/>
      <c r="S237" s="63"/>
      <c r="T237" s="63"/>
      <c r="U237" s="63"/>
      <c r="V237" s="63"/>
      <c r="W237" s="63"/>
      <c r="X237" s="63"/>
      <c r="Y237" s="63"/>
      <c r="Z237" s="63"/>
    </row>
    <row r="238" spans="1:26" ht="17.25" customHeight="1" x14ac:dyDescent="0.2">
      <c r="A238" s="52">
        <v>1683</v>
      </c>
      <c r="B238" s="53" t="s">
        <v>334</v>
      </c>
      <c r="C238" s="53" t="s">
        <v>93</v>
      </c>
      <c r="D238" s="54">
        <v>228.04</v>
      </c>
      <c r="E238" s="62">
        <v>960</v>
      </c>
      <c r="F238" s="54">
        <f t="shared" si="20"/>
        <v>227.0557</v>
      </c>
      <c r="G238" s="85">
        <v>25569.041962604166</v>
      </c>
      <c r="H238" s="85">
        <v>25569.041962604166</v>
      </c>
      <c r="I238" s="62">
        <v>62</v>
      </c>
      <c r="J238" s="62">
        <v>991</v>
      </c>
      <c r="K238" s="57" t="s">
        <v>384</v>
      </c>
      <c r="L238" s="52">
        <v>5174</v>
      </c>
      <c r="M238" s="58">
        <f t="shared" si="19"/>
        <v>71.930522033417773</v>
      </c>
      <c r="N238" s="58">
        <v>5923.29</v>
      </c>
      <c r="O238" s="60">
        <f t="shared" si="17"/>
        <v>0.87350104418321572</v>
      </c>
      <c r="P238" s="60">
        <f t="shared" si="18"/>
        <v>1.2143677252577161E-2</v>
      </c>
      <c r="Q238" s="89"/>
      <c r="R238" s="63"/>
      <c r="S238" s="63"/>
      <c r="T238" s="63"/>
      <c r="U238" s="63"/>
      <c r="V238" s="63"/>
      <c r="W238" s="63"/>
      <c r="X238" s="63"/>
      <c r="Y238" s="63"/>
      <c r="Z238" s="63"/>
    </row>
    <row r="239" spans="1:26" ht="17.25" customHeight="1" x14ac:dyDescent="0.2">
      <c r="A239" s="52">
        <v>1684</v>
      </c>
      <c r="B239" s="53" t="s">
        <v>334</v>
      </c>
      <c r="C239" s="53" t="s">
        <v>93</v>
      </c>
      <c r="D239" s="54">
        <v>227.04</v>
      </c>
      <c r="E239" s="62">
        <v>960</v>
      </c>
      <c r="F239" s="54">
        <f t="shared" si="20"/>
        <v>226.0624</v>
      </c>
      <c r="G239" s="85">
        <v>25569.041962604166</v>
      </c>
      <c r="H239" s="85">
        <v>25569.041962604166</v>
      </c>
      <c r="I239" s="62">
        <v>61</v>
      </c>
      <c r="J239" s="62">
        <v>1318</v>
      </c>
      <c r="K239" s="57" t="s">
        <v>384</v>
      </c>
      <c r="L239" s="52">
        <v>5293</v>
      </c>
      <c r="M239" s="58">
        <f t="shared" si="19"/>
        <v>72.753006810715391</v>
      </c>
      <c r="N239" s="58">
        <v>7619.78</v>
      </c>
      <c r="O239" s="60">
        <f t="shared" si="17"/>
        <v>0.69463947778019841</v>
      </c>
      <c r="P239" s="60">
        <f t="shared" si="18"/>
        <v>9.5479143506394405E-3</v>
      </c>
      <c r="Q239" s="89"/>
      <c r="R239" s="63"/>
      <c r="S239" s="63"/>
      <c r="T239" s="63"/>
      <c r="U239" s="63"/>
      <c r="V239" s="63"/>
      <c r="W239" s="63"/>
      <c r="X239" s="63"/>
      <c r="Y239" s="63"/>
      <c r="Z239" s="63"/>
    </row>
    <row r="240" spans="1:26" ht="17.25" customHeight="1" x14ac:dyDescent="0.2">
      <c r="A240" s="52">
        <v>1685</v>
      </c>
      <c r="B240" s="53" t="s">
        <v>334</v>
      </c>
      <c r="C240" s="53" t="s">
        <v>93</v>
      </c>
      <c r="D240" s="54">
        <v>226.03899999999999</v>
      </c>
      <c r="E240" s="62">
        <v>960</v>
      </c>
      <c r="F240" s="54">
        <f t="shared" si="20"/>
        <v>225.06810669999999</v>
      </c>
      <c r="G240" s="85">
        <v>25569.041962604166</v>
      </c>
      <c r="H240" s="85">
        <v>25569.041962604166</v>
      </c>
      <c r="I240" s="62">
        <v>61</v>
      </c>
      <c r="J240" s="62">
        <v>898</v>
      </c>
      <c r="K240" s="57" t="s">
        <v>384</v>
      </c>
      <c r="L240" s="52">
        <v>2132</v>
      </c>
      <c r="M240" s="58">
        <f t="shared" si="19"/>
        <v>46.173585522460783</v>
      </c>
      <c r="N240" s="58">
        <v>5000.09</v>
      </c>
      <c r="O240" s="60">
        <f t="shared" si="17"/>
        <v>0.4263923249381511</v>
      </c>
      <c r="P240" s="60">
        <f t="shared" si="18"/>
        <v>9.2345508825762701E-3</v>
      </c>
      <c r="Q240" s="89"/>
      <c r="R240" s="63"/>
      <c r="S240" s="63"/>
      <c r="T240" s="63"/>
      <c r="U240" s="63"/>
      <c r="V240" s="63"/>
      <c r="W240" s="63"/>
      <c r="X240" s="63"/>
      <c r="Y240" s="63"/>
      <c r="Z240" s="63"/>
    </row>
    <row r="241" spans="1:26" ht="17.25" customHeight="1" x14ac:dyDescent="0.2">
      <c r="A241" s="52">
        <v>1686</v>
      </c>
      <c r="B241" s="53" t="s">
        <v>334</v>
      </c>
      <c r="C241" s="53" t="s">
        <v>93</v>
      </c>
      <c r="D241" s="54">
        <v>225.02500000000001</v>
      </c>
      <c r="E241" s="62">
        <v>960</v>
      </c>
      <c r="F241" s="54">
        <f t="shared" si="20"/>
        <v>224.0609005</v>
      </c>
      <c r="G241" s="85">
        <v>25569.041962604166</v>
      </c>
      <c r="H241" s="85">
        <v>25569.041962604166</v>
      </c>
      <c r="I241" s="62">
        <v>60</v>
      </c>
      <c r="J241" s="62">
        <v>714</v>
      </c>
      <c r="K241" s="57" t="s">
        <v>384</v>
      </c>
      <c r="L241" s="52">
        <v>530</v>
      </c>
      <c r="M241" s="58">
        <f t="shared" si="19"/>
        <v>23.021728866442675</v>
      </c>
      <c r="N241" s="58">
        <v>3830.52</v>
      </c>
      <c r="O241" s="60">
        <f t="shared" si="17"/>
        <v>0.13836241554671427</v>
      </c>
      <c r="P241" s="60">
        <f t="shared" si="18"/>
        <v>6.0100792755142058E-3</v>
      </c>
      <c r="Q241" s="89"/>
      <c r="R241" s="63"/>
      <c r="S241" s="63"/>
      <c r="T241" s="63"/>
      <c r="U241" s="63"/>
      <c r="V241" s="63"/>
      <c r="W241" s="63"/>
      <c r="X241" s="63"/>
      <c r="Y241" s="63"/>
      <c r="Z241" s="63"/>
    </row>
    <row r="242" spans="1:26" ht="17.25" customHeight="1" x14ac:dyDescent="0.2">
      <c r="A242" s="52">
        <v>1687</v>
      </c>
      <c r="B242" s="53" t="s">
        <v>334</v>
      </c>
      <c r="C242" s="53" t="s">
        <v>93</v>
      </c>
      <c r="D242" s="54">
        <v>224.03200000000001</v>
      </c>
      <c r="E242" s="62">
        <v>960</v>
      </c>
      <c r="F242" s="54">
        <f t="shared" si="20"/>
        <v>223.0745536</v>
      </c>
      <c r="G242" s="85">
        <v>25569.041962604166</v>
      </c>
      <c r="H242" s="85">
        <v>25569.041962604166</v>
      </c>
      <c r="I242" s="62">
        <v>56</v>
      </c>
      <c r="J242" s="62">
        <v>1459</v>
      </c>
      <c r="K242" s="57" t="s">
        <v>384</v>
      </c>
      <c r="L242" s="52">
        <v>506</v>
      </c>
      <c r="M242" s="58">
        <f t="shared" si="19"/>
        <v>22.494443758403985</v>
      </c>
      <c r="N242" s="58">
        <v>7992.18</v>
      </c>
      <c r="O242" s="60">
        <f t="shared" si="17"/>
        <v>6.3311887369904077E-2</v>
      </c>
      <c r="P242" s="60">
        <f t="shared" si="18"/>
        <v>2.8145566989737449E-3</v>
      </c>
      <c r="Q242" s="89"/>
      <c r="R242" s="63"/>
      <c r="S242" s="63"/>
      <c r="T242" s="63"/>
      <c r="U242" s="63"/>
      <c r="V242" s="63"/>
      <c r="W242" s="63"/>
      <c r="X242" s="63"/>
      <c r="Y242" s="63"/>
      <c r="Z242" s="63"/>
    </row>
    <row r="243" spans="1:26" ht="17.25" customHeight="1" x14ac:dyDescent="0.2">
      <c r="A243" s="52">
        <v>1688</v>
      </c>
      <c r="B243" s="53" t="s">
        <v>334</v>
      </c>
      <c r="C243" s="53" t="s">
        <v>93</v>
      </c>
      <c r="D243" s="54">
        <v>222.024</v>
      </c>
      <c r="E243" s="62">
        <v>960</v>
      </c>
      <c r="F243" s="54">
        <f t="shared" si="20"/>
        <v>221.08000720000001</v>
      </c>
      <c r="G243" s="85">
        <v>25569.041962604166</v>
      </c>
      <c r="H243" s="85">
        <v>25569.041962604166</v>
      </c>
      <c r="I243" s="62">
        <v>58</v>
      </c>
      <c r="J243" s="62">
        <v>1250</v>
      </c>
      <c r="K243" s="57" t="s">
        <v>384</v>
      </c>
      <c r="L243" s="52">
        <v>211</v>
      </c>
      <c r="M243" s="58">
        <f t="shared" si="19"/>
        <v>14.52583904633395</v>
      </c>
      <c r="N243" s="58">
        <v>6899.59</v>
      </c>
      <c r="O243" s="60">
        <f t="shared" si="17"/>
        <v>3.0581527308144396E-2</v>
      </c>
      <c r="P243" s="60">
        <f t="shared" si="18"/>
        <v>2.105319163361004E-3</v>
      </c>
      <c r="Q243" s="89"/>
      <c r="R243" s="63"/>
      <c r="S243" s="63"/>
      <c r="T243" s="63"/>
      <c r="U243" s="63"/>
      <c r="V243" s="63"/>
      <c r="W243" s="63"/>
      <c r="X243" s="63"/>
      <c r="Y243" s="63"/>
      <c r="Z243" s="63"/>
    </row>
    <row r="244" spans="1:26" ht="17.25" customHeight="1" x14ac:dyDescent="0.2">
      <c r="A244" s="52">
        <v>1689</v>
      </c>
      <c r="B244" s="53" t="s">
        <v>334</v>
      </c>
      <c r="C244" s="53" t="s">
        <v>93</v>
      </c>
      <c r="D244" s="54">
        <v>218.00299999999999</v>
      </c>
      <c r="E244" s="62">
        <v>960</v>
      </c>
      <c r="F244" s="54">
        <f t="shared" si="20"/>
        <v>217.08594789999998</v>
      </c>
      <c r="G244" s="85">
        <v>25569.041962604166</v>
      </c>
      <c r="H244" s="85">
        <v>25569.041962604166</v>
      </c>
      <c r="I244" s="62">
        <v>57</v>
      </c>
      <c r="J244" s="62">
        <v>5015</v>
      </c>
      <c r="K244" s="57" t="s">
        <v>384</v>
      </c>
      <c r="L244" s="52">
        <v>390</v>
      </c>
      <c r="M244" s="58">
        <f t="shared" si="19"/>
        <v>19.748417658131498</v>
      </c>
      <c r="N244" s="58">
        <v>27717.71</v>
      </c>
      <c r="O244" s="60">
        <f t="shared" si="17"/>
        <v>1.4070426452978981E-2</v>
      </c>
      <c r="P244" s="60">
        <f t="shared" si="18"/>
        <v>7.1248373902936058E-4</v>
      </c>
      <c r="Q244" s="89"/>
      <c r="R244" s="63"/>
      <c r="S244" s="63"/>
      <c r="T244" s="63"/>
      <c r="U244" s="63"/>
      <c r="V244" s="63"/>
      <c r="W244" s="63"/>
      <c r="X244" s="63"/>
      <c r="Y244" s="63"/>
      <c r="Z244" s="63"/>
    </row>
    <row r="245" spans="1:26" ht="17.25" customHeight="1" x14ac:dyDescent="0.2">
      <c r="A245" s="52">
        <v>1690</v>
      </c>
      <c r="B245" s="53" t="s">
        <v>385</v>
      </c>
      <c r="C245" s="53" t="s">
        <v>93</v>
      </c>
      <c r="D245" s="54">
        <v>246.12100000000001</v>
      </c>
      <c r="E245" s="62">
        <v>960</v>
      </c>
      <c r="F245" s="54">
        <f t="shared" si="20"/>
        <v>245.01555730000001</v>
      </c>
      <c r="G245" s="85">
        <v>25569.041962604166</v>
      </c>
      <c r="H245" s="85">
        <v>25569.041962604166</v>
      </c>
      <c r="I245" s="62">
        <v>59</v>
      </c>
      <c r="J245" s="62">
        <v>19498</v>
      </c>
      <c r="K245" s="57" t="s">
        <v>384</v>
      </c>
      <c r="L245" s="52">
        <v>25356</v>
      </c>
      <c r="M245" s="58">
        <f t="shared" si="19"/>
        <v>159.23567439490435</v>
      </c>
      <c r="N245" s="58">
        <v>113032.33</v>
      </c>
      <c r="O245" s="60">
        <f t="shared" si="17"/>
        <v>0.22432519970171366</v>
      </c>
      <c r="P245" s="60">
        <f t="shared" si="18"/>
        <v>1.4087622045383329E-3</v>
      </c>
      <c r="Q245" s="89"/>
      <c r="R245" s="63"/>
      <c r="S245" s="63"/>
      <c r="T245" s="63"/>
      <c r="U245" s="63"/>
      <c r="V245" s="63"/>
      <c r="W245" s="63"/>
      <c r="X245" s="63"/>
      <c r="Y245" s="63"/>
      <c r="Z245" s="63"/>
    </row>
    <row r="246" spans="1:26" ht="17.25" customHeight="1" x14ac:dyDescent="0.2">
      <c r="A246" s="52">
        <v>1691</v>
      </c>
      <c r="B246" s="53" t="s">
        <v>9</v>
      </c>
      <c r="C246" s="53" t="s">
        <v>93</v>
      </c>
      <c r="D246" s="54">
        <v>351.79199999999997</v>
      </c>
      <c r="E246" s="62">
        <v>854</v>
      </c>
      <c r="F246" s="54">
        <f t="shared" si="20"/>
        <v>349.87327179999994</v>
      </c>
      <c r="G246" s="69">
        <v>25569.041962604166</v>
      </c>
      <c r="H246" s="69">
        <v>25569.041962604166</v>
      </c>
      <c r="I246" s="62">
        <v>44</v>
      </c>
      <c r="J246" s="62">
        <v>548</v>
      </c>
      <c r="K246" s="57" t="s">
        <v>384</v>
      </c>
      <c r="L246" s="52">
        <v>857401</v>
      </c>
      <c r="M246" s="58">
        <f t="shared" si="19"/>
        <v>925.95950235417968</v>
      </c>
      <c r="N246" s="58">
        <v>2123.36</v>
      </c>
      <c r="O246" s="60">
        <f t="shared" si="17"/>
        <v>403.79445784040388</v>
      </c>
      <c r="P246" s="60">
        <f t="shared" si="18"/>
        <v>0.43608220101828216</v>
      </c>
      <c r="Q246" s="224" t="s">
        <v>393</v>
      </c>
      <c r="R246" s="63"/>
      <c r="S246" s="63"/>
      <c r="T246" s="63"/>
      <c r="U246" s="63"/>
      <c r="V246" s="63"/>
      <c r="W246" s="63"/>
      <c r="X246" s="63"/>
      <c r="Y246" s="63"/>
      <c r="Z246" s="63"/>
    </row>
    <row r="247" spans="1:26" ht="17.25" customHeight="1" x14ac:dyDescent="0.2">
      <c r="A247" s="52">
        <v>1692</v>
      </c>
      <c r="B247" s="53" t="s">
        <v>9</v>
      </c>
      <c r="C247" s="53" t="s">
        <v>93</v>
      </c>
      <c r="D247" s="54">
        <v>353.79300000000001</v>
      </c>
      <c r="E247" s="62">
        <v>854</v>
      </c>
      <c r="F247" s="54">
        <f t="shared" si="20"/>
        <v>351.86086509999996</v>
      </c>
      <c r="G247" s="69">
        <v>25569.041962604166</v>
      </c>
      <c r="H247" s="69">
        <v>25569.041962604166</v>
      </c>
      <c r="I247" s="62">
        <v>44</v>
      </c>
      <c r="J247" s="62">
        <v>821</v>
      </c>
      <c r="K247" s="57" t="s">
        <v>384</v>
      </c>
      <c r="L247" s="52">
        <v>1344151</v>
      </c>
      <c r="M247" s="58">
        <f t="shared" si="19"/>
        <v>1159.3752628032048</v>
      </c>
      <c r="N247" s="58">
        <v>3264.43</v>
      </c>
      <c r="O247" s="60">
        <f t="shared" si="17"/>
        <v>411.75672322580056</v>
      </c>
      <c r="P247" s="60">
        <f t="shared" si="18"/>
        <v>0.35515396648211323</v>
      </c>
      <c r="Q247" s="225"/>
      <c r="R247" s="63"/>
      <c r="S247" s="63"/>
      <c r="T247" s="63"/>
      <c r="U247" s="63"/>
      <c r="V247" s="63"/>
      <c r="W247" s="63"/>
      <c r="X247" s="63"/>
      <c r="Y247" s="63"/>
      <c r="Z247" s="63"/>
    </row>
    <row r="248" spans="1:26" ht="17.25" customHeight="1" x14ac:dyDescent="0.2">
      <c r="A248" s="52">
        <v>1693</v>
      </c>
      <c r="B248" s="53" t="s">
        <v>9</v>
      </c>
      <c r="C248" s="53" t="s">
        <v>93</v>
      </c>
      <c r="D248" s="54">
        <v>351.99299999999999</v>
      </c>
      <c r="E248" s="62">
        <v>656</v>
      </c>
      <c r="F248" s="54">
        <f t="shared" si="20"/>
        <v>349.87625169999995</v>
      </c>
      <c r="G248" s="69">
        <v>25569.041962604166</v>
      </c>
      <c r="H248" s="69">
        <v>25569.041962604166</v>
      </c>
      <c r="I248" s="62">
        <v>13</v>
      </c>
      <c r="J248" s="62">
        <v>499</v>
      </c>
      <c r="K248" s="57" t="s">
        <v>384</v>
      </c>
      <c r="L248" s="52">
        <v>351974</v>
      </c>
      <c r="M248" s="58">
        <f t="shared" si="19"/>
        <v>593.27396706749232</v>
      </c>
      <c r="N248" s="58">
        <v>561.28</v>
      </c>
      <c r="O248" s="60">
        <f t="shared" si="17"/>
        <v>627.0916476624858</v>
      </c>
      <c r="P248" s="60">
        <f t="shared" si="18"/>
        <v>1.0570017942337022</v>
      </c>
      <c r="Q248" s="225"/>
      <c r="R248" s="63"/>
      <c r="S248" s="63"/>
      <c r="T248" s="63"/>
      <c r="U248" s="63"/>
      <c r="V248" s="63"/>
      <c r="W248" s="63"/>
      <c r="X248" s="63"/>
      <c r="Y248" s="63"/>
      <c r="Z248" s="63"/>
    </row>
    <row r="249" spans="1:26" ht="17.25" customHeight="1" x14ac:dyDescent="0.2">
      <c r="A249" s="52">
        <v>1694</v>
      </c>
      <c r="B249" s="53" t="s">
        <v>9</v>
      </c>
      <c r="C249" s="53" t="s">
        <v>93</v>
      </c>
      <c r="D249" s="54">
        <v>352.14800000000002</v>
      </c>
      <c r="E249" s="62">
        <v>484</v>
      </c>
      <c r="F249" s="54">
        <f t="shared" si="20"/>
        <v>349.85936559999999</v>
      </c>
      <c r="G249" s="69">
        <v>25569.041962604166</v>
      </c>
      <c r="H249" s="69">
        <v>25569.041962604166</v>
      </c>
      <c r="I249" s="62">
        <v>5</v>
      </c>
      <c r="J249" s="62">
        <v>938</v>
      </c>
      <c r="K249" s="57" t="s">
        <v>384</v>
      </c>
      <c r="L249" s="52">
        <v>453779</v>
      </c>
      <c r="M249" s="58">
        <f t="shared" si="19"/>
        <v>673.63120474039795</v>
      </c>
      <c r="N249" s="58">
        <v>386.24</v>
      </c>
      <c r="O249" s="60">
        <f t="shared" si="17"/>
        <v>1174.8627796188898</v>
      </c>
      <c r="P249" s="60">
        <f t="shared" si="18"/>
        <v>1.7440741630602681</v>
      </c>
      <c r="Q249" s="225"/>
      <c r="R249" s="63"/>
      <c r="S249" s="63"/>
      <c r="T249" s="63"/>
      <c r="U249" s="63"/>
      <c r="V249" s="63"/>
      <c r="W249" s="63"/>
      <c r="X249" s="63"/>
      <c r="Y249" s="63"/>
      <c r="Z249" s="63"/>
    </row>
    <row r="250" spans="1:26" ht="17.25" customHeight="1" x14ac:dyDescent="0.2">
      <c r="A250" s="52">
        <v>1695</v>
      </c>
      <c r="B250" s="53" t="s">
        <v>9</v>
      </c>
      <c r="C250" s="53" t="s">
        <v>93</v>
      </c>
      <c r="D250" s="54">
        <v>352.14800000000002</v>
      </c>
      <c r="E250" s="62">
        <v>914</v>
      </c>
      <c r="F250" s="54">
        <f t="shared" si="20"/>
        <v>350.28648459999999</v>
      </c>
      <c r="G250" s="69">
        <v>25569.041962604166</v>
      </c>
      <c r="H250" s="69">
        <v>25569.041962604166</v>
      </c>
      <c r="I250" s="59" t="s">
        <v>394</v>
      </c>
      <c r="J250" s="62">
        <v>194</v>
      </c>
      <c r="K250" s="57" t="s">
        <v>384</v>
      </c>
      <c r="L250" s="52">
        <v>213594</v>
      </c>
      <c r="M250" s="58">
        <f t="shared" si="19"/>
        <v>462.16230915123316</v>
      </c>
      <c r="N250" s="58">
        <v>534.21</v>
      </c>
      <c r="O250" s="60">
        <f t="shared" si="17"/>
        <v>399.83152692761269</v>
      </c>
      <c r="P250" s="60">
        <f t="shared" si="18"/>
        <v>0.86513226849222802</v>
      </c>
      <c r="Q250" s="225"/>
      <c r="R250" s="63"/>
      <c r="S250" s="63"/>
      <c r="T250" s="63"/>
      <c r="U250" s="63"/>
      <c r="V250" s="63"/>
      <c r="W250" s="63"/>
      <c r="X250" s="63"/>
      <c r="Y250" s="63"/>
      <c r="Z250" s="63"/>
    </row>
    <row r="251" spans="1:26" ht="17.25" customHeight="1" x14ac:dyDescent="0.2">
      <c r="A251" s="52">
        <v>1696</v>
      </c>
      <c r="B251" s="53" t="s">
        <v>9</v>
      </c>
      <c r="C251" s="53" t="s">
        <v>93</v>
      </c>
      <c r="D251" s="54">
        <v>351.79199999999997</v>
      </c>
      <c r="E251" s="62">
        <v>842</v>
      </c>
      <c r="F251" s="54">
        <f t="shared" si="20"/>
        <v>349.86135219999994</v>
      </c>
      <c r="G251" s="69">
        <v>25569.041962604166</v>
      </c>
      <c r="H251" s="69">
        <v>25569.041962604166</v>
      </c>
      <c r="I251" s="62">
        <v>40</v>
      </c>
      <c r="J251" s="62">
        <v>115</v>
      </c>
      <c r="K251" s="57" t="s">
        <v>384</v>
      </c>
      <c r="L251" s="52">
        <v>176167</v>
      </c>
      <c r="M251" s="58">
        <f t="shared" si="19"/>
        <v>419.72252739160905</v>
      </c>
      <c r="N251" s="58">
        <v>382.82</v>
      </c>
      <c r="O251" s="60">
        <f t="shared" si="17"/>
        <v>460.18233112167599</v>
      </c>
      <c r="P251" s="60">
        <f t="shared" si="18"/>
        <v>1.0963965503150541</v>
      </c>
      <c r="Q251" s="225"/>
      <c r="R251" s="63"/>
      <c r="S251" s="63"/>
      <c r="T251" s="63"/>
      <c r="U251" s="63"/>
      <c r="V251" s="63"/>
      <c r="W251" s="63"/>
      <c r="X251" s="63"/>
      <c r="Y251" s="63"/>
      <c r="Z251" s="63"/>
    </row>
    <row r="252" spans="1:26" ht="17.25" customHeight="1" x14ac:dyDescent="0.2">
      <c r="A252" s="52">
        <v>1697</v>
      </c>
      <c r="B252" s="53" t="s">
        <v>157</v>
      </c>
      <c r="C252" s="53" t="s">
        <v>93</v>
      </c>
      <c r="D252" s="54">
        <v>249.578</v>
      </c>
      <c r="E252" s="62">
        <v>2603</v>
      </c>
      <c r="F252" s="54">
        <f t="shared" si="20"/>
        <v>250.08138730000002</v>
      </c>
      <c r="G252" s="69">
        <v>25569.041962604166</v>
      </c>
      <c r="H252" s="69">
        <v>25569.041962604166</v>
      </c>
      <c r="I252" s="62">
        <v>318</v>
      </c>
      <c r="J252" s="62">
        <v>80867</v>
      </c>
      <c r="K252" s="57" t="s">
        <v>384</v>
      </c>
      <c r="L252" s="52">
        <v>391422</v>
      </c>
      <c r="M252" s="58">
        <f t="shared" si="19"/>
        <v>625.63727510435308</v>
      </c>
      <c r="N252" s="58">
        <v>2550366.9</v>
      </c>
      <c r="O252" s="60">
        <f t="shared" si="17"/>
        <v>0.15347674093480432</v>
      </c>
      <c r="P252" s="60">
        <f t="shared" si="18"/>
        <v>2.4531265485932754E-4</v>
      </c>
      <c r="Q252" s="63" t="s">
        <v>395</v>
      </c>
      <c r="R252" s="63"/>
      <c r="S252" s="63"/>
      <c r="T252" s="63"/>
      <c r="U252" s="63"/>
      <c r="V252" s="63"/>
      <c r="W252" s="63"/>
      <c r="X252" s="63"/>
      <c r="Y252" s="63"/>
      <c r="Z252" s="63"/>
    </row>
    <row r="253" spans="1:26" ht="17.25" customHeight="1" x14ac:dyDescent="0.2">
      <c r="A253" s="52">
        <v>1698</v>
      </c>
      <c r="B253" s="53" t="s">
        <v>336</v>
      </c>
      <c r="C253" s="53" t="s">
        <v>93</v>
      </c>
      <c r="D253" s="54">
        <v>351.90600000000001</v>
      </c>
      <c r="E253" s="62">
        <v>890</v>
      </c>
      <c r="F253" s="54">
        <f t="shared" si="20"/>
        <v>350.02226679999995</v>
      </c>
      <c r="G253" s="69">
        <v>25569.041962604166</v>
      </c>
      <c r="H253" s="69">
        <v>25569.041962604166</v>
      </c>
      <c r="I253" s="62">
        <v>44</v>
      </c>
      <c r="J253" s="62">
        <v>1804</v>
      </c>
      <c r="K253" s="57" t="s">
        <v>384</v>
      </c>
      <c r="L253" s="52">
        <v>31086</v>
      </c>
      <c r="M253" s="58">
        <f t="shared" si="19"/>
        <v>176.31222305898137</v>
      </c>
      <c r="N253" s="58">
        <v>7692.32</v>
      </c>
      <c r="O253" s="60">
        <f t="shared" si="17"/>
        <v>4.0411735341223451</v>
      </c>
      <c r="P253" s="60">
        <f t="shared" si="18"/>
        <v>2.292055232478386E-2</v>
      </c>
      <c r="Q253" s="63" t="s">
        <v>396</v>
      </c>
      <c r="R253" s="63"/>
      <c r="S253" s="63"/>
      <c r="T253" s="63"/>
      <c r="U253" s="63"/>
      <c r="V253" s="63"/>
      <c r="W253" s="63"/>
      <c r="X253" s="63"/>
      <c r="Y253" s="63"/>
      <c r="Z253" s="63"/>
    </row>
    <row r="254" spans="1:26" ht="17.25" customHeight="1" x14ac:dyDescent="0.2">
      <c r="A254" s="52">
        <v>1699</v>
      </c>
      <c r="B254" s="53" t="s">
        <v>336</v>
      </c>
      <c r="C254" s="53" t="s">
        <v>93</v>
      </c>
      <c r="D254" s="54">
        <v>353.90699999999998</v>
      </c>
      <c r="E254" s="62">
        <v>890</v>
      </c>
      <c r="F254" s="54">
        <f t="shared" si="20"/>
        <v>352.00986009999991</v>
      </c>
      <c r="G254" s="69">
        <v>25569.041962604166</v>
      </c>
      <c r="H254" s="69">
        <v>25569.041962604166</v>
      </c>
      <c r="I254" s="62">
        <v>46</v>
      </c>
      <c r="J254" s="62">
        <v>508</v>
      </c>
      <c r="K254" s="57" t="s">
        <v>384</v>
      </c>
      <c r="L254" s="52">
        <v>5387</v>
      </c>
      <c r="M254" s="58">
        <f t="shared" si="19"/>
        <v>73.396185186970044</v>
      </c>
      <c r="N254" s="58">
        <v>2047.73</v>
      </c>
      <c r="O254" s="60">
        <f t="shared" si="17"/>
        <v>2.6307179169128743</v>
      </c>
      <c r="P254" s="60">
        <f t="shared" si="18"/>
        <v>3.584270640512667E-2</v>
      </c>
      <c r="Q254" s="63"/>
      <c r="R254" s="63"/>
      <c r="S254" s="63"/>
      <c r="T254" s="63"/>
      <c r="U254" s="63"/>
      <c r="V254" s="63"/>
      <c r="W254" s="63"/>
      <c r="X254" s="63"/>
      <c r="Y254" s="63"/>
      <c r="Z254" s="63"/>
    </row>
    <row r="255" spans="1:26" ht="17.25" customHeight="1" x14ac:dyDescent="0.2">
      <c r="A255" s="52">
        <v>1700</v>
      </c>
      <c r="B255" s="53" t="s">
        <v>336</v>
      </c>
      <c r="C255" s="53" t="s">
        <v>93</v>
      </c>
      <c r="D255" s="54">
        <v>355.90800000000002</v>
      </c>
      <c r="E255" s="62">
        <v>890</v>
      </c>
      <c r="F255" s="54">
        <f t="shared" si="20"/>
        <v>353.99745339999998</v>
      </c>
      <c r="G255" s="69">
        <v>25569.041962604166</v>
      </c>
      <c r="H255" s="69">
        <v>25569.041962604166</v>
      </c>
      <c r="I255" s="62">
        <v>46</v>
      </c>
      <c r="J255" s="62">
        <v>806</v>
      </c>
      <c r="K255" s="57" t="s">
        <v>384</v>
      </c>
      <c r="L255" s="52">
        <v>5375</v>
      </c>
      <c r="M255" s="58">
        <f t="shared" si="19"/>
        <v>73.314391493075902</v>
      </c>
      <c r="N255" s="58">
        <v>3181.14</v>
      </c>
      <c r="O255" s="60">
        <f t="shared" si="17"/>
        <v>1.689645850229792</v>
      </c>
      <c r="P255" s="60">
        <f t="shared" si="18"/>
        <v>2.3046578111329871E-2</v>
      </c>
      <c r="Q255" s="63"/>
      <c r="R255" s="63"/>
      <c r="S255" s="63"/>
      <c r="T255" s="63"/>
      <c r="U255" s="63"/>
      <c r="V255" s="63"/>
      <c r="W255" s="63"/>
      <c r="X255" s="63"/>
      <c r="Y255" s="63"/>
      <c r="Z255" s="63"/>
    </row>
    <row r="256" spans="1:26" ht="17.25" customHeight="1" x14ac:dyDescent="0.2">
      <c r="A256" s="52">
        <v>1701</v>
      </c>
      <c r="B256" s="53" t="s">
        <v>336</v>
      </c>
      <c r="C256" s="53" t="s">
        <v>93</v>
      </c>
      <c r="D256" s="54">
        <v>357.90800000000002</v>
      </c>
      <c r="E256" s="62">
        <v>890</v>
      </c>
      <c r="F256" s="54">
        <f t="shared" si="20"/>
        <v>355.98405339999994</v>
      </c>
      <c r="G256" s="69">
        <v>25569.041962604166</v>
      </c>
      <c r="H256" s="69">
        <v>25569.041962604166</v>
      </c>
      <c r="I256" s="62">
        <v>46</v>
      </c>
      <c r="J256" s="62">
        <v>1043</v>
      </c>
      <c r="K256" s="57" t="s">
        <v>384</v>
      </c>
      <c r="L256" s="52">
        <v>5356</v>
      </c>
      <c r="M256" s="58">
        <f t="shared" si="19"/>
        <v>73.184697854127947</v>
      </c>
      <c r="N256" s="58">
        <v>4537.97</v>
      </c>
      <c r="O256" s="60">
        <f t="shared" si="17"/>
        <v>1.1802634217502539</v>
      </c>
      <c r="P256" s="60">
        <f t="shared" si="18"/>
        <v>1.6127188556585421E-2</v>
      </c>
      <c r="Q256" s="63"/>
      <c r="R256" s="63"/>
      <c r="S256" s="63"/>
      <c r="T256" s="63"/>
      <c r="U256" s="63"/>
      <c r="V256" s="63"/>
      <c r="W256" s="63"/>
      <c r="X256" s="63"/>
      <c r="Y256" s="63"/>
      <c r="Z256" s="63"/>
    </row>
    <row r="257" spans="1:26" ht="17.25" customHeight="1" x14ac:dyDescent="0.2">
      <c r="A257" s="52">
        <v>1702</v>
      </c>
      <c r="B257" s="53" t="s">
        <v>336</v>
      </c>
      <c r="C257" s="53" t="s">
        <v>93</v>
      </c>
      <c r="D257" s="54">
        <v>359.90899999999999</v>
      </c>
      <c r="E257" s="62">
        <v>890</v>
      </c>
      <c r="F257" s="54">
        <f t="shared" si="20"/>
        <v>357.97164669999995</v>
      </c>
      <c r="G257" s="69">
        <v>25569.041962604166</v>
      </c>
      <c r="H257" s="69">
        <v>25569.041962604166</v>
      </c>
      <c r="I257" s="62">
        <v>46</v>
      </c>
      <c r="J257" s="62">
        <v>1559</v>
      </c>
      <c r="K257" s="57" t="s">
        <v>384</v>
      </c>
      <c r="L257" s="52">
        <v>5211</v>
      </c>
      <c r="M257" s="58">
        <f t="shared" si="19"/>
        <v>72.187256493095788</v>
      </c>
      <c r="N257" s="58">
        <v>6875.55</v>
      </c>
      <c r="O257" s="60">
        <f t="shared" si="17"/>
        <v>0.75790300412330647</v>
      </c>
      <c r="P257" s="60">
        <f t="shared" si="18"/>
        <v>1.0499124650841865E-2</v>
      </c>
      <c r="Q257" s="63"/>
      <c r="R257" s="63"/>
      <c r="S257" s="63"/>
      <c r="T257" s="63"/>
      <c r="U257" s="63"/>
      <c r="V257" s="63"/>
      <c r="W257" s="63"/>
      <c r="X257" s="63"/>
      <c r="Y257" s="63"/>
      <c r="Z257" s="63"/>
    </row>
    <row r="258" spans="1:26" ht="17.25" customHeight="1" x14ac:dyDescent="0.2">
      <c r="A258" s="52">
        <v>1703</v>
      </c>
      <c r="B258" s="53" t="s">
        <v>336</v>
      </c>
      <c r="C258" s="53" t="s">
        <v>93</v>
      </c>
      <c r="D258" s="54">
        <v>361.91699999999997</v>
      </c>
      <c r="E258" s="62">
        <v>890</v>
      </c>
      <c r="F258" s="54">
        <f t="shared" si="20"/>
        <v>359.96619309999994</v>
      </c>
      <c r="G258" s="69">
        <v>25569.041962604166</v>
      </c>
      <c r="H258" s="69">
        <v>25569.041962604166</v>
      </c>
      <c r="I258" s="62">
        <v>46</v>
      </c>
      <c r="J258" s="62">
        <v>1145</v>
      </c>
      <c r="K258" s="57" t="s">
        <v>384</v>
      </c>
      <c r="L258" s="52">
        <v>2564</v>
      </c>
      <c r="M258" s="58">
        <f t="shared" si="19"/>
        <v>50.635955604688654</v>
      </c>
      <c r="N258" s="58">
        <v>5073.18</v>
      </c>
      <c r="O258" s="60">
        <f t="shared" si="17"/>
        <v>0.50540292282158328</v>
      </c>
      <c r="P258" s="60">
        <f t="shared" si="18"/>
        <v>9.9811076296698817E-3</v>
      </c>
      <c r="Q258" s="63"/>
      <c r="R258" s="63"/>
      <c r="S258" s="63"/>
      <c r="T258" s="63"/>
      <c r="U258" s="63"/>
      <c r="V258" s="63"/>
      <c r="W258" s="63"/>
      <c r="X258" s="63"/>
      <c r="Y258" s="63"/>
      <c r="Z258" s="63"/>
    </row>
    <row r="259" spans="1:26" ht="17.25" customHeight="1" x14ac:dyDescent="0.2">
      <c r="A259" s="52">
        <v>1704</v>
      </c>
      <c r="B259" s="53" t="s">
        <v>336</v>
      </c>
      <c r="C259" s="53" t="s">
        <v>93</v>
      </c>
      <c r="D259" s="54">
        <v>366.93200000000002</v>
      </c>
      <c r="E259" s="62">
        <v>890</v>
      </c>
      <c r="F259" s="54">
        <f t="shared" si="20"/>
        <v>364.94759259999995</v>
      </c>
      <c r="G259" s="69">
        <v>25569.041962604166</v>
      </c>
      <c r="H259" s="69">
        <v>25569.041962604166</v>
      </c>
      <c r="I259" s="62">
        <v>46</v>
      </c>
      <c r="J259" s="62">
        <v>1301</v>
      </c>
      <c r="K259" s="57" t="s">
        <v>384</v>
      </c>
      <c r="L259" s="52">
        <v>1579</v>
      </c>
      <c r="M259" s="58">
        <f t="shared" si="19"/>
        <v>39.736632972611055</v>
      </c>
      <c r="N259" s="58">
        <v>5745.99</v>
      </c>
      <c r="O259" s="60">
        <f t="shared" si="17"/>
        <v>0.27480033901903761</v>
      </c>
      <c r="P259" s="60">
        <f t="shared" si="18"/>
        <v>6.9155416164335577E-3</v>
      </c>
      <c r="Q259" s="63"/>
      <c r="R259" s="63"/>
      <c r="S259" s="63"/>
      <c r="T259" s="63"/>
      <c r="U259" s="63"/>
      <c r="V259" s="63"/>
      <c r="W259" s="63"/>
      <c r="X259" s="63"/>
      <c r="Y259" s="63"/>
      <c r="Z259" s="63"/>
    </row>
    <row r="260" spans="1:26" ht="17.25" customHeight="1" x14ac:dyDescent="0.2">
      <c r="A260" s="52">
        <v>1705</v>
      </c>
      <c r="B260" s="53" t="s">
        <v>336</v>
      </c>
      <c r="C260" s="53" t="s">
        <v>93</v>
      </c>
      <c r="D260" s="54">
        <v>370.02</v>
      </c>
      <c r="E260" s="62">
        <v>890</v>
      </c>
      <c r="F260" s="54">
        <f t="shared" si="20"/>
        <v>368.01490299999995</v>
      </c>
      <c r="G260" s="69">
        <v>25569.041962604166</v>
      </c>
      <c r="H260" s="69">
        <v>25569.041962604166</v>
      </c>
      <c r="I260" s="62">
        <v>47</v>
      </c>
      <c r="J260" s="62">
        <v>1267</v>
      </c>
      <c r="K260" s="57" t="s">
        <v>384</v>
      </c>
      <c r="L260" s="52">
        <v>1043</v>
      </c>
      <c r="M260" s="58">
        <f t="shared" si="19"/>
        <v>32.295510523910288</v>
      </c>
      <c r="N260" s="58">
        <v>5572.83</v>
      </c>
      <c r="O260" s="60">
        <f t="shared" si="17"/>
        <v>0.18715805075697625</v>
      </c>
      <c r="P260" s="60">
        <f t="shared" si="18"/>
        <v>5.7951723852890345E-3</v>
      </c>
      <c r="Q260" s="63"/>
      <c r="R260" s="63"/>
      <c r="S260" s="63"/>
      <c r="T260" s="63"/>
      <c r="U260" s="63"/>
      <c r="V260" s="63"/>
      <c r="W260" s="63"/>
      <c r="X260" s="63"/>
      <c r="Y260" s="63"/>
      <c r="Z260" s="63"/>
    </row>
    <row r="261" spans="1:26" ht="17.25" customHeight="1" x14ac:dyDescent="0.2">
      <c r="A261" s="52">
        <v>1706</v>
      </c>
      <c r="B261" s="53" t="s">
        <v>336</v>
      </c>
      <c r="C261" s="53" t="s">
        <v>93</v>
      </c>
      <c r="D261" s="54">
        <v>349.91199999999998</v>
      </c>
      <c r="E261" s="62">
        <v>890</v>
      </c>
      <c r="F261" s="54">
        <f t="shared" si="20"/>
        <v>348.04162659999992</v>
      </c>
      <c r="G261" s="69">
        <v>25569.041962604166</v>
      </c>
      <c r="H261" s="69">
        <v>25569.041962604166</v>
      </c>
      <c r="I261" s="62">
        <v>47</v>
      </c>
      <c r="J261" s="62">
        <v>575</v>
      </c>
      <c r="K261" s="57" t="s">
        <v>384</v>
      </c>
      <c r="L261" s="52">
        <v>14504</v>
      </c>
      <c r="M261" s="58">
        <f t="shared" si="19"/>
        <v>120.43255373859678</v>
      </c>
      <c r="N261" s="58">
        <v>2447.0300000000002</v>
      </c>
      <c r="O261" s="60">
        <f t="shared" si="17"/>
        <v>5.9271852000179805</v>
      </c>
      <c r="P261" s="60">
        <f t="shared" si="18"/>
        <v>4.9215805992814464E-2</v>
      </c>
      <c r="Q261" s="63"/>
      <c r="R261" s="63"/>
      <c r="S261" s="63"/>
      <c r="T261" s="63"/>
      <c r="U261" s="63"/>
      <c r="V261" s="63"/>
      <c r="W261" s="63"/>
      <c r="X261" s="63"/>
      <c r="Y261" s="63"/>
      <c r="Z261" s="63"/>
    </row>
    <row r="262" spans="1:26" ht="17.25" customHeight="1" x14ac:dyDescent="0.2">
      <c r="A262" s="52">
        <v>1707</v>
      </c>
      <c r="B262" s="53" t="s">
        <v>336</v>
      </c>
      <c r="C262" s="53" t="s">
        <v>93</v>
      </c>
      <c r="D262" s="54">
        <v>347.904</v>
      </c>
      <c r="E262" s="62">
        <v>890</v>
      </c>
      <c r="F262" s="54">
        <f t="shared" si="20"/>
        <v>346.04708019999993</v>
      </c>
      <c r="G262" s="69">
        <v>25569.041962604166</v>
      </c>
      <c r="H262" s="69">
        <v>25569.041962604166</v>
      </c>
      <c r="I262" s="62">
        <v>48</v>
      </c>
      <c r="J262" s="62">
        <v>458</v>
      </c>
      <c r="K262" s="57" t="s">
        <v>384</v>
      </c>
      <c r="L262" s="52">
        <v>13235</v>
      </c>
      <c r="M262" s="58">
        <f t="shared" si="19"/>
        <v>115.04347004502254</v>
      </c>
      <c r="N262" s="58">
        <v>1874.51</v>
      </c>
      <c r="O262" s="60">
        <f t="shared" si="17"/>
        <v>7.0605118137539948</v>
      </c>
      <c r="P262" s="60">
        <f t="shared" si="18"/>
        <v>6.1372556051993613E-2</v>
      </c>
      <c r="Q262" s="63"/>
      <c r="R262" s="63"/>
      <c r="S262" s="63"/>
      <c r="T262" s="63"/>
      <c r="U262" s="63"/>
      <c r="V262" s="63"/>
      <c r="W262" s="63"/>
      <c r="X262" s="63"/>
      <c r="Y262" s="63"/>
      <c r="Z262" s="63"/>
    </row>
    <row r="263" spans="1:26" ht="17.25" customHeight="1" x14ac:dyDescent="0.2">
      <c r="A263" s="52">
        <v>1708</v>
      </c>
      <c r="B263" s="53" t="s">
        <v>336</v>
      </c>
      <c r="C263" s="53" t="s">
        <v>93</v>
      </c>
      <c r="D263" s="54">
        <v>346.9</v>
      </c>
      <c r="E263" s="62">
        <v>890</v>
      </c>
      <c r="F263" s="54">
        <f t="shared" si="20"/>
        <v>345.04980699999993</v>
      </c>
      <c r="G263" s="69">
        <v>25569.041962604166</v>
      </c>
      <c r="H263" s="69">
        <v>25569.041962604166</v>
      </c>
      <c r="I263" s="62">
        <v>48</v>
      </c>
      <c r="J263" s="62">
        <v>629</v>
      </c>
      <c r="K263" s="57" t="s">
        <v>384</v>
      </c>
      <c r="L263" s="52">
        <v>19028</v>
      </c>
      <c r="M263" s="58">
        <f t="shared" si="19"/>
        <v>137.94201680416305</v>
      </c>
      <c r="N263" s="58">
        <v>2659.84</v>
      </c>
      <c r="O263" s="60">
        <f t="shared" ref="O263:O326" si="21">L263/N263</f>
        <v>7.1538137632338783</v>
      </c>
      <c r="P263" s="60">
        <f t="shared" ref="P263:P326" si="22">M263/N263</f>
        <v>5.1861020514077177E-2</v>
      </c>
      <c r="Q263" s="63"/>
      <c r="R263" s="63"/>
      <c r="S263" s="63"/>
      <c r="T263" s="63"/>
      <c r="U263" s="63"/>
      <c r="V263" s="63"/>
      <c r="W263" s="63"/>
      <c r="X263" s="63"/>
      <c r="Y263" s="63"/>
      <c r="Z263" s="63"/>
    </row>
    <row r="264" spans="1:26" ht="17.25" customHeight="1" x14ac:dyDescent="0.2">
      <c r="A264" s="52">
        <v>1709</v>
      </c>
      <c r="B264" s="53" t="s">
        <v>336</v>
      </c>
      <c r="C264" s="53" t="s">
        <v>93</v>
      </c>
      <c r="D264" s="54">
        <v>345.9</v>
      </c>
      <c r="E264" s="62">
        <v>890</v>
      </c>
      <c r="F264" s="54">
        <f t="shared" si="20"/>
        <v>344.0565069999999</v>
      </c>
      <c r="G264" s="69">
        <v>25569.041962604166</v>
      </c>
      <c r="H264" s="69">
        <v>25569.041962604166</v>
      </c>
      <c r="I264" s="62">
        <v>48</v>
      </c>
      <c r="J264" s="62">
        <v>1249</v>
      </c>
      <c r="K264" s="57" t="s">
        <v>384</v>
      </c>
      <c r="L264" s="52">
        <v>39549</v>
      </c>
      <c r="M264" s="58">
        <f t="shared" si="19"/>
        <v>198.86930381534501</v>
      </c>
      <c r="N264" s="58">
        <v>5686.2</v>
      </c>
      <c r="O264" s="60">
        <f t="shared" si="21"/>
        <v>6.9552601034082517</v>
      </c>
      <c r="P264" s="60">
        <f t="shared" si="22"/>
        <v>3.4974025503032781E-2</v>
      </c>
      <c r="Q264" s="63"/>
      <c r="R264" s="63"/>
      <c r="S264" s="63"/>
      <c r="T264" s="63"/>
      <c r="U264" s="63"/>
      <c r="V264" s="63"/>
      <c r="W264" s="63"/>
      <c r="X264" s="63"/>
      <c r="Y264" s="63"/>
      <c r="Z264" s="63"/>
    </row>
    <row r="265" spans="1:26" ht="17.25" customHeight="1" x14ac:dyDescent="0.2">
      <c r="A265" s="52">
        <v>1710</v>
      </c>
      <c r="B265" s="53" t="s">
        <v>336</v>
      </c>
      <c r="C265" s="53" t="s">
        <v>93</v>
      </c>
      <c r="D265" s="54">
        <v>344.9</v>
      </c>
      <c r="E265" s="62">
        <v>890</v>
      </c>
      <c r="F265" s="54">
        <f t="shared" si="20"/>
        <v>343.06320699999992</v>
      </c>
      <c r="G265" s="69">
        <v>25569.041962604166</v>
      </c>
      <c r="H265" s="69">
        <v>25569.041962604166</v>
      </c>
      <c r="I265" s="62">
        <v>48</v>
      </c>
      <c r="J265" s="62">
        <v>919</v>
      </c>
      <c r="K265" s="57" t="s">
        <v>384</v>
      </c>
      <c r="L265" s="52">
        <v>24623</v>
      </c>
      <c r="M265" s="58">
        <f t="shared" si="19"/>
        <v>156.91717560547667</v>
      </c>
      <c r="N265" s="58">
        <v>4045.68</v>
      </c>
      <c r="O265" s="60">
        <f t="shared" si="21"/>
        <v>6.0862450811730042</v>
      </c>
      <c r="P265" s="60">
        <f t="shared" si="22"/>
        <v>3.8786353741639648E-2</v>
      </c>
      <c r="Q265" s="63"/>
      <c r="R265" s="63"/>
      <c r="S265" s="63"/>
      <c r="T265" s="63"/>
      <c r="U265" s="63"/>
      <c r="V265" s="63"/>
      <c r="W265" s="63"/>
      <c r="X265" s="63"/>
      <c r="Y265" s="63"/>
      <c r="Z265" s="63"/>
    </row>
    <row r="266" spans="1:26" ht="17.25" customHeight="1" x14ac:dyDescent="0.2">
      <c r="A266" s="52">
        <v>1711</v>
      </c>
      <c r="B266" s="53" t="s">
        <v>336</v>
      </c>
      <c r="C266" s="53" t="s">
        <v>93</v>
      </c>
      <c r="D266" s="54">
        <v>343.9</v>
      </c>
      <c r="E266" s="62">
        <v>890</v>
      </c>
      <c r="F266" s="54">
        <f t="shared" si="20"/>
        <v>342.06990699999994</v>
      </c>
      <c r="G266" s="69">
        <v>25569.041962604166</v>
      </c>
      <c r="H266" s="69">
        <v>25569.041962604166</v>
      </c>
      <c r="I266" s="62">
        <v>48</v>
      </c>
      <c r="J266" s="62">
        <v>890</v>
      </c>
      <c r="K266" s="57" t="s">
        <v>384</v>
      </c>
      <c r="L266" s="52">
        <v>19272</v>
      </c>
      <c r="M266" s="58">
        <f t="shared" si="19"/>
        <v>138.82362911262621</v>
      </c>
      <c r="N266" s="58">
        <v>3995.61</v>
      </c>
      <c r="O266" s="60">
        <f t="shared" si="21"/>
        <v>4.8232935646872441</v>
      </c>
      <c r="P266" s="60">
        <f t="shared" si="22"/>
        <v>3.4744038860806285E-2</v>
      </c>
      <c r="Q266" s="63"/>
      <c r="R266" s="63"/>
      <c r="S266" s="63"/>
      <c r="T266" s="63"/>
      <c r="U266" s="63"/>
      <c r="V266" s="63"/>
      <c r="W266" s="63"/>
      <c r="X266" s="63"/>
      <c r="Y266" s="63"/>
      <c r="Z266" s="63"/>
    </row>
    <row r="267" spans="1:26" ht="17.25" customHeight="1" x14ac:dyDescent="0.2">
      <c r="A267" s="52">
        <v>1712</v>
      </c>
      <c r="B267" s="53" t="s">
        <v>336</v>
      </c>
      <c r="C267" s="53" t="s">
        <v>93</v>
      </c>
      <c r="D267" s="54">
        <v>342.9</v>
      </c>
      <c r="E267" s="62">
        <v>890</v>
      </c>
      <c r="F267" s="54">
        <f t="shared" si="20"/>
        <v>341.07660699999991</v>
      </c>
      <c r="G267" s="69">
        <v>25569.041962604166</v>
      </c>
      <c r="H267" s="69">
        <v>25569.041962604166</v>
      </c>
      <c r="I267" s="62">
        <v>49</v>
      </c>
      <c r="J267" s="62">
        <v>467</v>
      </c>
      <c r="K267" s="57" t="s">
        <v>384</v>
      </c>
      <c r="L267" s="52">
        <v>5736</v>
      </c>
      <c r="M267" s="58">
        <f t="shared" si="19"/>
        <v>75.736384915045946</v>
      </c>
      <c r="N267" s="58">
        <v>1911.79</v>
      </c>
      <c r="O267" s="60">
        <f t="shared" si="21"/>
        <v>3.000329534101549</v>
      </c>
      <c r="P267" s="60">
        <f t="shared" si="22"/>
        <v>3.9615431043705608E-2</v>
      </c>
      <c r="Q267" s="63"/>
      <c r="R267" s="63"/>
      <c r="S267" s="63"/>
      <c r="T267" s="63"/>
      <c r="U267" s="63"/>
      <c r="V267" s="63"/>
      <c r="W267" s="63"/>
      <c r="X267" s="63"/>
      <c r="Y267" s="63"/>
      <c r="Z267" s="63"/>
    </row>
    <row r="268" spans="1:26" ht="17.25" customHeight="1" x14ac:dyDescent="0.2">
      <c r="A268" s="52">
        <v>1713</v>
      </c>
      <c r="B268" s="53" t="s">
        <v>336</v>
      </c>
      <c r="C268" s="53" t="s">
        <v>93</v>
      </c>
      <c r="D268" s="54">
        <v>341.9</v>
      </c>
      <c r="E268" s="62">
        <v>890</v>
      </c>
      <c r="F268" s="54">
        <f t="shared" si="20"/>
        <v>340.08330699999993</v>
      </c>
      <c r="G268" s="69">
        <v>25569.041962604166</v>
      </c>
      <c r="H268" s="69">
        <v>25569.041962604166</v>
      </c>
      <c r="I268" s="62">
        <v>49</v>
      </c>
      <c r="J268" s="62">
        <v>493</v>
      </c>
      <c r="K268" s="57" t="s">
        <v>384</v>
      </c>
      <c r="L268" s="52">
        <v>3348</v>
      </c>
      <c r="M268" s="58">
        <f t="shared" si="19"/>
        <v>57.86190456595773</v>
      </c>
      <c r="N268" s="62">
        <v>2109</v>
      </c>
      <c r="O268" s="60">
        <f t="shared" si="21"/>
        <v>1.5874822190611664</v>
      </c>
      <c r="P268" s="60">
        <f t="shared" si="22"/>
        <v>2.7435706290164879E-2</v>
      </c>
      <c r="Q268" s="63"/>
      <c r="R268" s="63"/>
      <c r="S268" s="63"/>
      <c r="T268" s="63"/>
      <c r="U268" s="63"/>
      <c r="V268" s="63"/>
      <c r="W268" s="63"/>
      <c r="X268" s="63"/>
      <c r="Y268" s="63"/>
      <c r="Z268" s="63"/>
    </row>
    <row r="269" spans="1:26" ht="17.25" customHeight="1" x14ac:dyDescent="0.2">
      <c r="A269" s="52">
        <v>1714</v>
      </c>
      <c r="B269" s="53" t="s">
        <v>336</v>
      </c>
      <c r="C269" s="53" t="s">
        <v>93</v>
      </c>
      <c r="D269" s="54">
        <v>340.9</v>
      </c>
      <c r="E269" s="62">
        <v>890</v>
      </c>
      <c r="F269" s="54">
        <f t="shared" si="20"/>
        <v>339.0900069999999</v>
      </c>
      <c r="G269" s="69">
        <v>25569.041962604166</v>
      </c>
      <c r="H269" s="69">
        <v>25569.041962604166</v>
      </c>
      <c r="I269" s="62">
        <v>49</v>
      </c>
      <c r="J269" s="62">
        <v>651</v>
      </c>
      <c r="K269" s="57" t="s">
        <v>384</v>
      </c>
      <c r="L269" s="52">
        <v>2665</v>
      </c>
      <c r="M269" s="58">
        <f t="shared" si="19"/>
        <v>51.623637996561229</v>
      </c>
      <c r="N269" s="58">
        <v>2902.34</v>
      </c>
      <c r="O269" s="60">
        <f t="shared" si="21"/>
        <v>0.91822460497391756</v>
      </c>
      <c r="P269" s="60">
        <f t="shared" si="22"/>
        <v>1.7786902291448012E-2</v>
      </c>
      <c r="Q269" s="63"/>
      <c r="R269" s="63"/>
      <c r="S269" s="63"/>
      <c r="T269" s="63"/>
      <c r="U269" s="63"/>
      <c r="V269" s="63"/>
      <c r="W269" s="63"/>
      <c r="X269" s="63"/>
      <c r="Y269" s="63"/>
      <c r="Z269" s="63"/>
    </row>
    <row r="270" spans="1:26" ht="17.25" customHeight="1" x14ac:dyDescent="0.2">
      <c r="A270" s="52">
        <v>1715</v>
      </c>
      <c r="B270" s="53" t="s">
        <v>336</v>
      </c>
      <c r="C270" s="53" t="s">
        <v>93</v>
      </c>
      <c r="D270" s="54">
        <v>338.88799999999998</v>
      </c>
      <c r="E270" s="62">
        <v>890</v>
      </c>
      <c r="F270" s="54">
        <f t="shared" si="20"/>
        <v>337.09148739999995</v>
      </c>
      <c r="G270" s="69">
        <v>25569.041962604166</v>
      </c>
      <c r="H270" s="69">
        <v>25569.041962604166</v>
      </c>
      <c r="I270" s="62">
        <v>49</v>
      </c>
      <c r="J270" s="62">
        <v>612</v>
      </c>
      <c r="K270" s="57" t="s">
        <v>384</v>
      </c>
      <c r="L270" s="52">
        <v>1090</v>
      </c>
      <c r="M270" s="58">
        <f t="shared" si="19"/>
        <v>33.015148038438355</v>
      </c>
      <c r="N270" s="58">
        <v>2720.92</v>
      </c>
      <c r="O270" s="60">
        <f t="shared" si="21"/>
        <v>0.4005997971274422</v>
      </c>
      <c r="P270" s="60">
        <f t="shared" si="22"/>
        <v>1.2133817987459519E-2</v>
      </c>
      <c r="Q270" s="63"/>
      <c r="R270" s="63"/>
      <c r="S270" s="63"/>
      <c r="T270" s="63"/>
      <c r="U270" s="63"/>
      <c r="V270" s="63"/>
      <c r="W270" s="63"/>
      <c r="X270" s="63"/>
      <c r="Y270" s="63"/>
      <c r="Z270" s="63"/>
    </row>
    <row r="271" spans="1:26" ht="17.25" customHeight="1" x14ac:dyDescent="0.2">
      <c r="A271" s="52">
        <v>1716</v>
      </c>
      <c r="B271" s="53" t="s">
        <v>336</v>
      </c>
      <c r="C271" s="53" t="s">
        <v>93</v>
      </c>
      <c r="D271" s="54">
        <v>336.887</v>
      </c>
      <c r="E271" s="62">
        <v>890</v>
      </c>
      <c r="F271" s="54">
        <f t="shared" si="20"/>
        <v>335.10389409999993</v>
      </c>
      <c r="G271" s="69">
        <v>25569.041962604166</v>
      </c>
      <c r="H271" s="69">
        <v>25569.041962604166</v>
      </c>
      <c r="I271" s="62">
        <v>49</v>
      </c>
      <c r="J271" s="62">
        <v>979</v>
      </c>
      <c r="K271" s="57" t="s">
        <v>384</v>
      </c>
      <c r="L271" s="52">
        <v>1035</v>
      </c>
      <c r="M271" s="58">
        <f t="shared" si="19"/>
        <v>32.171415884290823</v>
      </c>
      <c r="N271" s="58">
        <v>4547.78</v>
      </c>
      <c r="O271" s="60">
        <f t="shared" si="21"/>
        <v>0.22758356824648512</v>
      </c>
      <c r="P271" s="60">
        <f t="shared" si="22"/>
        <v>7.0740923888778316E-3</v>
      </c>
      <c r="Q271" s="63"/>
      <c r="R271" s="63"/>
      <c r="S271" s="63"/>
      <c r="T271" s="63"/>
      <c r="U271" s="63"/>
      <c r="V271" s="63"/>
      <c r="W271" s="63"/>
      <c r="X271" s="63"/>
      <c r="Y271" s="63"/>
      <c r="Z271" s="63"/>
    </row>
    <row r="272" spans="1:26" ht="17.25" customHeight="1" x14ac:dyDescent="0.2">
      <c r="A272" s="52">
        <v>1717</v>
      </c>
      <c r="B272" s="53" t="s">
        <v>336</v>
      </c>
      <c r="C272" s="53" t="s">
        <v>93</v>
      </c>
      <c r="D272" s="54">
        <v>333.88600000000002</v>
      </c>
      <c r="E272" s="62">
        <v>890</v>
      </c>
      <c r="F272" s="54">
        <f t="shared" si="20"/>
        <v>332.1230008</v>
      </c>
      <c r="G272" s="69">
        <v>25569.041962604166</v>
      </c>
      <c r="H272" s="69">
        <v>25569.041962604166</v>
      </c>
      <c r="I272" s="62">
        <v>49</v>
      </c>
      <c r="J272" s="62">
        <v>716</v>
      </c>
      <c r="K272" s="57" t="s">
        <v>384</v>
      </c>
      <c r="L272" s="52">
        <v>420</v>
      </c>
      <c r="M272" s="58">
        <f t="shared" si="19"/>
        <v>20.493901531919196</v>
      </c>
      <c r="N272" s="58">
        <v>3212.2</v>
      </c>
      <c r="O272" s="60">
        <f t="shared" si="21"/>
        <v>0.13075150986862588</v>
      </c>
      <c r="P272" s="60">
        <f t="shared" si="22"/>
        <v>6.3800204009461419E-3</v>
      </c>
      <c r="Q272" s="63" t="s">
        <v>397</v>
      </c>
      <c r="R272" s="63"/>
      <c r="S272" s="63"/>
      <c r="T272" s="63"/>
      <c r="U272" s="63"/>
      <c r="V272" s="63"/>
      <c r="W272" s="63"/>
      <c r="X272" s="63"/>
      <c r="Y272" s="63"/>
      <c r="Z272" s="63"/>
    </row>
    <row r="273" spans="1:26" ht="17.25" customHeight="1" x14ac:dyDescent="0.2">
      <c r="A273" s="52">
        <v>1718</v>
      </c>
      <c r="B273" s="53" t="s">
        <v>9</v>
      </c>
      <c r="C273" s="53" t="s">
        <v>95</v>
      </c>
      <c r="D273" s="54">
        <v>349.28100000000001</v>
      </c>
      <c r="E273" s="62">
        <v>989</v>
      </c>
      <c r="F273" s="54">
        <f t="shared" si="20"/>
        <v>347.51319099999995</v>
      </c>
      <c r="G273" s="91"/>
      <c r="H273" s="91"/>
      <c r="I273" s="59"/>
      <c r="J273" s="55"/>
      <c r="K273" s="57" t="s">
        <v>384</v>
      </c>
      <c r="L273" s="52"/>
      <c r="M273" s="58">
        <f t="shared" si="19"/>
        <v>0</v>
      </c>
      <c r="N273" s="59"/>
      <c r="O273" s="71" t="e">
        <f t="shared" si="21"/>
        <v>#DIV/0!</v>
      </c>
      <c r="P273" s="60" t="e">
        <f t="shared" si="22"/>
        <v>#DIV/0!</v>
      </c>
      <c r="Q273" s="63" t="s">
        <v>398</v>
      </c>
      <c r="R273" s="63"/>
      <c r="S273" s="63"/>
      <c r="T273" s="63"/>
      <c r="U273" s="63"/>
      <c r="V273" s="63"/>
      <c r="W273" s="63"/>
      <c r="X273" s="63"/>
      <c r="Y273" s="63"/>
      <c r="Z273" s="63"/>
    </row>
    <row r="274" spans="1:26" ht="17.25" customHeight="1" x14ac:dyDescent="0.2">
      <c r="A274" s="52">
        <v>1719</v>
      </c>
      <c r="B274" s="53" t="s">
        <v>9</v>
      </c>
      <c r="C274" s="53" t="s">
        <v>95</v>
      </c>
      <c r="D274" s="54">
        <v>349.28100000000001</v>
      </c>
      <c r="E274" s="62">
        <v>989</v>
      </c>
      <c r="F274" s="54">
        <f t="shared" si="20"/>
        <v>347.51319099999995</v>
      </c>
      <c r="G274" s="69">
        <v>25569.041962604166</v>
      </c>
      <c r="H274" s="69">
        <v>25569.041962604166</v>
      </c>
      <c r="I274" s="62">
        <v>59</v>
      </c>
      <c r="J274" s="62">
        <v>475</v>
      </c>
      <c r="K274" s="57" t="s">
        <v>384</v>
      </c>
      <c r="L274" s="52">
        <v>58516</v>
      </c>
      <c r="M274" s="58">
        <f t="shared" si="19"/>
        <v>241.90080611688751</v>
      </c>
      <c r="N274" s="58">
        <v>2370.73</v>
      </c>
      <c r="O274" s="60">
        <f t="shared" si="21"/>
        <v>24.68269267272106</v>
      </c>
      <c r="P274" s="60">
        <f t="shared" si="22"/>
        <v>0.10203642174220072</v>
      </c>
      <c r="Q274" s="63" t="s">
        <v>399</v>
      </c>
      <c r="R274" s="63"/>
      <c r="S274" s="63"/>
      <c r="T274" s="63"/>
      <c r="U274" s="63"/>
      <c r="V274" s="63"/>
      <c r="W274" s="63"/>
      <c r="X274" s="63"/>
      <c r="Y274" s="63"/>
      <c r="Z274" s="63"/>
    </row>
    <row r="275" spans="1:26" ht="17.25" customHeight="1" x14ac:dyDescent="0.2">
      <c r="A275" s="52">
        <v>1720</v>
      </c>
      <c r="B275" s="53" t="s">
        <v>9</v>
      </c>
      <c r="C275" s="53" t="s">
        <v>95</v>
      </c>
      <c r="D275" s="54">
        <v>349.28100000000001</v>
      </c>
      <c r="E275" s="62">
        <v>698</v>
      </c>
      <c r="F275" s="54">
        <f t="shared" si="20"/>
        <v>347.22414069999996</v>
      </c>
      <c r="G275" s="69">
        <v>25569.041962604166</v>
      </c>
      <c r="H275" s="69">
        <v>25569.041962604166</v>
      </c>
      <c r="I275" s="62">
        <v>21</v>
      </c>
      <c r="J275" s="62">
        <v>721</v>
      </c>
      <c r="K275" s="57" t="s">
        <v>384</v>
      </c>
      <c r="L275" s="52">
        <v>29065</v>
      </c>
      <c r="M275" s="58">
        <f t="shared" si="19"/>
        <v>170.48460341039598</v>
      </c>
      <c r="N275" s="58">
        <v>1214.78</v>
      </c>
      <c r="O275" s="60">
        <f t="shared" si="21"/>
        <v>23.926143005317837</v>
      </c>
      <c r="P275" s="60">
        <f t="shared" si="22"/>
        <v>0.14034195772929747</v>
      </c>
      <c r="Q275" s="224" t="s">
        <v>400</v>
      </c>
      <c r="R275" s="63"/>
      <c r="S275" s="63"/>
      <c r="T275" s="63"/>
      <c r="U275" s="63"/>
      <c r="V275" s="63"/>
      <c r="W275" s="63"/>
      <c r="X275" s="63"/>
      <c r="Y275" s="63"/>
      <c r="Z275" s="63"/>
    </row>
    <row r="276" spans="1:26" ht="17.25" customHeight="1" x14ac:dyDescent="0.2">
      <c r="A276" s="52">
        <v>1721</v>
      </c>
      <c r="B276" s="53" t="s">
        <v>9</v>
      </c>
      <c r="C276" s="53" t="s">
        <v>95</v>
      </c>
      <c r="D276" s="54">
        <v>349.28100000000001</v>
      </c>
      <c r="E276" s="62">
        <v>505</v>
      </c>
      <c r="F276" s="54">
        <f t="shared" si="20"/>
        <v>347.03243379999998</v>
      </c>
      <c r="G276" s="69">
        <v>25569.041962604166</v>
      </c>
      <c r="H276" s="69">
        <v>25569.041962604166</v>
      </c>
      <c r="I276" s="62">
        <v>8</v>
      </c>
      <c r="J276" s="62">
        <v>837</v>
      </c>
      <c r="K276" s="57" t="s">
        <v>384</v>
      </c>
      <c r="L276" s="52">
        <v>15106</v>
      </c>
      <c r="M276" s="58">
        <f t="shared" si="19"/>
        <v>122.90646850349252</v>
      </c>
      <c r="N276" s="58">
        <v>596.88</v>
      </c>
      <c r="O276" s="60">
        <f t="shared" si="21"/>
        <v>25.308269668945183</v>
      </c>
      <c r="P276" s="60">
        <f t="shared" si="22"/>
        <v>0.20591487150430995</v>
      </c>
      <c r="Q276" s="225"/>
      <c r="R276" s="63"/>
      <c r="S276" s="63"/>
      <c r="T276" s="63"/>
      <c r="U276" s="63"/>
      <c r="V276" s="63"/>
      <c r="W276" s="63"/>
      <c r="X276" s="63"/>
      <c r="Y276" s="63"/>
      <c r="Z276" s="63"/>
    </row>
    <row r="277" spans="1:26" ht="17.25" customHeight="1" x14ac:dyDescent="0.2">
      <c r="A277" s="52">
        <v>1722</v>
      </c>
      <c r="B277" s="53" t="s">
        <v>9</v>
      </c>
      <c r="C277" s="53" t="s">
        <v>95</v>
      </c>
      <c r="D277" s="54">
        <v>351.28800000000001</v>
      </c>
      <c r="E277" s="62">
        <v>505</v>
      </c>
      <c r="F277" s="54">
        <f t="shared" si="20"/>
        <v>349.02598689999996</v>
      </c>
      <c r="G277" s="69">
        <v>25569.041962604166</v>
      </c>
      <c r="H277" s="69">
        <v>25569.041962604166</v>
      </c>
      <c r="I277" s="62">
        <v>8</v>
      </c>
      <c r="J277" s="62">
        <v>1418</v>
      </c>
      <c r="K277" s="57" t="s">
        <v>384</v>
      </c>
      <c r="L277" s="52">
        <v>25381</v>
      </c>
      <c r="M277" s="58">
        <f t="shared" si="19"/>
        <v>159.31415505221122</v>
      </c>
      <c r="N277" s="58">
        <v>1084.75</v>
      </c>
      <c r="O277" s="60">
        <f t="shared" si="21"/>
        <v>23.39801797649228</v>
      </c>
      <c r="P277" s="60">
        <f t="shared" si="22"/>
        <v>0.14686716298890179</v>
      </c>
      <c r="Q277" s="63"/>
      <c r="R277" s="63"/>
      <c r="S277" s="63"/>
      <c r="T277" s="63"/>
      <c r="U277" s="63"/>
      <c r="V277" s="63"/>
      <c r="W277" s="63"/>
      <c r="X277" s="63"/>
      <c r="Y277" s="63"/>
      <c r="Z277" s="63"/>
    </row>
    <row r="278" spans="1:26" ht="17.25" customHeight="1" x14ac:dyDescent="0.2">
      <c r="A278" s="52">
        <v>1723</v>
      </c>
      <c r="B278" s="53" t="s">
        <v>9</v>
      </c>
      <c r="C278" s="53" t="s">
        <v>95</v>
      </c>
      <c r="D278" s="54">
        <v>353.28899999999999</v>
      </c>
      <c r="E278" s="62">
        <v>505</v>
      </c>
      <c r="F278" s="54">
        <f t="shared" si="20"/>
        <v>351.01358019999992</v>
      </c>
      <c r="G278" s="69">
        <v>25569.041962604166</v>
      </c>
      <c r="H278" s="69">
        <v>25569.041962604166</v>
      </c>
      <c r="I278" s="62">
        <v>8</v>
      </c>
      <c r="J278" s="62">
        <v>773</v>
      </c>
      <c r="K278" s="57" t="s">
        <v>384</v>
      </c>
      <c r="L278" s="52">
        <v>10573</v>
      </c>
      <c r="M278" s="58">
        <f t="shared" si="19"/>
        <v>102.82509421342633</v>
      </c>
      <c r="N278" s="58">
        <v>552.08000000000004</v>
      </c>
      <c r="O278" s="60">
        <f t="shared" si="21"/>
        <v>19.151209969569628</v>
      </c>
      <c r="P278" s="60">
        <f t="shared" si="22"/>
        <v>0.18625035178493393</v>
      </c>
      <c r="Q278" s="63"/>
      <c r="R278" s="63"/>
      <c r="S278" s="63"/>
      <c r="T278" s="63"/>
      <c r="U278" s="63"/>
      <c r="V278" s="63"/>
      <c r="W278" s="63"/>
      <c r="X278" s="63"/>
      <c r="Y278" s="63"/>
      <c r="Z278" s="63"/>
    </row>
    <row r="279" spans="1:26" ht="17.25" customHeight="1" x14ac:dyDescent="0.2">
      <c r="A279" s="52">
        <v>1724</v>
      </c>
      <c r="B279" s="53" t="s">
        <v>9</v>
      </c>
      <c r="C279" s="53" t="s">
        <v>95</v>
      </c>
      <c r="D279" s="54">
        <v>355.29</v>
      </c>
      <c r="E279" s="62">
        <v>505</v>
      </c>
      <c r="F279" s="54">
        <f t="shared" si="20"/>
        <v>353.00117349999999</v>
      </c>
      <c r="G279" s="69">
        <v>25569.041962604166</v>
      </c>
      <c r="H279" s="69">
        <v>25569.041962604166</v>
      </c>
      <c r="I279" s="62">
        <v>8</v>
      </c>
      <c r="J279" s="62">
        <v>675</v>
      </c>
      <c r="K279" s="57" t="s">
        <v>384</v>
      </c>
      <c r="L279" s="52">
        <v>6939</v>
      </c>
      <c r="M279" s="58">
        <f t="shared" si="19"/>
        <v>83.300660261488929</v>
      </c>
      <c r="N279" s="58">
        <v>471.65</v>
      </c>
      <c r="O279" s="60">
        <f t="shared" si="21"/>
        <v>14.712180642425528</v>
      </c>
      <c r="P279" s="60">
        <f t="shared" si="22"/>
        <v>0.17661541452663826</v>
      </c>
      <c r="Q279" s="63"/>
      <c r="R279" s="63"/>
      <c r="S279" s="63"/>
      <c r="T279" s="63"/>
      <c r="U279" s="63"/>
      <c r="V279" s="63"/>
      <c r="W279" s="63"/>
      <c r="X279" s="63"/>
      <c r="Y279" s="63"/>
      <c r="Z279" s="63"/>
    </row>
    <row r="280" spans="1:26" ht="17.25" customHeight="1" x14ac:dyDescent="0.2">
      <c r="A280" s="52">
        <v>1725</v>
      </c>
      <c r="B280" s="53" t="s">
        <v>9</v>
      </c>
      <c r="C280" s="53" t="s">
        <v>95</v>
      </c>
      <c r="D280" s="54">
        <v>357.29700000000003</v>
      </c>
      <c r="E280" s="62">
        <v>505</v>
      </c>
      <c r="F280" s="54">
        <f t="shared" si="20"/>
        <v>354.99472659999998</v>
      </c>
      <c r="G280" s="69">
        <v>25569.041962604166</v>
      </c>
      <c r="H280" s="69">
        <v>25569.041962604166</v>
      </c>
      <c r="I280" s="62">
        <v>8</v>
      </c>
      <c r="J280" s="62">
        <v>729</v>
      </c>
      <c r="K280" s="57" t="s">
        <v>384</v>
      </c>
      <c r="L280" s="52">
        <v>5328</v>
      </c>
      <c r="M280" s="58">
        <f t="shared" si="19"/>
        <v>72.993150363578636</v>
      </c>
      <c r="N280" s="58">
        <v>521.42999999999995</v>
      </c>
      <c r="O280" s="60">
        <f t="shared" si="21"/>
        <v>10.21805419711179</v>
      </c>
      <c r="P280" s="60">
        <f t="shared" si="22"/>
        <v>0.1399864801863695</v>
      </c>
      <c r="Q280" s="63"/>
      <c r="R280" s="63"/>
      <c r="S280" s="63"/>
      <c r="T280" s="63"/>
      <c r="U280" s="63"/>
      <c r="V280" s="63"/>
      <c r="W280" s="63"/>
      <c r="X280" s="63"/>
      <c r="Y280" s="63"/>
      <c r="Z280" s="63"/>
    </row>
    <row r="281" spans="1:26" ht="17.25" customHeight="1" x14ac:dyDescent="0.2">
      <c r="A281" s="52">
        <v>1726</v>
      </c>
      <c r="B281" s="53" t="s">
        <v>9</v>
      </c>
      <c r="C281" s="53" t="s">
        <v>95</v>
      </c>
      <c r="D281" s="54">
        <v>359.298</v>
      </c>
      <c r="E281" s="62">
        <v>505</v>
      </c>
      <c r="F281" s="54">
        <f t="shared" si="20"/>
        <v>356.98231989999994</v>
      </c>
      <c r="G281" s="69">
        <v>25569.041962604166</v>
      </c>
      <c r="H281" s="69">
        <v>25569.041962604166</v>
      </c>
      <c r="I281" s="62">
        <v>8</v>
      </c>
      <c r="J281" s="62">
        <v>690</v>
      </c>
      <c r="K281" s="57" t="s">
        <v>384</v>
      </c>
      <c r="L281" s="52">
        <v>3327</v>
      </c>
      <c r="M281" s="58">
        <f t="shared" si="19"/>
        <v>57.680152565678952</v>
      </c>
      <c r="N281" s="58">
        <v>481.17</v>
      </c>
      <c r="O281" s="60">
        <f t="shared" si="21"/>
        <v>6.9143961593615559</v>
      </c>
      <c r="P281" s="60">
        <f t="shared" si="22"/>
        <v>0.11987478971190837</v>
      </c>
      <c r="Q281" s="63"/>
      <c r="R281" s="63"/>
      <c r="S281" s="63"/>
      <c r="T281" s="63"/>
      <c r="U281" s="63"/>
      <c r="V281" s="63"/>
      <c r="W281" s="63"/>
      <c r="X281" s="63"/>
      <c r="Y281" s="63"/>
      <c r="Z281" s="63"/>
    </row>
    <row r="282" spans="1:26" ht="17.25" customHeight="1" x14ac:dyDescent="0.2">
      <c r="A282" s="52">
        <v>1727</v>
      </c>
      <c r="B282" s="53" t="s">
        <v>29</v>
      </c>
      <c r="C282" s="53" t="s">
        <v>95</v>
      </c>
      <c r="D282" s="54">
        <v>361.30599999999998</v>
      </c>
      <c r="E282" s="62">
        <v>505</v>
      </c>
      <c r="F282" s="54">
        <f t="shared" si="20"/>
        <v>358.97686629999993</v>
      </c>
      <c r="G282" s="69">
        <v>25569.041962604166</v>
      </c>
      <c r="H282" s="69">
        <v>25569.041962604166</v>
      </c>
      <c r="I282" s="62">
        <v>9</v>
      </c>
      <c r="J282" s="62">
        <v>845</v>
      </c>
      <c r="K282" s="57" t="s">
        <v>384</v>
      </c>
      <c r="L282" s="52">
        <v>3116</v>
      </c>
      <c r="M282" s="58">
        <f t="shared" si="19"/>
        <v>55.821142947811452</v>
      </c>
      <c r="N282" s="58">
        <v>697.01</v>
      </c>
      <c r="O282" s="60">
        <f t="shared" si="21"/>
        <v>4.4705240957805481</v>
      </c>
      <c r="P282" s="60">
        <f t="shared" si="22"/>
        <v>8.0086574005841307E-2</v>
      </c>
      <c r="Q282" s="63"/>
      <c r="R282" s="63"/>
      <c r="S282" s="63"/>
      <c r="T282" s="63"/>
      <c r="U282" s="63"/>
      <c r="V282" s="63"/>
      <c r="W282" s="63"/>
      <c r="X282" s="63"/>
      <c r="Y282" s="63"/>
      <c r="Z282" s="63"/>
    </row>
    <row r="283" spans="1:26" ht="17.25" customHeight="1" x14ac:dyDescent="0.2">
      <c r="A283" s="52">
        <v>1728</v>
      </c>
      <c r="B283" s="53" t="s">
        <v>9</v>
      </c>
      <c r="C283" s="53" t="s">
        <v>95</v>
      </c>
      <c r="D283" s="54">
        <v>365.30700000000002</v>
      </c>
      <c r="E283" s="62">
        <v>505</v>
      </c>
      <c r="F283" s="54">
        <f t="shared" si="20"/>
        <v>362.95105959999995</v>
      </c>
      <c r="G283" s="69">
        <v>25569.041962604166</v>
      </c>
      <c r="H283" s="69">
        <v>25569.041962604166</v>
      </c>
      <c r="I283" s="62">
        <v>9</v>
      </c>
      <c r="J283" s="62">
        <v>779</v>
      </c>
      <c r="K283" s="57" t="s">
        <v>384</v>
      </c>
      <c r="L283" s="52">
        <v>1050</v>
      </c>
      <c r="M283" s="58">
        <f t="shared" si="19"/>
        <v>32.403703492039298</v>
      </c>
      <c r="N283" s="58">
        <v>605.74</v>
      </c>
      <c r="O283" s="60">
        <f t="shared" si="21"/>
        <v>1.7334169775811403</v>
      </c>
      <c r="P283" s="60">
        <f t="shared" si="22"/>
        <v>5.3494409304386863E-2</v>
      </c>
      <c r="Q283" s="63"/>
      <c r="R283" s="63"/>
      <c r="S283" s="63"/>
      <c r="T283" s="63"/>
      <c r="U283" s="63"/>
      <c r="V283" s="63"/>
      <c r="W283" s="63"/>
      <c r="X283" s="63"/>
      <c r="Y283" s="63"/>
      <c r="Z283" s="63"/>
    </row>
    <row r="284" spans="1:26" ht="17.25" customHeight="1" x14ac:dyDescent="0.2">
      <c r="A284" s="52">
        <v>1729</v>
      </c>
      <c r="B284" s="53" t="s">
        <v>9</v>
      </c>
      <c r="C284" s="53" t="s">
        <v>95</v>
      </c>
      <c r="D284" s="54">
        <v>369.315</v>
      </c>
      <c r="E284" s="62">
        <v>505</v>
      </c>
      <c r="F284" s="54">
        <f t="shared" si="20"/>
        <v>366.93220599999995</v>
      </c>
      <c r="G284" s="69">
        <v>25569.041962604166</v>
      </c>
      <c r="H284" s="69">
        <v>25569.041962604166</v>
      </c>
      <c r="I284" s="62">
        <v>10</v>
      </c>
      <c r="J284" s="62">
        <v>663</v>
      </c>
      <c r="K284" s="57" t="s">
        <v>384</v>
      </c>
      <c r="L284" s="52">
        <v>537</v>
      </c>
      <c r="M284" s="58">
        <f t="shared" ref="M284:M347" si="23">SQRT(L284)</f>
        <v>23.173260452512935</v>
      </c>
      <c r="N284" s="58">
        <v>615.41999999999996</v>
      </c>
      <c r="O284" s="60">
        <f t="shared" si="21"/>
        <v>0.87257482694745059</v>
      </c>
      <c r="P284" s="60">
        <f t="shared" si="22"/>
        <v>3.7654383108304795E-2</v>
      </c>
      <c r="Q284" s="63"/>
      <c r="R284" s="63"/>
      <c r="S284" s="63"/>
      <c r="T284" s="63"/>
      <c r="U284" s="63"/>
      <c r="V284" s="63"/>
      <c r="W284" s="63"/>
      <c r="X284" s="63"/>
      <c r="Y284" s="63"/>
      <c r="Z284" s="63"/>
    </row>
    <row r="285" spans="1:26" ht="17.25" customHeight="1" x14ac:dyDescent="0.2">
      <c r="A285" s="52">
        <v>1730</v>
      </c>
      <c r="B285" s="53" t="s">
        <v>9</v>
      </c>
      <c r="C285" s="53" t="s">
        <v>95</v>
      </c>
      <c r="D285" s="54">
        <v>349.29399999999998</v>
      </c>
      <c r="E285" s="62">
        <v>505</v>
      </c>
      <c r="F285" s="54">
        <f t="shared" si="20"/>
        <v>347.04534669999993</v>
      </c>
      <c r="G285" s="69">
        <v>25569.041962604166</v>
      </c>
      <c r="H285" s="69">
        <v>25569.041962604166</v>
      </c>
      <c r="I285" s="62">
        <v>10</v>
      </c>
      <c r="J285" s="62">
        <v>522</v>
      </c>
      <c r="K285" s="57" t="s">
        <v>384</v>
      </c>
      <c r="L285" s="52">
        <v>11472</v>
      </c>
      <c r="M285" s="58">
        <f t="shared" si="23"/>
        <v>107.10742271196708</v>
      </c>
      <c r="N285" s="58">
        <v>495.73</v>
      </c>
      <c r="O285" s="60">
        <f t="shared" si="21"/>
        <v>23.141629516067212</v>
      </c>
      <c r="P285" s="60">
        <f t="shared" si="22"/>
        <v>0.21605999780519047</v>
      </c>
      <c r="Q285" s="63"/>
      <c r="R285" s="63"/>
      <c r="S285" s="63"/>
      <c r="T285" s="63"/>
      <c r="U285" s="63"/>
      <c r="V285" s="63"/>
      <c r="W285" s="63"/>
      <c r="X285" s="63"/>
      <c r="Y285" s="63"/>
      <c r="Z285" s="63"/>
    </row>
    <row r="286" spans="1:26" ht="17.25" customHeight="1" x14ac:dyDescent="0.2">
      <c r="A286" s="52">
        <v>1731</v>
      </c>
      <c r="B286" s="53" t="s">
        <v>9</v>
      </c>
      <c r="C286" s="53" t="s">
        <v>95</v>
      </c>
      <c r="D286" s="54">
        <v>347.29399999999998</v>
      </c>
      <c r="E286" s="62">
        <v>505</v>
      </c>
      <c r="F286" s="54">
        <f t="shared" si="20"/>
        <v>345.05874669999992</v>
      </c>
      <c r="G286" s="69">
        <v>25569.041962604166</v>
      </c>
      <c r="H286" s="69">
        <v>25569.041962604166</v>
      </c>
      <c r="I286" s="62">
        <v>10</v>
      </c>
      <c r="J286" s="62">
        <v>1445</v>
      </c>
      <c r="K286" s="57" t="s">
        <v>384</v>
      </c>
      <c r="L286" s="52">
        <v>32965</v>
      </c>
      <c r="M286" s="58">
        <f t="shared" si="23"/>
        <v>181.56266135965291</v>
      </c>
      <c r="N286" s="58">
        <v>1446.47</v>
      </c>
      <c r="O286" s="60">
        <f t="shared" si="21"/>
        <v>22.789964534349139</v>
      </c>
      <c r="P286" s="60">
        <f t="shared" si="22"/>
        <v>0.12552120773998279</v>
      </c>
      <c r="Q286" s="63"/>
      <c r="R286" s="63"/>
      <c r="S286" s="63"/>
      <c r="T286" s="63"/>
      <c r="U286" s="63"/>
      <c r="V286" s="63"/>
      <c r="W286" s="63"/>
      <c r="X286" s="63"/>
      <c r="Y286" s="63"/>
      <c r="Z286" s="63"/>
    </row>
    <row r="287" spans="1:26" ht="17.25" customHeight="1" x14ac:dyDescent="0.2">
      <c r="A287" s="52">
        <v>1732</v>
      </c>
      <c r="B287" s="53" t="s">
        <v>9</v>
      </c>
      <c r="C287" s="53" t="s">
        <v>95</v>
      </c>
      <c r="D287" s="54">
        <v>349.38200000000001</v>
      </c>
      <c r="E287" s="62">
        <v>408</v>
      </c>
      <c r="F287" s="54">
        <f t="shared" si="20"/>
        <v>347.036407</v>
      </c>
      <c r="G287" s="69">
        <v>25569.041962604166</v>
      </c>
      <c r="H287" s="69">
        <v>25569.041962604166</v>
      </c>
      <c r="I287" s="62">
        <v>6</v>
      </c>
      <c r="J287" s="62">
        <v>917</v>
      </c>
      <c r="K287" s="57" t="s">
        <v>384</v>
      </c>
      <c r="L287" s="52">
        <v>11803</v>
      </c>
      <c r="M287" s="58">
        <f t="shared" si="23"/>
        <v>108.6416126537157</v>
      </c>
      <c r="N287" s="58">
        <v>523.41</v>
      </c>
      <c r="O287" s="60">
        <f t="shared" si="21"/>
        <v>22.550199652280241</v>
      </c>
      <c r="P287" s="60">
        <f t="shared" si="22"/>
        <v>0.2075650305758692</v>
      </c>
      <c r="Q287" s="63"/>
      <c r="R287" s="63"/>
      <c r="S287" s="63"/>
      <c r="T287" s="63"/>
      <c r="U287" s="63"/>
      <c r="V287" s="63"/>
      <c r="W287" s="63"/>
      <c r="X287" s="63"/>
      <c r="Y287" s="63"/>
      <c r="Z287" s="63"/>
    </row>
    <row r="288" spans="1:26" ht="17.25" customHeight="1" x14ac:dyDescent="0.2">
      <c r="A288" s="52">
        <v>1733</v>
      </c>
      <c r="B288" s="53" t="s">
        <v>9</v>
      </c>
      <c r="C288" s="53" t="s">
        <v>95</v>
      </c>
      <c r="D288" s="54">
        <v>347.37400000000002</v>
      </c>
      <c r="E288" s="62">
        <v>408</v>
      </c>
      <c r="F288" s="54">
        <f t="shared" si="20"/>
        <v>345.04186060000001</v>
      </c>
      <c r="G288" s="69">
        <v>25569.041962604166</v>
      </c>
      <c r="H288" s="69">
        <v>25569.041962604166</v>
      </c>
      <c r="I288" s="62">
        <v>6</v>
      </c>
      <c r="J288" s="62">
        <v>823</v>
      </c>
      <c r="K288" s="57" t="s">
        <v>384</v>
      </c>
      <c r="L288" s="52">
        <v>10664</v>
      </c>
      <c r="M288" s="58">
        <f t="shared" si="23"/>
        <v>103.26664514740469</v>
      </c>
      <c r="N288" s="58">
        <v>482.76</v>
      </c>
      <c r="O288" s="60">
        <f t="shared" si="21"/>
        <v>22.089651172425221</v>
      </c>
      <c r="P288" s="60">
        <f t="shared" si="22"/>
        <v>0.21390886806571524</v>
      </c>
      <c r="Q288" s="63"/>
      <c r="R288" s="63"/>
      <c r="S288" s="63"/>
      <c r="T288" s="63"/>
      <c r="U288" s="63"/>
      <c r="V288" s="63"/>
      <c r="W288" s="63"/>
      <c r="X288" s="63"/>
      <c r="Y288" s="63"/>
      <c r="Z288" s="63"/>
    </row>
    <row r="289" spans="1:26" ht="17.25" customHeight="1" x14ac:dyDescent="0.2">
      <c r="A289" s="52">
        <v>1734</v>
      </c>
      <c r="B289" s="53" t="s">
        <v>9</v>
      </c>
      <c r="C289" s="53" t="s">
        <v>95</v>
      </c>
      <c r="D289" s="54">
        <v>346.37400000000002</v>
      </c>
      <c r="E289" s="62">
        <v>408</v>
      </c>
      <c r="F289" s="54">
        <f t="shared" si="20"/>
        <v>344.04856059999997</v>
      </c>
      <c r="G289" s="69">
        <v>25569.041962604166</v>
      </c>
      <c r="H289" s="69">
        <v>25569.041962604166</v>
      </c>
      <c r="I289" s="62">
        <v>6</v>
      </c>
      <c r="J289" s="62">
        <v>822</v>
      </c>
      <c r="K289" s="57" t="s">
        <v>384</v>
      </c>
      <c r="L289" s="52">
        <v>10445</v>
      </c>
      <c r="M289" s="58">
        <f t="shared" si="23"/>
        <v>102.20078277586722</v>
      </c>
      <c r="N289" s="58">
        <v>507.04</v>
      </c>
      <c r="O289" s="60">
        <f t="shared" si="21"/>
        <v>20.599952666456293</v>
      </c>
      <c r="P289" s="60">
        <f t="shared" si="22"/>
        <v>0.20156355075707483</v>
      </c>
      <c r="Q289" s="63"/>
      <c r="R289" s="63"/>
      <c r="S289" s="63"/>
      <c r="T289" s="63"/>
      <c r="U289" s="63"/>
      <c r="V289" s="63"/>
      <c r="W289" s="63"/>
      <c r="X289" s="63"/>
      <c r="Y289" s="63"/>
      <c r="Z289" s="63"/>
    </row>
    <row r="290" spans="1:26" ht="17.25" customHeight="1" x14ac:dyDescent="0.2">
      <c r="A290" s="52">
        <v>1735</v>
      </c>
      <c r="B290" s="53" t="s">
        <v>9</v>
      </c>
      <c r="C290" s="53" t="s">
        <v>95</v>
      </c>
      <c r="D290" s="54">
        <v>345.37299999999999</v>
      </c>
      <c r="E290" s="62">
        <v>408</v>
      </c>
      <c r="F290" s="54">
        <f t="shared" si="20"/>
        <v>343.05426729999999</v>
      </c>
      <c r="G290" s="69">
        <v>25569.041962604166</v>
      </c>
      <c r="H290" s="69">
        <v>25569.041962604166</v>
      </c>
      <c r="I290" s="62">
        <v>6</v>
      </c>
      <c r="J290" s="62">
        <v>589</v>
      </c>
      <c r="K290" s="57" t="s">
        <v>384</v>
      </c>
      <c r="L290" s="52">
        <v>6141</v>
      </c>
      <c r="M290" s="58">
        <f t="shared" si="23"/>
        <v>78.364532793860263</v>
      </c>
      <c r="N290" s="58">
        <v>337.93</v>
      </c>
      <c r="O290" s="60">
        <f t="shared" si="21"/>
        <v>18.17240256857929</v>
      </c>
      <c r="P290" s="60">
        <f t="shared" si="22"/>
        <v>0.23189575590761477</v>
      </c>
      <c r="Q290" s="63"/>
      <c r="R290" s="63"/>
      <c r="S290" s="63"/>
      <c r="T290" s="63"/>
      <c r="U290" s="63"/>
      <c r="V290" s="63"/>
      <c r="W290" s="63"/>
      <c r="X290" s="63"/>
      <c r="Y290" s="63"/>
      <c r="Z290" s="63"/>
    </row>
    <row r="291" spans="1:26" ht="17.25" customHeight="1" x14ac:dyDescent="0.2">
      <c r="A291" s="52">
        <v>1736</v>
      </c>
      <c r="B291" s="53" t="s">
        <v>9</v>
      </c>
      <c r="C291" s="53" t="s">
        <v>95</v>
      </c>
      <c r="D291" s="54">
        <v>344.36599999999999</v>
      </c>
      <c r="E291" s="62">
        <v>408</v>
      </c>
      <c r="F291" s="54">
        <f t="shared" si="20"/>
        <v>342.05401419999998</v>
      </c>
      <c r="G291" s="69">
        <v>25569.041962604166</v>
      </c>
      <c r="H291" s="69">
        <v>25569.041962604166</v>
      </c>
      <c r="I291" s="62">
        <v>6</v>
      </c>
      <c r="J291" s="62">
        <v>602</v>
      </c>
      <c r="K291" s="57" t="s">
        <v>384</v>
      </c>
      <c r="L291" s="52">
        <v>5355</v>
      </c>
      <c r="M291" s="58">
        <f t="shared" si="23"/>
        <v>73.177865505902801</v>
      </c>
      <c r="N291" s="58">
        <v>410.05</v>
      </c>
      <c r="O291" s="60">
        <f t="shared" si="21"/>
        <v>13.059383002072918</v>
      </c>
      <c r="P291" s="60">
        <f t="shared" si="22"/>
        <v>0.17846083527838752</v>
      </c>
      <c r="Q291" s="63"/>
      <c r="R291" s="63"/>
      <c r="S291" s="63"/>
      <c r="T291" s="63"/>
      <c r="U291" s="63"/>
      <c r="V291" s="63"/>
      <c r="W291" s="63"/>
      <c r="X291" s="63"/>
      <c r="Y291" s="63"/>
      <c r="Z291" s="63"/>
    </row>
    <row r="292" spans="1:26" ht="17.25" customHeight="1" x14ac:dyDescent="0.2">
      <c r="A292" s="52">
        <v>1737</v>
      </c>
      <c r="B292" s="53" t="s">
        <v>9</v>
      </c>
      <c r="C292" s="53" t="s">
        <v>95</v>
      </c>
      <c r="D292" s="54">
        <v>343.37299999999999</v>
      </c>
      <c r="E292" s="62">
        <v>408</v>
      </c>
      <c r="F292" s="54">
        <f t="shared" si="20"/>
        <v>341.06766729999998</v>
      </c>
      <c r="G292" s="69">
        <v>25569.041962604166</v>
      </c>
      <c r="H292" s="69">
        <v>25569.041962604166</v>
      </c>
      <c r="I292" s="62">
        <v>5</v>
      </c>
      <c r="J292" s="62">
        <v>937</v>
      </c>
      <c r="K292" s="57" t="s">
        <v>384</v>
      </c>
      <c r="L292" s="52">
        <v>5980</v>
      </c>
      <c r="M292" s="58">
        <f t="shared" si="23"/>
        <v>77.330459716724818</v>
      </c>
      <c r="N292" s="58">
        <v>467.38</v>
      </c>
      <c r="O292" s="60">
        <f t="shared" si="21"/>
        <v>12.794728058539091</v>
      </c>
      <c r="P292" s="60">
        <f t="shared" si="22"/>
        <v>0.16545521784570333</v>
      </c>
      <c r="Q292" s="63"/>
      <c r="R292" s="63"/>
      <c r="S292" s="63"/>
      <c r="T292" s="63"/>
      <c r="U292" s="63"/>
      <c r="V292" s="63"/>
      <c r="W292" s="63"/>
      <c r="X292" s="63"/>
      <c r="Y292" s="63"/>
      <c r="Z292" s="63"/>
    </row>
    <row r="293" spans="1:26" ht="17.25" customHeight="1" x14ac:dyDescent="0.2">
      <c r="A293" s="52">
        <v>1738</v>
      </c>
      <c r="B293" s="53" t="s">
        <v>9</v>
      </c>
      <c r="C293" s="53" t="s">
        <v>95</v>
      </c>
      <c r="D293" s="54">
        <v>342.36500000000001</v>
      </c>
      <c r="E293" s="62">
        <v>408</v>
      </c>
      <c r="F293" s="54">
        <f t="shared" si="20"/>
        <v>340.06642089999997</v>
      </c>
      <c r="G293" s="69">
        <v>25569.041962604166</v>
      </c>
      <c r="H293" s="69">
        <v>25569.041962604166</v>
      </c>
      <c r="I293" s="62">
        <v>5</v>
      </c>
      <c r="J293" s="62">
        <v>1134</v>
      </c>
      <c r="K293" s="57" t="s">
        <v>384</v>
      </c>
      <c r="L293" s="52">
        <v>3958</v>
      </c>
      <c r="M293" s="58">
        <f t="shared" si="23"/>
        <v>62.912637840103322</v>
      </c>
      <c r="N293" s="58">
        <v>560.33000000000004</v>
      </c>
      <c r="O293" s="60">
        <f t="shared" si="21"/>
        <v>7.0636946085342558</v>
      </c>
      <c r="P293" s="60">
        <f t="shared" si="22"/>
        <v>0.11227783242036535</v>
      </c>
      <c r="Q293" s="63"/>
      <c r="R293" s="63"/>
      <c r="S293" s="63"/>
      <c r="T293" s="63"/>
      <c r="U293" s="63"/>
      <c r="V293" s="63"/>
      <c r="W293" s="63"/>
      <c r="X293" s="63"/>
      <c r="Y293" s="63"/>
      <c r="Z293" s="63"/>
    </row>
    <row r="294" spans="1:26" ht="17.25" customHeight="1" x14ac:dyDescent="0.2">
      <c r="A294" s="52">
        <v>1739</v>
      </c>
      <c r="B294" s="53" t="s">
        <v>9</v>
      </c>
      <c r="C294" s="53" t="s">
        <v>95</v>
      </c>
      <c r="D294" s="54">
        <v>341.36500000000001</v>
      </c>
      <c r="E294" s="62">
        <v>408</v>
      </c>
      <c r="F294" s="54">
        <f t="shared" ref="F294:F357" si="24">0.9933*(D294 + E294/1000)-0.41</f>
        <v>339.07312089999999</v>
      </c>
      <c r="G294" s="69">
        <v>25569.041962604166</v>
      </c>
      <c r="H294" s="69">
        <v>25569.041962604166</v>
      </c>
      <c r="I294" s="62">
        <v>5</v>
      </c>
      <c r="J294" s="62">
        <v>585</v>
      </c>
      <c r="K294" s="57" t="s">
        <v>384</v>
      </c>
      <c r="L294" s="52">
        <v>1080</v>
      </c>
      <c r="M294" s="58">
        <f t="shared" si="23"/>
        <v>32.863353450309965</v>
      </c>
      <c r="N294" s="58">
        <v>281.57</v>
      </c>
      <c r="O294" s="60">
        <f t="shared" si="21"/>
        <v>3.8356358987108004</v>
      </c>
      <c r="P294" s="60">
        <f t="shared" si="22"/>
        <v>0.1167146835611392</v>
      </c>
      <c r="Q294" s="63"/>
      <c r="R294" s="63"/>
      <c r="S294" s="63"/>
      <c r="T294" s="63"/>
      <c r="U294" s="63"/>
      <c r="V294" s="63"/>
      <c r="W294" s="63"/>
      <c r="X294" s="63"/>
      <c r="Y294" s="63"/>
      <c r="Z294" s="63"/>
    </row>
    <row r="295" spans="1:26" ht="17.25" customHeight="1" x14ac:dyDescent="0.2">
      <c r="A295" s="52">
        <v>1740</v>
      </c>
      <c r="B295" s="53" t="s">
        <v>9</v>
      </c>
      <c r="C295" s="53" t="s">
        <v>95</v>
      </c>
      <c r="D295" s="54">
        <v>339.36399999999998</v>
      </c>
      <c r="E295" s="62">
        <v>408</v>
      </c>
      <c r="F295" s="54">
        <f t="shared" si="24"/>
        <v>337.08552759999998</v>
      </c>
      <c r="G295" s="69">
        <v>25569.041962604166</v>
      </c>
      <c r="H295" s="69">
        <v>25569.041962604166</v>
      </c>
      <c r="I295" s="62">
        <v>5</v>
      </c>
      <c r="J295" s="62">
        <v>636</v>
      </c>
      <c r="K295" s="57" t="s">
        <v>384</v>
      </c>
      <c r="L295" s="52">
        <v>527</v>
      </c>
      <c r="M295" s="58">
        <f t="shared" si="23"/>
        <v>22.956480566497994</v>
      </c>
      <c r="N295" s="58">
        <v>319.87</v>
      </c>
      <c r="O295" s="60">
        <f t="shared" si="21"/>
        <v>1.6475443148779192</v>
      </c>
      <c r="P295" s="60">
        <f t="shared" si="22"/>
        <v>7.1768157584324865E-2</v>
      </c>
      <c r="Q295" s="63"/>
      <c r="R295" s="63"/>
      <c r="S295" s="63"/>
      <c r="T295" s="63"/>
      <c r="U295" s="63"/>
      <c r="V295" s="63"/>
      <c r="W295" s="63"/>
      <c r="X295" s="63"/>
      <c r="Y295" s="63"/>
      <c r="Z295" s="63"/>
    </row>
    <row r="296" spans="1:26" ht="17.25" customHeight="1" x14ac:dyDescent="0.2">
      <c r="A296" s="52">
        <v>1741</v>
      </c>
      <c r="B296" s="53" t="s">
        <v>9</v>
      </c>
      <c r="C296" s="53" t="s">
        <v>95</v>
      </c>
      <c r="D296" s="54">
        <v>335.35599999999999</v>
      </c>
      <c r="E296" s="62">
        <v>408</v>
      </c>
      <c r="F296" s="54">
        <f t="shared" si="24"/>
        <v>333.10438119999998</v>
      </c>
      <c r="G296" s="69">
        <v>25569.041962604166</v>
      </c>
      <c r="H296" s="69">
        <v>25569.041962604166</v>
      </c>
      <c r="I296" s="62">
        <v>6</v>
      </c>
      <c r="J296" s="62">
        <v>636</v>
      </c>
      <c r="K296" s="57" t="s">
        <v>384</v>
      </c>
      <c r="L296" s="52">
        <v>182</v>
      </c>
      <c r="M296" s="58">
        <f t="shared" si="23"/>
        <v>13.490737563232042</v>
      </c>
      <c r="N296" s="58">
        <v>380.01</v>
      </c>
      <c r="O296" s="60">
        <f t="shared" si="21"/>
        <v>0.47893476487460857</v>
      </c>
      <c r="P296" s="60">
        <f t="shared" si="22"/>
        <v>3.550100671885488E-2</v>
      </c>
      <c r="Q296" s="63"/>
      <c r="R296" s="63"/>
      <c r="S296" s="63"/>
      <c r="T296" s="63"/>
      <c r="U296" s="63"/>
      <c r="V296" s="63"/>
      <c r="W296" s="63"/>
      <c r="X296" s="63"/>
      <c r="Y296" s="63"/>
      <c r="Z296" s="63"/>
    </row>
    <row r="297" spans="1:26" ht="17.25" customHeight="1" x14ac:dyDescent="0.2">
      <c r="A297" s="52">
        <v>1742</v>
      </c>
      <c r="B297" s="53" t="s">
        <v>9</v>
      </c>
      <c r="C297" s="53" t="s">
        <v>95</v>
      </c>
      <c r="D297" s="54">
        <v>351.39</v>
      </c>
      <c r="E297" s="62">
        <v>408</v>
      </c>
      <c r="F297" s="54">
        <f t="shared" si="24"/>
        <v>349.03095339999999</v>
      </c>
      <c r="G297" s="69">
        <v>25569.041962604166</v>
      </c>
      <c r="H297" s="69">
        <v>25569.041962604166</v>
      </c>
      <c r="I297" s="59"/>
      <c r="J297" s="62">
        <v>706</v>
      </c>
      <c r="K297" s="57" t="s">
        <v>384</v>
      </c>
      <c r="L297" s="52">
        <v>8615</v>
      </c>
      <c r="M297" s="58">
        <f t="shared" si="23"/>
        <v>92.817024300502112</v>
      </c>
      <c r="N297" s="62">
        <v>431</v>
      </c>
      <c r="O297" s="60">
        <f t="shared" si="21"/>
        <v>19.988399071925755</v>
      </c>
      <c r="P297" s="60">
        <f t="shared" si="22"/>
        <v>0.21535272459513252</v>
      </c>
      <c r="Q297" s="63"/>
      <c r="R297" s="63"/>
      <c r="S297" s="63"/>
      <c r="T297" s="63"/>
      <c r="U297" s="63"/>
      <c r="V297" s="63"/>
      <c r="W297" s="63"/>
      <c r="X297" s="63"/>
      <c r="Y297" s="63"/>
      <c r="Z297" s="63"/>
    </row>
    <row r="298" spans="1:26" ht="17.25" customHeight="1" x14ac:dyDescent="0.2">
      <c r="A298" s="52">
        <v>1743</v>
      </c>
      <c r="B298" s="53" t="s">
        <v>29</v>
      </c>
      <c r="C298" s="53" t="s">
        <v>95</v>
      </c>
      <c r="D298" s="54">
        <v>335.34899999999999</v>
      </c>
      <c r="E298" s="62">
        <v>408</v>
      </c>
      <c r="F298" s="54">
        <f t="shared" si="24"/>
        <v>333.09742809999995</v>
      </c>
      <c r="G298" s="69">
        <v>25569.041962604166</v>
      </c>
      <c r="H298" s="69">
        <v>25569.041962604166</v>
      </c>
      <c r="I298" s="62">
        <v>5</v>
      </c>
      <c r="J298" s="62">
        <v>3013</v>
      </c>
      <c r="K298" s="57" t="s">
        <v>384</v>
      </c>
      <c r="L298" s="52">
        <v>748</v>
      </c>
      <c r="M298" s="58">
        <f t="shared" si="23"/>
        <v>27.349588662354687</v>
      </c>
      <c r="N298" s="58">
        <v>1564.53</v>
      </c>
      <c r="O298" s="60">
        <f t="shared" si="21"/>
        <v>0.4780988539689236</v>
      </c>
      <c r="P298" s="60">
        <f t="shared" si="22"/>
        <v>1.748102539571289E-2</v>
      </c>
      <c r="Q298" s="63"/>
      <c r="R298" s="63"/>
      <c r="S298" s="63"/>
      <c r="T298" s="63"/>
      <c r="U298" s="63"/>
      <c r="V298" s="63"/>
      <c r="W298" s="63"/>
      <c r="X298" s="63"/>
      <c r="Y298" s="63"/>
      <c r="Z298" s="63"/>
    </row>
    <row r="299" spans="1:26" ht="17.25" customHeight="1" x14ac:dyDescent="0.2">
      <c r="A299" s="52">
        <v>1744</v>
      </c>
      <c r="B299" s="53" t="s">
        <v>29</v>
      </c>
      <c r="C299" s="53" t="s">
        <v>95</v>
      </c>
      <c r="D299" s="54">
        <v>339.358</v>
      </c>
      <c r="E299" s="62">
        <v>408</v>
      </c>
      <c r="F299" s="54">
        <f t="shared" si="24"/>
        <v>337.07956780000001</v>
      </c>
      <c r="G299" s="69">
        <v>25569.041962604166</v>
      </c>
      <c r="H299" s="69">
        <v>25569.041962604166</v>
      </c>
      <c r="I299" s="62">
        <v>5</v>
      </c>
      <c r="J299" s="62">
        <v>1677</v>
      </c>
      <c r="K299" s="57" t="s">
        <v>384</v>
      </c>
      <c r="L299" s="52">
        <v>1251</v>
      </c>
      <c r="M299" s="58">
        <f t="shared" si="23"/>
        <v>35.369478367654786</v>
      </c>
      <c r="N299" s="58">
        <v>899.04</v>
      </c>
      <c r="O299" s="60">
        <f t="shared" si="21"/>
        <v>1.3914842498665243</v>
      </c>
      <c r="P299" s="60">
        <f t="shared" si="22"/>
        <v>3.9341384552027479E-2</v>
      </c>
      <c r="Q299" s="63"/>
      <c r="R299" s="63"/>
      <c r="S299" s="63"/>
      <c r="T299" s="63"/>
      <c r="U299" s="63"/>
      <c r="V299" s="63"/>
      <c r="W299" s="63"/>
      <c r="X299" s="63"/>
      <c r="Y299" s="63"/>
      <c r="Z299" s="63"/>
    </row>
    <row r="300" spans="1:26" ht="17.25" customHeight="1" x14ac:dyDescent="0.2">
      <c r="A300" s="52">
        <v>1745</v>
      </c>
      <c r="B300" s="53" t="s">
        <v>29</v>
      </c>
      <c r="C300" s="53" t="s">
        <v>95</v>
      </c>
      <c r="D300" s="54">
        <v>341.358</v>
      </c>
      <c r="E300" s="62">
        <v>408</v>
      </c>
      <c r="F300" s="54">
        <f t="shared" si="24"/>
        <v>339.06616779999996</v>
      </c>
      <c r="G300" s="69">
        <v>25569.041962604166</v>
      </c>
      <c r="H300" s="69">
        <v>25569.041962604166</v>
      </c>
      <c r="I300" s="62">
        <v>5</v>
      </c>
      <c r="J300" s="62">
        <v>1954</v>
      </c>
      <c r="K300" s="57" t="s">
        <v>384</v>
      </c>
      <c r="L300" s="52">
        <v>3077</v>
      </c>
      <c r="M300" s="58">
        <f t="shared" si="23"/>
        <v>55.470712993434653</v>
      </c>
      <c r="N300" s="58">
        <v>1055.3900000000001</v>
      </c>
      <c r="O300" s="60">
        <f t="shared" si="21"/>
        <v>2.9155099062905654</v>
      </c>
      <c r="P300" s="60">
        <f t="shared" si="22"/>
        <v>5.2559445317308905E-2</v>
      </c>
      <c r="Q300" s="63"/>
      <c r="R300" s="63"/>
      <c r="S300" s="63"/>
      <c r="T300" s="63"/>
      <c r="U300" s="63"/>
      <c r="V300" s="63"/>
      <c r="W300" s="63"/>
      <c r="X300" s="63"/>
      <c r="Y300" s="63"/>
      <c r="Z300" s="63"/>
    </row>
    <row r="301" spans="1:26" ht="17.25" customHeight="1" x14ac:dyDescent="0.2">
      <c r="A301" s="52">
        <v>1746</v>
      </c>
      <c r="B301" s="53" t="s">
        <v>29</v>
      </c>
      <c r="C301" s="53" t="s">
        <v>95</v>
      </c>
      <c r="D301" s="54">
        <v>342.35899999999998</v>
      </c>
      <c r="E301" s="62">
        <v>408</v>
      </c>
      <c r="F301" s="54">
        <f t="shared" si="24"/>
        <v>340.06046109999994</v>
      </c>
      <c r="G301" s="69">
        <v>25569.041962604166</v>
      </c>
      <c r="H301" s="69">
        <v>25569.041962604166</v>
      </c>
      <c r="I301" s="62">
        <v>5</v>
      </c>
      <c r="J301" s="62">
        <v>1776</v>
      </c>
      <c r="K301" s="57" t="s">
        <v>384</v>
      </c>
      <c r="L301" s="52">
        <v>5113</v>
      </c>
      <c r="M301" s="58">
        <f t="shared" si="23"/>
        <v>71.505244562899023</v>
      </c>
      <c r="N301" s="58">
        <v>944.87</v>
      </c>
      <c r="O301" s="60">
        <f t="shared" si="21"/>
        <v>5.4113264258575251</v>
      </c>
      <c r="P301" s="60">
        <f t="shared" si="22"/>
        <v>7.5677336102214082E-2</v>
      </c>
      <c r="Q301" s="63"/>
      <c r="R301" s="63"/>
      <c r="S301" s="63"/>
      <c r="T301" s="63"/>
      <c r="U301" s="63"/>
      <c r="V301" s="63"/>
      <c r="W301" s="63"/>
      <c r="X301" s="63"/>
      <c r="Y301" s="63"/>
      <c r="Z301" s="63"/>
    </row>
    <row r="302" spans="1:26" ht="17.25" customHeight="1" x14ac:dyDescent="0.2">
      <c r="A302" s="52">
        <v>1747</v>
      </c>
      <c r="B302" s="53" t="s">
        <v>29</v>
      </c>
      <c r="C302" s="53" t="s">
        <v>95</v>
      </c>
      <c r="D302" s="54">
        <v>343.36599999999999</v>
      </c>
      <c r="E302" s="62">
        <v>408</v>
      </c>
      <c r="F302" s="54">
        <f t="shared" si="24"/>
        <v>341.06071419999995</v>
      </c>
      <c r="G302" s="69">
        <v>25569.041962604166</v>
      </c>
      <c r="H302" s="69">
        <v>25569.041962604166</v>
      </c>
      <c r="I302" s="62">
        <v>5</v>
      </c>
      <c r="J302" s="62">
        <v>1761</v>
      </c>
      <c r="K302" s="57" t="s">
        <v>384</v>
      </c>
      <c r="L302" s="52">
        <v>10033</v>
      </c>
      <c r="M302" s="58">
        <f t="shared" si="23"/>
        <v>100.16486409914407</v>
      </c>
      <c r="N302" s="58">
        <v>968.49</v>
      </c>
      <c r="O302" s="60">
        <f t="shared" si="21"/>
        <v>10.359425497423825</v>
      </c>
      <c r="P302" s="60">
        <f t="shared" si="22"/>
        <v>0.103423746346523</v>
      </c>
      <c r="Q302" s="63"/>
      <c r="R302" s="63"/>
      <c r="S302" s="63"/>
      <c r="T302" s="63"/>
      <c r="U302" s="63"/>
      <c r="V302" s="63"/>
      <c r="W302" s="63"/>
      <c r="X302" s="63"/>
      <c r="Y302" s="63"/>
      <c r="Z302" s="63"/>
    </row>
    <row r="303" spans="1:26" ht="17.25" customHeight="1" x14ac:dyDescent="0.2">
      <c r="A303" s="52">
        <v>1748</v>
      </c>
      <c r="B303" s="53" t="s">
        <v>29</v>
      </c>
      <c r="C303" s="53" t="s">
        <v>95</v>
      </c>
      <c r="D303" s="54">
        <v>344.35899999999998</v>
      </c>
      <c r="E303" s="62">
        <v>408</v>
      </c>
      <c r="F303" s="54">
        <f t="shared" si="24"/>
        <v>342.04706109999995</v>
      </c>
      <c r="G303" s="69">
        <v>25569.041962604166</v>
      </c>
      <c r="H303" s="69">
        <v>25569.041962604166</v>
      </c>
      <c r="I303" s="62">
        <v>6</v>
      </c>
      <c r="J303" s="62">
        <v>1487</v>
      </c>
      <c r="K303" s="57" t="s">
        <v>384</v>
      </c>
      <c r="L303" s="52">
        <v>12652</v>
      </c>
      <c r="M303" s="58">
        <f t="shared" si="23"/>
        <v>112.48110952511092</v>
      </c>
      <c r="N303" s="58">
        <v>883.02</v>
      </c>
      <c r="O303" s="60">
        <f t="shared" si="21"/>
        <v>14.328101288759031</v>
      </c>
      <c r="P303" s="60">
        <f t="shared" si="22"/>
        <v>0.12738228978404897</v>
      </c>
      <c r="Q303" s="63"/>
      <c r="R303" s="63"/>
      <c r="S303" s="63"/>
      <c r="T303" s="63"/>
      <c r="U303" s="63"/>
      <c r="V303" s="63"/>
      <c r="W303" s="63"/>
      <c r="X303" s="63"/>
      <c r="Y303" s="63"/>
      <c r="Z303" s="63"/>
    </row>
    <row r="304" spans="1:26" ht="17.25" customHeight="1" x14ac:dyDescent="0.2">
      <c r="A304" s="52">
        <v>1749</v>
      </c>
      <c r="B304" s="53" t="s">
        <v>29</v>
      </c>
      <c r="C304" s="53" t="s">
        <v>95</v>
      </c>
      <c r="D304" s="54">
        <v>345.36</v>
      </c>
      <c r="E304" s="62">
        <v>408</v>
      </c>
      <c r="F304" s="54">
        <f t="shared" si="24"/>
        <v>343.04135439999999</v>
      </c>
      <c r="G304" s="69">
        <v>25569.041962604166</v>
      </c>
      <c r="H304" s="69">
        <v>25569.041962604166</v>
      </c>
      <c r="I304" s="62">
        <v>6</v>
      </c>
      <c r="J304" s="62">
        <v>1581</v>
      </c>
      <c r="K304" s="57" t="s">
        <v>384</v>
      </c>
      <c r="L304" s="52">
        <v>16310</v>
      </c>
      <c r="M304" s="58">
        <f t="shared" si="23"/>
        <v>127.71061036577971</v>
      </c>
      <c r="N304" s="58">
        <v>866.89</v>
      </c>
      <c r="O304" s="60">
        <f t="shared" si="21"/>
        <v>18.814382447600043</v>
      </c>
      <c r="P304" s="60">
        <f t="shared" si="22"/>
        <v>0.14732043323348951</v>
      </c>
      <c r="Q304" s="63"/>
      <c r="R304" s="63"/>
      <c r="S304" s="63"/>
      <c r="T304" s="63"/>
      <c r="U304" s="63"/>
      <c r="V304" s="63"/>
      <c r="W304" s="63"/>
      <c r="X304" s="63"/>
      <c r="Y304" s="63"/>
      <c r="Z304" s="63"/>
    </row>
    <row r="305" spans="1:26" ht="17.25" customHeight="1" x14ac:dyDescent="0.2">
      <c r="A305" s="52">
        <v>1750</v>
      </c>
      <c r="B305" s="53" t="s">
        <v>29</v>
      </c>
      <c r="C305" s="53" t="s">
        <v>95</v>
      </c>
      <c r="D305" s="54">
        <v>346.37</v>
      </c>
      <c r="E305" s="62">
        <v>408</v>
      </c>
      <c r="F305" s="54">
        <f t="shared" si="24"/>
        <v>344.04458739999995</v>
      </c>
      <c r="G305" s="69">
        <v>25569.041962604166</v>
      </c>
      <c r="H305" s="69">
        <v>25569.041962604166</v>
      </c>
      <c r="I305" s="62">
        <v>6</v>
      </c>
      <c r="J305" s="62">
        <v>1244</v>
      </c>
      <c r="K305" s="57" t="s">
        <v>384</v>
      </c>
      <c r="L305" s="52">
        <v>14478</v>
      </c>
      <c r="M305" s="58">
        <f t="shared" si="23"/>
        <v>120.32456108376212</v>
      </c>
      <c r="N305" s="58">
        <v>666.61</v>
      </c>
      <c r="O305" s="60">
        <f t="shared" si="21"/>
        <v>21.718846101918661</v>
      </c>
      <c r="P305" s="60">
        <f t="shared" si="22"/>
        <v>0.18050218431130963</v>
      </c>
      <c r="Q305" s="63"/>
      <c r="R305" s="63"/>
      <c r="S305" s="63"/>
      <c r="T305" s="63"/>
      <c r="U305" s="63"/>
      <c r="V305" s="63"/>
      <c r="W305" s="63"/>
      <c r="X305" s="63"/>
      <c r="Y305" s="63"/>
      <c r="Z305" s="63"/>
    </row>
    <row r="306" spans="1:26" ht="17.25" customHeight="1" x14ac:dyDescent="0.2">
      <c r="A306" s="52">
        <v>1751</v>
      </c>
      <c r="B306" s="53" t="s">
        <v>29</v>
      </c>
      <c r="C306" s="53" t="s">
        <v>95</v>
      </c>
      <c r="D306" s="54">
        <v>347.37</v>
      </c>
      <c r="E306" s="62">
        <v>408</v>
      </c>
      <c r="F306" s="54">
        <f t="shared" si="24"/>
        <v>345.03788739999999</v>
      </c>
      <c r="G306" s="69">
        <v>25569.041962604166</v>
      </c>
      <c r="H306" s="69">
        <v>25569.041962604166</v>
      </c>
      <c r="I306" s="62">
        <v>6</v>
      </c>
      <c r="J306" s="62">
        <v>1246</v>
      </c>
      <c r="K306" s="57" t="s">
        <v>384</v>
      </c>
      <c r="L306" s="52">
        <v>15819</v>
      </c>
      <c r="M306" s="58">
        <f t="shared" si="23"/>
        <v>125.77360613419654</v>
      </c>
      <c r="N306" s="58">
        <v>691.5</v>
      </c>
      <c r="O306" s="60">
        <f t="shared" si="21"/>
        <v>22.876355748373101</v>
      </c>
      <c r="P306" s="60">
        <f t="shared" si="22"/>
        <v>0.1818851860219762</v>
      </c>
      <c r="Q306" s="63"/>
      <c r="R306" s="63"/>
      <c r="S306" s="63"/>
      <c r="T306" s="63"/>
      <c r="U306" s="63"/>
      <c r="V306" s="63"/>
      <c r="W306" s="63"/>
      <c r="X306" s="63"/>
      <c r="Y306" s="63"/>
      <c r="Z306" s="63"/>
    </row>
    <row r="307" spans="1:26" ht="17.25" customHeight="1" x14ac:dyDescent="0.2">
      <c r="A307" s="52">
        <v>1752</v>
      </c>
      <c r="B307" s="53" t="s">
        <v>9</v>
      </c>
      <c r="C307" s="53" t="s">
        <v>95</v>
      </c>
      <c r="D307" s="54">
        <v>349.375</v>
      </c>
      <c r="E307" s="62">
        <v>408</v>
      </c>
      <c r="F307" s="54">
        <f t="shared" si="24"/>
        <v>347.02945389999996</v>
      </c>
      <c r="G307" s="69">
        <v>25569.041962604166</v>
      </c>
      <c r="H307" s="69">
        <v>25569.041962604166</v>
      </c>
      <c r="I307" s="62">
        <v>6</v>
      </c>
      <c r="J307" s="62">
        <v>1187</v>
      </c>
      <c r="K307" s="57" t="s">
        <v>384</v>
      </c>
      <c r="L307" s="52">
        <v>15304</v>
      </c>
      <c r="M307" s="58">
        <f t="shared" si="23"/>
        <v>123.70933675353692</v>
      </c>
      <c r="N307" s="58">
        <v>713.64</v>
      </c>
      <c r="O307" s="60">
        <f t="shared" si="21"/>
        <v>21.444986267585897</v>
      </c>
      <c r="P307" s="60">
        <f t="shared" si="22"/>
        <v>0.17334977965576048</v>
      </c>
      <c r="Q307" s="63"/>
      <c r="R307" s="63"/>
      <c r="S307" s="63"/>
      <c r="T307" s="63"/>
      <c r="U307" s="63"/>
      <c r="V307" s="63"/>
      <c r="W307" s="63"/>
      <c r="X307" s="63"/>
      <c r="Y307" s="63"/>
      <c r="Z307" s="63"/>
    </row>
    <row r="308" spans="1:26" ht="17.25" customHeight="1" x14ac:dyDescent="0.2">
      <c r="A308" s="52">
        <v>1753</v>
      </c>
      <c r="B308" s="53" t="s">
        <v>29</v>
      </c>
      <c r="C308" s="53" t="s">
        <v>95</v>
      </c>
      <c r="D308" s="54">
        <v>351.37599999999998</v>
      </c>
      <c r="E308" s="62">
        <v>408</v>
      </c>
      <c r="F308" s="54">
        <f t="shared" si="24"/>
        <v>349.01704719999998</v>
      </c>
      <c r="G308" s="69">
        <v>25569.041962604166</v>
      </c>
      <c r="H308" s="69">
        <v>25569.041962604166</v>
      </c>
      <c r="I308" s="62">
        <v>6</v>
      </c>
      <c r="J308" s="62">
        <v>1346</v>
      </c>
      <c r="K308" s="57" t="s">
        <v>384</v>
      </c>
      <c r="L308" s="52">
        <v>15400</v>
      </c>
      <c r="M308" s="58">
        <f t="shared" si="23"/>
        <v>124.09673645990857</v>
      </c>
      <c r="N308" s="58">
        <v>732.57</v>
      </c>
      <c r="O308" s="60">
        <f t="shared" si="21"/>
        <v>21.021881867944359</v>
      </c>
      <c r="P308" s="60">
        <f t="shared" si="22"/>
        <v>0.16939915156218321</v>
      </c>
      <c r="Q308" s="63"/>
      <c r="R308" s="63"/>
      <c r="S308" s="63"/>
      <c r="T308" s="63"/>
      <c r="U308" s="63"/>
      <c r="V308" s="63"/>
      <c r="W308" s="63"/>
      <c r="X308" s="63"/>
      <c r="Y308" s="63"/>
      <c r="Z308" s="63"/>
    </row>
    <row r="309" spans="1:26" ht="17.25" customHeight="1" x14ac:dyDescent="0.2">
      <c r="A309" s="52">
        <v>1754</v>
      </c>
      <c r="B309" s="53" t="s">
        <v>29</v>
      </c>
      <c r="C309" s="53" t="s">
        <v>95</v>
      </c>
      <c r="D309" s="54">
        <v>348.36799999999999</v>
      </c>
      <c r="E309" s="62">
        <v>408</v>
      </c>
      <c r="F309" s="54">
        <f t="shared" si="24"/>
        <v>346.02920079999996</v>
      </c>
      <c r="G309" s="69">
        <v>25569.041962604166</v>
      </c>
      <c r="H309" s="69">
        <v>25569.041962604166</v>
      </c>
      <c r="I309" s="62">
        <v>6</v>
      </c>
      <c r="J309" s="62">
        <v>1060</v>
      </c>
      <c r="K309" s="57" t="s">
        <v>384</v>
      </c>
      <c r="L309" s="52">
        <v>13803</v>
      </c>
      <c r="M309" s="58">
        <f t="shared" si="23"/>
        <v>117.48616939878498</v>
      </c>
      <c r="N309" s="58">
        <v>582.01</v>
      </c>
      <c r="O309" s="60">
        <f t="shared" si="21"/>
        <v>23.716087352450987</v>
      </c>
      <c r="P309" s="60">
        <f t="shared" si="22"/>
        <v>0.20186280201162349</v>
      </c>
      <c r="Q309" s="63"/>
      <c r="R309" s="63"/>
      <c r="S309" s="63"/>
      <c r="T309" s="63"/>
      <c r="U309" s="63"/>
      <c r="V309" s="63"/>
      <c r="W309" s="63"/>
      <c r="X309" s="63"/>
      <c r="Y309" s="63"/>
      <c r="Z309" s="63"/>
    </row>
    <row r="310" spans="1:26" ht="17.25" customHeight="1" x14ac:dyDescent="0.2">
      <c r="A310" s="52">
        <v>1755</v>
      </c>
      <c r="B310" s="53" t="s">
        <v>29</v>
      </c>
      <c r="C310" s="53" t="s">
        <v>95</v>
      </c>
      <c r="D310" s="54">
        <v>349.375</v>
      </c>
      <c r="E310" s="62">
        <v>408</v>
      </c>
      <c r="F310" s="54">
        <f t="shared" si="24"/>
        <v>347.02945389999996</v>
      </c>
      <c r="G310" s="69">
        <v>25569.041962604166</v>
      </c>
      <c r="H310" s="69">
        <v>25569.041962604166</v>
      </c>
      <c r="I310" s="62">
        <v>6</v>
      </c>
      <c r="J310" s="62">
        <v>846</v>
      </c>
      <c r="K310" s="57" t="s">
        <v>384</v>
      </c>
      <c r="L310" s="52">
        <v>10870</v>
      </c>
      <c r="M310" s="58">
        <f t="shared" si="23"/>
        <v>104.25929215182693</v>
      </c>
      <c r="N310" s="58">
        <v>469.51</v>
      </c>
      <c r="O310" s="60">
        <f t="shared" si="21"/>
        <v>23.15179655385402</v>
      </c>
      <c r="P310" s="60">
        <f t="shared" si="22"/>
        <v>0.2220597903171965</v>
      </c>
      <c r="Q310" s="63"/>
      <c r="R310" s="63"/>
      <c r="S310" s="63"/>
      <c r="T310" s="63"/>
      <c r="U310" s="63"/>
      <c r="V310" s="63"/>
      <c r="W310" s="63"/>
      <c r="X310" s="63"/>
      <c r="Y310" s="63"/>
      <c r="Z310" s="63"/>
    </row>
    <row r="311" spans="1:26" ht="17.25" customHeight="1" x14ac:dyDescent="0.2">
      <c r="A311" s="52">
        <v>1756</v>
      </c>
      <c r="B311" s="53" t="s">
        <v>29</v>
      </c>
      <c r="C311" s="53" t="s">
        <v>95</v>
      </c>
      <c r="D311" s="54">
        <v>353.38299999999998</v>
      </c>
      <c r="E311" s="62">
        <v>408</v>
      </c>
      <c r="F311" s="54">
        <f t="shared" si="24"/>
        <v>351.01060029999996</v>
      </c>
      <c r="G311" s="69">
        <v>25569.041962604166</v>
      </c>
      <c r="H311" s="69">
        <v>25569.041962604166</v>
      </c>
      <c r="I311" s="62">
        <v>6</v>
      </c>
      <c r="J311" s="62">
        <v>1110</v>
      </c>
      <c r="K311" s="57" t="s">
        <v>384</v>
      </c>
      <c r="L311" s="52">
        <v>10305</v>
      </c>
      <c r="M311" s="58">
        <f t="shared" si="23"/>
        <v>101.51354589413178</v>
      </c>
      <c r="N311" s="58">
        <v>575.22</v>
      </c>
      <c r="O311" s="60">
        <f t="shared" si="21"/>
        <v>17.914884739751745</v>
      </c>
      <c r="P311" s="60">
        <f t="shared" si="22"/>
        <v>0.17647777527577582</v>
      </c>
      <c r="Q311" s="63"/>
      <c r="R311" s="63"/>
      <c r="S311" s="63"/>
      <c r="T311" s="63"/>
      <c r="U311" s="63"/>
      <c r="V311" s="63"/>
      <c r="W311" s="63"/>
      <c r="X311" s="63"/>
      <c r="Y311" s="63"/>
      <c r="Z311" s="63"/>
    </row>
    <row r="312" spans="1:26" ht="17.25" customHeight="1" x14ac:dyDescent="0.2">
      <c r="A312" s="52">
        <v>1757</v>
      </c>
      <c r="B312" s="53" t="s">
        <v>29</v>
      </c>
      <c r="C312" s="53" t="s">
        <v>95</v>
      </c>
      <c r="D312" s="54">
        <v>355.38400000000001</v>
      </c>
      <c r="E312" s="62">
        <v>408</v>
      </c>
      <c r="F312" s="54">
        <f t="shared" si="24"/>
        <v>352.99819359999998</v>
      </c>
      <c r="G312" s="69">
        <v>25569.041962604166</v>
      </c>
      <c r="H312" s="69">
        <v>25569.041962604166</v>
      </c>
      <c r="I312" s="62">
        <v>6</v>
      </c>
      <c r="J312" s="62">
        <v>860</v>
      </c>
      <c r="K312" s="57" t="s">
        <v>384</v>
      </c>
      <c r="L312" s="52">
        <v>6083</v>
      </c>
      <c r="M312" s="58">
        <f t="shared" si="23"/>
        <v>77.993589480161759</v>
      </c>
      <c r="N312" s="58">
        <v>458.75</v>
      </c>
      <c r="O312" s="60">
        <f t="shared" si="21"/>
        <v>13.259945504087193</v>
      </c>
      <c r="P312" s="60">
        <f t="shared" si="22"/>
        <v>0.17001327407119729</v>
      </c>
      <c r="Q312" s="63"/>
      <c r="R312" s="63"/>
      <c r="S312" s="63"/>
      <c r="T312" s="63"/>
      <c r="U312" s="63"/>
      <c r="V312" s="63"/>
      <c r="W312" s="63"/>
      <c r="X312" s="63"/>
      <c r="Y312" s="63"/>
      <c r="Z312" s="63"/>
    </row>
    <row r="313" spans="1:26" ht="17.25" customHeight="1" x14ac:dyDescent="0.2">
      <c r="A313" s="52">
        <v>1758</v>
      </c>
      <c r="B313" s="53" t="s">
        <v>29</v>
      </c>
      <c r="C313" s="53" t="s">
        <v>95</v>
      </c>
      <c r="D313" s="54">
        <v>357.39</v>
      </c>
      <c r="E313" s="62">
        <v>408</v>
      </c>
      <c r="F313" s="54">
        <f t="shared" si="24"/>
        <v>354.99075339999996</v>
      </c>
      <c r="G313" s="69">
        <v>25569.041962604166</v>
      </c>
      <c r="H313" s="69">
        <v>25569.041962604166</v>
      </c>
      <c r="I313" s="62">
        <v>6</v>
      </c>
      <c r="J313" s="62">
        <v>1044</v>
      </c>
      <c r="K313" s="57" t="s">
        <v>384</v>
      </c>
      <c r="L313" s="52">
        <v>5210</v>
      </c>
      <c r="M313" s="58">
        <f t="shared" si="23"/>
        <v>72.180329730474355</v>
      </c>
      <c r="N313" s="58">
        <v>554.97</v>
      </c>
      <c r="O313" s="60">
        <f t="shared" si="21"/>
        <v>9.3878948411625842</v>
      </c>
      <c r="P313" s="60">
        <f t="shared" si="22"/>
        <v>0.13006167852401815</v>
      </c>
      <c r="Q313" s="63"/>
      <c r="R313" s="63"/>
      <c r="S313" s="63"/>
      <c r="T313" s="63"/>
      <c r="U313" s="63"/>
      <c r="V313" s="63"/>
      <c r="W313" s="63"/>
      <c r="X313" s="63"/>
      <c r="Y313" s="63"/>
      <c r="Z313" s="63"/>
    </row>
    <row r="314" spans="1:26" ht="17.25" customHeight="1" x14ac:dyDescent="0.2">
      <c r="A314" s="52">
        <v>1759</v>
      </c>
      <c r="B314" s="53" t="s">
        <v>29</v>
      </c>
      <c r="C314" s="53" t="s">
        <v>95</v>
      </c>
      <c r="D314" s="54">
        <v>359.39</v>
      </c>
      <c r="E314" s="62">
        <v>408</v>
      </c>
      <c r="F314" s="54">
        <f t="shared" si="24"/>
        <v>356.97735339999997</v>
      </c>
      <c r="G314" s="69">
        <v>25569.041962604166</v>
      </c>
      <c r="H314" s="69">
        <v>25569.041962604166</v>
      </c>
      <c r="I314" s="62">
        <v>6</v>
      </c>
      <c r="J314" s="62">
        <v>874</v>
      </c>
      <c r="K314" s="57" t="s">
        <v>384</v>
      </c>
      <c r="L314" s="52">
        <v>2754</v>
      </c>
      <c r="M314" s="58">
        <f t="shared" si="23"/>
        <v>52.478567053607705</v>
      </c>
      <c r="N314" s="58">
        <v>442.67</v>
      </c>
      <c r="O314" s="60">
        <f t="shared" si="21"/>
        <v>6.2213386947387441</v>
      </c>
      <c r="P314" s="60">
        <f t="shared" si="22"/>
        <v>0.11855008709333748</v>
      </c>
      <c r="Q314" s="63"/>
      <c r="R314" s="63"/>
      <c r="S314" s="63"/>
      <c r="T314" s="63"/>
      <c r="U314" s="63"/>
      <c r="V314" s="63"/>
      <c r="W314" s="63"/>
      <c r="X314" s="63"/>
      <c r="Y314" s="63"/>
      <c r="Z314" s="63"/>
    </row>
    <row r="315" spans="1:26" ht="17.25" customHeight="1" x14ac:dyDescent="0.2">
      <c r="A315" s="52">
        <v>1760</v>
      </c>
      <c r="B315" s="53" t="s">
        <v>29</v>
      </c>
      <c r="C315" s="53" t="s">
        <v>95</v>
      </c>
      <c r="D315" s="54">
        <v>363.4</v>
      </c>
      <c r="E315" s="62">
        <v>408</v>
      </c>
      <c r="F315" s="54">
        <f t="shared" si="24"/>
        <v>360.96048639999998</v>
      </c>
      <c r="G315" s="69">
        <v>25569.041962604166</v>
      </c>
      <c r="H315" s="69">
        <v>25569.041962604166</v>
      </c>
      <c r="I315" s="62">
        <v>6</v>
      </c>
      <c r="J315" s="62">
        <v>807</v>
      </c>
      <c r="K315" s="57" t="s">
        <v>384</v>
      </c>
      <c r="L315" s="52">
        <v>1047</v>
      </c>
      <c r="M315" s="58">
        <f t="shared" si="23"/>
        <v>32.357379374726875</v>
      </c>
      <c r="N315" s="58">
        <v>402.78</v>
      </c>
      <c r="O315" s="60">
        <f t="shared" si="21"/>
        <v>2.5994339341576049</v>
      </c>
      <c r="P315" s="60">
        <f t="shared" si="22"/>
        <v>8.0335119357284074E-2</v>
      </c>
      <c r="Q315" s="63"/>
      <c r="R315" s="63"/>
      <c r="S315" s="63"/>
      <c r="T315" s="63"/>
      <c r="U315" s="63"/>
      <c r="V315" s="63"/>
      <c r="W315" s="63"/>
      <c r="X315" s="63"/>
      <c r="Y315" s="63"/>
      <c r="Z315" s="63"/>
    </row>
    <row r="316" spans="1:26" ht="17.25" customHeight="1" x14ac:dyDescent="0.2">
      <c r="A316" s="52">
        <v>1761</v>
      </c>
      <c r="B316" s="53" t="s">
        <v>29</v>
      </c>
      <c r="C316" s="53" t="s">
        <v>95</v>
      </c>
      <c r="D316" s="54">
        <v>367.40199999999999</v>
      </c>
      <c r="E316" s="62">
        <v>408</v>
      </c>
      <c r="F316" s="54">
        <f t="shared" si="24"/>
        <v>364.93567299999995</v>
      </c>
      <c r="G316" s="69">
        <v>25569.041962604166</v>
      </c>
      <c r="H316" s="69">
        <v>25569.041962604166</v>
      </c>
      <c r="I316" s="62">
        <v>6</v>
      </c>
      <c r="J316" s="62">
        <v>910</v>
      </c>
      <c r="K316" s="57" t="s">
        <v>384</v>
      </c>
      <c r="L316" s="52">
        <v>553</v>
      </c>
      <c r="M316" s="58">
        <f t="shared" si="23"/>
        <v>23.515952032609693</v>
      </c>
      <c r="N316" s="58">
        <v>484.32</v>
      </c>
      <c r="O316" s="60">
        <f t="shared" si="21"/>
        <v>1.1418070697059794</v>
      </c>
      <c r="P316" s="60">
        <f t="shared" si="22"/>
        <v>4.8554575554612019E-2</v>
      </c>
      <c r="Q316" s="63"/>
      <c r="R316" s="63"/>
      <c r="S316" s="63"/>
      <c r="T316" s="63"/>
      <c r="U316" s="63"/>
      <c r="V316" s="63"/>
      <c r="W316" s="63"/>
      <c r="X316" s="63"/>
      <c r="Y316" s="63"/>
      <c r="Z316" s="63"/>
    </row>
    <row r="317" spans="1:26" ht="17.25" customHeight="1" x14ac:dyDescent="0.2">
      <c r="A317" s="52">
        <v>1762</v>
      </c>
      <c r="B317" s="53" t="s">
        <v>29</v>
      </c>
      <c r="C317" s="53" t="s">
        <v>95</v>
      </c>
      <c r="D317" s="54">
        <v>261.12</v>
      </c>
      <c r="E317" s="62">
        <v>681</v>
      </c>
      <c r="F317" s="54">
        <f t="shared" si="24"/>
        <v>259.63693329999995</v>
      </c>
      <c r="G317" s="69">
        <v>25569.041962604166</v>
      </c>
      <c r="H317" s="69">
        <v>25569.041962604166</v>
      </c>
      <c r="I317" s="62">
        <v>23</v>
      </c>
      <c r="J317" s="62">
        <v>1615</v>
      </c>
      <c r="K317" s="57" t="s">
        <v>384</v>
      </c>
      <c r="L317" s="52">
        <v>1016</v>
      </c>
      <c r="M317" s="58">
        <f t="shared" si="23"/>
        <v>31.874754901018456</v>
      </c>
      <c r="N317" s="58">
        <v>3591.67</v>
      </c>
      <c r="O317" s="60">
        <f t="shared" si="21"/>
        <v>0.28287676763177017</v>
      </c>
      <c r="P317" s="60">
        <f t="shared" si="22"/>
        <v>8.8746334994636075E-3</v>
      </c>
      <c r="Q317" s="63" t="s">
        <v>401</v>
      </c>
      <c r="R317" s="63"/>
      <c r="S317" s="63"/>
      <c r="T317" s="63"/>
      <c r="U317" s="63"/>
      <c r="V317" s="63"/>
      <c r="W317" s="63"/>
      <c r="X317" s="63"/>
      <c r="Y317" s="63"/>
      <c r="Z317" s="63"/>
    </row>
    <row r="318" spans="1:26" ht="17.25" customHeight="1" x14ac:dyDescent="0.2">
      <c r="A318" s="52">
        <v>1763</v>
      </c>
      <c r="B318" s="53" t="s">
        <v>29</v>
      </c>
      <c r="C318" s="53" t="s">
        <v>95</v>
      </c>
      <c r="D318" s="54">
        <v>258.12</v>
      </c>
      <c r="E318" s="62">
        <v>681</v>
      </c>
      <c r="F318" s="54">
        <f t="shared" si="24"/>
        <v>256.65703329999997</v>
      </c>
      <c r="G318" s="69">
        <v>25569.041962604166</v>
      </c>
      <c r="H318" s="69">
        <v>25569.041962604166</v>
      </c>
      <c r="I318" s="62">
        <v>23</v>
      </c>
      <c r="J318" s="62">
        <v>1549</v>
      </c>
      <c r="K318" s="57" t="s">
        <v>384</v>
      </c>
      <c r="L318" s="52">
        <v>1031</v>
      </c>
      <c r="M318" s="58">
        <f t="shared" si="23"/>
        <v>32.109188716004645</v>
      </c>
      <c r="N318" s="58">
        <v>3480.06</v>
      </c>
      <c r="O318" s="60">
        <f t="shared" si="21"/>
        <v>0.29625925989781787</v>
      </c>
      <c r="P318" s="60">
        <f t="shared" si="22"/>
        <v>9.2266192870251226E-3</v>
      </c>
      <c r="Q318" s="63"/>
      <c r="R318" s="63"/>
      <c r="S318" s="63"/>
      <c r="T318" s="63"/>
      <c r="U318" s="63"/>
      <c r="V318" s="63"/>
      <c r="W318" s="63"/>
      <c r="X318" s="63"/>
      <c r="Y318" s="63"/>
      <c r="Z318" s="63"/>
    </row>
    <row r="319" spans="1:26" ht="17.25" customHeight="1" x14ac:dyDescent="0.2">
      <c r="A319" s="52">
        <v>1764</v>
      </c>
      <c r="B319" s="53" t="s">
        <v>29</v>
      </c>
      <c r="C319" s="53" t="s">
        <v>95</v>
      </c>
      <c r="D319" s="54">
        <v>254.12</v>
      </c>
      <c r="E319" s="62">
        <v>681</v>
      </c>
      <c r="F319" s="54">
        <f t="shared" si="24"/>
        <v>252.6838333</v>
      </c>
      <c r="G319" s="69">
        <v>25569.041962604166</v>
      </c>
      <c r="H319" s="69">
        <v>25569.041962604166</v>
      </c>
      <c r="I319" s="62">
        <v>24</v>
      </c>
      <c r="J319" s="62">
        <v>1279</v>
      </c>
      <c r="K319" s="57" t="s">
        <v>384</v>
      </c>
      <c r="L319" s="52">
        <v>1042</v>
      </c>
      <c r="M319" s="58">
        <f t="shared" si="23"/>
        <v>32.280024783137947</v>
      </c>
      <c r="N319" s="58">
        <v>2829.47</v>
      </c>
      <c r="O319" s="60">
        <f t="shared" si="21"/>
        <v>0.3682668485617448</v>
      </c>
      <c r="P319" s="60">
        <f t="shared" si="22"/>
        <v>1.1408505756603869E-2</v>
      </c>
      <c r="Q319" s="63"/>
      <c r="R319" s="63"/>
      <c r="S319" s="63"/>
      <c r="T319" s="63"/>
      <c r="U319" s="63"/>
      <c r="V319" s="63"/>
      <c r="W319" s="63"/>
      <c r="X319" s="63"/>
      <c r="Y319" s="63"/>
      <c r="Z319" s="63"/>
    </row>
    <row r="320" spans="1:26" ht="17.25" customHeight="1" x14ac:dyDescent="0.2">
      <c r="A320" s="52">
        <v>1765</v>
      </c>
      <c r="B320" s="53" t="s">
        <v>29</v>
      </c>
      <c r="C320" s="53" t="s">
        <v>95</v>
      </c>
      <c r="D320" s="54">
        <v>250.102</v>
      </c>
      <c r="E320" s="62">
        <v>681</v>
      </c>
      <c r="F320" s="54">
        <f t="shared" si="24"/>
        <v>248.69275390000001</v>
      </c>
      <c r="G320" s="69">
        <v>25569.041962604166</v>
      </c>
      <c r="H320" s="69">
        <v>25569.041962604166</v>
      </c>
      <c r="I320" s="62">
        <v>24</v>
      </c>
      <c r="J320" s="62">
        <v>912</v>
      </c>
      <c r="K320" s="57" t="s">
        <v>384</v>
      </c>
      <c r="L320" s="52">
        <v>1068</v>
      </c>
      <c r="M320" s="58">
        <f t="shared" si="23"/>
        <v>32.680269276736382</v>
      </c>
      <c r="N320" s="58">
        <v>2009.15</v>
      </c>
      <c r="O320" s="60">
        <f t="shared" si="21"/>
        <v>0.5315680760520618</v>
      </c>
      <c r="P320" s="60">
        <f t="shared" si="22"/>
        <v>1.6265718974061857E-2</v>
      </c>
      <c r="Q320" s="63"/>
      <c r="R320" s="63"/>
      <c r="S320" s="63"/>
      <c r="T320" s="63"/>
      <c r="U320" s="63"/>
      <c r="V320" s="63"/>
      <c r="W320" s="63"/>
      <c r="X320" s="63"/>
      <c r="Y320" s="63"/>
      <c r="Z320" s="63"/>
    </row>
    <row r="321" spans="1:26" ht="17.25" customHeight="1" x14ac:dyDescent="0.2">
      <c r="A321" s="52">
        <v>1766</v>
      </c>
      <c r="B321" s="53" t="s">
        <v>29</v>
      </c>
      <c r="C321" s="53" t="s">
        <v>95</v>
      </c>
      <c r="D321" s="54">
        <v>248.101</v>
      </c>
      <c r="E321" s="62">
        <v>681</v>
      </c>
      <c r="F321" s="54">
        <f t="shared" si="24"/>
        <v>246.7051606</v>
      </c>
      <c r="G321" s="69">
        <v>25569.041962604166</v>
      </c>
      <c r="H321" s="69">
        <v>25569.041962604166</v>
      </c>
      <c r="I321" s="62">
        <v>24</v>
      </c>
      <c r="J321" s="62">
        <v>770</v>
      </c>
      <c r="K321" s="57" t="s">
        <v>384</v>
      </c>
      <c r="L321" s="52">
        <v>1117</v>
      </c>
      <c r="M321" s="58">
        <f t="shared" si="23"/>
        <v>33.421549934136806</v>
      </c>
      <c r="N321" s="58">
        <v>1686.05</v>
      </c>
      <c r="O321" s="60">
        <f t="shared" si="21"/>
        <v>0.66249518104445304</v>
      </c>
      <c r="P321" s="60">
        <f t="shared" si="22"/>
        <v>1.982239550080769E-2</v>
      </c>
      <c r="Q321" s="63"/>
      <c r="R321" s="63"/>
      <c r="S321" s="63"/>
      <c r="T321" s="63"/>
      <c r="U321" s="63"/>
      <c r="V321" s="63"/>
      <c r="W321" s="63"/>
      <c r="X321" s="63"/>
      <c r="Y321" s="63"/>
      <c r="Z321" s="63"/>
    </row>
    <row r="322" spans="1:26" ht="17.25" customHeight="1" x14ac:dyDescent="0.2">
      <c r="A322" s="52">
        <v>1767</v>
      </c>
      <c r="B322" s="53" t="s">
        <v>29</v>
      </c>
      <c r="C322" s="53" t="s">
        <v>95</v>
      </c>
      <c r="D322" s="54">
        <v>246.09399999999999</v>
      </c>
      <c r="E322" s="62">
        <v>681</v>
      </c>
      <c r="F322" s="54">
        <f t="shared" si="24"/>
        <v>244.71160749999999</v>
      </c>
      <c r="G322" s="69">
        <v>25569.041962604166</v>
      </c>
      <c r="H322" s="69">
        <v>25569.041962604166</v>
      </c>
      <c r="I322" s="62">
        <v>24</v>
      </c>
      <c r="J322" s="62">
        <v>1175</v>
      </c>
      <c r="K322" s="57" t="s">
        <v>384</v>
      </c>
      <c r="L322" s="52">
        <v>2391</v>
      </c>
      <c r="M322" s="58">
        <f t="shared" si="23"/>
        <v>48.897852713590602</v>
      </c>
      <c r="N322" s="58">
        <v>2585.29</v>
      </c>
      <c r="O322" s="60">
        <f t="shared" si="21"/>
        <v>0.92484788940505713</v>
      </c>
      <c r="P322" s="60">
        <f t="shared" si="22"/>
        <v>1.8913875315183442E-2</v>
      </c>
      <c r="Q322" s="63"/>
      <c r="R322" s="63"/>
      <c r="S322" s="63"/>
      <c r="T322" s="63"/>
      <c r="U322" s="63"/>
      <c r="V322" s="63"/>
      <c r="W322" s="63"/>
      <c r="X322" s="63"/>
      <c r="Y322" s="63"/>
      <c r="Z322" s="63"/>
    </row>
    <row r="323" spans="1:26" ht="17.25" customHeight="1" x14ac:dyDescent="0.2">
      <c r="A323" s="52">
        <v>1768</v>
      </c>
      <c r="B323" s="53" t="s">
        <v>29</v>
      </c>
      <c r="C323" s="53" t="s">
        <v>95</v>
      </c>
      <c r="D323" s="54">
        <v>244.09299999999999</v>
      </c>
      <c r="E323" s="62">
        <v>681</v>
      </c>
      <c r="F323" s="54">
        <f t="shared" si="24"/>
        <v>242.7240142</v>
      </c>
      <c r="G323" s="69">
        <v>25569.041962604166</v>
      </c>
      <c r="H323" s="69">
        <v>25569.041962604166</v>
      </c>
      <c r="I323" s="62">
        <v>23</v>
      </c>
      <c r="J323" s="62">
        <v>1922</v>
      </c>
      <c r="K323" s="57" t="s">
        <v>384</v>
      </c>
      <c r="L323" s="52">
        <v>5324</v>
      </c>
      <c r="M323" s="58">
        <f t="shared" si="23"/>
        <v>72.965745387818799</v>
      </c>
      <c r="N323" s="58">
        <v>4352.37</v>
      </c>
      <c r="O323" s="60">
        <f t="shared" si="21"/>
        <v>1.2232415902140672</v>
      </c>
      <c r="P323" s="60">
        <f t="shared" si="22"/>
        <v>1.6764600754949326E-2</v>
      </c>
      <c r="Q323" s="63"/>
      <c r="R323" s="63"/>
      <c r="S323" s="63"/>
      <c r="T323" s="63"/>
      <c r="U323" s="63"/>
      <c r="V323" s="63"/>
      <c r="W323" s="63"/>
      <c r="X323" s="63"/>
      <c r="Y323" s="63"/>
      <c r="Z323" s="63"/>
    </row>
    <row r="324" spans="1:26" ht="17.25" customHeight="1" x14ac:dyDescent="0.2">
      <c r="A324" s="52">
        <v>1769</v>
      </c>
      <c r="B324" s="53" t="s">
        <v>29</v>
      </c>
      <c r="C324" s="53" t="s">
        <v>95</v>
      </c>
      <c r="D324" s="54">
        <v>242.09200000000001</v>
      </c>
      <c r="E324" s="62">
        <v>681</v>
      </c>
      <c r="F324" s="54">
        <f t="shared" si="24"/>
        <v>240.73642090000001</v>
      </c>
      <c r="G324" s="69">
        <v>25569.041962604166</v>
      </c>
      <c r="H324" s="69">
        <v>25569.041962604166</v>
      </c>
      <c r="I324" s="62">
        <v>23</v>
      </c>
      <c r="J324" s="62">
        <v>1485</v>
      </c>
      <c r="K324" s="57" t="s">
        <v>384</v>
      </c>
      <c r="L324" s="52">
        <v>5152</v>
      </c>
      <c r="M324" s="58">
        <f t="shared" si="23"/>
        <v>71.777433779705447</v>
      </c>
      <c r="N324" s="58">
        <v>3249.35</v>
      </c>
      <c r="O324" s="60">
        <f t="shared" si="21"/>
        <v>1.5855478788065305</v>
      </c>
      <c r="P324" s="60">
        <f t="shared" si="22"/>
        <v>2.2089782196348638E-2</v>
      </c>
      <c r="Q324" s="63"/>
      <c r="R324" s="63"/>
      <c r="S324" s="63"/>
      <c r="T324" s="63"/>
      <c r="U324" s="63"/>
      <c r="V324" s="63"/>
      <c r="W324" s="63"/>
      <c r="X324" s="63"/>
      <c r="Y324" s="63"/>
      <c r="Z324" s="63"/>
    </row>
    <row r="325" spans="1:26" ht="17.25" customHeight="1" x14ac:dyDescent="0.2">
      <c r="A325" s="52">
        <v>1770</v>
      </c>
      <c r="B325" s="53" t="s">
        <v>29</v>
      </c>
      <c r="C325" s="53" t="s">
        <v>95</v>
      </c>
      <c r="D325" s="54">
        <v>240.08500000000001</v>
      </c>
      <c r="E325" s="62">
        <v>681</v>
      </c>
      <c r="F325" s="54">
        <f t="shared" si="24"/>
        <v>238.74286780000003</v>
      </c>
      <c r="G325" s="69">
        <v>25569.041962604166</v>
      </c>
      <c r="H325" s="69">
        <v>25569.041962604166</v>
      </c>
      <c r="I325" s="62">
        <v>24</v>
      </c>
      <c r="J325" s="62">
        <v>1317</v>
      </c>
      <c r="K325" s="57" t="s">
        <v>384</v>
      </c>
      <c r="L325" s="52">
        <v>5980</v>
      </c>
      <c r="M325" s="58">
        <f t="shared" si="23"/>
        <v>77.330459716724818</v>
      </c>
      <c r="N325" s="58">
        <v>2955.49</v>
      </c>
      <c r="O325" s="60">
        <f t="shared" si="21"/>
        <v>2.02335314956234</v>
      </c>
      <c r="P325" s="60">
        <f t="shared" si="22"/>
        <v>2.6165021609521541E-2</v>
      </c>
      <c r="Q325" s="63"/>
      <c r="R325" s="63"/>
      <c r="S325" s="63"/>
      <c r="T325" s="63"/>
      <c r="U325" s="63"/>
      <c r="V325" s="63"/>
      <c r="W325" s="63"/>
      <c r="X325" s="63"/>
      <c r="Y325" s="63"/>
      <c r="Z325" s="63"/>
    </row>
    <row r="326" spans="1:26" ht="17.25" customHeight="1" x14ac:dyDescent="0.2">
      <c r="A326" s="52">
        <v>1771</v>
      </c>
      <c r="B326" s="53" t="s">
        <v>29</v>
      </c>
      <c r="C326" s="53" t="s">
        <v>95</v>
      </c>
      <c r="D326" s="54">
        <v>238.077</v>
      </c>
      <c r="E326" s="62">
        <v>681</v>
      </c>
      <c r="F326" s="54">
        <f t="shared" si="24"/>
        <v>236.74832140000001</v>
      </c>
      <c r="G326" s="69">
        <v>25569.041962604166</v>
      </c>
      <c r="H326" s="69">
        <v>25569.041962604166</v>
      </c>
      <c r="I326" s="62">
        <v>24</v>
      </c>
      <c r="J326" s="62">
        <v>1142</v>
      </c>
      <c r="K326" s="57" t="s">
        <v>384</v>
      </c>
      <c r="L326" s="52">
        <v>6067</v>
      </c>
      <c r="M326" s="58">
        <f t="shared" si="23"/>
        <v>77.890949410056621</v>
      </c>
      <c r="N326" s="58">
        <v>2516.1</v>
      </c>
      <c r="O326" s="60">
        <f t="shared" si="21"/>
        <v>2.411271412106037</v>
      </c>
      <c r="P326" s="60">
        <f t="shared" si="22"/>
        <v>3.0957016577265063E-2</v>
      </c>
      <c r="Q326" s="63"/>
      <c r="R326" s="63"/>
      <c r="S326" s="63"/>
      <c r="T326" s="63"/>
      <c r="U326" s="63"/>
      <c r="V326" s="63"/>
      <c r="W326" s="63"/>
      <c r="X326" s="63"/>
      <c r="Y326" s="63"/>
      <c r="Z326" s="63"/>
    </row>
    <row r="327" spans="1:26" ht="17.25" customHeight="1" x14ac:dyDescent="0.2">
      <c r="A327" s="52">
        <v>1772</v>
      </c>
      <c r="B327" s="53" t="s">
        <v>29</v>
      </c>
      <c r="C327" s="53" t="s">
        <v>95</v>
      </c>
      <c r="D327" s="54">
        <v>236.077</v>
      </c>
      <c r="E327" s="62">
        <v>681</v>
      </c>
      <c r="F327" s="54">
        <f t="shared" si="24"/>
        <v>234.7617214</v>
      </c>
      <c r="G327" s="69">
        <v>25569.041962604166</v>
      </c>
      <c r="H327" s="69">
        <v>25569.041962604166</v>
      </c>
      <c r="I327" s="62">
        <v>24</v>
      </c>
      <c r="J327" s="62">
        <v>1147</v>
      </c>
      <c r="K327" s="57" t="s">
        <v>384</v>
      </c>
      <c r="L327" s="52">
        <v>7639</v>
      </c>
      <c r="M327" s="58">
        <f t="shared" si="23"/>
        <v>87.401372986927385</v>
      </c>
      <c r="N327" s="58">
        <v>2552.92</v>
      </c>
      <c r="O327" s="60">
        <f t="shared" ref="O327:O390" si="25">L327/N327</f>
        <v>2.9922598436300394</v>
      </c>
      <c r="P327" s="60">
        <f t="shared" ref="P327:P390" si="26">M327/N327</f>
        <v>3.4235844831380292E-2</v>
      </c>
      <c r="Q327" s="63"/>
      <c r="R327" s="63"/>
      <c r="S327" s="63"/>
      <c r="T327" s="63"/>
      <c r="U327" s="63"/>
      <c r="V327" s="63"/>
      <c r="W327" s="63"/>
      <c r="X327" s="63"/>
      <c r="Y327" s="63"/>
      <c r="Z327" s="63"/>
    </row>
    <row r="328" spans="1:26" ht="17.25" customHeight="1" x14ac:dyDescent="0.2">
      <c r="A328" s="52">
        <v>1773</v>
      </c>
      <c r="B328" s="53" t="s">
        <v>29</v>
      </c>
      <c r="C328" s="53" t="s">
        <v>95</v>
      </c>
      <c r="D328" s="54">
        <v>234.06899999999999</v>
      </c>
      <c r="E328" s="62">
        <v>681</v>
      </c>
      <c r="F328" s="54">
        <f t="shared" si="24"/>
        <v>232.76717499999998</v>
      </c>
      <c r="G328" s="69">
        <v>25569.041962604166</v>
      </c>
      <c r="H328" s="69">
        <v>25569.041962604166</v>
      </c>
      <c r="I328" s="62">
        <v>24</v>
      </c>
      <c r="J328" s="62">
        <v>837</v>
      </c>
      <c r="K328" s="57" t="s">
        <v>384</v>
      </c>
      <c r="L328" s="52">
        <v>6184</v>
      </c>
      <c r="M328" s="58">
        <f t="shared" si="23"/>
        <v>78.638413005350003</v>
      </c>
      <c r="N328" s="58">
        <v>1829.34</v>
      </c>
      <c r="O328" s="60">
        <f t="shared" si="25"/>
        <v>3.3804541528638747</v>
      </c>
      <c r="P328" s="60">
        <f t="shared" si="26"/>
        <v>4.2987314006882264E-2</v>
      </c>
      <c r="Q328" s="63"/>
      <c r="R328" s="63"/>
      <c r="S328" s="63"/>
      <c r="T328" s="63"/>
      <c r="U328" s="63"/>
      <c r="V328" s="63"/>
      <c r="W328" s="63"/>
      <c r="X328" s="63"/>
      <c r="Y328" s="63"/>
      <c r="Z328" s="63"/>
    </row>
    <row r="329" spans="1:26" ht="17.25" customHeight="1" x14ac:dyDescent="0.2">
      <c r="A329" s="52">
        <v>1774</v>
      </c>
      <c r="B329" s="53" t="s">
        <v>29</v>
      </c>
      <c r="C329" s="53" t="s">
        <v>95</v>
      </c>
      <c r="D329" s="54">
        <v>232.06200000000001</v>
      </c>
      <c r="E329" s="62">
        <v>681</v>
      </c>
      <c r="F329" s="54">
        <f t="shared" si="24"/>
        <v>230.77362190000002</v>
      </c>
      <c r="G329" s="69">
        <v>25569.041962604166</v>
      </c>
      <c r="H329" s="69">
        <v>25569.041962604166</v>
      </c>
      <c r="I329" s="62">
        <v>23</v>
      </c>
      <c r="J329" s="62">
        <v>759</v>
      </c>
      <c r="K329" s="57" t="s">
        <v>384</v>
      </c>
      <c r="L329" s="52">
        <v>5324</v>
      </c>
      <c r="M329" s="58">
        <f t="shared" si="23"/>
        <v>72.965745387818799</v>
      </c>
      <c r="N329" s="58">
        <v>1535.66</v>
      </c>
      <c r="O329" s="60">
        <f t="shared" si="25"/>
        <v>3.4669132490264771</v>
      </c>
      <c r="P329" s="60">
        <f t="shared" si="26"/>
        <v>4.7514257965838011E-2</v>
      </c>
      <c r="Q329" s="63"/>
      <c r="R329" s="63"/>
      <c r="S329" s="63"/>
      <c r="T329" s="63"/>
      <c r="U329" s="63"/>
      <c r="V329" s="63"/>
      <c r="W329" s="63"/>
      <c r="X329" s="63"/>
      <c r="Y329" s="63"/>
      <c r="Z329" s="63"/>
    </row>
    <row r="330" spans="1:26" ht="17.25" customHeight="1" x14ac:dyDescent="0.2">
      <c r="A330" s="52">
        <v>1775</v>
      </c>
      <c r="B330" s="53" t="s">
        <v>29</v>
      </c>
      <c r="C330" s="53" t="s">
        <v>95</v>
      </c>
      <c r="D330" s="54">
        <v>230.047</v>
      </c>
      <c r="E330" s="62">
        <v>681</v>
      </c>
      <c r="F330" s="54">
        <f t="shared" si="24"/>
        <v>228.7721224</v>
      </c>
      <c r="G330" s="69">
        <v>25569.041962604166</v>
      </c>
      <c r="H330" s="69">
        <v>25569.041962604166</v>
      </c>
      <c r="I330" s="62">
        <v>24</v>
      </c>
      <c r="J330" s="62">
        <v>888</v>
      </c>
      <c r="K330" s="57" t="s">
        <v>384</v>
      </c>
      <c r="L330" s="52">
        <v>6716</v>
      </c>
      <c r="M330" s="58">
        <f t="shared" si="23"/>
        <v>81.951204994191514</v>
      </c>
      <c r="N330" s="58">
        <v>1994.9</v>
      </c>
      <c r="O330" s="60">
        <f t="shared" si="25"/>
        <v>3.3665847912176048</v>
      </c>
      <c r="P330" s="60">
        <f t="shared" si="26"/>
        <v>4.1080357408487395E-2</v>
      </c>
      <c r="Q330" s="63"/>
      <c r="R330" s="63"/>
      <c r="S330" s="63"/>
      <c r="T330" s="63"/>
      <c r="U330" s="63"/>
      <c r="V330" s="63"/>
      <c r="W330" s="63"/>
      <c r="X330" s="63"/>
      <c r="Y330" s="63"/>
      <c r="Z330" s="63"/>
    </row>
    <row r="331" spans="1:26" ht="17.25" customHeight="1" x14ac:dyDescent="0.2">
      <c r="A331" s="52">
        <v>1776</v>
      </c>
      <c r="B331" s="53" t="s">
        <v>29</v>
      </c>
      <c r="C331" s="53" t="s">
        <v>95</v>
      </c>
      <c r="D331" s="54">
        <v>228.047</v>
      </c>
      <c r="E331" s="62">
        <v>681</v>
      </c>
      <c r="F331" s="54">
        <f t="shared" si="24"/>
        <v>226.78552239999999</v>
      </c>
      <c r="G331" s="69">
        <v>25569.041962604166</v>
      </c>
      <c r="H331" s="69">
        <v>25569.041962604166</v>
      </c>
      <c r="I331" s="62">
        <v>24</v>
      </c>
      <c r="J331" s="62">
        <v>875</v>
      </c>
      <c r="K331" s="57" t="s">
        <v>384</v>
      </c>
      <c r="L331" s="52">
        <v>5415</v>
      </c>
      <c r="M331" s="58">
        <f t="shared" si="23"/>
        <v>73.586683577940917</v>
      </c>
      <c r="N331" s="58">
        <v>1939.91</v>
      </c>
      <c r="O331" s="60">
        <f t="shared" si="25"/>
        <v>2.7913666097911758</v>
      </c>
      <c r="P331" s="60">
        <f t="shared" si="26"/>
        <v>3.7933039975019928E-2</v>
      </c>
      <c r="Q331" s="63"/>
      <c r="R331" s="63"/>
      <c r="S331" s="63"/>
      <c r="T331" s="63"/>
      <c r="U331" s="63"/>
      <c r="V331" s="63"/>
      <c r="W331" s="63"/>
      <c r="X331" s="63"/>
      <c r="Y331" s="63"/>
      <c r="Z331" s="63"/>
    </row>
    <row r="332" spans="1:26" ht="17.25" customHeight="1" x14ac:dyDescent="0.2">
      <c r="A332" s="52">
        <v>1777</v>
      </c>
      <c r="B332" s="53" t="s">
        <v>29</v>
      </c>
      <c r="C332" s="53" t="s">
        <v>95</v>
      </c>
      <c r="D332" s="54">
        <v>227.04</v>
      </c>
      <c r="E332" s="62">
        <v>681</v>
      </c>
      <c r="F332" s="54">
        <f t="shared" si="24"/>
        <v>225.78526930000001</v>
      </c>
      <c r="G332" s="69">
        <v>25569.041962604166</v>
      </c>
      <c r="H332" s="69">
        <v>25569.041962604166</v>
      </c>
      <c r="I332" s="62">
        <v>24</v>
      </c>
      <c r="J332" s="62">
        <v>1106</v>
      </c>
      <c r="K332" s="57" t="s">
        <v>384</v>
      </c>
      <c r="L332" s="52">
        <v>5276</v>
      </c>
      <c r="M332" s="58">
        <f t="shared" si="23"/>
        <v>72.636079189339512</v>
      </c>
      <c r="N332" s="58">
        <v>2526.69</v>
      </c>
      <c r="O332" s="60">
        <f t="shared" si="25"/>
        <v>2.0881073657631131</v>
      </c>
      <c r="P332" s="60">
        <f t="shared" si="26"/>
        <v>2.8747523118918233E-2</v>
      </c>
      <c r="Q332" s="63"/>
      <c r="R332" s="63"/>
      <c r="S332" s="63"/>
      <c r="T332" s="63"/>
      <c r="U332" s="63"/>
      <c r="V332" s="63"/>
      <c r="W332" s="63"/>
      <c r="X332" s="63"/>
      <c r="Y332" s="63"/>
      <c r="Z332" s="63"/>
    </row>
    <row r="333" spans="1:26" ht="17.25" customHeight="1" x14ac:dyDescent="0.2">
      <c r="A333" s="52">
        <v>1778</v>
      </c>
      <c r="B333" s="53" t="s">
        <v>29</v>
      </c>
      <c r="C333" s="53" t="s">
        <v>95</v>
      </c>
      <c r="D333" s="54">
        <v>226.03899999999999</v>
      </c>
      <c r="E333" s="62">
        <v>681</v>
      </c>
      <c r="F333" s="54">
        <f t="shared" si="24"/>
        <v>224.790976</v>
      </c>
      <c r="G333" s="69">
        <v>25569.041962604166</v>
      </c>
      <c r="H333" s="69">
        <v>25569.041962604166</v>
      </c>
      <c r="I333" s="62">
        <v>24</v>
      </c>
      <c r="J333" s="62">
        <v>1006</v>
      </c>
      <c r="K333" s="57" t="s">
        <v>384</v>
      </c>
      <c r="L333" s="52">
        <v>2580</v>
      </c>
      <c r="M333" s="58">
        <f t="shared" si="23"/>
        <v>50.793700396801178</v>
      </c>
      <c r="N333" s="58">
        <v>2268.46</v>
      </c>
      <c r="O333" s="60">
        <f t="shared" si="25"/>
        <v>1.1373354610616895</v>
      </c>
      <c r="P333" s="60">
        <f t="shared" si="26"/>
        <v>2.2391270023188057E-2</v>
      </c>
      <c r="Q333" s="63"/>
      <c r="R333" s="63"/>
      <c r="S333" s="63"/>
      <c r="T333" s="63"/>
      <c r="U333" s="63"/>
      <c r="V333" s="63"/>
      <c r="W333" s="63"/>
      <c r="X333" s="63"/>
      <c r="Y333" s="63"/>
      <c r="Z333" s="63"/>
    </row>
    <row r="334" spans="1:26" ht="17.25" customHeight="1" x14ac:dyDescent="0.2">
      <c r="A334" s="52">
        <v>1779</v>
      </c>
      <c r="B334" s="53" t="s">
        <v>29</v>
      </c>
      <c r="C334" s="53" t="s">
        <v>95</v>
      </c>
      <c r="D334" s="54">
        <v>225.03200000000001</v>
      </c>
      <c r="E334" s="62">
        <v>681</v>
      </c>
      <c r="F334" s="54">
        <f t="shared" si="24"/>
        <v>223.79072290000002</v>
      </c>
      <c r="G334" s="69">
        <v>25569.041962604166</v>
      </c>
      <c r="H334" s="69">
        <v>25569.041962604166</v>
      </c>
      <c r="I334" s="62">
        <v>24</v>
      </c>
      <c r="J334" s="62">
        <v>1550</v>
      </c>
      <c r="K334" s="57" t="s">
        <v>384</v>
      </c>
      <c r="L334" s="52">
        <v>1259</v>
      </c>
      <c r="M334" s="58">
        <f t="shared" si="23"/>
        <v>35.482389998420345</v>
      </c>
      <c r="N334" s="58">
        <v>3551.24</v>
      </c>
      <c r="O334" s="60">
        <f t="shared" si="25"/>
        <v>0.35452405357002065</v>
      </c>
      <c r="P334" s="60">
        <f t="shared" si="26"/>
        <v>9.9915494301765998E-3</v>
      </c>
      <c r="Q334" s="63"/>
      <c r="R334" s="63"/>
      <c r="S334" s="63"/>
      <c r="T334" s="63"/>
      <c r="U334" s="63"/>
      <c r="V334" s="63"/>
      <c r="W334" s="63"/>
      <c r="X334" s="63"/>
      <c r="Y334" s="63"/>
      <c r="Z334" s="63"/>
    </row>
    <row r="335" spans="1:26" ht="17.25" customHeight="1" x14ac:dyDescent="0.2">
      <c r="A335" s="52">
        <v>1780</v>
      </c>
      <c r="B335" s="53" t="s">
        <v>29</v>
      </c>
      <c r="C335" s="53" t="s">
        <v>95</v>
      </c>
      <c r="D335" s="54">
        <v>223.02500000000001</v>
      </c>
      <c r="E335" s="62">
        <v>681</v>
      </c>
      <c r="F335" s="54">
        <f t="shared" si="24"/>
        <v>221.79716980000001</v>
      </c>
      <c r="G335" s="69">
        <v>25569.041962604166</v>
      </c>
      <c r="H335" s="69">
        <v>25569.041962604166</v>
      </c>
      <c r="I335" s="62">
        <v>23</v>
      </c>
      <c r="J335" s="62">
        <v>1147</v>
      </c>
      <c r="K335" s="57" t="s">
        <v>384</v>
      </c>
      <c r="L335" s="52">
        <v>325</v>
      </c>
      <c r="M335" s="58">
        <f t="shared" si="23"/>
        <v>18.027756377319946</v>
      </c>
      <c r="N335" s="58">
        <v>2556.5300000000002</v>
      </c>
      <c r="O335" s="60">
        <f t="shared" si="25"/>
        <v>0.12712543956065447</v>
      </c>
      <c r="P335" s="60">
        <f t="shared" si="26"/>
        <v>7.0516506269513541E-3</v>
      </c>
      <c r="Q335" s="63"/>
      <c r="R335" s="63"/>
      <c r="S335" s="63"/>
      <c r="T335" s="63"/>
      <c r="U335" s="63"/>
      <c r="V335" s="63"/>
      <c r="W335" s="63"/>
      <c r="X335" s="63"/>
      <c r="Y335" s="63"/>
      <c r="Z335" s="63"/>
    </row>
    <row r="336" spans="1:26" ht="17.25" customHeight="1" x14ac:dyDescent="0.2">
      <c r="A336" s="52">
        <v>1781</v>
      </c>
      <c r="B336" s="53" t="s">
        <v>29</v>
      </c>
      <c r="C336" s="53" t="s">
        <v>95</v>
      </c>
      <c r="D336" s="54">
        <v>221.017</v>
      </c>
      <c r="E336" s="62">
        <v>681</v>
      </c>
      <c r="F336" s="54">
        <f t="shared" si="24"/>
        <v>219.80262340000002</v>
      </c>
      <c r="G336" s="69">
        <v>25569.041962604166</v>
      </c>
      <c r="H336" s="69">
        <v>25569.041962604166</v>
      </c>
      <c r="I336" s="62">
        <v>24</v>
      </c>
      <c r="J336" s="62">
        <v>1394</v>
      </c>
      <c r="K336" s="57" t="s">
        <v>384</v>
      </c>
      <c r="L336" s="52">
        <v>256</v>
      </c>
      <c r="M336" s="58">
        <f t="shared" si="23"/>
        <v>16</v>
      </c>
      <c r="N336" s="58">
        <v>3184.86</v>
      </c>
      <c r="O336" s="60">
        <f t="shared" si="25"/>
        <v>8.038029929102064E-2</v>
      </c>
      <c r="P336" s="60">
        <f t="shared" si="26"/>
        <v>5.02376870568879E-3</v>
      </c>
      <c r="Q336" s="63"/>
      <c r="R336" s="63"/>
      <c r="S336" s="63"/>
      <c r="T336" s="63"/>
      <c r="U336" s="63"/>
      <c r="V336" s="63"/>
      <c r="W336" s="63"/>
      <c r="X336" s="63"/>
      <c r="Y336" s="63"/>
      <c r="Z336" s="63"/>
    </row>
    <row r="337" spans="1:26" ht="17.25" customHeight="1" x14ac:dyDescent="0.2">
      <c r="A337" s="52">
        <v>1782</v>
      </c>
      <c r="B337" s="53" t="s">
        <v>29</v>
      </c>
      <c r="C337" s="53" t="s">
        <v>95</v>
      </c>
      <c r="D337" s="54">
        <v>219.01599999999999</v>
      </c>
      <c r="E337" s="62">
        <v>681</v>
      </c>
      <c r="F337" s="54">
        <f t="shared" si="24"/>
        <v>217.8150301</v>
      </c>
      <c r="G337" s="69">
        <v>25569.041962604166</v>
      </c>
      <c r="H337" s="69">
        <v>25569.041962604166</v>
      </c>
      <c r="I337" s="62">
        <v>23</v>
      </c>
      <c r="J337" s="62">
        <v>1486</v>
      </c>
      <c r="K337" s="57" t="s">
        <v>384</v>
      </c>
      <c r="L337" s="52">
        <v>200</v>
      </c>
      <c r="M337" s="58">
        <f t="shared" si="23"/>
        <v>14.142135623730951</v>
      </c>
      <c r="N337" s="58">
        <v>3352.1</v>
      </c>
      <c r="O337" s="60">
        <f t="shared" si="25"/>
        <v>5.9664091166731305E-2</v>
      </c>
      <c r="P337" s="60">
        <f t="shared" si="26"/>
        <v>4.2188883457328101E-3</v>
      </c>
      <c r="Q337" s="63"/>
      <c r="R337" s="63"/>
      <c r="S337" s="63"/>
      <c r="T337" s="63"/>
      <c r="U337" s="63"/>
      <c r="V337" s="63"/>
      <c r="W337" s="63"/>
      <c r="X337" s="63"/>
      <c r="Y337" s="63"/>
      <c r="Z337" s="63"/>
    </row>
    <row r="338" spans="1:26" ht="17.25" customHeight="1" x14ac:dyDescent="0.2">
      <c r="A338" s="52">
        <v>1783</v>
      </c>
      <c r="B338" s="53" t="s">
        <v>385</v>
      </c>
      <c r="C338" s="53" t="s">
        <v>95</v>
      </c>
      <c r="D338" s="54">
        <v>246.38300000000001</v>
      </c>
      <c r="E338" s="62">
        <v>681</v>
      </c>
      <c r="F338" s="54">
        <f t="shared" si="24"/>
        <v>244.99867120000002</v>
      </c>
      <c r="G338" s="69">
        <v>25569.041962604166</v>
      </c>
      <c r="H338" s="69">
        <v>25569.041962604166</v>
      </c>
      <c r="I338" s="62">
        <v>25</v>
      </c>
      <c r="J338" s="62">
        <v>18855</v>
      </c>
      <c r="K338" s="57" t="s">
        <v>384</v>
      </c>
      <c r="L338" s="52">
        <v>41840</v>
      </c>
      <c r="M338" s="58">
        <f t="shared" si="23"/>
        <v>204.54828280872954</v>
      </c>
      <c r="N338" s="58">
        <v>46663.24</v>
      </c>
      <c r="O338" s="60">
        <f t="shared" si="25"/>
        <v>0.89663726736506089</v>
      </c>
      <c r="P338" s="60">
        <f t="shared" si="26"/>
        <v>4.3834993628545631E-3</v>
      </c>
      <c r="Q338" s="63"/>
      <c r="R338" s="63"/>
      <c r="S338" s="63"/>
      <c r="T338" s="63"/>
      <c r="U338" s="63"/>
      <c r="V338" s="63"/>
      <c r="W338" s="63"/>
      <c r="X338" s="63"/>
      <c r="Y338" s="63"/>
      <c r="Z338" s="63"/>
    </row>
    <row r="339" spans="1:26" ht="17.25" customHeight="1" x14ac:dyDescent="0.2">
      <c r="A339" s="52">
        <v>1784</v>
      </c>
      <c r="B339" s="53" t="s">
        <v>157</v>
      </c>
      <c r="C339" s="53" t="s">
        <v>95</v>
      </c>
      <c r="D339" s="54">
        <v>237.245</v>
      </c>
      <c r="E339" s="62">
        <v>2761</v>
      </c>
      <c r="F339" s="54">
        <f t="shared" si="24"/>
        <v>237.9879598</v>
      </c>
      <c r="G339" s="69">
        <v>25569.041962604166</v>
      </c>
      <c r="H339" s="69">
        <v>25569.041962604166</v>
      </c>
      <c r="I339" s="62">
        <v>333</v>
      </c>
      <c r="J339" s="62">
        <v>156043</v>
      </c>
      <c r="K339" s="57" t="s">
        <v>384</v>
      </c>
      <c r="L339" s="52">
        <v>11301263</v>
      </c>
      <c r="M339" s="58">
        <f t="shared" si="23"/>
        <v>3361.7351174653841</v>
      </c>
      <c r="N339" s="58">
        <v>5113193.22</v>
      </c>
      <c r="O339" s="60">
        <f t="shared" si="25"/>
        <v>2.2102163000208312</v>
      </c>
      <c r="P339" s="60">
        <f t="shared" si="26"/>
        <v>6.5746295374016479E-4</v>
      </c>
      <c r="Q339" s="63"/>
      <c r="R339" s="63"/>
      <c r="S339" s="63"/>
      <c r="T339" s="63"/>
      <c r="U339" s="63"/>
      <c r="V339" s="63"/>
      <c r="W339" s="63"/>
      <c r="X339" s="63"/>
      <c r="Y339" s="63"/>
      <c r="Z339" s="63"/>
    </row>
    <row r="340" spans="1:26" ht="17.25" customHeight="1" x14ac:dyDescent="0.2">
      <c r="A340" s="52">
        <v>1785</v>
      </c>
      <c r="B340" s="53" t="s">
        <v>157</v>
      </c>
      <c r="C340" s="53" t="s">
        <v>95</v>
      </c>
      <c r="D340" s="54">
        <v>230.22900000000001</v>
      </c>
      <c r="E340" s="62">
        <v>2761</v>
      </c>
      <c r="F340" s="54">
        <f t="shared" si="24"/>
        <v>231.018967</v>
      </c>
      <c r="G340" s="69">
        <v>25569.041962604166</v>
      </c>
      <c r="H340" s="69">
        <v>25569.041962604166</v>
      </c>
      <c r="I340" s="59" t="s">
        <v>402</v>
      </c>
      <c r="J340" s="62">
        <v>565441</v>
      </c>
      <c r="K340" s="57" t="s">
        <v>384</v>
      </c>
      <c r="L340" s="52">
        <v>48042481</v>
      </c>
      <c r="M340" s="58">
        <f t="shared" si="23"/>
        <v>6931.2683543490075</v>
      </c>
      <c r="N340" s="58">
        <v>13060072.645</v>
      </c>
      <c r="O340" s="60">
        <f t="shared" si="25"/>
        <v>3.6785768583295657</v>
      </c>
      <c r="P340" s="60">
        <f t="shared" si="26"/>
        <v>5.3072203675701742E-4</v>
      </c>
      <c r="Q340" s="63" t="s">
        <v>403</v>
      </c>
      <c r="R340" s="63"/>
      <c r="S340" s="63"/>
      <c r="T340" s="63"/>
      <c r="U340" s="63"/>
      <c r="V340" s="63"/>
      <c r="W340" s="63"/>
      <c r="X340" s="63"/>
      <c r="Y340" s="63"/>
      <c r="Z340" s="63"/>
    </row>
    <row r="341" spans="1:26" ht="17.25" customHeight="1" x14ac:dyDescent="0.2">
      <c r="A341" s="52">
        <v>1786</v>
      </c>
      <c r="B341" s="53" t="s">
        <v>30</v>
      </c>
      <c r="C341" s="53" t="s">
        <v>95</v>
      </c>
      <c r="D341" s="54">
        <v>260.11900000000003</v>
      </c>
      <c r="E341" s="62">
        <v>687</v>
      </c>
      <c r="F341" s="54">
        <f t="shared" si="24"/>
        <v>258.6485998</v>
      </c>
      <c r="G341" s="69">
        <v>25569.041962604166</v>
      </c>
      <c r="H341" s="69">
        <v>25569.041962604166</v>
      </c>
      <c r="I341" s="62">
        <v>38</v>
      </c>
      <c r="J341" s="62">
        <v>2552</v>
      </c>
      <c r="K341" s="57" t="s">
        <v>384</v>
      </c>
      <c r="L341" s="52">
        <v>1753</v>
      </c>
      <c r="M341" s="58">
        <f t="shared" si="23"/>
        <v>41.868842830916641</v>
      </c>
      <c r="N341" s="58">
        <v>9491.6</v>
      </c>
      <c r="O341" s="60">
        <f t="shared" si="25"/>
        <v>0.18468962029584052</v>
      </c>
      <c r="P341" s="60">
        <f t="shared" si="26"/>
        <v>4.4111469963880314E-3</v>
      </c>
      <c r="Q341" s="63"/>
      <c r="R341" s="63"/>
      <c r="S341" s="63"/>
      <c r="T341" s="63"/>
      <c r="U341" s="63"/>
      <c r="V341" s="63"/>
      <c r="W341" s="63"/>
      <c r="X341" s="63"/>
      <c r="Y341" s="63"/>
      <c r="Z341" s="63"/>
    </row>
    <row r="342" spans="1:26" ht="17.25" customHeight="1" x14ac:dyDescent="0.2">
      <c r="A342" s="52">
        <v>1787</v>
      </c>
      <c r="B342" s="53" t="s">
        <v>30</v>
      </c>
      <c r="C342" s="53" t="s">
        <v>95</v>
      </c>
      <c r="D342" s="54">
        <v>258.12</v>
      </c>
      <c r="E342" s="62">
        <v>687</v>
      </c>
      <c r="F342" s="54">
        <f t="shared" si="24"/>
        <v>256.66299309999999</v>
      </c>
      <c r="G342" s="69">
        <v>25569.041962604166</v>
      </c>
      <c r="H342" s="69">
        <v>25569.041962604166</v>
      </c>
      <c r="I342" s="62">
        <v>39</v>
      </c>
      <c r="J342" s="62">
        <v>2215</v>
      </c>
      <c r="K342" s="57" t="s">
        <v>384</v>
      </c>
      <c r="L342" s="52">
        <v>2408</v>
      </c>
      <c r="M342" s="58">
        <f t="shared" si="23"/>
        <v>49.071376585541188</v>
      </c>
      <c r="N342" s="58">
        <v>8186.76</v>
      </c>
      <c r="O342" s="60">
        <f t="shared" si="25"/>
        <v>0.29413345450459033</v>
      </c>
      <c r="P342" s="60">
        <f t="shared" si="26"/>
        <v>5.9939923224256219E-3</v>
      </c>
      <c r="Q342" s="63"/>
      <c r="R342" s="63"/>
      <c r="S342" s="63"/>
      <c r="T342" s="63"/>
      <c r="U342" s="63"/>
      <c r="V342" s="63"/>
      <c r="W342" s="63"/>
      <c r="X342" s="63"/>
      <c r="Y342" s="63"/>
      <c r="Z342" s="63"/>
    </row>
    <row r="343" spans="1:26" ht="17.25" customHeight="1" x14ac:dyDescent="0.2">
      <c r="A343" s="52">
        <v>1788</v>
      </c>
      <c r="B343" s="53" t="s">
        <v>30</v>
      </c>
      <c r="C343" s="53" t="s">
        <v>95</v>
      </c>
      <c r="D343" s="54">
        <v>254.11699999999999</v>
      </c>
      <c r="E343" s="62">
        <v>687</v>
      </c>
      <c r="F343" s="54">
        <f t="shared" si="24"/>
        <v>252.68681319999999</v>
      </c>
      <c r="G343" s="69">
        <v>25569.041962604166</v>
      </c>
      <c r="H343" s="69">
        <v>25569.041962604166</v>
      </c>
      <c r="I343" s="62">
        <v>38</v>
      </c>
      <c r="J343" s="62">
        <v>1722</v>
      </c>
      <c r="K343" s="57" t="s">
        <v>384</v>
      </c>
      <c r="L343" s="52">
        <v>2280</v>
      </c>
      <c r="M343" s="58">
        <f t="shared" si="23"/>
        <v>47.749345545253291</v>
      </c>
      <c r="N343" s="58">
        <v>6227.02</v>
      </c>
      <c r="O343" s="60">
        <f t="shared" si="25"/>
        <v>0.3661462465192018</v>
      </c>
      <c r="P343" s="60">
        <f t="shared" si="26"/>
        <v>7.668089318045114E-3</v>
      </c>
      <c r="Q343" s="63"/>
      <c r="R343" s="63"/>
      <c r="S343" s="63"/>
      <c r="T343" s="63"/>
      <c r="U343" s="63"/>
      <c r="V343" s="63"/>
      <c r="W343" s="63"/>
      <c r="X343" s="63"/>
      <c r="Y343" s="63"/>
      <c r="Z343" s="63"/>
    </row>
    <row r="344" spans="1:26" ht="17.25" customHeight="1" x14ac:dyDescent="0.2">
      <c r="A344" s="52">
        <v>1789</v>
      </c>
      <c r="B344" s="53" t="s">
        <v>30</v>
      </c>
      <c r="C344" s="53" t="s">
        <v>95</v>
      </c>
      <c r="D344" s="54">
        <v>250.102</v>
      </c>
      <c r="E344" s="62">
        <v>687</v>
      </c>
      <c r="F344" s="54">
        <f t="shared" si="24"/>
        <v>248.69871370000001</v>
      </c>
      <c r="G344" s="69">
        <v>25569.041962604166</v>
      </c>
      <c r="H344" s="69">
        <v>25569.041962604166</v>
      </c>
      <c r="I344" s="62">
        <v>37</v>
      </c>
      <c r="J344" s="62">
        <v>1318</v>
      </c>
      <c r="K344" s="57" t="s">
        <v>384</v>
      </c>
      <c r="L344" s="52">
        <v>2608</v>
      </c>
      <c r="M344" s="58">
        <f t="shared" si="23"/>
        <v>51.068581339214816</v>
      </c>
      <c r="N344" s="58">
        <v>4629.07</v>
      </c>
      <c r="O344" s="60">
        <f t="shared" si="25"/>
        <v>0.56339610332096945</v>
      </c>
      <c r="P344" s="60">
        <f t="shared" si="26"/>
        <v>1.1032147135216107E-2</v>
      </c>
      <c r="Q344" s="63"/>
      <c r="R344" s="63"/>
      <c r="S344" s="63"/>
      <c r="T344" s="63"/>
      <c r="U344" s="63"/>
      <c r="V344" s="63"/>
      <c r="W344" s="63"/>
      <c r="X344" s="63"/>
      <c r="Y344" s="63"/>
      <c r="Z344" s="63"/>
    </row>
    <row r="345" spans="1:26" ht="17.25" customHeight="1" x14ac:dyDescent="0.2">
      <c r="A345" s="52">
        <v>1790</v>
      </c>
      <c r="B345" s="53" t="s">
        <v>30</v>
      </c>
      <c r="C345" s="53" t="s">
        <v>95</v>
      </c>
      <c r="D345" s="54">
        <v>248.108</v>
      </c>
      <c r="E345" s="62">
        <v>687</v>
      </c>
      <c r="F345" s="54">
        <f t="shared" si="24"/>
        <v>246.7180735</v>
      </c>
      <c r="G345" s="69">
        <v>25569.041962604166</v>
      </c>
      <c r="H345" s="69">
        <v>25569.041962604166</v>
      </c>
      <c r="I345" s="62">
        <v>37</v>
      </c>
      <c r="J345" s="62">
        <v>2046</v>
      </c>
      <c r="K345" s="57" t="s">
        <v>384</v>
      </c>
      <c r="L345" s="52">
        <v>5062</v>
      </c>
      <c r="M345" s="58">
        <f t="shared" si="23"/>
        <v>71.147733625183037</v>
      </c>
      <c r="N345" s="58">
        <v>7252.48</v>
      </c>
      <c r="O345" s="60">
        <f t="shared" si="25"/>
        <v>0.69796814331097778</v>
      </c>
      <c r="P345" s="60">
        <f t="shared" si="26"/>
        <v>9.8101247607967259E-3</v>
      </c>
      <c r="Q345" s="63"/>
      <c r="R345" s="63"/>
      <c r="S345" s="63"/>
      <c r="T345" s="63"/>
      <c r="U345" s="63"/>
      <c r="V345" s="63"/>
      <c r="W345" s="63"/>
      <c r="X345" s="63"/>
      <c r="Y345" s="63"/>
      <c r="Z345" s="63"/>
    </row>
    <row r="346" spans="1:26" ht="17.25" customHeight="1" x14ac:dyDescent="0.2">
      <c r="A346" s="52">
        <v>1791</v>
      </c>
      <c r="B346" s="53" t="s">
        <v>30</v>
      </c>
      <c r="C346" s="53" t="s">
        <v>95</v>
      </c>
      <c r="D346" s="54">
        <v>246.101</v>
      </c>
      <c r="E346" s="62">
        <v>687</v>
      </c>
      <c r="F346" s="54">
        <f t="shared" si="24"/>
        <v>244.72452040000002</v>
      </c>
      <c r="G346" s="69">
        <v>25569.041962604166</v>
      </c>
      <c r="H346" s="69">
        <v>25569.041962604166</v>
      </c>
      <c r="I346" s="62">
        <v>36</v>
      </c>
      <c r="J346" s="62">
        <v>1617</v>
      </c>
      <c r="K346" s="57" t="s">
        <v>384</v>
      </c>
      <c r="L346" s="52">
        <v>5090</v>
      </c>
      <c r="M346" s="58">
        <f t="shared" si="23"/>
        <v>71.344235926947874</v>
      </c>
      <c r="N346" s="58">
        <v>5605.2</v>
      </c>
      <c r="O346" s="60">
        <f t="shared" si="25"/>
        <v>0.90808534931849005</v>
      </c>
      <c r="P346" s="60">
        <f t="shared" si="26"/>
        <v>1.2728223065536979E-2</v>
      </c>
      <c r="Q346" s="63"/>
      <c r="R346" s="63"/>
      <c r="S346" s="63"/>
      <c r="T346" s="63"/>
      <c r="U346" s="63"/>
      <c r="V346" s="63"/>
      <c r="W346" s="63"/>
      <c r="X346" s="63"/>
      <c r="Y346" s="63"/>
      <c r="Z346" s="63"/>
    </row>
    <row r="347" spans="1:26" ht="17.25" customHeight="1" x14ac:dyDescent="0.2">
      <c r="A347" s="52">
        <v>1792</v>
      </c>
      <c r="B347" s="53" t="s">
        <v>30</v>
      </c>
      <c r="C347" s="53" t="s">
        <v>95</v>
      </c>
      <c r="D347" s="54">
        <v>244.09299999999999</v>
      </c>
      <c r="E347" s="62">
        <v>687</v>
      </c>
      <c r="F347" s="54">
        <f t="shared" si="24"/>
        <v>242.729974</v>
      </c>
      <c r="G347" s="69">
        <v>25569.041962604166</v>
      </c>
      <c r="H347" s="69">
        <v>25569.041962604166</v>
      </c>
      <c r="I347" s="62">
        <v>36</v>
      </c>
      <c r="J347" s="62">
        <v>1291</v>
      </c>
      <c r="K347" s="57" t="s">
        <v>384</v>
      </c>
      <c r="L347" s="52">
        <v>5243</v>
      </c>
      <c r="M347" s="58">
        <f t="shared" si="23"/>
        <v>72.408563029520209</v>
      </c>
      <c r="N347" s="58">
        <v>4300.3999999999996</v>
      </c>
      <c r="O347" s="60">
        <f t="shared" si="25"/>
        <v>1.2191889126592876</v>
      </c>
      <c r="P347" s="60">
        <f t="shared" si="26"/>
        <v>1.6837634412966287E-2</v>
      </c>
      <c r="Q347" s="63"/>
      <c r="R347" s="63"/>
      <c r="S347" s="63"/>
      <c r="T347" s="63"/>
      <c r="U347" s="63"/>
      <c r="V347" s="63"/>
      <c r="W347" s="63"/>
      <c r="X347" s="63"/>
      <c r="Y347" s="63"/>
      <c r="Z347" s="63"/>
    </row>
    <row r="348" spans="1:26" ht="17.25" customHeight="1" x14ac:dyDescent="0.2">
      <c r="A348" s="52">
        <v>1793</v>
      </c>
      <c r="B348" s="53" t="s">
        <v>30</v>
      </c>
      <c r="C348" s="53" t="s">
        <v>95</v>
      </c>
      <c r="D348" s="54">
        <v>242.09200000000001</v>
      </c>
      <c r="E348" s="62">
        <v>687</v>
      </c>
      <c r="F348" s="54">
        <f t="shared" si="24"/>
        <v>240.74238070000001</v>
      </c>
      <c r="G348" s="69">
        <v>25569.041962604166</v>
      </c>
      <c r="H348" s="69">
        <v>25569.041962604166</v>
      </c>
      <c r="I348" s="62">
        <v>36</v>
      </c>
      <c r="J348" s="62">
        <v>1151</v>
      </c>
      <c r="K348" s="57" t="s">
        <v>384</v>
      </c>
      <c r="L348" s="52">
        <v>6115</v>
      </c>
      <c r="M348" s="58">
        <f t="shared" ref="M348:M411" si="27">SQRT(L348)</f>
        <v>78.198465458089387</v>
      </c>
      <c r="N348" s="58">
        <v>3841.85</v>
      </c>
      <c r="O348" s="60">
        <f t="shared" si="25"/>
        <v>1.5916810911409869</v>
      </c>
      <c r="P348" s="60">
        <f t="shared" si="26"/>
        <v>2.0354377567601386E-2</v>
      </c>
      <c r="Q348" s="63"/>
      <c r="R348" s="63"/>
      <c r="S348" s="63"/>
      <c r="T348" s="63"/>
      <c r="U348" s="63"/>
      <c r="V348" s="63"/>
      <c r="W348" s="63"/>
      <c r="X348" s="63"/>
      <c r="Y348" s="63"/>
      <c r="Z348" s="63"/>
    </row>
    <row r="349" spans="1:26" ht="17.25" customHeight="1" x14ac:dyDescent="0.2">
      <c r="A349" s="52">
        <v>1794</v>
      </c>
      <c r="B349" s="53" t="s">
        <v>30</v>
      </c>
      <c r="C349" s="53" t="s">
        <v>95</v>
      </c>
      <c r="D349" s="54">
        <v>240.08500000000001</v>
      </c>
      <c r="E349" s="62">
        <v>687</v>
      </c>
      <c r="F349" s="54">
        <f t="shared" si="24"/>
        <v>238.74882760000003</v>
      </c>
      <c r="G349" s="69">
        <v>25569.041962604166</v>
      </c>
      <c r="H349" s="69">
        <v>25569.041962604166</v>
      </c>
      <c r="I349" s="62">
        <v>35</v>
      </c>
      <c r="J349" s="62">
        <v>885</v>
      </c>
      <c r="K349" s="57" t="s">
        <v>384</v>
      </c>
      <c r="L349" s="52">
        <v>5622</v>
      </c>
      <c r="M349" s="58">
        <f t="shared" si="27"/>
        <v>74.979997332621991</v>
      </c>
      <c r="N349" s="58">
        <v>2855.09</v>
      </c>
      <c r="O349" s="60">
        <f t="shared" si="25"/>
        <v>1.9691148089902595</v>
      </c>
      <c r="P349" s="60">
        <f t="shared" si="26"/>
        <v>2.6261868218732855E-2</v>
      </c>
      <c r="Q349" s="63"/>
      <c r="R349" s="63"/>
      <c r="S349" s="63"/>
      <c r="T349" s="63"/>
      <c r="U349" s="63"/>
      <c r="V349" s="63"/>
      <c r="W349" s="63"/>
      <c r="X349" s="63"/>
      <c r="Y349" s="63"/>
      <c r="Z349" s="63"/>
    </row>
    <row r="350" spans="1:26" ht="17.25" customHeight="1" x14ac:dyDescent="0.2">
      <c r="A350" s="52">
        <v>1795</v>
      </c>
      <c r="B350" s="53" t="s">
        <v>30</v>
      </c>
      <c r="C350" s="53" t="s">
        <v>95</v>
      </c>
      <c r="D350" s="54">
        <v>238.084</v>
      </c>
      <c r="E350" s="62">
        <v>687</v>
      </c>
      <c r="F350" s="54">
        <f t="shared" si="24"/>
        <v>236.76123430000001</v>
      </c>
      <c r="G350" s="69">
        <v>25569.041962604166</v>
      </c>
      <c r="H350" s="69">
        <v>25569.041962604166</v>
      </c>
      <c r="I350" s="62">
        <v>35</v>
      </c>
      <c r="J350" s="62">
        <v>1268</v>
      </c>
      <c r="K350" s="57" t="s">
        <v>384</v>
      </c>
      <c r="L350" s="52">
        <v>10265</v>
      </c>
      <c r="M350" s="58">
        <f t="shared" si="27"/>
        <v>101.31633629380802</v>
      </c>
      <c r="N350" s="58">
        <v>4214.26</v>
      </c>
      <c r="O350" s="60">
        <f t="shared" si="25"/>
        <v>2.4357775742360461</v>
      </c>
      <c r="P350" s="60">
        <f t="shared" si="26"/>
        <v>2.404131123703996E-2</v>
      </c>
      <c r="Q350" s="63"/>
      <c r="R350" s="63"/>
      <c r="S350" s="63"/>
      <c r="T350" s="63"/>
      <c r="U350" s="63"/>
      <c r="V350" s="63"/>
      <c r="W350" s="63"/>
      <c r="X350" s="63"/>
      <c r="Y350" s="63"/>
      <c r="Z350" s="63"/>
    </row>
    <row r="351" spans="1:26" ht="17.25" customHeight="1" x14ac:dyDescent="0.2">
      <c r="A351" s="52">
        <v>1796</v>
      </c>
      <c r="B351" s="53" t="s">
        <v>30</v>
      </c>
      <c r="C351" s="53" t="s">
        <v>95</v>
      </c>
      <c r="D351" s="54">
        <v>236.077</v>
      </c>
      <c r="E351" s="62">
        <v>687</v>
      </c>
      <c r="F351" s="54">
        <f t="shared" si="24"/>
        <v>234.7676812</v>
      </c>
      <c r="G351" s="69">
        <v>25569.041962604166</v>
      </c>
      <c r="H351" s="69">
        <v>25569.041962604166</v>
      </c>
      <c r="I351" s="62">
        <v>35</v>
      </c>
      <c r="J351" s="62">
        <v>1072</v>
      </c>
      <c r="K351" s="57" t="s">
        <v>384</v>
      </c>
      <c r="L351" s="52">
        <v>10350</v>
      </c>
      <c r="M351" s="58">
        <f t="shared" si="27"/>
        <v>101.73494974687902</v>
      </c>
      <c r="N351" s="58">
        <v>3528.45</v>
      </c>
      <c r="O351" s="60">
        <f t="shared" si="25"/>
        <v>2.9332993240658083</v>
      </c>
      <c r="P351" s="60">
        <f t="shared" si="26"/>
        <v>2.8832759355206686E-2</v>
      </c>
      <c r="Q351" s="63"/>
      <c r="R351" s="63"/>
      <c r="S351" s="63"/>
      <c r="T351" s="63"/>
      <c r="U351" s="63"/>
      <c r="V351" s="63"/>
      <c r="W351" s="63"/>
      <c r="X351" s="63"/>
      <c r="Y351" s="63"/>
      <c r="Z351" s="63"/>
    </row>
    <row r="352" spans="1:26" ht="17.25" customHeight="1" x14ac:dyDescent="0.2">
      <c r="A352" s="52">
        <v>1797</v>
      </c>
      <c r="B352" s="53" t="s">
        <v>30</v>
      </c>
      <c r="C352" s="53" t="s">
        <v>95</v>
      </c>
      <c r="D352" s="54">
        <v>234.06899999999999</v>
      </c>
      <c r="E352" s="62">
        <v>687</v>
      </c>
      <c r="F352" s="54">
        <f t="shared" si="24"/>
        <v>232.77313480000001</v>
      </c>
      <c r="G352" s="69">
        <v>25569.041962604166</v>
      </c>
      <c r="H352" s="69">
        <v>25569.041962604166</v>
      </c>
      <c r="I352" s="62">
        <v>35</v>
      </c>
      <c r="J352" s="62">
        <v>981</v>
      </c>
      <c r="K352" s="57" t="s">
        <v>384</v>
      </c>
      <c r="L352" s="52">
        <v>11105</v>
      </c>
      <c r="M352" s="58">
        <f t="shared" si="27"/>
        <v>105.38026380684383</v>
      </c>
      <c r="N352" s="58">
        <v>3209.44</v>
      </c>
      <c r="O352" s="60">
        <f t="shared" si="25"/>
        <v>3.4601051896904131</v>
      </c>
      <c r="P352" s="60">
        <f t="shared" si="26"/>
        <v>3.2834470750923474E-2</v>
      </c>
      <c r="Q352" s="63"/>
      <c r="R352" s="63"/>
      <c r="S352" s="63"/>
      <c r="T352" s="63"/>
      <c r="U352" s="63"/>
      <c r="V352" s="63"/>
      <c r="W352" s="63"/>
      <c r="X352" s="63"/>
      <c r="Y352" s="63"/>
      <c r="Z352" s="63"/>
    </row>
    <row r="353" spans="1:26" ht="17.25" customHeight="1" x14ac:dyDescent="0.2">
      <c r="A353" s="52">
        <v>1798</v>
      </c>
      <c r="B353" s="53" t="s">
        <v>30</v>
      </c>
      <c r="C353" s="53" t="s">
        <v>95</v>
      </c>
      <c r="D353" s="54">
        <v>232.06200000000001</v>
      </c>
      <c r="E353" s="62">
        <v>687</v>
      </c>
      <c r="F353" s="54">
        <f t="shared" si="24"/>
        <v>230.77958170000002</v>
      </c>
      <c r="G353" s="69">
        <v>25569.041962604166</v>
      </c>
      <c r="H353" s="69">
        <v>25569.041962604166</v>
      </c>
      <c r="I353" s="62">
        <v>34</v>
      </c>
      <c r="J353" s="62">
        <v>952</v>
      </c>
      <c r="K353" s="57" t="s">
        <v>384</v>
      </c>
      <c r="L353" s="52">
        <v>11001</v>
      </c>
      <c r="M353" s="58">
        <f t="shared" si="27"/>
        <v>104.88565202161828</v>
      </c>
      <c r="N353" s="58">
        <v>3005.67</v>
      </c>
      <c r="O353" s="60">
        <f t="shared" si="25"/>
        <v>3.6600824441804987</v>
      </c>
      <c r="P353" s="60">
        <f t="shared" si="26"/>
        <v>3.4895930698186521E-2</v>
      </c>
      <c r="Q353" s="63"/>
      <c r="R353" s="63"/>
      <c r="S353" s="63"/>
      <c r="T353" s="63"/>
      <c r="U353" s="63"/>
      <c r="V353" s="63"/>
      <c r="W353" s="63"/>
      <c r="X353" s="63"/>
      <c r="Y353" s="63"/>
      <c r="Z353" s="63"/>
    </row>
    <row r="354" spans="1:26" ht="17.25" customHeight="1" x14ac:dyDescent="0.2">
      <c r="A354" s="52">
        <v>1799</v>
      </c>
      <c r="B354" s="53" t="s">
        <v>30</v>
      </c>
      <c r="C354" s="53" t="s">
        <v>95</v>
      </c>
      <c r="D354" s="54">
        <v>230.06</v>
      </c>
      <c r="E354" s="62">
        <v>687</v>
      </c>
      <c r="F354" s="54">
        <f t="shared" si="24"/>
        <v>228.7909951</v>
      </c>
      <c r="G354" s="69">
        <v>25569.041962604166</v>
      </c>
      <c r="H354" s="69">
        <v>25569.041962604166</v>
      </c>
      <c r="I354" s="62">
        <v>34</v>
      </c>
      <c r="J354" s="62">
        <v>967</v>
      </c>
      <c r="K354" s="57" t="s">
        <v>384</v>
      </c>
      <c r="L354" s="52">
        <v>10562</v>
      </c>
      <c r="M354" s="58">
        <f t="shared" si="27"/>
        <v>102.77159140540736</v>
      </c>
      <c r="N354" s="58">
        <v>2971.17</v>
      </c>
      <c r="O354" s="60">
        <f t="shared" si="25"/>
        <v>3.5548285692168404</v>
      </c>
      <c r="P354" s="60">
        <f t="shared" si="26"/>
        <v>3.4589603222100168E-2</v>
      </c>
      <c r="Q354" s="63"/>
      <c r="R354" s="63"/>
      <c r="S354" s="63"/>
      <c r="T354" s="63"/>
      <c r="U354" s="63"/>
      <c r="V354" s="63"/>
      <c r="W354" s="63"/>
      <c r="X354" s="63"/>
      <c r="Y354" s="63"/>
      <c r="Z354" s="63"/>
    </row>
    <row r="355" spans="1:26" ht="17.25" customHeight="1" x14ac:dyDescent="0.2">
      <c r="A355" s="52">
        <v>1800</v>
      </c>
      <c r="B355" s="53" t="s">
        <v>30</v>
      </c>
      <c r="C355" s="53" t="s">
        <v>95</v>
      </c>
      <c r="D355" s="54">
        <v>228.047</v>
      </c>
      <c r="E355" s="62">
        <v>687</v>
      </c>
      <c r="F355" s="54">
        <f t="shared" si="24"/>
        <v>226.79148219999999</v>
      </c>
      <c r="G355" s="69">
        <v>25569.041962604166</v>
      </c>
      <c r="H355" s="69">
        <v>25569.041962604166</v>
      </c>
      <c r="I355" s="62">
        <v>34</v>
      </c>
      <c r="J355" s="62">
        <v>1114</v>
      </c>
      <c r="K355" s="57" t="s">
        <v>384</v>
      </c>
      <c r="L355" s="52">
        <v>10550</v>
      </c>
      <c r="M355" s="58">
        <f t="shared" si="27"/>
        <v>102.71319292087068</v>
      </c>
      <c r="N355" s="58">
        <v>3515.31</v>
      </c>
      <c r="O355" s="60">
        <f t="shared" si="25"/>
        <v>3.0011577926271085</v>
      </c>
      <c r="P355" s="60">
        <f t="shared" si="26"/>
        <v>2.9218815103325364E-2</v>
      </c>
      <c r="Q355" s="63"/>
      <c r="R355" s="63"/>
      <c r="S355" s="63"/>
      <c r="T355" s="63"/>
      <c r="U355" s="63"/>
      <c r="V355" s="63"/>
      <c r="W355" s="63"/>
      <c r="X355" s="63"/>
      <c r="Y355" s="63"/>
      <c r="Z355" s="63"/>
    </row>
    <row r="356" spans="1:26" ht="17.25" customHeight="1" x14ac:dyDescent="0.2">
      <c r="A356" s="52">
        <v>1801</v>
      </c>
      <c r="B356" s="53" t="s">
        <v>30</v>
      </c>
      <c r="C356" s="53" t="s">
        <v>95</v>
      </c>
      <c r="D356" s="54">
        <v>227.05</v>
      </c>
      <c r="E356" s="62">
        <v>687</v>
      </c>
      <c r="F356" s="54">
        <f t="shared" si="24"/>
        <v>225.80116210000003</v>
      </c>
      <c r="G356" s="69">
        <v>25569.041962604166</v>
      </c>
      <c r="H356" s="69">
        <v>25569.041962604166</v>
      </c>
      <c r="I356" s="62">
        <v>34</v>
      </c>
      <c r="J356" s="62">
        <v>952</v>
      </c>
      <c r="K356" s="57" t="s">
        <v>384</v>
      </c>
      <c r="L356" s="52">
        <v>5355</v>
      </c>
      <c r="M356" s="58">
        <f t="shared" si="27"/>
        <v>73.177865505902801</v>
      </c>
      <c r="N356" s="58">
        <v>2953.82</v>
      </c>
      <c r="O356" s="60">
        <f t="shared" si="25"/>
        <v>1.8129066767778672</v>
      </c>
      <c r="P356" s="60">
        <f t="shared" si="26"/>
        <v>2.4773975904389164E-2</v>
      </c>
      <c r="Q356" s="63"/>
      <c r="R356" s="63"/>
      <c r="S356" s="63"/>
      <c r="T356" s="63"/>
      <c r="U356" s="63"/>
      <c r="V356" s="63"/>
      <c r="W356" s="63"/>
      <c r="X356" s="63"/>
      <c r="Y356" s="63"/>
      <c r="Z356" s="63"/>
    </row>
    <row r="357" spans="1:26" ht="17.25" customHeight="1" x14ac:dyDescent="0.2">
      <c r="A357" s="52">
        <v>1802</v>
      </c>
      <c r="B357" s="53" t="s">
        <v>30</v>
      </c>
      <c r="C357" s="53" t="s">
        <v>95</v>
      </c>
      <c r="D357" s="54">
        <v>226.04599999999999</v>
      </c>
      <c r="E357" s="62">
        <v>687</v>
      </c>
      <c r="F357" s="54">
        <f t="shared" si="24"/>
        <v>224.8038889</v>
      </c>
      <c r="G357" s="69">
        <v>25569.041962604166</v>
      </c>
      <c r="H357" s="69">
        <v>25569.041962604166</v>
      </c>
      <c r="I357" s="62">
        <v>34</v>
      </c>
      <c r="J357" s="62">
        <v>1359</v>
      </c>
      <c r="K357" s="57" t="s">
        <v>384</v>
      </c>
      <c r="L357" s="52">
        <v>2615</v>
      </c>
      <c r="M357" s="58">
        <f t="shared" si="27"/>
        <v>51.137070702182385</v>
      </c>
      <c r="N357" s="58">
        <v>4341.1499999999996</v>
      </c>
      <c r="O357" s="60">
        <f t="shared" si="25"/>
        <v>0.60237494673070502</v>
      </c>
      <c r="P357" s="60">
        <f t="shared" si="26"/>
        <v>1.1779613858581802E-2</v>
      </c>
      <c r="Q357" s="63"/>
      <c r="R357" s="63"/>
      <c r="S357" s="63"/>
      <c r="T357" s="63"/>
      <c r="U357" s="63"/>
      <c r="V357" s="63"/>
      <c r="W357" s="63"/>
      <c r="X357" s="63"/>
      <c r="Y357" s="63"/>
      <c r="Z357" s="63"/>
    </row>
    <row r="358" spans="1:26" ht="17.25" customHeight="1" x14ac:dyDescent="0.2">
      <c r="A358" s="52">
        <v>1803</v>
      </c>
      <c r="B358" s="53" t="s">
        <v>30</v>
      </c>
      <c r="C358" s="53" t="s">
        <v>95</v>
      </c>
      <c r="D358" s="54">
        <v>225.03200000000001</v>
      </c>
      <c r="E358" s="62">
        <v>687</v>
      </c>
      <c r="F358" s="54">
        <f t="shared" ref="F358:F421" si="28">0.9933*(D358 + E358/1000)-0.41</f>
        <v>223.79668270000002</v>
      </c>
      <c r="G358" s="69">
        <v>25569.041962604166</v>
      </c>
      <c r="H358" s="69">
        <v>25569.041962604166</v>
      </c>
      <c r="I358" s="62">
        <v>34</v>
      </c>
      <c r="J358" s="62">
        <v>1358</v>
      </c>
      <c r="K358" s="57" t="s">
        <v>384</v>
      </c>
      <c r="L358" s="52">
        <v>1087</v>
      </c>
      <c r="M358" s="58">
        <f t="shared" si="27"/>
        <v>32.969683043669072</v>
      </c>
      <c r="N358" s="58">
        <v>4336.3500000000004</v>
      </c>
      <c r="O358" s="60">
        <f t="shared" si="25"/>
        <v>0.2506716478144061</v>
      </c>
      <c r="P358" s="60">
        <f t="shared" si="26"/>
        <v>7.603095470538372E-3</v>
      </c>
      <c r="Q358" s="63"/>
      <c r="R358" s="63"/>
      <c r="S358" s="63"/>
      <c r="T358" s="63"/>
      <c r="U358" s="63"/>
      <c r="V358" s="63"/>
      <c r="W358" s="63"/>
      <c r="X358" s="63"/>
      <c r="Y358" s="63"/>
      <c r="Z358" s="63"/>
    </row>
    <row r="359" spans="1:26" ht="17.25" customHeight="1" x14ac:dyDescent="0.2">
      <c r="A359" s="52">
        <v>1804</v>
      </c>
      <c r="B359" s="53" t="s">
        <v>30</v>
      </c>
      <c r="C359" s="53" t="s">
        <v>95</v>
      </c>
      <c r="D359" s="54">
        <v>223.03100000000001</v>
      </c>
      <c r="E359" s="62">
        <v>687</v>
      </c>
      <c r="F359" s="54">
        <f t="shared" si="28"/>
        <v>221.8090894</v>
      </c>
      <c r="G359" s="69">
        <v>25569.041962604166</v>
      </c>
      <c r="H359" s="69">
        <v>25569.041962604166</v>
      </c>
      <c r="I359" s="62">
        <v>33</v>
      </c>
      <c r="J359" s="62">
        <v>1488</v>
      </c>
      <c r="K359" s="57" t="s">
        <v>384</v>
      </c>
      <c r="L359" s="52">
        <v>515</v>
      </c>
      <c r="M359" s="58">
        <f t="shared" si="27"/>
        <v>22.693611435820433</v>
      </c>
      <c r="N359" s="58">
        <v>4709.78</v>
      </c>
      <c r="O359" s="60">
        <f t="shared" si="25"/>
        <v>0.10934693340240946</v>
      </c>
      <c r="P359" s="60">
        <f t="shared" si="26"/>
        <v>4.8184015889957566E-3</v>
      </c>
      <c r="Q359" s="63"/>
      <c r="R359" s="63"/>
      <c r="S359" s="63"/>
      <c r="T359" s="63"/>
      <c r="U359" s="63"/>
      <c r="V359" s="63"/>
      <c r="W359" s="63"/>
      <c r="X359" s="63"/>
      <c r="Y359" s="63"/>
      <c r="Z359" s="63"/>
    </row>
    <row r="360" spans="1:26" ht="17.25" customHeight="1" x14ac:dyDescent="0.2">
      <c r="A360" s="52">
        <v>1805</v>
      </c>
      <c r="B360" s="53" t="s">
        <v>30</v>
      </c>
      <c r="C360" s="53" t="s">
        <v>95</v>
      </c>
      <c r="D360" s="54">
        <v>221.024</v>
      </c>
      <c r="E360" s="62">
        <v>687</v>
      </c>
      <c r="F360" s="54">
        <f t="shared" si="28"/>
        <v>219.81553630000002</v>
      </c>
      <c r="G360" s="69">
        <v>25569.041962604166</v>
      </c>
      <c r="H360" s="69">
        <v>25569.041962604166</v>
      </c>
      <c r="I360" s="62">
        <v>33</v>
      </c>
      <c r="J360" s="62">
        <v>1134</v>
      </c>
      <c r="K360" s="57" t="s">
        <v>384</v>
      </c>
      <c r="L360" s="52">
        <v>259</v>
      </c>
      <c r="M360" s="58">
        <f t="shared" si="27"/>
        <v>16.093476939431081</v>
      </c>
      <c r="N360" s="58">
        <v>3572.79</v>
      </c>
      <c r="O360" s="60">
        <f t="shared" si="25"/>
        <v>7.249236591011507E-2</v>
      </c>
      <c r="P360" s="60">
        <f t="shared" si="26"/>
        <v>4.5044564442441567E-3</v>
      </c>
      <c r="Q360" s="63"/>
      <c r="R360" s="63"/>
      <c r="S360" s="63"/>
      <c r="T360" s="63"/>
      <c r="U360" s="63"/>
      <c r="V360" s="63"/>
      <c r="W360" s="63"/>
      <c r="X360" s="63"/>
      <c r="Y360" s="63"/>
      <c r="Z360" s="63"/>
    </row>
    <row r="361" spans="1:26" ht="17.25" customHeight="1" x14ac:dyDescent="0.2">
      <c r="A361" s="52">
        <v>1806</v>
      </c>
      <c r="B361" s="53" t="s">
        <v>30</v>
      </c>
      <c r="C361" s="53" t="s">
        <v>95</v>
      </c>
      <c r="D361" s="54">
        <v>219.02</v>
      </c>
      <c r="E361" s="62">
        <v>687</v>
      </c>
      <c r="F361" s="54">
        <f t="shared" si="28"/>
        <v>217.82496310000002</v>
      </c>
      <c r="G361" s="69">
        <v>25569.041962604166</v>
      </c>
      <c r="H361" s="69">
        <v>25569.041962604166</v>
      </c>
      <c r="I361" s="62">
        <v>33</v>
      </c>
      <c r="J361" s="62">
        <v>1226</v>
      </c>
      <c r="K361" s="57" t="s">
        <v>384</v>
      </c>
      <c r="L361" s="52">
        <v>214</v>
      </c>
      <c r="M361" s="58">
        <f t="shared" si="27"/>
        <v>14.628738838327793</v>
      </c>
      <c r="N361" s="58">
        <v>3832.17</v>
      </c>
      <c r="O361" s="60">
        <f t="shared" si="25"/>
        <v>5.5843034103393113E-2</v>
      </c>
      <c r="P361" s="60">
        <f t="shared" si="26"/>
        <v>3.8173512235437869E-3</v>
      </c>
      <c r="Q361" s="63"/>
      <c r="R361" s="63"/>
      <c r="S361" s="63"/>
      <c r="T361" s="63"/>
      <c r="U361" s="63"/>
      <c r="V361" s="63"/>
      <c r="W361" s="63"/>
      <c r="X361" s="63"/>
      <c r="Y361" s="63"/>
      <c r="Z361" s="63"/>
    </row>
    <row r="362" spans="1:26" ht="17.25" customHeight="1" x14ac:dyDescent="0.2">
      <c r="A362" s="52">
        <v>1807</v>
      </c>
      <c r="B362" s="53" t="s">
        <v>385</v>
      </c>
      <c r="C362" s="53" t="s">
        <v>95</v>
      </c>
      <c r="D362" s="54">
        <v>246.315</v>
      </c>
      <c r="E362" s="62">
        <v>687</v>
      </c>
      <c r="F362" s="54">
        <f t="shared" si="28"/>
        <v>244.93708660000001</v>
      </c>
      <c r="G362" s="69">
        <v>25569.041962604166</v>
      </c>
      <c r="H362" s="69">
        <v>25569.041962604166</v>
      </c>
      <c r="I362" s="62">
        <v>33</v>
      </c>
      <c r="J362" s="62">
        <v>20497</v>
      </c>
      <c r="K362" s="57" t="s">
        <v>384</v>
      </c>
      <c r="L362" s="52">
        <v>59191</v>
      </c>
      <c r="M362" s="58">
        <f t="shared" si="27"/>
        <v>243.29200562287286</v>
      </c>
      <c r="N362" s="58">
        <v>65914.75</v>
      </c>
      <c r="O362" s="60">
        <f t="shared" si="25"/>
        <v>0.89799324126997371</v>
      </c>
      <c r="P362" s="60">
        <f t="shared" si="26"/>
        <v>3.6910100641036015E-3</v>
      </c>
      <c r="Q362" s="63"/>
      <c r="R362" s="63"/>
      <c r="S362" s="63"/>
      <c r="T362" s="63"/>
      <c r="U362" s="63"/>
      <c r="V362" s="63"/>
      <c r="W362" s="63"/>
      <c r="X362" s="63"/>
      <c r="Y362" s="63"/>
      <c r="Z362" s="63"/>
    </row>
    <row r="363" spans="1:26" ht="17.25" customHeight="1" x14ac:dyDescent="0.2">
      <c r="A363" s="52">
        <v>1808</v>
      </c>
      <c r="B363" s="53" t="s">
        <v>157</v>
      </c>
      <c r="C363" s="53" t="s">
        <v>95</v>
      </c>
      <c r="D363" s="54">
        <v>235.607</v>
      </c>
      <c r="E363" s="62">
        <v>2524</v>
      </c>
      <c r="F363" s="54">
        <f t="shared" si="28"/>
        <v>236.1255223</v>
      </c>
      <c r="G363" s="69">
        <v>25569.041962604166</v>
      </c>
      <c r="H363" s="69">
        <v>25569.041962604166</v>
      </c>
      <c r="I363" s="59" t="s">
        <v>404</v>
      </c>
      <c r="J363" s="62">
        <v>145768</v>
      </c>
      <c r="K363" s="57" t="s">
        <v>384</v>
      </c>
      <c r="L363" s="52">
        <v>11494817</v>
      </c>
      <c r="M363" s="58">
        <f t="shared" si="27"/>
        <v>3390.4007137800099</v>
      </c>
      <c r="N363" s="58">
        <v>4193263.02</v>
      </c>
      <c r="O363" s="60">
        <f t="shared" si="25"/>
        <v>2.7412582862498334</v>
      </c>
      <c r="P363" s="60">
        <f t="shared" si="26"/>
        <v>8.0853519028243779E-4</v>
      </c>
      <c r="Q363" s="63" t="s">
        <v>403</v>
      </c>
      <c r="R363" s="63"/>
      <c r="S363" s="63"/>
      <c r="T363" s="63"/>
      <c r="U363" s="63"/>
      <c r="V363" s="63"/>
      <c r="W363" s="63"/>
      <c r="X363" s="63"/>
      <c r="Y363" s="63"/>
      <c r="Z363" s="63"/>
    </row>
    <row r="364" spans="1:26" ht="17.25" customHeight="1" x14ac:dyDescent="0.2">
      <c r="A364" s="52">
        <v>1809</v>
      </c>
      <c r="B364" s="53" t="s">
        <v>157</v>
      </c>
      <c r="C364" s="53" t="s">
        <v>95</v>
      </c>
      <c r="D364" s="54">
        <v>233.55199999999999</v>
      </c>
      <c r="E364" s="62">
        <v>2501</v>
      </c>
      <c r="F364" s="54">
        <f t="shared" si="28"/>
        <v>234.0614449</v>
      </c>
      <c r="G364" s="69">
        <v>25569.041962604166</v>
      </c>
      <c r="H364" s="69">
        <v>25569.041962604166</v>
      </c>
      <c r="I364" s="59" t="s">
        <v>405</v>
      </c>
      <c r="J364" s="62">
        <v>41728</v>
      </c>
      <c r="K364" s="57" t="s">
        <v>384</v>
      </c>
      <c r="L364" s="52">
        <v>3717376</v>
      </c>
      <c r="M364" s="58">
        <f t="shared" si="27"/>
        <v>1928.0497918881661</v>
      </c>
      <c r="N364" s="58">
        <v>1143861.94</v>
      </c>
      <c r="O364" s="60">
        <f t="shared" si="25"/>
        <v>3.2498467428682871</v>
      </c>
      <c r="P364" s="60">
        <f t="shared" si="26"/>
        <v>1.6855616263341765E-3</v>
      </c>
      <c r="Q364" s="63" t="s">
        <v>406</v>
      </c>
      <c r="R364" s="63"/>
      <c r="S364" s="63"/>
      <c r="T364" s="63"/>
      <c r="U364" s="63"/>
      <c r="V364" s="63"/>
      <c r="W364" s="63"/>
      <c r="X364" s="63"/>
      <c r="Y364" s="63"/>
      <c r="Z364" s="63"/>
    </row>
    <row r="365" spans="1:26" ht="17.25" customHeight="1" x14ac:dyDescent="0.2">
      <c r="A365" s="52">
        <v>1810</v>
      </c>
      <c r="B365" s="53" t="s">
        <v>157</v>
      </c>
      <c r="C365" s="53" t="s">
        <v>95</v>
      </c>
      <c r="D365" s="54">
        <v>233.80099999999999</v>
      </c>
      <c r="E365" s="62">
        <v>2190</v>
      </c>
      <c r="F365" s="54">
        <f t="shared" si="28"/>
        <v>233.99986029999997</v>
      </c>
      <c r="G365" s="69">
        <v>25569.041962604166</v>
      </c>
      <c r="H365" s="69">
        <v>25569.041962604166</v>
      </c>
      <c r="I365" s="59" t="s">
        <v>407</v>
      </c>
      <c r="J365" s="62">
        <v>564540</v>
      </c>
      <c r="K365" s="57" t="s">
        <v>384</v>
      </c>
      <c r="L365" s="52">
        <v>18488980</v>
      </c>
      <c r="M365" s="58">
        <f t="shared" si="27"/>
        <v>4299.8813937130872</v>
      </c>
      <c r="N365" s="58">
        <v>5789162.4199999999</v>
      </c>
      <c r="O365" s="60">
        <f t="shared" si="25"/>
        <v>3.1937227976409064</v>
      </c>
      <c r="P365" s="60">
        <f t="shared" si="26"/>
        <v>7.4274671908636605E-4</v>
      </c>
      <c r="Q365" s="63"/>
      <c r="R365" s="63"/>
      <c r="S365" s="63"/>
      <c r="T365" s="63"/>
      <c r="U365" s="63"/>
      <c r="V365" s="63"/>
      <c r="W365" s="63"/>
      <c r="X365" s="63"/>
      <c r="Y365" s="63"/>
      <c r="Z365" s="63"/>
    </row>
    <row r="366" spans="1:26" ht="17.25" customHeight="1" x14ac:dyDescent="0.2">
      <c r="A366" s="52">
        <v>1811</v>
      </c>
      <c r="B366" s="53" t="s">
        <v>31</v>
      </c>
      <c r="C366" s="53" t="s">
        <v>95</v>
      </c>
      <c r="D366" s="54">
        <v>260.113</v>
      </c>
      <c r="E366" s="62">
        <v>980</v>
      </c>
      <c r="F366" s="54">
        <f t="shared" si="28"/>
        <v>258.93367689999997</v>
      </c>
      <c r="G366" s="69">
        <v>25569.041962604166</v>
      </c>
      <c r="H366" s="69">
        <v>25569.041962604166</v>
      </c>
      <c r="I366" s="62">
        <v>40</v>
      </c>
      <c r="J366" s="62">
        <v>1423</v>
      </c>
      <c r="K366" s="57" t="s">
        <v>384</v>
      </c>
      <c r="L366" s="52">
        <v>1488</v>
      </c>
      <c r="M366" s="58">
        <f t="shared" si="27"/>
        <v>38.57460304397182</v>
      </c>
      <c r="N366" s="58">
        <v>5386.5</v>
      </c>
      <c r="O366" s="60">
        <f t="shared" si="25"/>
        <v>0.27624617098301307</v>
      </c>
      <c r="P366" s="60">
        <f t="shared" si="26"/>
        <v>7.1613483790906561E-3</v>
      </c>
      <c r="Q366" s="63"/>
      <c r="R366" s="63"/>
      <c r="S366" s="63"/>
      <c r="T366" s="63"/>
      <c r="U366" s="63"/>
      <c r="V366" s="63"/>
      <c r="W366" s="63"/>
      <c r="X366" s="63"/>
      <c r="Y366" s="63"/>
      <c r="Z366" s="63"/>
    </row>
    <row r="367" spans="1:26" ht="17.25" customHeight="1" x14ac:dyDescent="0.2">
      <c r="A367" s="52">
        <v>1812</v>
      </c>
      <c r="B367" s="53" t="s">
        <v>31</v>
      </c>
      <c r="C367" s="53" t="s">
        <v>95</v>
      </c>
      <c r="D367" s="54">
        <v>258.11200000000002</v>
      </c>
      <c r="E367" s="62">
        <v>980</v>
      </c>
      <c r="F367" s="54">
        <f t="shared" si="28"/>
        <v>256.94608360000001</v>
      </c>
      <c r="G367" s="69">
        <v>25569.041962604166</v>
      </c>
      <c r="H367" s="69">
        <v>25569.041962604166</v>
      </c>
      <c r="I367" s="62">
        <v>40</v>
      </c>
      <c r="J367" s="62">
        <v>2720</v>
      </c>
      <c r="K367" s="57" t="s">
        <v>384</v>
      </c>
      <c r="L367" s="52">
        <v>3021</v>
      </c>
      <c r="M367" s="58">
        <f t="shared" si="27"/>
        <v>54.963624334645182</v>
      </c>
      <c r="N367" s="58">
        <v>10538.8</v>
      </c>
      <c r="O367" s="60">
        <f t="shared" si="25"/>
        <v>0.28665502713781454</v>
      </c>
      <c r="P367" s="60">
        <f t="shared" si="26"/>
        <v>5.2153588961404698E-3</v>
      </c>
      <c r="Q367" s="63"/>
      <c r="R367" s="63"/>
      <c r="S367" s="63"/>
      <c r="T367" s="63"/>
      <c r="U367" s="63"/>
      <c r="V367" s="63"/>
      <c r="W367" s="63"/>
      <c r="X367" s="63"/>
      <c r="Y367" s="63"/>
      <c r="Z367" s="63"/>
    </row>
    <row r="368" spans="1:26" ht="17.25" customHeight="1" x14ac:dyDescent="0.2">
      <c r="A368" s="52">
        <v>1813</v>
      </c>
      <c r="B368" s="53" t="s">
        <v>31</v>
      </c>
      <c r="C368" s="53" t="s">
        <v>95</v>
      </c>
      <c r="D368" s="54">
        <v>254.11699999999999</v>
      </c>
      <c r="E368" s="62">
        <v>980</v>
      </c>
      <c r="F368" s="54">
        <f t="shared" si="28"/>
        <v>252.97785009999998</v>
      </c>
      <c r="G368" s="69">
        <v>25569.041962604166</v>
      </c>
      <c r="H368" s="69">
        <v>25569.041962604166</v>
      </c>
      <c r="I368" s="62">
        <v>40</v>
      </c>
      <c r="J368" s="62">
        <v>1358</v>
      </c>
      <c r="K368" s="57" t="s">
        <v>384</v>
      </c>
      <c r="L368" s="52">
        <v>1886</v>
      </c>
      <c r="M368" s="58">
        <f t="shared" si="27"/>
        <v>43.428101501216929</v>
      </c>
      <c r="N368" s="58">
        <v>5146.79</v>
      </c>
      <c r="O368" s="60">
        <f t="shared" si="25"/>
        <v>0.36644199588481363</v>
      </c>
      <c r="P368" s="60">
        <f t="shared" si="26"/>
        <v>8.4379004197212108E-3</v>
      </c>
      <c r="Q368" s="63"/>
      <c r="R368" s="63"/>
      <c r="S368" s="63"/>
      <c r="T368" s="63"/>
      <c r="U368" s="63"/>
      <c r="V368" s="63"/>
      <c r="W368" s="63"/>
      <c r="X368" s="63"/>
      <c r="Y368" s="63"/>
      <c r="Z368" s="63"/>
    </row>
    <row r="369" spans="1:26" ht="17.25" customHeight="1" x14ac:dyDescent="0.2">
      <c r="A369" s="52">
        <v>1814</v>
      </c>
      <c r="B369" s="53" t="s">
        <v>31</v>
      </c>
      <c r="C369" s="53" t="s">
        <v>95</v>
      </c>
      <c r="D369" s="54">
        <v>250.102</v>
      </c>
      <c r="E369" s="62">
        <v>980</v>
      </c>
      <c r="F369" s="54">
        <f t="shared" si="28"/>
        <v>248.98975059999998</v>
      </c>
      <c r="G369" s="69">
        <v>25569.041962604166</v>
      </c>
      <c r="H369" s="69">
        <v>25569.041962604166</v>
      </c>
      <c r="I369" s="62">
        <v>41</v>
      </c>
      <c r="J369" s="62">
        <v>2376</v>
      </c>
      <c r="K369" s="57" t="s">
        <v>384</v>
      </c>
      <c r="L369" s="52">
        <v>5101</v>
      </c>
      <c r="M369" s="58">
        <f t="shared" si="27"/>
        <v>71.421285342676384</v>
      </c>
      <c r="N369" s="58">
        <v>9548.02</v>
      </c>
      <c r="O369" s="60">
        <f t="shared" si="25"/>
        <v>0.53424689097844369</v>
      </c>
      <c r="P369" s="60">
        <f t="shared" si="26"/>
        <v>7.4802194950027738E-3</v>
      </c>
      <c r="Q369" s="63"/>
      <c r="R369" s="63"/>
      <c r="S369" s="63"/>
      <c r="T369" s="63"/>
      <c r="U369" s="63"/>
      <c r="V369" s="63"/>
      <c r="W369" s="63"/>
      <c r="X369" s="63"/>
      <c r="Y369" s="63"/>
      <c r="Z369" s="63"/>
    </row>
    <row r="370" spans="1:26" ht="17.25" customHeight="1" x14ac:dyDescent="0.2">
      <c r="A370" s="52">
        <v>1815</v>
      </c>
      <c r="B370" s="53" t="s">
        <v>31</v>
      </c>
      <c r="C370" s="53" t="s">
        <v>95</v>
      </c>
      <c r="D370" s="54">
        <v>248.6</v>
      </c>
      <c r="E370" s="62">
        <v>980</v>
      </c>
      <c r="F370" s="54">
        <f t="shared" si="28"/>
        <v>247.49781399999998</v>
      </c>
      <c r="G370" s="69">
        <v>25569.041962604166</v>
      </c>
      <c r="H370" s="69">
        <v>25569.041962604166</v>
      </c>
      <c r="I370" s="62">
        <v>42</v>
      </c>
      <c r="J370" s="62">
        <v>1945</v>
      </c>
      <c r="K370" s="57" t="s">
        <v>384</v>
      </c>
      <c r="L370" s="52">
        <v>5121</v>
      </c>
      <c r="M370" s="58">
        <f t="shared" si="27"/>
        <v>71.56116265125938</v>
      </c>
      <c r="N370" s="58">
        <v>7935.27</v>
      </c>
      <c r="O370" s="60">
        <f t="shared" si="25"/>
        <v>0.64534666117220962</v>
      </c>
      <c r="P370" s="60">
        <f t="shared" si="26"/>
        <v>9.0181131393461574E-3</v>
      </c>
      <c r="Q370" s="63"/>
      <c r="R370" s="63"/>
      <c r="S370" s="63"/>
      <c r="T370" s="63"/>
      <c r="U370" s="63"/>
      <c r="V370" s="63"/>
      <c r="W370" s="63"/>
      <c r="X370" s="63"/>
      <c r="Y370" s="63"/>
      <c r="Z370" s="63"/>
    </row>
    <row r="371" spans="1:26" ht="17.25" customHeight="1" x14ac:dyDescent="0.2">
      <c r="A371" s="52">
        <v>1816</v>
      </c>
      <c r="B371" s="53" t="s">
        <v>31</v>
      </c>
      <c r="C371" s="53" t="s">
        <v>95</v>
      </c>
      <c r="D371" s="54">
        <v>246.6</v>
      </c>
      <c r="E371" s="62">
        <v>980</v>
      </c>
      <c r="F371" s="54">
        <f t="shared" si="28"/>
        <v>245.51121399999997</v>
      </c>
      <c r="G371" s="69">
        <v>25569.041962604166</v>
      </c>
      <c r="H371" s="69">
        <v>25569.041962604166</v>
      </c>
      <c r="I371" s="62">
        <v>43</v>
      </c>
      <c r="J371" s="62">
        <v>1615</v>
      </c>
      <c r="K371" s="57" t="s">
        <v>384</v>
      </c>
      <c r="L371" s="52">
        <v>5513</v>
      </c>
      <c r="M371" s="58">
        <f t="shared" si="27"/>
        <v>74.249579123386283</v>
      </c>
      <c r="N371" s="58">
        <v>6619.09</v>
      </c>
      <c r="O371" s="60">
        <f t="shared" si="25"/>
        <v>0.83289394765745739</v>
      </c>
      <c r="P371" s="60">
        <f t="shared" si="26"/>
        <v>1.1217490489385442E-2</v>
      </c>
    </row>
    <row r="372" spans="1:26" ht="17.25" customHeight="1" x14ac:dyDescent="0.2">
      <c r="A372" s="52">
        <v>1817</v>
      </c>
      <c r="B372" s="53" t="s">
        <v>31</v>
      </c>
      <c r="C372" s="53" t="s">
        <v>95</v>
      </c>
      <c r="D372" s="54">
        <v>244.59700000000001</v>
      </c>
      <c r="E372" s="62">
        <v>980</v>
      </c>
      <c r="F372" s="54">
        <f t="shared" si="28"/>
        <v>243.5216341</v>
      </c>
      <c r="G372" s="69">
        <v>25569.041962604166</v>
      </c>
      <c r="H372" s="69">
        <v>25569.041962604166</v>
      </c>
      <c r="I372" s="62">
        <v>42</v>
      </c>
      <c r="J372" s="62">
        <v>1193</v>
      </c>
      <c r="K372" s="57" t="s">
        <v>384</v>
      </c>
      <c r="L372" s="52">
        <v>5229</v>
      </c>
      <c r="M372" s="58">
        <f t="shared" si="27"/>
        <v>72.311824759163699</v>
      </c>
      <c r="N372" s="58">
        <v>4794.6400000000003</v>
      </c>
      <c r="O372" s="60">
        <f t="shared" si="25"/>
        <v>1.0905928286586688</v>
      </c>
      <c r="P372" s="60">
        <f t="shared" si="26"/>
        <v>1.5081804840230693E-2</v>
      </c>
    </row>
    <row r="373" spans="1:26" ht="17.25" customHeight="1" x14ac:dyDescent="0.2">
      <c r="A373" s="52">
        <v>1818</v>
      </c>
      <c r="B373" s="53" t="s">
        <v>31</v>
      </c>
      <c r="C373" s="53" t="s">
        <v>95</v>
      </c>
      <c r="D373" s="54">
        <v>242.596</v>
      </c>
      <c r="E373" s="62">
        <v>980</v>
      </c>
      <c r="F373" s="54">
        <f t="shared" si="28"/>
        <v>241.53404079999999</v>
      </c>
      <c r="G373" s="69">
        <v>25569.041962604166</v>
      </c>
      <c r="H373" s="69">
        <v>25569.041962604166</v>
      </c>
      <c r="I373" s="62">
        <v>43</v>
      </c>
      <c r="J373" s="62">
        <v>1425</v>
      </c>
      <c r="K373" s="57" t="s">
        <v>384</v>
      </c>
      <c r="L373" s="52">
        <v>8482</v>
      </c>
      <c r="M373" s="58">
        <f t="shared" si="27"/>
        <v>92.097774131626011</v>
      </c>
      <c r="N373" s="58">
        <v>5771.35</v>
      </c>
      <c r="O373" s="60">
        <f t="shared" si="25"/>
        <v>1.4696734732774825</v>
      </c>
      <c r="P373" s="60">
        <f t="shared" si="26"/>
        <v>1.5957752368445165E-2</v>
      </c>
    </row>
    <row r="374" spans="1:26" ht="17.25" customHeight="1" x14ac:dyDescent="0.2">
      <c r="A374" s="52">
        <v>1819</v>
      </c>
      <c r="B374" s="53" t="s">
        <v>31</v>
      </c>
      <c r="C374" s="53" t="s">
        <v>95</v>
      </c>
      <c r="D374" s="54">
        <v>240.58799999999999</v>
      </c>
      <c r="E374" s="62">
        <v>980</v>
      </c>
      <c r="F374" s="54">
        <f t="shared" si="28"/>
        <v>239.53949439999997</v>
      </c>
      <c r="G374" s="69">
        <v>25569.041962604166</v>
      </c>
      <c r="H374" s="69">
        <v>25569.041962604166</v>
      </c>
      <c r="I374" s="62">
        <v>42</v>
      </c>
      <c r="J374" s="62">
        <v>1401</v>
      </c>
      <c r="K374" s="57" t="s">
        <v>384</v>
      </c>
      <c r="L374" s="52">
        <v>10428</v>
      </c>
      <c r="M374" s="58">
        <f t="shared" si="27"/>
        <v>102.11757928975794</v>
      </c>
      <c r="N374" s="58">
        <v>5624.08</v>
      </c>
      <c r="O374" s="60">
        <f t="shared" si="25"/>
        <v>1.8541699264590832</v>
      </c>
      <c r="P374" s="60">
        <f t="shared" si="26"/>
        <v>1.815720603009878E-2</v>
      </c>
    </row>
    <row r="375" spans="1:26" ht="17.25" customHeight="1" x14ac:dyDescent="0.2">
      <c r="A375" s="52">
        <v>1820</v>
      </c>
      <c r="B375" s="53" t="s">
        <v>31</v>
      </c>
      <c r="C375" s="53" t="s">
        <v>95</v>
      </c>
      <c r="D375" s="54">
        <v>238.58099999999999</v>
      </c>
      <c r="E375" s="62">
        <v>980</v>
      </c>
      <c r="F375" s="54">
        <f t="shared" si="28"/>
        <v>237.54594129999998</v>
      </c>
      <c r="G375" s="69">
        <v>25569.041962604166</v>
      </c>
      <c r="H375" s="69">
        <v>25569.041962604166</v>
      </c>
      <c r="I375" s="62">
        <v>43</v>
      </c>
      <c r="J375" s="62">
        <v>1136</v>
      </c>
      <c r="K375" s="57" t="s">
        <v>384</v>
      </c>
      <c r="L375" s="52">
        <v>10283</v>
      </c>
      <c r="M375" s="58">
        <f t="shared" si="27"/>
        <v>101.4051280754578</v>
      </c>
      <c r="N375" s="58">
        <v>4626.8900000000003</v>
      </c>
      <c r="O375" s="60">
        <f t="shared" si="25"/>
        <v>2.2224431529601958</v>
      </c>
      <c r="P375" s="60">
        <f t="shared" si="26"/>
        <v>2.1916476958703964E-2</v>
      </c>
    </row>
    <row r="376" spans="1:26" ht="17.25" customHeight="1" x14ac:dyDescent="0.2">
      <c r="A376" s="52">
        <v>1821</v>
      </c>
      <c r="B376" s="53" t="s">
        <v>31</v>
      </c>
      <c r="C376" s="53" t="s">
        <v>95</v>
      </c>
      <c r="D376" s="54">
        <v>236.57300000000001</v>
      </c>
      <c r="E376" s="62">
        <v>980</v>
      </c>
      <c r="F376" s="54">
        <f t="shared" si="28"/>
        <v>235.55139489999999</v>
      </c>
      <c r="G376" s="69">
        <v>25569.041962604166</v>
      </c>
      <c r="H376" s="69">
        <v>25569.041962604166</v>
      </c>
      <c r="I376" s="62">
        <v>43</v>
      </c>
      <c r="J376" s="62">
        <v>1164</v>
      </c>
      <c r="K376" s="57" t="s">
        <v>384</v>
      </c>
      <c r="L376" s="52">
        <v>12929</v>
      </c>
      <c r="M376" s="58">
        <f t="shared" si="27"/>
        <v>113.70576062803502</v>
      </c>
      <c r="N376" s="58">
        <v>4683.84</v>
      </c>
      <c r="O376" s="60">
        <f t="shared" si="25"/>
        <v>2.7603419416547106</v>
      </c>
      <c r="P376" s="60">
        <f t="shared" si="26"/>
        <v>2.4276183778274882E-2</v>
      </c>
    </row>
    <row r="377" spans="1:26" ht="17.25" customHeight="1" x14ac:dyDescent="0.2">
      <c r="A377" s="52">
        <v>1822</v>
      </c>
      <c r="B377" s="53" t="s">
        <v>31</v>
      </c>
      <c r="C377" s="53" t="s">
        <v>95</v>
      </c>
      <c r="D377" s="54">
        <v>234.566</v>
      </c>
      <c r="E377" s="62">
        <v>980</v>
      </c>
      <c r="F377" s="54">
        <f t="shared" si="28"/>
        <v>233.55784179999998</v>
      </c>
      <c r="G377" s="69">
        <v>25569.041962604166</v>
      </c>
      <c r="H377" s="69">
        <v>25569.041962604166</v>
      </c>
      <c r="I377" s="62">
        <v>43</v>
      </c>
      <c r="J377" s="62">
        <v>828</v>
      </c>
      <c r="K377" s="57" t="s">
        <v>384</v>
      </c>
      <c r="L377" s="52">
        <v>10644</v>
      </c>
      <c r="M377" s="58">
        <f t="shared" si="27"/>
        <v>103.16976301223144</v>
      </c>
      <c r="N377" s="58">
        <v>3288.84</v>
      </c>
      <c r="O377" s="60">
        <f t="shared" si="25"/>
        <v>3.2363994599919725</v>
      </c>
      <c r="P377" s="60">
        <f t="shared" si="26"/>
        <v>3.1369651005288018E-2</v>
      </c>
    </row>
    <row r="378" spans="1:26" ht="17.25" customHeight="1" x14ac:dyDescent="0.2">
      <c r="A378" s="52">
        <v>1823</v>
      </c>
      <c r="B378" s="53" t="s">
        <v>31</v>
      </c>
      <c r="C378" s="53" t="s">
        <v>95</v>
      </c>
      <c r="D378" s="54">
        <v>232.55799999999999</v>
      </c>
      <c r="E378" s="62">
        <v>980</v>
      </c>
      <c r="F378" s="54">
        <f t="shared" si="28"/>
        <v>231.56329539999999</v>
      </c>
      <c r="G378" s="69">
        <v>25569.041962604166</v>
      </c>
      <c r="H378" s="69">
        <v>25569.041962604166</v>
      </c>
      <c r="I378" s="62">
        <v>43</v>
      </c>
      <c r="J378" s="62">
        <v>761</v>
      </c>
      <c r="K378" s="57" t="s">
        <v>384</v>
      </c>
      <c r="L378" s="52">
        <v>10874</v>
      </c>
      <c r="M378" s="58">
        <f t="shared" si="27"/>
        <v>104.27847332982968</v>
      </c>
      <c r="N378" s="58">
        <v>2969.95</v>
      </c>
      <c r="O378" s="60">
        <f t="shared" si="25"/>
        <v>3.661341100018519</v>
      </c>
      <c r="P378" s="60">
        <f t="shared" si="26"/>
        <v>3.5111188178194815E-2</v>
      </c>
    </row>
    <row r="379" spans="1:26" ht="17.25" customHeight="1" x14ac:dyDescent="0.2">
      <c r="A379" s="52">
        <v>1824</v>
      </c>
      <c r="B379" s="53" t="s">
        <v>31</v>
      </c>
      <c r="C379" s="53" t="s">
        <v>95</v>
      </c>
      <c r="D379" s="54">
        <v>230.55799999999999</v>
      </c>
      <c r="E379" s="62">
        <v>980</v>
      </c>
      <c r="F379" s="54">
        <f t="shared" si="28"/>
        <v>229.57669539999998</v>
      </c>
      <c r="G379" s="69">
        <v>25569.041962604166</v>
      </c>
      <c r="H379" s="69">
        <v>25569.041962604166</v>
      </c>
      <c r="I379" s="62">
        <v>43</v>
      </c>
      <c r="J379" s="62">
        <v>915</v>
      </c>
      <c r="K379" s="57" t="s">
        <v>384</v>
      </c>
      <c r="L379" s="52">
        <v>13228</v>
      </c>
      <c r="M379" s="58">
        <f t="shared" si="27"/>
        <v>115.013042738639</v>
      </c>
      <c r="N379" s="58">
        <v>3664.18</v>
      </c>
      <c r="O379" s="60">
        <f t="shared" si="25"/>
        <v>3.6100846574131187</v>
      </c>
      <c r="P379" s="60">
        <f t="shared" si="26"/>
        <v>3.1388480570997877E-2</v>
      </c>
    </row>
    <row r="380" spans="1:26" ht="17.25" customHeight="1" x14ac:dyDescent="0.2">
      <c r="A380" s="52">
        <v>1825</v>
      </c>
      <c r="B380" s="53" t="s">
        <v>31</v>
      </c>
      <c r="C380" s="53" t="s">
        <v>95</v>
      </c>
      <c r="D380" s="54">
        <v>228.55</v>
      </c>
      <c r="E380" s="62">
        <v>980</v>
      </c>
      <c r="F380" s="54">
        <f t="shared" si="28"/>
        <v>227.58214899999999</v>
      </c>
      <c r="G380" s="69">
        <v>25569.041962604166</v>
      </c>
      <c r="H380" s="69">
        <v>25569.041962604166</v>
      </c>
      <c r="I380" s="62">
        <v>43</v>
      </c>
      <c r="J380" s="62">
        <v>796</v>
      </c>
      <c r="K380" s="57" t="s">
        <v>384</v>
      </c>
      <c r="L380" s="52">
        <v>10638</v>
      </c>
      <c r="M380" s="58">
        <f t="shared" si="27"/>
        <v>103.14068062602651</v>
      </c>
      <c r="N380" s="58">
        <v>3117.68</v>
      </c>
      <c r="O380" s="60">
        <f t="shared" si="25"/>
        <v>3.4121526263118733</v>
      </c>
      <c r="P380" s="60">
        <f t="shared" si="26"/>
        <v>3.3082510272390529E-2</v>
      </c>
    </row>
    <row r="381" spans="1:26" ht="17.25" customHeight="1" x14ac:dyDescent="0.2">
      <c r="A381" s="52">
        <v>1826</v>
      </c>
      <c r="B381" s="53" t="s">
        <v>31</v>
      </c>
      <c r="C381" s="53" t="s">
        <v>95</v>
      </c>
      <c r="D381" s="54">
        <v>227.55</v>
      </c>
      <c r="E381" s="62">
        <v>980</v>
      </c>
      <c r="F381" s="54">
        <f t="shared" si="28"/>
        <v>226.58884899999998</v>
      </c>
      <c r="G381" s="69">
        <v>25569.041962604166</v>
      </c>
      <c r="H381" s="69">
        <v>25569.041962604166</v>
      </c>
      <c r="I381" s="62">
        <v>42</v>
      </c>
      <c r="J381" s="62">
        <v>1020</v>
      </c>
      <c r="K381" s="57" t="s">
        <v>384</v>
      </c>
      <c r="L381" s="52">
        <v>10481</v>
      </c>
      <c r="M381" s="58">
        <f t="shared" si="27"/>
        <v>102.37675517420935</v>
      </c>
      <c r="N381" s="58">
        <v>3955.09</v>
      </c>
      <c r="O381" s="60">
        <f t="shared" si="25"/>
        <v>2.6500029076455909</v>
      </c>
      <c r="P381" s="60">
        <f t="shared" si="26"/>
        <v>2.5884810503480161E-2</v>
      </c>
    </row>
    <row r="382" spans="1:26" ht="17.25" customHeight="1" x14ac:dyDescent="0.2">
      <c r="A382" s="52">
        <v>1827</v>
      </c>
      <c r="B382" s="53" t="s">
        <v>31</v>
      </c>
      <c r="C382" s="53" t="s">
        <v>95</v>
      </c>
      <c r="D382" s="54">
        <v>226.536</v>
      </c>
      <c r="E382" s="62">
        <v>980</v>
      </c>
      <c r="F382" s="54">
        <f t="shared" si="28"/>
        <v>225.5816428</v>
      </c>
      <c r="G382" s="69">
        <v>25569.041962604166</v>
      </c>
      <c r="H382" s="69">
        <v>25569.041962604166</v>
      </c>
      <c r="I382" s="62">
        <v>43</v>
      </c>
      <c r="J382" s="62">
        <v>1099</v>
      </c>
      <c r="K382" s="57" t="s">
        <v>384</v>
      </c>
      <c r="L382" s="52">
        <v>5147</v>
      </c>
      <c r="M382" s="58">
        <f t="shared" si="27"/>
        <v>71.742595436741766</v>
      </c>
      <c r="N382" s="58">
        <v>4351.5600000000004</v>
      </c>
      <c r="O382" s="60">
        <f t="shared" si="25"/>
        <v>1.1827942163270182</v>
      </c>
      <c r="P382" s="60">
        <f t="shared" si="26"/>
        <v>1.648663822554251E-2</v>
      </c>
    </row>
    <row r="383" spans="1:26" ht="17.25" customHeight="1" x14ac:dyDescent="0.2">
      <c r="A383" s="52">
        <v>1828</v>
      </c>
      <c r="B383" s="53" t="s">
        <v>31</v>
      </c>
      <c r="C383" s="53" t="s">
        <v>95</v>
      </c>
      <c r="D383" s="54">
        <v>225.536</v>
      </c>
      <c r="E383" s="62">
        <v>980</v>
      </c>
      <c r="F383" s="54">
        <f t="shared" si="28"/>
        <v>224.58834279999999</v>
      </c>
      <c r="G383" s="69">
        <v>25569.041962604166</v>
      </c>
      <c r="H383" s="69">
        <v>25569.041962604166</v>
      </c>
      <c r="I383" s="62">
        <v>44</v>
      </c>
      <c r="J383" s="62">
        <v>1580</v>
      </c>
      <c r="K383" s="57" t="s">
        <v>384</v>
      </c>
      <c r="L383" s="52">
        <v>2588</v>
      </c>
      <c r="M383" s="58">
        <f t="shared" si="27"/>
        <v>50.872389367907616</v>
      </c>
      <c r="N383" s="58">
        <v>6530.69</v>
      </c>
      <c r="O383" s="60">
        <f t="shared" si="25"/>
        <v>0.3962827817581297</v>
      </c>
      <c r="P383" s="60">
        <f t="shared" si="26"/>
        <v>7.7897418753466504E-3</v>
      </c>
    </row>
    <row r="384" spans="1:26" ht="17.25" customHeight="1" x14ac:dyDescent="0.2">
      <c r="A384" s="52">
        <v>1829</v>
      </c>
      <c r="B384" s="53" t="s">
        <v>31</v>
      </c>
      <c r="C384" s="53" t="s">
        <v>95</v>
      </c>
      <c r="D384" s="54">
        <v>223.52799999999999</v>
      </c>
      <c r="E384" s="62">
        <v>980</v>
      </c>
      <c r="F384" s="54">
        <f t="shared" si="28"/>
        <v>222.59379639999997</v>
      </c>
      <c r="G384" s="69">
        <v>25569.041962604166</v>
      </c>
      <c r="H384" s="69">
        <v>25569.041962604166</v>
      </c>
      <c r="I384" s="62">
        <v>43</v>
      </c>
      <c r="J384" s="62">
        <v>937</v>
      </c>
      <c r="K384" s="57" t="s">
        <v>384</v>
      </c>
      <c r="L384" s="52">
        <v>515</v>
      </c>
      <c r="M384" s="58">
        <f t="shared" si="27"/>
        <v>22.693611435820433</v>
      </c>
      <c r="N384" s="58">
        <v>3752.96</v>
      </c>
      <c r="O384" s="60">
        <f t="shared" si="25"/>
        <v>0.137225017053206</v>
      </c>
      <c r="P384" s="60">
        <f t="shared" si="26"/>
        <v>6.0468567306393977E-3</v>
      </c>
    </row>
    <row r="385" spans="1:16" ht="17.25" customHeight="1" x14ac:dyDescent="0.2">
      <c r="A385" s="52">
        <v>1830</v>
      </c>
      <c r="B385" s="53" t="s">
        <v>31</v>
      </c>
      <c r="C385" s="53" t="s">
        <v>95</v>
      </c>
      <c r="D385" s="54">
        <v>221.52099999999999</v>
      </c>
      <c r="E385" s="62">
        <v>980</v>
      </c>
      <c r="F385" s="54">
        <f t="shared" si="28"/>
        <v>220.60024329999996</v>
      </c>
      <c r="G385" s="69">
        <v>25569.041962604166</v>
      </c>
      <c r="H385" s="69">
        <v>25569.041962604166</v>
      </c>
      <c r="I385" s="62">
        <v>43</v>
      </c>
      <c r="J385" s="62">
        <v>1084</v>
      </c>
      <c r="K385" s="57" t="s">
        <v>384</v>
      </c>
      <c r="L385" s="52">
        <v>352</v>
      </c>
      <c r="M385" s="58">
        <f t="shared" si="27"/>
        <v>18.761663039293719</v>
      </c>
      <c r="N385" s="58">
        <v>4416.6099999999997</v>
      </c>
      <c r="O385" s="60">
        <f t="shared" si="25"/>
        <v>7.9699135762496584E-2</v>
      </c>
      <c r="P385" s="60">
        <f t="shared" si="26"/>
        <v>4.2479782093718301E-3</v>
      </c>
    </row>
    <row r="386" spans="1:16" ht="17.25" customHeight="1" x14ac:dyDescent="0.2">
      <c r="A386" s="52">
        <v>1831</v>
      </c>
      <c r="B386" s="53" t="s">
        <v>31</v>
      </c>
      <c r="C386" s="53" t="s">
        <v>95</v>
      </c>
      <c r="D386" s="54">
        <v>219.51300000000001</v>
      </c>
      <c r="E386" s="62">
        <v>980</v>
      </c>
      <c r="F386" s="54">
        <f t="shared" si="28"/>
        <v>218.6056969</v>
      </c>
      <c r="G386" s="69">
        <v>25569.041962604166</v>
      </c>
      <c r="H386" s="69">
        <v>25569.041962604166</v>
      </c>
      <c r="I386" s="62">
        <v>43</v>
      </c>
      <c r="J386" s="62">
        <v>805</v>
      </c>
      <c r="K386" s="57" t="s">
        <v>384</v>
      </c>
      <c r="L386" s="52">
        <v>185</v>
      </c>
      <c r="M386" s="58">
        <f t="shared" si="27"/>
        <v>13.601470508735444</v>
      </c>
      <c r="N386" s="58">
        <v>3185.83</v>
      </c>
      <c r="O386" s="60">
        <f t="shared" si="25"/>
        <v>5.8069639622955402E-2</v>
      </c>
      <c r="P386" s="60">
        <f t="shared" si="26"/>
        <v>4.2693648150514763E-3</v>
      </c>
    </row>
    <row r="387" spans="1:16" ht="17.25" customHeight="1" x14ac:dyDescent="0.2">
      <c r="A387" s="52">
        <v>1832</v>
      </c>
      <c r="B387" s="53" t="s">
        <v>385</v>
      </c>
      <c r="C387" s="53" t="s">
        <v>95</v>
      </c>
      <c r="D387" s="54">
        <v>246.06700000000001</v>
      </c>
      <c r="E387" s="62">
        <v>980</v>
      </c>
      <c r="F387" s="54">
        <f t="shared" si="28"/>
        <v>244.9817851</v>
      </c>
      <c r="G387" s="69">
        <v>25569.041962604166</v>
      </c>
      <c r="H387" s="69">
        <v>25569.041962604166</v>
      </c>
      <c r="I387" s="62">
        <v>44</v>
      </c>
      <c r="J387" s="62">
        <v>23490</v>
      </c>
      <c r="K387" s="57" t="s">
        <v>384</v>
      </c>
      <c r="L387" s="52">
        <v>93302</v>
      </c>
      <c r="M387" s="58">
        <f t="shared" si="27"/>
        <v>305.45376082150307</v>
      </c>
      <c r="N387" s="58">
        <v>104852.35</v>
      </c>
      <c r="O387" s="60">
        <f t="shared" si="25"/>
        <v>0.88984176320320907</v>
      </c>
      <c r="P387" s="60">
        <f t="shared" si="26"/>
        <v>2.9131799222573748E-3</v>
      </c>
    </row>
    <row r="388" spans="1:16" ht="17.25" customHeight="1" x14ac:dyDescent="0.2">
      <c r="A388" s="52">
        <v>1833</v>
      </c>
      <c r="B388" s="53" t="s">
        <v>157</v>
      </c>
      <c r="C388" s="53" t="s">
        <v>95</v>
      </c>
      <c r="D388" s="54">
        <v>231.202</v>
      </c>
      <c r="E388" s="62">
        <v>2838</v>
      </c>
      <c r="F388" s="54">
        <f t="shared" si="28"/>
        <v>232.06193199999998</v>
      </c>
      <c r="G388" s="69">
        <v>25569.041962604166</v>
      </c>
      <c r="H388" s="69">
        <v>25569.041962604166</v>
      </c>
      <c r="I388" s="59" t="s">
        <v>408</v>
      </c>
      <c r="J388" s="62">
        <v>152595</v>
      </c>
      <c r="K388" s="57" t="s">
        <v>384</v>
      </c>
      <c r="L388" s="52">
        <v>15266107</v>
      </c>
      <c r="M388" s="58">
        <f t="shared" si="27"/>
        <v>3907.1865837197997</v>
      </c>
      <c r="N388" s="58">
        <v>4198498.1100000003</v>
      </c>
      <c r="O388" s="60">
        <f t="shared" si="25"/>
        <v>3.6360876199132073</v>
      </c>
      <c r="P388" s="60">
        <f t="shared" si="26"/>
        <v>9.3061530131778461E-4</v>
      </c>
    </row>
    <row r="389" spans="1:16" ht="17.25" customHeight="1" x14ac:dyDescent="0.2">
      <c r="A389" s="52">
        <v>1834</v>
      </c>
      <c r="B389" s="53" t="s">
        <v>157</v>
      </c>
      <c r="C389" s="53" t="s">
        <v>95</v>
      </c>
      <c r="D389" s="54">
        <v>229.202</v>
      </c>
      <c r="E389" s="62">
        <v>2838</v>
      </c>
      <c r="F389" s="54">
        <f t="shared" si="28"/>
        <v>230.07533199999997</v>
      </c>
      <c r="G389" s="69">
        <v>25569.041962604166</v>
      </c>
      <c r="H389" s="69">
        <v>25569.041962604166</v>
      </c>
      <c r="I389" s="62">
        <v>302</v>
      </c>
      <c r="J389" s="62">
        <v>145734</v>
      </c>
      <c r="K389" s="57" t="s">
        <v>384</v>
      </c>
      <c r="L389" s="52">
        <v>16363917</v>
      </c>
      <c r="M389" s="58">
        <f t="shared" si="27"/>
        <v>4045.2338622136544</v>
      </c>
      <c r="N389" s="58">
        <v>4288176.43</v>
      </c>
      <c r="O389" s="60">
        <f t="shared" si="25"/>
        <v>3.8160549751447612</v>
      </c>
      <c r="P389" s="60">
        <f t="shared" si="26"/>
        <v>9.4334594862125452E-4</v>
      </c>
    </row>
    <row r="390" spans="1:16" ht="17.25" customHeight="1" x14ac:dyDescent="0.2">
      <c r="A390" s="52">
        <v>1835</v>
      </c>
      <c r="B390" s="53" t="s">
        <v>157</v>
      </c>
      <c r="C390" s="53" t="s">
        <v>95</v>
      </c>
      <c r="D390" s="54">
        <v>227.19399999999999</v>
      </c>
      <c r="E390" s="62">
        <v>2842</v>
      </c>
      <c r="F390" s="54">
        <f t="shared" si="28"/>
        <v>228.0847588</v>
      </c>
      <c r="G390" s="69">
        <v>25569.041962604166</v>
      </c>
      <c r="H390" s="69">
        <v>25569.041962604166</v>
      </c>
      <c r="I390" s="59" t="s">
        <v>409</v>
      </c>
      <c r="J390" s="62">
        <v>471866</v>
      </c>
      <c r="K390" s="57" t="s">
        <v>384</v>
      </c>
      <c r="L390" s="52">
        <v>52468535</v>
      </c>
      <c r="M390" s="58">
        <f t="shared" si="27"/>
        <v>7243.5167563829109</v>
      </c>
      <c r="N390" s="58">
        <v>13927879.16</v>
      </c>
      <c r="O390" s="60">
        <f t="shared" si="25"/>
        <v>3.7671589764137501</v>
      </c>
      <c r="P390" s="60">
        <f t="shared" si="26"/>
        <v>5.2007320520024603E-4</v>
      </c>
    </row>
    <row r="391" spans="1:16" ht="17.25" customHeight="1" x14ac:dyDescent="0.2">
      <c r="A391" s="52">
        <v>1836</v>
      </c>
      <c r="B391" s="53" t="s">
        <v>32</v>
      </c>
      <c r="C391" s="53" t="s">
        <v>95</v>
      </c>
      <c r="D391" s="54">
        <v>260.11900000000003</v>
      </c>
      <c r="E391" s="62">
        <v>854</v>
      </c>
      <c r="F391" s="54">
        <f t="shared" si="28"/>
        <v>258.81448089999998</v>
      </c>
      <c r="G391" s="69">
        <v>25569.041962604166</v>
      </c>
      <c r="H391" s="69">
        <v>25569.041962604166</v>
      </c>
      <c r="I391" s="62">
        <v>40</v>
      </c>
      <c r="J391" s="62">
        <v>1864</v>
      </c>
      <c r="K391" s="57" t="s">
        <v>384</v>
      </c>
      <c r="L391" s="52">
        <v>1980</v>
      </c>
      <c r="M391" s="58">
        <f t="shared" si="27"/>
        <v>44.497190922573978</v>
      </c>
      <c r="N391" s="58">
        <v>7146.43</v>
      </c>
      <c r="O391" s="60">
        <f t="shared" ref="O391:O454" si="29">L391/N391</f>
        <v>0.27706141388077682</v>
      </c>
      <c r="P391" s="60">
        <f t="shared" ref="P391:P454" si="30">M391/N391</f>
        <v>6.2264922377430372E-3</v>
      </c>
    </row>
    <row r="392" spans="1:16" ht="17.25" customHeight="1" x14ac:dyDescent="0.2">
      <c r="A392" s="52">
        <v>1837</v>
      </c>
      <c r="B392" s="53" t="s">
        <v>32</v>
      </c>
      <c r="C392" s="53" t="s">
        <v>95</v>
      </c>
      <c r="D392" s="54">
        <v>258.11900000000003</v>
      </c>
      <c r="E392" s="62">
        <v>854</v>
      </c>
      <c r="F392" s="54">
        <f t="shared" si="28"/>
        <v>256.82788089999997</v>
      </c>
      <c r="G392" s="69">
        <v>25569.041962604166</v>
      </c>
      <c r="H392" s="69">
        <v>25569.041962604166</v>
      </c>
      <c r="I392" s="62">
        <v>39</v>
      </c>
      <c r="J392" s="62">
        <v>1839</v>
      </c>
      <c r="K392" s="57" t="s">
        <v>384</v>
      </c>
      <c r="L392" s="52">
        <v>1875</v>
      </c>
      <c r="M392" s="58">
        <f t="shared" si="27"/>
        <v>43.301270189221931</v>
      </c>
      <c r="N392" s="58">
        <v>6799.31</v>
      </c>
      <c r="O392" s="60">
        <f t="shared" si="29"/>
        <v>0.27576327597947436</v>
      </c>
      <c r="P392" s="60">
        <f t="shared" si="30"/>
        <v>6.3684800647745036E-3</v>
      </c>
    </row>
    <row r="393" spans="1:16" ht="17.25" customHeight="1" x14ac:dyDescent="0.2">
      <c r="A393" s="52">
        <v>1838</v>
      </c>
      <c r="B393" s="53" t="s">
        <v>32</v>
      </c>
      <c r="C393" s="53" t="s">
        <v>95</v>
      </c>
      <c r="D393" s="54">
        <v>254.11699999999999</v>
      </c>
      <c r="E393" s="62">
        <v>854</v>
      </c>
      <c r="F393" s="54">
        <f t="shared" si="28"/>
        <v>252.8526943</v>
      </c>
      <c r="G393" s="69">
        <v>25569.041962604166</v>
      </c>
      <c r="H393" s="69">
        <v>25569.041962604166</v>
      </c>
      <c r="I393" s="62">
        <v>38</v>
      </c>
      <c r="J393" s="62">
        <v>2060</v>
      </c>
      <c r="K393" s="57" t="s">
        <v>384</v>
      </c>
      <c r="L393" s="52">
        <v>2573</v>
      </c>
      <c r="M393" s="58">
        <f t="shared" si="27"/>
        <v>50.724747411889595</v>
      </c>
      <c r="N393" s="58">
        <v>7437.03</v>
      </c>
      <c r="O393" s="60">
        <f t="shared" si="29"/>
        <v>0.34597144290126569</v>
      </c>
      <c r="P393" s="60">
        <f t="shared" si="30"/>
        <v>6.820565119663306E-3</v>
      </c>
    </row>
    <row r="394" spans="1:16" ht="17.25" customHeight="1" x14ac:dyDescent="0.2">
      <c r="A394" s="52">
        <v>1839</v>
      </c>
      <c r="B394" s="53" t="s">
        <v>32</v>
      </c>
      <c r="C394" s="53" t="s">
        <v>95</v>
      </c>
      <c r="D394" s="54">
        <v>250.10900000000001</v>
      </c>
      <c r="E394" s="62">
        <v>854</v>
      </c>
      <c r="F394" s="54">
        <f t="shared" si="28"/>
        <v>248.87154790000002</v>
      </c>
      <c r="G394" s="69">
        <v>25569.041962604166</v>
      </c>
      <c r="H394" s="69">
        <v>25569.041962604166</v>
      </c>
      <c r="I394" s="62">
        <v>37</v>
      </c>
      <c r="J394" s="62">
        <v>1411</v>
      </c>
      <c r="K394" s="57" t="s">
        <v>384</v>
      </c>
      <c r="L394" s="52">
        <v>2593</v>
      </c>
      <c r="M394" s="58">
        <f t="shared" si="27"/>
        <v>50.921508225896062</v>
      </c>
      <c r="N394" s="58">
        <v>4961.6099999999997</v>
      </c>
      <c r="O394" s="60">
        <f t="shared" si="29"/>
        <v>0.52261261969401063</v>
      </c>
      <c r="P394" s="60">
        <f t="shared" si="30"/>
        <v>1.0263101740341556E-2</v>
      </c>
    </row>
    <row r="395" spans="1:16" ht="17.25" customHeight="1" x14ac:dyDescent="0.2">
      <c r="A395" s="52">
        <v>1840</v>
      </c>
      <c r="B395" s="53" t="s">
        <v>32</v>
      </c>
      <c r="C395" s="53" t="s">
        <v>95</v>
      </c>
      <c r="D395" s="54">
        <v>248.108</v>
      </c>
      <c r="E395" s="62">
        <v>854</v>
      </c>
      <c r="F395" s="54">
        <f t="shared" si="28"/>
        <v>246.88395460000001</v>
      </c>
      <c r="G395" s="69">
        <v>25569.041962604166</v>
      </c>
      <c r="H395" s="69">
        <v>25569.041962604166</v>
      </c>
      <c r="I395" s="62">
        <v>36</v>
      </c>
      <c r="J395" s="62">
        <v>3987</v>
      </c>
      <c r="K395" s="57" t="s">
        <v>384</v>
      </c>
      <c r="L395" s="52">
        <v>9232</v>
      </c>
      <c r="M395" s="58">
        <f t="shared" si="27"/>
        <v>96.083297195714508</v>
      </c>
      <c r="N395" s="58">
        <v>14074.88</v>
      </c>
      <c r="O395" s="60">
        <f t="shared" si="29"/>
        <v>0.65592033466715172</v>
      </c>
      <c r="P395" s="60">
        <f t="shared" si="30"/>
        <v>6.8265802049974501E-3</v>
      </c>
    </row>
    <row r="396" spans="1:16" ht="17.25" customHeight="1" x14ac:dyDescent="0.2">
      <c r="A396" s="52">
        <v>1841</v>
      </c>
      <c r="B396" s="53" t="s">
        <v>32</v>
      </c>
      <c r="C396" s="53" t="s">
        <v>95</v>
      </c>
      <c r="D396" s="54">
        <v>246.101</v>
      </c>
      <c r="E396" s="62">
        <v>854</v>
      </c>
      <c r="F396" s="54">
        <f t="shared" si="28"/>
        <v>244.8904015</v>
      </c>
      <c r="G396" s="69">
        <v>25569.041962604166</v>
      </c>
      <c r="H396" s="69">
        <v>25569.041962604166</v>
      </c>
      <c r="I396" s="62">
        <v>36</v>
      </c>
      <c r="J396" s="62">
        <v>1798</v>
      </c>
      <c r="K396" s="57" t="s">
        <v>384</v>
      </c>
      <c r="L396" s="52">
        <v>5229</v>
      </c>
      <c r="M396" s="58">
        <f t="shared" si="27"/>
        <v>72.311824759163699</v>
      </c>
      <c r="N396" s="58">
        <v>6148.32</v>
      </c>
      <c r="O396" s="60">
        <f t="shared" si="29"/>
        <v>0.85047622765243192</v>
      </c>
      <c r="P396" s="60">
        <f t="shared" si="30"/>
        <v>1.1761233110697508E-2</v>
      </c>
    </row>
    <row r="397" spans="1:16" ht="17.25" customHeight="1" x14ac:dyDescent="0.2">
      <c r="A397" s="52">
        <v>1842</v>
      </c>
      <c r="B397" s="53" t="s">
        <v>32</v>
      </c>
      <c r="C397" s="53" t="s">
        <v>95</v>
      </c>
      <c r="D397" s="54">
        <v>244.09299999999999</v>
      </c>
      <c r="E397" s="62">
        <v>854</v>
      </c>
      <c r="F397" s="54">
        <f t="shared" si="28"/>
        <v>242.89585510000001</v>
      </c>
      <c r="G397" s="69">
        <v>25569.041962604166</v>
      </c>
      <c r="H397" s="69">
        <v>25569.041962604166</v>
      </c>
      <c r="I397" s="62">
        <v>35</v>
      </c>
      <c r="J397" s="62">
        <v>1355</v>
      </c>
      <c r="K397" s="57" t="s">
        <v>384</v>
      </c>
      <c r="L397" s="52">
        <v>5206</v>
      </c>
      <c r="M397" s="58">
        <f t="shared" si="27"/>
        <v>72.15261603018979</v>
      </c>
      <c r="N397" s="58">
        <v>4523.74</v>
      </c>
      <c r="O397" s="60">
        <f t="shared" si="29"/>
        <v>1.1508176862507571</v>
      </c>
      <c r="P397" s="60">
        <f t="shared" si="30"/>
        <v>1.5949770771571708E-2</v>
      </c>
    </row>
    <row r="398" spans="1:16" ht="17.25" customHeight="1" x14ac:dyDescent="0.2">
      <c r="A398" s="52">
        <v>1843</v>
      </c>
      <c r="B398" s="53" t="s">
        <v>32</v>
      </c>
      <c r="C398" s="53" t="s">
        <v>95</v>
      </c>
      <c r="D398" s="54">
        <v>242.09899999999999</v>
      </c>
      <c r="E398" s="62">
        <v>854</v>
      </c>
      <c r="F398" s="54">
        <f t="shared" si="28"/>
        <v>240.9152149</v>
      </c>
      <c r="G398" s="69">
        <v>25569.041962604166</v>
      </c>
      <c r="H398" s="69">
        <v>25569.041962604166</v>
      </c>
      <c r="I398" s="62">
        <v>35</v>
      </c>
      <c r="J398" s="62">
        <v>2013</v>
      </c>
      <c r="K398" s="57" t="s">
        <v>384</v>
      </c>
      <c r="L398" s="52">
        <v>10314</v>
      </c>
      <c r="M398" s="58">
        <f t="shared" si="27"/>
        <v>101.55786527886454</v>
      </c>
      <c r="N398" s="58">
        <v>6818.99</v>
      </c>
      <c r="O398" s="60">
        <f t="shared" si="29"/>
        <v>1.5125407135074256</v>
      </c>
      <c r="P398" s="60">
        <f t="shared" si="30"/>
        <v>1.4893388211284156E-2</v>
      </c>
    </row>
    <row r="399" spans="1:16" ht="17.25" customHeight="1" x14ac:dyDescent="0.2">
      <c r="A399" s="52">
        <v>1844</v>
      </c>
      <c r="B399" s="53" t="s">
        <v>32</v>
      </c>
      <c r="C399" s="53" t="s">
        <v>95</v>
      </c>
      <c r="D399" s="54">
        <v>240.09200000000001</v>
      </c>
      <c r="E399" s="62">
        <v>854</v>
      </c>
      <c r="F399" s="54">
        <f t="shared" si="28"/>
        <v>238.92166180000001</v>
      </c>
      <c r="G399" s="69">
        <v>25569.041962604166</v>
      </c>
      <c r="H399" s="69">
        <v>25569.041962604166</v>
      </c>
      <c r="I399" s="62">
        <v>35</v>
      </c>
      <c r="J399" s="62">
        <v>1894</v>
      </c>
      <c r="K399" s="57" t="s">
        <v>384</v>
      </c>
      <c r="L399" s="52">
        <v>10337</v>
      </c>
      <c r="M399" s="58">
        <f t="shared" si="27"/>
        <v>101.67103815738285</v>
      </c>
      <c r="N399" s="58">
        <v>6226.69</v>
      </c>
      <c r="O399" s="60">
        <f t="shared" si="29"/>
        <v>1.6601115520445053</v>
      </c>
      <c r="P399" s="60">
        <f t="shared" si="30"/>
        <v>1.63282639985904E-2</v>
      </c>
    </row>
    <row r="400" spans="1:16" ht="17.25" customHeight="1" x14ac:dyDescent="0.2">
      <c r="A400" s="52">
        <v>1845</v>
      </c>
      <c r="B400" s="53" t="s">
        <v>32</v>
      </c>
      <c r="C400" s="53" t="s">
        <v>95</v>
      </c>
      <c r="D400" s="54">
        <v>238.084</v>
      </c>
      <c r="E400" s="62">
        <v>854</v>
      </c>
      <c r="F400" s="54">
        <f t="shared" si="28"/>
        <v>236.92711540000002</v>
      </c>
      <c r="G400" s="69">
        <v>25569.041962604166</v>
      </c>
      <c r="H400" s="69">
        <v>25569.041962604166</v>
      </c>
      <c r="I400" s="62">
        <v>35</v>
      </c>
      <c r="J400" s="62">
        <v>1438</v>
      </c>
      <c r="K400" s="57" t="s">
        <v>384</v>
      </c>
      <c r="L400" s="52">
        <v>10567</v>
      </c>
      <c r="M400" s="58">
        <f t="shared" si="27"/>
        <v>102.79591431569642</v>
      </c>
      <c r="N400" s="58">
        <v>4704.96</v>
      </c>
      <c r="O400" s="60">
        <f t="shared" si="29"/>
        <v>2.2459277018295585</v>
      </c>
      <c r="P400" s="60">
        <f t="shared" si="30"/>
        <v>2.1848414081245413E-2</v>
      </c>
    </row>
    <row r="401" spans="1:16" ht="17.25" customHeight="1" x14ac:dyDescent="0.2">
      <c r="A401" s="52">
        <v>1846</v>
      </c>
      <c r="B401" s="53" t="s">
        <v>32</v>
      </c>
      <c r="C401" s="53" t="s">
        <v>95</v>
      </c>
      <c r="D401" s="54">
        <v>240.09200000000001</v>
      </c>
      <c r="E401" s="62">
        <v>854</v>
      </c>
      <c r="F401" s="54">
        <f t="shared" si="28"/>
        <v>238.92166180000001</v>
      </c>
      <c r="G401" s="69">
        <v>25569.041962604166</v>
      </c>
      <c r="H401" s="69">
        <v>25569.041962604166</v>
      </c>
      <c r="I401" s="62">
        <v>34</v>
      </c>
      <c r="J401" s="62">
        <v>1800</v>
      </c>
      <c r="K401" s="57" t="s">
        <v>384</v>
      </c>
      <c r="L401" s="52">
        <v>10297</v>
      </c>
      <c r="M401" s="58">
        <f t="shared" si="27"/>
        <v>101.47413463538381</v>
      </c>
      <c r="N401" s="58">
        <v>6026.06</v>
      </c>
      <c r="O401" s="60">
        <f t="shared" si="29"/>
        <v>1.7087450174741041</v>
      </c>
      <c r="P401" s="60">
        <f t="shared" si="30"/>
        <v>1.6839217438157569E-2</v>
      </c>
    </row>
    <row r="402" spans="1:16" ht="17.25" customHeight="1" x14ac:dyDescent="0.2">
      <c r="A402" s="52">
        <v>1847</v>
      </c>
      <c r="B402" s="53" t="s">
        <v>32</v>
      </c>
      <c r="C402" s="53" t="s">
        <v>95</v>
      </c>
      <c r="D402" s="54">
        <v>236.077</v>
      </c>
      <c r="E402" s="62">
        <v>854</v>
      </c>
      <c r="F402" s="54">
        <f t="shared" si="28"/>
        <v>234.93356230000001</v>
      </c>
      <c r="G402" s="69">
        <v>25569.041962604166</v>
      </c>
      <c r="H402" s="69">
        <v>25569.041962604166</v>
      </c>
      <c r="I402" s="62">
        <v>34</v>
      </c>
      <c r="J402" s="62">
        <v>1413</v>
      </c>
      <c r="K402" s="57" t="s">
        <v>384</v>
      </c>
      <c r="L402" s="52">
        <v>12684</v>
      </c>
      <c r="M402" s="58">
        <f t="shared" si="27"/>
        <v>112.6232658024087</v>
      </c>
      <c r="N402" s="58">
        <v>4585.34</v>
      </c>
      <c r="O402" s="60">
        <f t="shared" si="29"/>
        <v>2.7662070860612298</v>
      </c>
      <c r="P402" s="60">
        <f t="shared" si="30"/>
        <v>2.4561595389307814E-2</v>
      </c>
    </row>
    <row r="403" spans="1:16" ht="17.25" customHeight="1" x14ac:dyDescent="0.2">
      <c r="A403" s="52">
        <v>1848</v>
      </c>
      <c r="B403" s="53" t="s">
        <v>32</v>
      </c>
      <c r="C403" s="53" t="s">
        <v>95</v>
      </c>
      <c r="D403" s="54">
        <v>234.06899999999999</v>
      </c>
      <c r="E403" s="62">
        <v>854</v>
      </c>
      <c r="F403" s="54">
        <f t="shared" si="28"/>
        <v>232.93901589999999</v>
      </c>
      <c r="G403" s="69">
        <v>25569.041962604166</v>
      </c>
      <c r="H403" s="69">
        <v>25569.041962604166</v>
      </c>
      <c r="I403" s="62">
        <v>34</v>
      </c>
      <c r="J403" s="62">
        <v>1372</v>
      </c>
      <c r="K403" s="57" t="s">
        <v>384</v>
      </c>
      <c r="L403" s="52">
        <v>14867</v>
      </c>
      <c r="M403" s="58">
        <f t="shared" si="27"/>
        <v>121.93030796319675</v>
      </c>
      <c r="N403" s="58">
        <v>4439.9799999999996</v>
      </c>
      <c r="O403" s="60">
        <f t="shared" si="29"/>
        <v>3.3484385064797593</v>
      </c>
      <c r="P403" s="60">
        <f t="shared" si="30"/>
        <v>2.7461904775065826E-2</v>
      </c>
    </row>
    <row r="404" spans="1:16" ht="17.25" customHeight="1" x14ac:dyDescent="0.2">
      <c r="A404" s="52">
        <v>1849</v>
      </c>
      <c r="B404" s="53" t="s">
        <v>32</v>
      </c>
      <c r="C404" s="53" t="s">
        <v>95</v>
      </c>
      <c r="D404" s="54">
        <v>232.06200000000001</v>
      </c>
      <c r="E404" s="62">
        <v>854</v>
      </c>
      <c r="F404" s="54">
        <f t="shared" si="28"/>
        <v>230.94546280000003</v>
      </c>
      <c r="G404" s="69">
        <v>25569.041962604166</v>
      </c>
      <c r="H404" s="69">
        <v>25569.041962604166</v>
      </c>
      <c r="I404" s="62">
        <v>34</v>
      </c>
      <c r="J404" s="62">
        <v>1243</v>
      </c>
      <c r="K404" s="57" t="s">
        <v>384</v>
      </c>
      <c r="L404" s="52">
        <v>15605</v>
      </c>
      <c r="M404" s="58">
        <f t="shared" si="27"/>
        <v>124.91997438360288</v>
      </c>
      <c r="N404" s="58">
        <v>3960.36</v>
      </c>
      <c r="O404" s="60">
        <f t="shared" si="29"/>
        <v>3.9402983567150458</v>
      </c>
      <c r="P404" s="60">
        <f t="shared" si="30"/>
        <v>3.1542580569342907E-2</v>
      </c>
    </row>
    <row r="405" spans="1:16" ht="17.25" customHeight="1" x14ac:dyDescent="0.2">
      <c r="A405" s="52">
        <v>1850</v>
      </c>
      <c r="B405" s="53" t="s">
        <v>32</v>
      </c>
      <c r="C405" s="53" t="s">
        <v>95</v>
      </c>
      <c r="D405" s="54">
        <v>230.054</v>
      </c>
      <c r="E405" s="62">
        <v>854</v>
      </c>
      <c r="F405" s="54">
        <f t="shared" si="28"/>
        <v>228.95091640000001</v>
      </c>
      <c r="G405" s="69">
        <v>25569.041962604166</v>
      </c>
      <c r="H405" s="69">
        <v>25569.041962604166</v>
      </c>
      <c r="I405" s="62">
        <v>34</v>
      </c>
      <c r="J405" s="62">
        <v>985</v>
      </c>
      <c r="K405" s="57" t="s">
        <v>384</v>
      </c>
      <c r="L405" s="52">
        <v>13144</v>
      </c>
      <c r="M405" s="58">
        <f t="shared" si="27"/>
        <v>114.64728518373211</v>
      </c>
      <c r="N405" s="58">
        <v>3072.91</v>
      </c>
      <c r="O405" s="60">
        <f t="shared" si="29"/>
        <v>4.2773787712624189</v>
      </c>
      <c r="P405" s="60">
        <f t="shared" si="30"/>
        <v>3.7309027984461673E-2</v>
      </c>
    </row>
    <row r="406" spans="1:16" ht="17.25" customHeight="1" x14ac:dyDescent="0.2">
      <c r="A406" s="52">
        <v>1851</v>
      </c>
      <c r="B406" s="53" t="s">
        <v>32</v>
      </c>
      <c r="C406" s="53" t="s">
        <v>95</v>
      </c>
      <c r="D406" s="54">
        <v>228.047</v>
      </c>
      <c r="E406" s="62">
        <v>854</v>
      </c>
      <c r="F406" s="54">
        <f t="shared" si="28"/>
        <v>226.9573633</v>
      </c>
      <c r="G406" s="69">
        <v>25569.041962604166</v>
      </c>
      <c r="H406" s="69">
        <v>25569.041962604166</v>
      </c>
      <c r="I406" s="62">
        <v>34</v>
      </c>
      <c r="J406" s="62">
        <v>1544</v>
      </c>
      <c r="K406" s="57" t="s">
        <v>384</v>
      </c>
      <c r="L406" s="52">
        <v>15342</v>
      </c>
      <c r="M406" s="58">
        <f t="shared" si="27"/>
        <v>123.8628273534881</v>
      </c>
      <c r="N406" s="58">
        <v>4905.1099999999997</v>
      </c>
      <c r="O406" s="60">
        <f t="shared" si="29"/>
        <v>3.1277586027632411</v>
      </c>
      <c r="P406" s="60">
        <f t="shared" si="30"/>
        <v>2.5251794017562931E-2</v>
      </c>
    </row>
    <row r="407" spans="1:16" ht="17.25" customHeight="1" x14ac:dyDescent="0.2">
      <c r="A407" s="52">
        <v>1852</v>
      </c>
      <c r="B407" s="53" t="s">
        <v>32</v>
      </c>
      <c r="C407" s="53" t="s">
        <v>95</v>
      </c>
      <c r="D407" s="54">
        <v>229.06100000000001</v>
      </c>
      <c r="E407" s="62">
        <v>854</v>
      </c>
      <c r="F407" s="54">
        <f t="shared" si="28"/>
        <v>227.96456950000001</v>
      </c>
      <c r="G407" s="69">
        <v>25569.041962604166</v>
      </c>
      <c r="H407" s="69">
        <v>25569.041962604166</v>
      </c>
      <c r="I407" s="62">
        <v>33</v>
      </c>
      <c r="J407" s="62">
        <v>1294</v>
      </c>
      <c r="K407" s="57" t="s">
        <v>384</v>
      </c>
      <c r="L407" s="52">
        <v>16664</v>
      </c>
      <c r="M407" s="58">
        <f t="shared" si="27"/>
        <v>129.08911650483941</v>
      </c>
      <c r="N407" s="58">
        <v>4138.2299999999996</v>
      </c>
      <c r="O407" s="60">
        <f t="shared" si="29"/>
        <v>4.0268423939703695</v>
      </c>
      <c r="P407" s="60">
        <f t="shared" si="30"/>
        <v>3.1194282701744326E-2</v>
      </c>
    </row>
    <row r="408" spans="1:16" ht="17.25" customHeight="1" x14ac:dyDescent="0.2">
      <c r="A408" s="52">
        <v>1853</v>
      </c>
      <c r="B408" s="53" t="s">
        <v>32</v>
      </c>
      <c r="C408" s="53" t="s">
        <v>95</v>
      </c>
      <c r="D408" s="54">
        <v>230.054</v>
      </c>
      <c r="E408" s="62">
        <v>854</v>
      </c>
      <c r="F408" s="54">
        <f t="shared" si="28"/>
        <v>228.95091640000001</v>
      </c>
      <c r="G408" s="69">
        <v>25569.041962604166</v>
      </c>
      <c r="H408" s="69">
        <v>25569.041962604166</v>
      </c>
      <c r="I408" s="62">
        <v>33</v>
      </c>
      <c r="J408" s="62">
        <v>1124</v>
      </c>
      <c r="K408" s="57" t="s">
        <v>384</v>
      </c>
      <c r="L408" s="52">
        <v>14936</v>
      </c>
      <c r="M408" s="58">
        <f t="shared" si="27"/>
        <v>122.21292893961751</v>
      </c>
      <c r="N408" s="58">
        <v>3517.83</v>
      </c>
      <c r="O408" s="60">
        <f t="shared" si="29"/>
        <v>4.2457992569282768</v>
      </c>
      <c r="P408" s="60">
        <f t="shared" si="30"/>
        <v>3.474099912150886E-2</v>
      </c>
    </row>
    <row r="409" spans="1:16" ht="17.25" customHeight="1" x14ac:dyDescent="0.2">
      <c r="A409" s="52">
        <v>1854</v>
      </c>
      <c r="B409" s="53" t="s">
        <v>32</v>
      </c>
      <c r="C409" s="53" t="s">
        <v>95</v>
      </c>
      <c r="D409" s="54">
        <v>231.06100000000001</v>
      </c>
      <c r="E409" s="62">
        <v>854</v>
      </c>
      <c r="F409" s="54">
        <f t="shared" si="28"/>
        <v>229.95116950000002</v>
      </c>
      <c r="G409" s="69">
        <v>25569.041962604166</v>
      </c>
      <c r="H409" s="69">
        <v>25569.041962604166</v>
      </c>
      <c r="I409" s="62">
        <v>33</v>
      </c>
      <c r="J409" s="62">
        <v>826</v>
      </c>
      <c r="K409" s="57" t="s">
        <v>384</v>
      </c>
      <c r="L409" s="52">
        <v>10734</v>
      </c>
      <c r="M409" s="58">
        <f t="shared" si="27"/>
        <v>103.60501918343532</v>
      </c>
      <c r="N409" s="58">
        <v>2677.99</v>
      </c>
      <c r="O409" s="60">
        <f t="shared" si="29"/>
        <v>4.0082300531368675</v>
      </c>
      <c r="P409" s="60">
        <f t="shared" si="30"/>
        <v>3.8687604951263943E-2</v>
      </c>
    </row>
    <row r="410" spans="1:16" ht="17.25" customHeight="1" x14ac:dyDescent="0.2">
      <c r="A410" s="52">
        <v>1855</v>
      </c>
      <c r="B410" s="53" t="s">
        <v>32</v>
      </c>
      <c r="C410" s="53" t="s">
        <v>95</v>
      </c>
      <c r="D410" s="54">
        <v>230.06100000000001</v>
      </c>
      <c r="E410" s="62">
        <v>854</v>
      </c>
      <c r="F410" s="54">
        <f t="shared" si="28"/>
        <v>228.95786950000002</v>
      </c>
      <c r="G410" s="69">
        <v>25569.041962604166</v>
      </c>
      <c r="H410" s="69">
        <v>25569.041962604166</v>
      </c>
      <c r="I410" s="62">
        <v>33</v>
      </c>
      <c r="J410" s="62">
        <v>853</v>
      </c>
      <c r="K410" s="57" t="s">
        <v>384</v>
      </c>
      <c r="L410" s="52">
        <v>10852</v>
      </c>
      <c r="M410" s="58">
        <f t="shared" si="27"/>
        <v>104.17293314484334</v>
      </c>
      <c r="N410" s="58">
        <v>2621.7</v>
      </c>
      <c r="O410" s="60">
        <f t="shared" si="29"/>
        <v>4.1392989281763741</v>
      </c>
      <c r="P410" s="60">
        <f t="shared" si="30"/>
        <v>3.9734879332052997E-2</v>
      </c>
    </row>
    <row r="411" spans="1:16" ht="17.25" customHeight="1" x14ac:dyDescent="0.2">
      <c r="A411" s="52">
        <v>1856</v>
      </c>
      <c r="B411" s="53" t="s">
        <v>32</v>
      </c>
      <c r="C411" s="53" t="s">
        <v>95</v>
      </c>
      <c r="D411" s="54">
        <v>227.04599999999999</v>
      </c>
      <c r="E411" s="62">
        <v>854</v>
      </c>
      <c r="F411" s="54">
        <f t="shared" si="28"/>
        <v>225.96306999999999</v>
      </c>
      <c r="G411" s="69">
        <v>25569.041962604166</v>
      </c>
      <c r="H411" s="69">
        <v>25569.041962604166</v>
      </c>
      <c r="I411" s="62">
        <v>33</v>
      </c>
      <c r="J411" s="62">
        <v>2313</v>
      </c>
      <c r="K411" s="57" t="s">
        <v>384</v>
      </c>
      <c r="L411" s="52">
        <v>10822</v>
      </c>
      <c r="M411" s="58">
        <f t="shared" si="27"/>
        <v>104.02884215447176</v>
      </c>
      <c r="N411" s="58">
        <v>7988.79</v>
      </c>
      <c r="O411" s="60">
        <f t="shared" si="29"/>
        <v>1.3546482007913589</v>
      </c>
      <c r="P411" s="60">
        <f t="shared" si="30"/>
        <v>1.3021852139619611E-2</v>
      </c>
    </row>
    <row r="412" spans="1:16" ht="17.25" customHeight="1" x14ac:dyDescent="0.2">
      <c r="A412" s="52">
        <v>1857</v>
      </c>
      <c r="B412" s="53" t="s">
        <v>32</v>
      </c>
      <c r="C412" s="53" t="s">
        <v>95</v>
      </c>
      <c r="D412" s="54">
        <v>226.04599999999999</v>
      </c>
      <c r="E412" s="62">
        <v>854</v>
      </c>
      <c r="F412" s="54">
        <f t="shared" si="28"/>
        <v>224.96977000000001</v>
      </c>
      <c r="G412" s="69">
        <v>25569.041962604166</v>
      </c>
      <c r="H412" s="69">
        <v>25569.041962604166</v>
      </c>
      <c r="I412" s="62">
        <v>33</v>
      </c>
      <c r="J412" s="62">
        <v>3137</v>
      </c>
      <c r="K412" s="57" t="s">
        <v>384</v>
      </c>
      <c r="L412" s="52">
        <v>5039</v>
      </c>
      <c r="M412" s="58">
        <f t="shared" ref="M412:M475" si="31">SQRT(L412)</f>
        <v>70.985914095685203</v>
      </c>
      <c r="N412" s="58">
        <v>9834.1</v>
      </c>
      <c r="O412" s="60">
        <f t="shared" si="29"/>
        <v>0.51240072807882775</v>
      </c>
      <c r="P412" s="60">
        <f t="shared" si="30"/>
        <v>7.2183437320837898E-3</v>
      </c>
    </row>
    <row r="413" spans="1:16" ht="17.25" customHeight="1" x14ac:dyDescent="0.2">
      <c r="A413" s="52">
        <v>1858</v>
      </c>
      <c r="B413" s="53" t="s">
        <v>32</v>
      </c>
      <c r="C413" s="53" t="s">
        <v>95</v>
      </c>
      <c r="D413" s="54">
        <v>225.03899999999999</v>
      </c>
      <c r="E413" s="62">
        <v>854</v>
      </c>
      <c r="F413" s="54">
        <f t="shared" si="28"/>
        <v>223.9695169</v>
      </c>
      <c r="G413" s="69">
        <v>25569.041962604166</v>
      </c>
      <c r="H413" s="69">
        <v>25569.041962604166</v>
      </c>
      <c r="I413" s="62">
        <v>32</v>
      </c>
      <c r="J413" s="62">
        <v>2810</v>
      </c>
      <c r="K413" s="57" t="s">
        <v>384</v>
      </c>
      <c r="L413" s="52">
        <v>2112</v>
      </c>
      <c r="M413" s="58">
        <f t="shared" si="31"/>
        <v>45.956501172304229</v>
      </c>
      <c r="N413" s="58">
        <v>8650.15</v>
      </c>
      <c r="O413" s="60">
        <f t="shared" si="29"/>
        <v>0.2441576157638885</v>
      </c>
      <c r="P413" s="60">
        <f t="shared" si="30"/>
        <v>5.3127981794887057E-3</v>
      </c>
    </row>
    <row r="414" spans="1:16" ht="17.25" customHeight="1" x14ac:dyDescent="0.2">
      <c r="A414" s="52">
        <v>1859</v>
      </c>
      <c r="B414" s="53" t="s">
        <v>32</v>
      </c>
      <c r="C414" s="53" t="s">
        <v>95</v>
      </c>
      <c r="D414" s="54">
        <v>223.03100000000001</v>
      </c>
      <c r="E414" s="62">
        <v>854</v>
      </c>
      <c r="F414" s="54">
        <f t="shared" si="28"/>
        <v>221.97497050000001</v>
      </c>
      <c r="G414" s="69">
        <v>25569.041962604166</v>
      </c>
      <c r="H414" s="69">
        <v>25569.041962604166</v>
      </c>
      <c r="I414" s="62">
        <v>32</v>
      </c>
      <c r="J414" s="62">
        <v>1517</v>
      </c>
      <c r="K414" s="57" t="s">
        <v>384</v>
      </c>
      <c r="L414" s="52">
        <v>502</v>
      </c>
      <c r="M414" s="58">
        <f t="shared" si="31"/>
        <v>22.405356502408079</v>
      </c>
      <c r="N414" s="58">
        <v>4667.45</v>
      </c>
      <c r="O414" s="60">
        <f t="shared" si="29"/>
        <v>0.1075533749692016</v>
      </c>
      <c r="P414" s="60">
        <f t="shared" si="30"/>
        <v>4.8003420502432973E-3</v>
      </c>
    </row>
    <row r="415" spans="1:16" ht="17.25" customHeight="1" x14ac:dyDescent="0.2">
      <c r="A415" s="52">
        <v>1860</v>
      </c>
      <c r="B415" s="53" t="s">
        <v>32</v>
      </c>
      <c r="C415" s="53" t="s">
        <v>95</v>
      </c>
      <c r="D415" s="54">
        <v>221.03100000000001</v>
      </c>
      <c r="E415" s="62">
        <v>854</v>
      </c>
      <c r="F415" s="54">
        <f t="shared" si="28"/>
        <v>219.9883705</v>
      </c>
      <c r="G415" s="69">
        <v>25569.041962604166</v>
      </c>
      <c r="H415" s="69">
        <v>25569.041962604166</v>
      </c>
      <c r="I415" s="62">
        <v>32</v>
      </c>
      <c r="J415" s="62">
        <v>2350</v>
      </c>
      <c r="K415" s="57" t="s">
        <v>384</v>
      </c>
      <c r="L415" s="52">
        <v>548</v>
      </c>
      <c r="M415" s="58">
        <f t="shared" si="31"/>
        <v>23.409399821439251</v>
      </c>
      <c r="N415" s="58">
        <v>7421.57</v>
      </c>
      <c r="O415" s="60">
        <f t="shared" si="29"/>
        <v>7.3838823860719494E-2</v>
      </c>
      <c r="P415" s="60">
        <f t="shared" si="30"/>
        <v>3.1542382301102396E-3</v>
      </c>
    </row>
    <row r="416" spans="1:16" ht="17.25" customHeight="1" x14ac:dyDescent="0.2">
      <c r="A416" s="52">
        <v>1861</v>
      </c>
      <c r="B416" s="53" t="s">
        <v>32</v>
      </c>
      <c r="C416" s="53" t="s">
        <v>95</v>
      </c>
      <c r="D416" s="54">
        <v>219.01599999999999</v>
      </c>
      <c r="E416" s="62">
        <v>854</v>
      </c>
      <c r="F416" s="54">
        <f t="shared" si="28"/>
        <v>217.98687100000001</v>
      </c>
      <c r="G416" s="69">
        <v>25569.041962604166</v>
      </c>
      <c r="H416" s="69">
        <v>25569.041962604166</v>
      </c>
      <c r="I416" s="62">
        <v>32</v>
      </c>
      <c r="J416" s="62">
        <v>1478</v>
      </c>
      <c r="K416" s="57" t="s">
        <v>384</v>
      </c>
      <c r="L416" s="52">
        <v>259</v>
      </c>
      <c r="M416" s="58">
        <f t="shared" si="31"/>
        <v>16.093476939431081</v>
      </c>
      <c r="N416" s="58">
        <v>4466.26</v>
      </c>
      <c r="O416" s="60">
        <f t="shared" si="29"/>
        <v>5.7990354345694155E-2</v>
      </c>
      <c r="P416" s="60">
        <f t="shared" si="30"/>
        <v>3.6033452910110655E-3</v>
      </c>
    </row>
    <row r="417" spans="1:16" ht="17.25" customHeight="1" x14ac:dyDescent="0.2">
      <c r="A417" s="52">
        <v>1862</v>
      </c>
      <c r="B417" s="53" t="s">
        <v>32</v>
      </c>
      <c r="C417" s="53" t="s">
        <v>95</v>
      </c>
      <c r="D417" s="54">
        <v>239.19200000000001</v>
      </c>
      <c r="E417" s="62">
        <v>854</v>
      </c>
      <c r="F417" s="54">
        <f t="shared" si="28"/>
        <v>238.02769180000001</v>
      </c>
      <c r="G417" s="69">
        <v>25569.041962604166</v>
      </c>
      <c r="H417" s="69">
        <v>25569.041962604166</v>
      </c>
      <c r="I417" s="62">
        <v>32</v>
      </c>
      <c r="J417" s="62">
        <v>3884</v>
      </c>
      <c r="K417" s="57" t="s">
        <v>384</v>
      </c>
      <c r="L417" s="52">
        <v>22979</v>
      </c>
      <c r="M417" s="58">
        <f t="shared" si="31"/>
        <v>151.58825812047581</v>
      </c>
      <c r="N417" s="58">
        <v>12316.99</v>
      </c>
      <c r="O417" s="60">
        <f t="shared" si="29"/>
        <v>1.8656343798281885</v>
      </c>
      <c r="P417" s="60">
        <f t="shared" si="30"/>
        <v>1.2307248615162943E-2</v>
      </c>
    </row>
    <row r="418" spans="1:16" ht="17.25" customHeight="1" x14ac:dyDescent="0.2">
      <c r="A418" s="52">
        <v>1863</v>
      </c>
      <c r="B418" s="53" t="s">
        <v>32</v>
      </c>
      <c r="C418" s="53" t="s">
        <v>95</v>
      </c>
      <c r="D418" s="54">
        <v>241.20599999999999</v>
      </c>
      <c r="E418" s="62">
        <v>854</v>
      </c>
      <c r="F418" s="54">
        <f t="shared" si="28"/>
        <v>240.028198</v>
      </c>
      <c r="G418" s="69">
        <v>25569.041962604166</v>
      </c>
      <c r="H418" s="69">
        <v>25569.041962604166</v>
      </c>
      <c r="I418" s="62">
        <v>32</v>
      </c>
      <c r="J418" s="62">
        <v>2148</v>
      </c>
      <c r="K418" s="57" t="s">
        <v>384</v>
      </c>
      <c r="L418" s="52">
        <v>10533</v>
      </c>
      <c r="M418" s="58">
        <f t="shared" si="31"/>
        <v>102.63040485158382</v>
      </c>
      <c r="N418" s="58">
        <v>6719.21</v>
      </c>
      <c r="O418" s="60">
        <f t="shared" si="29"/>
        <v>1.5675950000074415</v>
      </c>
      <c r="P418" s="60">
        <f t="shared" si="30"/>
        <v>1.5274177299352725E-2</v>
      </c>
    </row>
    <row r="419" spans="1:16" ht="17.25" customHeight="1" x14ac:dyDescent="0.2">
      <c r="A419" s="52">
        <v>1864</v>
      </c>
      <c r="B419" s="53" t="s">
        <v>32</v>
      </c>
      <c r="C419" s="53" t="s">
        <v>95</v>
      </c>
      <c r="D419" s="54">
        <v>242.20599999999999</v>
      </c>
      <c r="E419" s="62">
        <v>854</v>
      </c>
      <c r="F419" s="54">
        <f t="shared" si="28"/>
        <v>241.02149800000001</v>
      </c>
      <c r="G419" s="69">
        <v>25569.041962604166</v>
      </c>
      <c r="H419" s="69">
        <v>25569.041962604166</v>
      </c>
      <c r="I419" s="62">
        <v>32</v>
      </c>
      <c r="J419" s="62">
        <v>2222</v>
      </c>
      <c r="K419" s="57" t="s">
        <v>384</v>
      </c>
      <c r="L419" s="52">
        <v>10228</v>
      </c>
      <c r="M419" s="58">
        <f t="shared" si="31"/>
        <v>101.13357503816425</v>
      </c>
      <c r="N419" s="62">
        <v>6986</v>
      </c>
      <c r="O419" s="60">
        <f t="shared" si="29"/>
        <v>1.4640709991411394</v>
      </c>
      <c r="P419" s="60">
        <f t="shared" si="30"/>
        <v>1.4476606790461531E-2</v>
      </c>
    </row>
    <row r="420" spans="1:16" ht="17.25" customHeight="1" x14ac:dyDescent="0.2">
      <c r="A420" s="52">
        <v>1865</v>
      </c>
      <c r="B420" s="53" t="s">
        <v>32</v>
      </c>
      <c r="C420" s="53" t="s">
        <v>95</v>
      </c>
      <c r="D420" s="54">
        <v>243.214</v>
      </c>
      <c r="E420" s="62">
        <v>854</v>
      </c>
      <c r="F420" s="54">
        <f t="shared" si="28"/>
        <v>242.02274439999999</v>
      </c>
      <c r="G420" s="69">
        <v>25569.041962604166</v>
      </c>
      <c r="H420" s="69">
        <v>25569.041962604166</v>
      </c>
      <c r="I420" s="62">
        <v>32</v>
      </c>
      <c r="J420" s="62">
        <v>5187</v>
      </c>
      <c r="K420" s="57" t="s">
        <v>384</v>
      </c>
      <c r="L420" s="52">
        <v>21402</v>
      </c>
      <c r="M420" s="58">
        <f t="shared" si="31"/>
        <v>146.29422408283929</v>
      </c>
      <c r="N420" s="58">
        <v>16432.93</v>
      </c>
      <c r="O420" s="60">
        <f t="shared" si="29"/>
        <v>1.3023849064043964</v>
      </c>
      <c r="P420" s="60">
        <f t="shared" si="30"/>
        <v>8.9025039407360281E-3</v>
      </c>
    </row>
    <row r="421" spans="1:16" ht="17.25" customHeight="1" x14ac:dyDescent="0.2">
      <c r="A421" s="52">
        <v>1866</v>
      </c>
      <c r="B421" s="53" t="s">
        <v>385</v>
      </c>
      <c r="C421" s="53" t="s">
        <v>95</v>
      </c>
      <c r="D421" s="54">
        <v>246.215</v>
      </c>
      <c r="E421" s="62">
        <v>854</v>
      </c>
      <c r="F421" s="54">
        <f t="shared" si="28"/>
        <v>245.00363770000001</v>
      </c>
      <c r="G421" s="69">
        <v>25569.041962604166</v>
      </c>
      <c r="H421" s="69">
        <v>25569.041962604166</v>
      </c>
      <c r="I421" s="62">
        <v>32</v>
      </c>
      <c r="J421" s="62">
        <v>17943</v>
      </c>
      <c r="K421" s="57" t="s">
        <v>384</v>
      </c>
      <c r="L421" s="52">
        <v>47248</v>
      </c>
      <c r="M421" s="58">
        <f t="shared" si="31"/>
        <v>217.36605070709641</v>
      </c>
      <c r="N421" s="58">
        <v>57035.37</v>
      </c>
      <c r="O421" s="60">
        <f t="shared" si="29"/>
        <v>0.82839823779524879</v>
      </c>
      <c r="P421" s="60">
        <f t="shared" si="30"/>
        <v>3.8110746139999861E-3</v>
      </c>
    </row>
    <row r="422" spans="1:16" ht="17.25" customHeight="1" x14ac:dyDescent="0.2">
      <c r="A422" s="52">
        <v>1867</v>
      </c>
      <c r="B422" s="53" t="s">
        <v>157</v>
      </c>
      <c r="C422" s="53" t="s">
        <v>95</v>
      </c>
      <c r="D422" s="54">
        <v>225.29400000000001</v>
      </c>
      <c r="E422" s="62">
        <v>2694</v>
      </c>
      <c r="F422" s="54">
        <f t="shared" ref="F422:F485" si="32">0.9933*(D422 + E422/1000)-0.41</f>
        <v>226.0504804</v>
      </c>
      <c r="G422" s="69">
        <v>25569.041962604166</v>
      </c>
      <c r="H422" s="69">
        <v>25569.041962604166</v>
      </c>
      <c r="I422" s="59" t="s">
        <v>410</v>
      </c>
      <c r="J422" s="62">
        <v>199991</v>
      </c>
      <c r="K422" s="57" t="s">
        <v>384</v>
      </c>
      <c r="L422" s="52">
        <v>7618639</v>
      </c>
      <c r="M422" s="58">
        <f t="shared" si="31"/>
        <v>2760.1882182199097</v>
      </c>
      <c r="N422" s="58">
        <v>6174131.9500000002</v>
      </c>
      <c r="O422" s="60">
        <f t="shared" si="29"/>
        <v>1.2339611562723405</v>
      </c>
      <c r="P422" s="60">
        <f t="shared" si="30"/>
        <v>4.4705688841326264E-4</v>
      </c>
    </row>
    <row r="423" spans="1:16" ht="17.25" customHeight="1" x14ac:dyDescent="0.2">
      <c r="A423" s="52">
        <v>1868</v>
      </c>
      <c r="B423" s="53" t="s">
        <v>157</v>
      </c>
      <c r="C423" s="53" t="s">
        <v>95</v>
      </c>
      <c r="D423" s="54">
        <v>223.273</v>
      </c>
      <c r="E423" s="62">
        <v>2694</v>
      </c>
      <c r="F423" s="54">
        <f t="shared" si="32"/>
        <v>224.04302109999998</v>
      </c>
      <c r="G423" s="69">
        <v>25569.041962604166</v>
      </c>
      <c r="H423" s="69">
        <v>25569.041962604166</v>
      </c>
      <c r="I423" s="59" t="s">
        <v>411</v>
      </c>
      <c r="J423" s="62">
        <v>546951</v>
      </c>
      <c r="K423" s="57" t="s">
        <v>384</v>
      </c>
      <c r="L423" s="52">
        <v>2726717</v>
      </c>
      <c r="M423" s="58">
        <f t="shared" si="31"/>
        <v>1651.2773843300829</v>
      </c>
      <c r="N423" s="58">
        <v>13241398.060000001</v>
      </c>
      <c r="O423" s="60">
        <f t="shared" si="29"/>
        <v>0.2059236485184254</v>
      </c>
      <c r="P423" s="60">
        <f t="shared" si="30"/>
        <v>1.2470566754716858E-4</v>
      </c>
    </row>
    <row r="424" spans="1:16" ht="17.25" customHeight="1" x14ac:dyDescent="0.2">
      <c r="A424" s="52">
        <v>1869</v>
      </c>
      <c r="B424" s="53" t="s">
        <v>33</v>
      </c>
      <c r="C424" s="53" t="s">
        <v>95</v>
      </c>
      <c r="D424" s="54">
        <v>260.11900000000003</v>
      </c>
      <c r="E424" s="62">
        <v>950</v>
      </c>
      <c r="F424" s="54">
        <f t="shared" si="32"/>
        <v>258.90983769999997</v>
      </c>
      <c r="G424" s="69">
        <v>25569.041962604166</v>
      </c>
      <c r="H424" s="69">
        <v>25569.041962604166</v>
      </c>
      <c r="I424" s="62">
        <v>30</v>
      </c>
      <c r="J424" s="62">
        <v>1385</v>
      </c>
      <c r="K424" s="57" t="s">
        <v>384</v>
      </c>
      <c r="L424" s="52">
        <v>1060</v>
      </c>
      <c r="M424" s="58">
        <f t="shared" si="31"/>
        <v>32.557641192199412</v>
      </c>
      <c r="N424" s="58">
        <v>3982.65</v>
      </c>
      <c r="O424" s="60">
        <f t="shared" si="29"/>
        <v>0.26615444490477447</v>
      </c>
      <c r="P424" s="60">
        <f t="shared" si="30"/>
        <v>8.174868791432692E-3</v>
      </c>
    </row>
    <row r="425" spans="1:16" ht="17.25" customHeight="1" x14ac:dyDescent="0.2">
      <c r="A425" s="52">
        <v>1870</v>
      </c>
      <c r="B425" s="53" t="s">
        <v>33</v>
      </c>
      <c r="C425" s="53" t="s">
        <v>95</v>
      </c>
      <c r="D425" s="54">
        <v>258.11900000000003</v>
      </c>
      <c r="E425" s="62">
        <v>950</v>
      </c>
      <c r="F425" s="54">
        <f t="shared" si="32"/>
        <v>256.92323769999996</v>
      </c>
      <c r="G425" s="69">
        <v>25569.041962604166</v>
      </c>
      <c r="H425" s="69">
        <v>25569.041962604166</v>
      </c>
      <c r="I425" s="62">
        <v>30</v>
      </c>
      <c r="J425" s="62">
        <v>2654</v>
      </c>
      <c r="K425" s="57" t="s">
        <v>384</v>
      </c>
      <c r="L425" s="52">
        <v>1862</v>
      </c>
      <c r="M425" s="58">
        <f t="shared" si="31"/>
        <v>43.150898020782833</v>
      </c>
      <c r="N425" s="58">
        <v>6970.19</v>
      </c>
      <c r="O425" s="60">
        <f t="shared" si="29"/>
        <v>0.26713762465585589</v>
      </c>
      <c r="P425" s="60">
        <f t="shared" si="30"/>
        <v>6.1907778727384524E-3</v>
      </c>
    </row>
    <row r="426" spans="1:16" ht="17.25" customHeight="1" x14ac:dyDescent="0.2">
      <c r="A426" s="52">
        <v>1871</v>
      </c>
      <c r="B426" s="53" t="s">
        <v>33</v>
      </c>
      <c r="C426" s="53" t="s">
        <v>95</v>
      </c>
      <c r="D426" s="54">
        <v>254.11699999999999</v>
      </c>
      <c r="E426" s="62">
        <v>950</v>
      </c>
      <c r="F426" s="54">
        <f t="shared" si="32"/>
        <v>252.94805109999999</v>
      </c>
      <c r="G426" s="69">
        <v>25569.041962604166</v>
      </c>
      <c r="H426" s="69">
        <v>25569.041962604166</v>
      </c>
      <c r="I426" s="62">
        <v>31</v>
      </c>
      <c r="J426" s="62">
        <v>1978</v>
      </c>
      <c r="K426" s="57" t="s">
        <v>384</v>
      </c>
      <c r="L426" s="52">
        <v>1953</v>
      </c>
      <c r="M426" s="58">
        <f t="shared" si="31"/>
        <v>44.192759587968709</v>
      </c>
      <c r="N426" s="58">
        <v>5918.5</v>
      </c>
      <c r="O426" s="60">
        <f t="shared" si="29"/>
        <v>0.32998225901833234</v>
      </c>
      <c r="P426" s="60">
        <f t="shared" si="30"/>
        <v>7.4668851208868313E-3</v>
      </c>
    </row>
    <row r="427" spans="1:16" ht="17.25" customHeight="1" x14ac:dyDescent="0.2">
      <c r="A427" s="52">
        <v>1872</v>
      </c>
      <c r="B427" s="53" t="s">
        <v>33</v>
      </c>
      <c r="C427" s="53" t="s">
        <v>95</v>
      </c>
      <c r="D427" s="54">
        <v>250.10900000000001</v>
      </c>
      <c r="E427" s="62">
        <v>950</v>
      </c>
      <c r="F427" s="54">
        <f t="shared" si="32"/>
        <v>248.96690469999999</v>
      </c>
      <c r="G427" s="69">
        <v>25569.041962604166</v>
      </c>
      <c r="H427" s="69">
        <v>25569.041962604166</v>
      </c>
      <c r="I427" s="62">
        <v>31</v>
      </c>
      <c r="J427" s="62">
        <v>1852</v>
      </c>
      <c r="K427" s="57" t="s">
        <v>384</v>
      </c>
      <c r="L427" s="52">
        <v>2574</v>
      </c>
      <c r="M427" s="58">
        <f t="shared" si="31"/>
        <v>50.734603575863289</v>
      </c>
      <c r="N427" s="58">
        <v>5539.22</v>
      </c>
      <c r="O427" s="60">
        <f t="shared" si="29"/>
        <v>0.46468636378407063</v>
      </c>
      <c r="P427" s="60">
        <f t="shared" si="30"/>
        <v>9.1591602384204426E-3</v>
      </c>
    </row>
    <row r="428" spans="1:16" ht="17.25" customHeight="1" x14ac:dyDescent="0.2">
      <c r="A428" s="52">
        <v>1873</v>
      </c>
      <c r="B428" s="53" t="s">
        <v>33</v>
      </c>
      <c r="C428" s="53" t="s">
        <v>95</v>
      </c>
      <c r="D428" s="54">
        <v>248.108</v>
      </c>
      <c r="E428" s="62">
        <v>950</v>
      </c>
      <c r="F428" s="54">
        <f t="shared" si="32"/>
        <v>246.9793114</v>
      </c>
      <c r="G428" s="69">
        <v>25569.041962604166</v>
      </c>
      <c r="H428" s="69">
        <v>25569.041962604166</v>
      </c>
      <c r="I428" s="62">
        <v>31</v>
      </c>
      <c r="J428" s="62">
        <v>1360</v>
      </c>
      <c r="K428" s="57" t="s">
        <v>384</v>
      </c>
      <c r="L428" s="52">
        <v>2531</v>
      </c>
      <c r="M428" s="58">
        <f t="shared" si="31"/>
        <v>50.309044912421065</v>
      </c>
      <c r="N428" s="58">
        <v>4075.64</v>
      </c>
      <c r="O428" s="60">
        <f t="shared" si="29"/>
        <v>0.62100676212815653</v>
      </c>
      <c r="P428" s="60">
        <f t="shared" si="30"/>
        <v>1.2343839228298148E-2</v>
      </c>
    </row>
    <row r="429" spans="1:16" ht="17.25" customHeight="1" x14ac:dyDescent="0.2">
      <c r="A429" s="52">
        <v>1874</v>
      </c>
      <c r="B429" s="53" t="s">
        <v>33</v>
      </c>
      <c r="C429" s="53" t="s">
        <v>95</v>
      </c>
      <c r="D429" s="54">
        <v>246.101</v>
      </c>
      <c r="E429" s="62">
        <v>950</v>
      </c>
      <c r="F429" s="54">
        <f t="shared" si="32"/>
        <v>244.98575829999999</v>
      </c>
      <c r="G429" s="69">
        <v>25569.041962604166</v>
      </c>
      <c r="H429" s="69">
        <v>25569.041962604166</v>
      </c>
      <c r="I429" s="62">
        <v>31</v>
      </c>
      <c r="J429" s="62">
        <v>2037</v>
      </c>
      <c r="K429" s="57" t="s">
        <v>384</v>
      </c>
      <c r="L429" s="52">
        <v>5055</v>
      </c>
      <c r="M429" s="58">
        <f t="shared" si="31"/>
        <v>71.098523191413761</v>
      </c>
      <c r="N429" s="58">
        <v>6201.5</v>
      </c>
      <c r="O429" s="60">
        <f t="shared" si="29"/>
        <v>0.81512537289365472</v>
      </c>
      <c r="P429" s="60">
        <f t="shared" si="30"/>
        <v>1.1464730015546846E-2</v>
      </c>
    </row>
    <row r="430" spans="1:16" ht="17.25" customHeight="1" x14ac:dyDescent="0.2">
      <c r="A430" s="52">
        <v>1875</v>
      </c>
      <c r="B430" s="53" t="s">
        <v>33</v>
      </c>
      <c r="C430" s="53" t="s">
        <v>95</v>
      </c>
      <c r="D430" s="54">
        <v>244.107</v>
      </c>
      <c r="E430" s="62">
        <v>950</v>
      </c>
      <c r="F430" s="54">
        <f t="shared" si="32"/>
        <v>243.00511809999998</v>
      </c>
      <c r="G430" s="69">
        <v>25569.041962604166</v>
      </c>
      <c r="H430" s="69">
        <v>25569.041962604166</v>
      </c>
      <c r="I430" s="62">
        <v>32</v>
      </c>
      <c r="J430" s="62">
        <v>1968</v>
      </c>
      <c r="K430" s="57" t="s">
        <v>384</v>
      </c>
      <c r="L430" s="52">
        <v>6654</v>
      </c>
      <c r="M430" s="58">
        <f t="shared" si="31"/>
        <v>81.57205403813245</v>
      </c>
      <c r="N430" s="58">
        <v>6006.53</v>
      </c>
      <c r="O430" s="60">
        <f t="shared" si="29"/>
        <v>1.1077943504818923</v>
      </c>
      <c r="P430" s="60">
        <f t="shared" si="30"/>
        <v>1.35805621612033E-2</v>
      </c>
    </row>
    <row r="431" spans="1:16" ht="17.25" customHeight="1" x14ac:dyDescent="0.2">
      <c r="A431" s="52">
        <v>1876</v>
      </c>
      <c r="B431" s="53" t="s">
        <v>33</v>
      </c>
      <c r="C431" s="53" t="s">
        <v>95</v>
      </c>
      <c r="D431" s="54">
        <v>242.09899999999999</v>
      </c>
      <c r="E431" s="62">
        <v>950</v>
      </c>
      <c r="F431" s="54">
        <f t="shared" si="32"/>
        <v>241.01057169999999</v>
      </c>
      <c r="G431" s="69">
        <v>25569.041962604166</v>
      </c>
      <c r="H431" s="69">
        <v>25569.041962604166</v>
      </c>
      <c r="I431" s="62">
        <v>32</v>
      </c>
      <c r="J431" s="62">
        <v>1756</v>
      </c>
      <c r="K431" s="57" t="s">
        <v>384</v>
      </c>
      <c r="L431" s="52">
        <v>7861</v>
      </c>
      <c r="M431" s="58">
        <f t="shared" si="31"/>
        <v>88.662280593271461</v>
      </c>
      <c r="N431" s="58">
        <v>5346.12</v>
      </c>
      <c r="O431" s="60">
        <f t="shared" si="29"/>
        <v>1.4704121867821898</v>
      </c>
      <c r="P431" s="60">
        <f t="shared" si="30"/>
        <v>1.6584416472744994E-2</v>
      </c>
    </row>
    <row r="432" spans="1:16" ht="17.25" customHeight="1" x14ac:dyDescent="0.2">
      <c r="A432" s="52">
        <v>1877</v>
      </c>
      <c r="B432" s="53" t="s">
        <v>33</v>
      </c>
      <c r="C432" s="53" t="s">
        <v>95</v>
      </c>
      <c r="D432" s="54">
        <v>240.08500000000001</v>
      </c>
      <c r="E432" s="62">
        <v>950</v>
      </c>
      <c r="F432" s="54">
        <f t="shared" si="32"/>
        <v>239.0100655</v>
      </c>
      <c r="G432" s="69">
        <v>25569.041962604166</v>
      </c>
      <c r="H432" s="69">
        <v>25569.041962604166</v>
      </c>
      <c r="I432" s="62">
        <v>32</v>
      </c>
      <c r="J432" s="62">
        <v>2123</v>
      </c>
      <c r="K432" s="57" t="s">
        <v>384</v>
      </c>
      <c r="L432" s="52">
        <v>10319</v>
      </c>
      <c r="M432" s="58">
        <f t="shared" si="31"/>
        <v>101.58247880417174</v>
      </c>
      <c r="N432" s="58">
        <v>6597.28</v>
      </c>
      <c r="O432" s="60">
        <f t="shared" si="29"/>
        <v>1.5641294594135766</v>
      </c>
      <c r="P432" s="60">
        <f t="shared" si="30"/>
        <v>1.5397630357385429E-2</v>
      </c>
    </row>
    <row r="433" spans="1:16" ht="17.25" customHeight="1" x14ac:dyDescent="0.2">
      <c r="A433" s="52">
        <v>1878</v>
      </c>
      <c r="B433" s="53" t="s">
        <v>33</v>
      </c>
      <c r="C433" s="53" t="s">
        <v>95</v>
      </c>
      <c r="D433" s="54">
        <v>238.084</v>
      </c>
      <c r="E433" s="62">
        <v>950</v>
      </c>
      <c r="F433" s="54">
        <f t="shared" si="32"/>
        <v>237.02247219999998</v>
      </c>
      <c r="G433" s="69">
        <v>25569.041962604166</v>
      </c>
      <c r="H433" s="69">
        <v>25569.041962604166</v>
      </c>
      <c r="I433" s="62">
        <v>32</v>
      </c>
      <c r="J433" s="62">
        <v>1596</v>
      </c>
      <c r="K433" s="57" t="s">
        <v>384</v>
      </c>
      <c r="L433" s="52">
        <v>10322</v>
      </c>
      <c r="M433" s="58">
        <f t="shared" si="31"/>
        <v>101.59724405711013</v>
      </c>
      <c r="N433" s="58">
        <v>4845.3999999999996</v>
      </c>
      <c r="O433" s="60">
        <f t="shared" si="29"/>
        <v>2.1302678829405211</v>
      </c>
      <c r="P433" s="60">
        <f t="shared" si="30"/>
        <v>2.0967772331925153E-2</v>
      </c>
    </row>
    <row r="434" spans="1:16" ht="17.25" customHeight="1" x14ac:dyDescent="0.2">
      <c r="A434" s="52">
        <v>1879</v>
      </c>
      <c r="B434" s="53" t="s">
        <v>33</v>
      </c>
      <c r="C434" s="53" t="s">
        <v>95</v>
      </c>
      <c r="D434" s="54">
        <v>236.077</v>
      </c>
      <c r="E434" s="62">
        <v>950</v>
      </c>
      <c r="F434" s="54">
        <f t="shared" si="32"/>
        <v>235.02891909999997</v>
      </c>
      <c r="G434" s="69">
        <v>25569.041962604166</v>
      </c>
      <c r="H434" s="69">
        <v>25569.041962604166</v>
      </c>
      <c r="I434" s="62">
        <v>32</v>
      </c>
      <c r="J434" s="62">
        <v>1793</v>
      </c>
      <c r="K434" s="57" t="s">
        <v>384</v>
      </c>
      <c r="L434" s="52">
        <v>15119</v>
      </c>
      <c r="M434" s="58">
        <f t="shared" si="31"/>
        <v>122.95934287397603</v>
      </c>
      <c r="N434" s="58">
        <v>5515.94</v>
      </c>
      <c r="O434" s="60">
        <f t="shared" si="29"/>
        <v>2.7409652751842843</v>
      </c>
      <c r="P434" s="60">
        <f t="shared" si="30"/>
        <v>2.2291638936242242E-2</v>
      </c>
    </row>
    <row r="435" spans="1:16" ht="17.25" customHeight="1" x14ac:dyDescent="0.2">
      <c r="A435" s="52">
        <v>1880</v>
      </c>
      <c r="B435" s="53" t="s">
        <v>33</v>
      </c>
      <c r="C435" s="53" t="s">
        <v>95</v>
      </c>
      <c r="D435" s="54">
        <v>234.06899999999999</v>
      </c>
      <c r="E435" s="62">
        <v>950</v>
      </c>
      <c r="F435" s="54">
        <f t="shared" si="32"/>
        <v>233.03437269999998</v>
      </c>
      <c r="G435" s="69">
        <v>25569.041962604166</v>
      </c>
      <c r="H435" s="69">
        <v>25569.041962604166</v>
      </c>
      <c r="I435" s="62">
        <v>32</v>
      </c>
      <c r="J435" s="62">
        <v>997</v>
      </c>
      <c r="K435" s="57" t="s">
        <v>384</v>
      </c>
      <c r="L435" s="52">
        <v>10420</v>
      </c>
      <c r="M435" s="58">
        <f t="shared" si="31"/>
        <v>102.07840124139877</v>
      </c>
      <c r="N435" s="58">
        <v>2983.63</v>
      </c>
      <c r="O435" s="60">
        <f t="shared" si="29"/>
        <v>3.492390142209322</v>
      </c>
      <c r="P435" s="60">
        <f t="shared" si="30"/>
        <v>3.4212821710935593E-2</v>
      </c>
    </row>
    <row r="436" spans="1:16" ht="17.25" customHeight="1" x14ac:dyDescent="0.2">
      <c r="A436" s="52">
        <v>1881</v>
      </c>
      <c r="B436" s="53" t="s">
        <v>33</v>
      </c>
      <c r="C436" s="53" t="s">
        <v>95</v>
      </c>
      <c r="D436" s="54">
        <v>232.06800000000001</v>
      </c>
      <c r="E436" s="62">
        <v>950</v>
      </c>
      <c r="F436" s="54">
        <f t="shared" si="32"/>
        <v>231.04677939999999</v>
      </c>
      <c r="G436" s="69">
        <v>25569.041962604166</v>
      </c>
      <c r="H436" s="69">
        <v>25569.041962604166</v>
      </c>
      <c r="I436" s="62">
        <v>32</v>
      </c>
      <c r="J436" s="62">
        <v>1103</v>
      </c>
      <c r="K436" s="57" t="s">
        <v>384</v>
      </c>
      <c r="L436" s="52">
        <v>14182</v>
      </c>
      <c r="M436" s="58">
        <f t="shared" si="31"/>
        <v>119.08820260630354</v>
      </c>
      <c r="N436" s="58">
        <v>3345.88</v>
      </c>
      <c r="O436" s="60">
        <f t="shared" si="29"/>
        <v>4.2386457374442594</v>
      </c>
      <c r="P436" s="60">
        <f t="shared" si="30"/>
        <v>3.5592490647095396E-2</v>
      </c>
    </row>
    <row r="437" spans="1:16" ht="17.25" customHeight="1" x14ac:dyDescent="0.2">
      <c r="A437" s="52">
        <v>1882</v>
      </c>
      <c r="B437" s="53" t="s">
        <v>33</v>
      </c>
      <c r="C437" s="53" t="s">
        <v>95</v>
      </c>
      <c r="D437" s="54">
        <v>230.06100000000001</v>
      </c>
      <c r="E437" s="62">
        <v>950</v>
      </c>
      <c r="F437" s="54">
        <f t="shared" si="32"/>
        <v>229.05322629999998</v>
      </c>
      <c r="G437" s="69">
        <v>25569.041962604166</v>
      </c>
      <c r="H437" s="69">
        <v>25569.041962604166</v>
      </c>
      <c r="I437" s="62">
        <v>33</v>
      </c>
      <c r="J437" s="62">
        <v>1257</v>
      </c>
      <c r="K437" s="57" t="s">
        <v>384</v>
      </c>
      <c r="L437" s="52">
        <v>15474</v>
      </c>
      <c r="M437" s="58">
        <f t="shared" si="31"/>
        <v>124.39453364195711</v>
      </c>
      <c r="N437" s="58">
        <v>3628.4</v>
      </c>
      <c r="O437" s="60">
        <f t="shared" si="29"/>
        <v>4.2646896703781279</v>
      </c>
      <c r="P437" s="60">
        <f t="shared" si="30"/>
        <v>3.4283577786891499E-2</v>
      </c>
    </row>
    <row r="438" spans="1:16" ht="17.25" customHeight="1" x14ac:dyDescent="0.2">
      <c r="A438" s="52">
        <v>1883</v>
      </c>
      <c r="B438" s="53" t="s">
        <v>33</v>
      </c>
      <c r="C438" s="53" t="s">
        <v>95</v>
      </c>
      <c r="D438" s="54">
        <v>228.05</v>
      </c>
      <c r="E438" s="62">
        <v>950</v>
      </c>
      <c r="F438" s="54">
        <f t="shared" si="32"/>
        <v>227.0557</v>
      </c>
      <c r="G438" s="69">
        <v>25569.041962604166</v>
      </c>
      <c r="H438" s="69">
        <v>25569.041962604166</v>
      </c>
      <c r="I438" s="62">
        <v>33</v>
      </c>
      <c r="J438" s="62">
        <v>1048</v>
      </c>
      <c r="K438" s="57" t="s">
        <v>384</v>
      </c>
      <c r="L438" s="52">
        <v>10275</v>
      </c>
      <c r="M438" s="58">
        <f t="shared" si="31"/>
        <v>101.36567466356647</v>
      </c>
      <c r="N438" s="58">
        <v>3255.91</v>
      </c>
      <c r="O438" s="60">
        <f t="shared" si="29"/>
        <v>3.1557997610499062</v>
      </c>
      <c r="P438" s="60">
        <f t="shared" si="30"/>
        <v>3.1132824514057966E-2</v>
      </c>
    </row>
    <row r="439" spans="1:16" ht="17.25" customHeight="1" x14ac:dyDescent="0.2">
      <c r="A439" s="52">
        <v>1884</v>
      </c>
      <c r="B439" s="53" t="s">
        <v>33</v>
      </c>
      <c r="C439" s="53" t="s">
        <v>95</v>
      </c>
      <c r="D439" s="54">
        <v>227.05</v>
      </c>
      <c r="E439" s="62">
        <v>950</v>
      </c>
      <c r="F439" s="54">
        <f t="shared" si="32"/>
        <v>226.0624</v>
      </c>
      <c r="G439" s="69">
        <v>25569.041962604166</v>
      </c>
      <c r="H439" s="69">
        <v>25569.041962604166</v>
      </c>
      <c r="I439" s="62">
        <v>33</v>
      </c>
      <c r="J439" s="62">
        <v>1208</v>
      </c>
      <c r="K439" s="57" t="s">
        <v>384</v>
      </c>
      <c r="L439" s="52">
        <v>5541</v>
      </c>
      <c r="M439" s="58">
        <f t="shared" si="31"/>
        <v>74.437893575785708</v>
      </c>
      <c r="N439" s="58">
        <v>3772.23</v>
      </c>
      <c r="O439" s="60">
        <f t="shared" si="29"/>
        <v>1.468892405818309</v>
      </c>
      <c r="P439" s="60">
        <f t="shared" si="30"/>
        <v>1.973312697682424E-2</v>
      </c>
    </row>
    <row r="440" spans="1:16" ht="17.25" customHeight="1" x14ac:dyDescent="0.2">
      <c r="A440" s="52">
        <v>1885</v>
      </c>
      <c r="B440" s="53" t="s">
        <v>33</v>
      </c>
      <c r="C440" s="53" t="s">
        <v>95</v>
      </c>
      <c r="D440" s="54">
        <v>226.04599999999999</v>
      </c>
      <c r="E440" s="62">
        <v>950</v>
      </c>
      <c r="F440" s="54">
        <f t="shared" si="32"/>
        <v>225.06512679999997</v>
      </c>
      <c r="G440" s="69">
        <v>25569.041962604166</v>
      </c>
      <c r="H440" s="69">
        <v>25569.041962604166</v>
      </c>
      <c r="I440" s="62">
        <v>33</v>
      </c>
      <c r="J440" s="62">
        <v>1555</v>
      </c>
      <c r="K440" s="57" t="s">
        <v>384</v>
      </c>
      <c r="L440" s="52">
        <v>2565</v>
      </c>
      <c r="M440" s="58">
        <f t="shared" si="31"/>
        <v>50.645829048402398</v>
      </c>
      <c r="N440" s="58">
        <v>4899.0600000000004</v>
      </c>
      <c r="O440" s="60">
        <f t="shared" si="29"/>
        <v>0.52356982768122862</v>
      </c>
      <c r="P440" s="60">
        <f t="shared" si="30"/>
        <v>1.0337866661849904E-2</v>
      </c>
    </row>
    <row r="441" spans="1:16" ht="17.25" customHeight="1" x14ac:dyDescent="0.2">
      <c r="A441" s="52">
        <v>1886</v>
      </c>
      <c r="B441" s="53" t="s">
        <v>33</v>
      </c>
      <c r="C441" s="53" t="s">
        <v>95</v>
      </c>
      <c r="D441" s="54">
        <v>225.03899999999999</v>
      </c>
      <c r="E441" s="62">
        <v>950</v>
      </c>
      <c r="F441" s="54">
        <f t="shared" si="32"/>
        <v>224.06487369999996</v>
      </c>
      <c r="G441" s="69">
        <v>25569.041962604166</v>
      </c>
      <c r="H441" s="69">
        <v>25569.041962604166</v>
      </c>
      <c r="I441" s="62">
        <v>33</v>
      </c>
      <c r="J441" s="62">
        <v>1398</v>
      </c>
      <c r="K441" s="57" t="s">
        <v>384</v>
      </c>
      <c r="L441" s="52">
        <v>1033</v>
      </c>
      <c r="M441" s="58">
        <f t="shared" si="31"/>
        <v>32.140317359976393</v>
      </c>
      <c r="N441" s="58">
        <v>4354.03</v>
      </c>
      <c r="O441" s="60">
        <f t="shared" si="29"/>
        <v>0.2372514658833311</v>
      </c>
      <c r="P441" s="60">
        <f t="shared" si="30"/>
        <v>7.381739988005686E-3</v>
      </c>
    </row>
    <row r="442" spans="1:16" ht="17.25" customHeight="1" x14ac:dyDescent="0.2">
      <c r="A442" s="52">
        <v>1887</v>
      </c>
      <c r="B442" s="53" t="s">
        <v>33</v>
      </c>
      <c r="C442" s="53" t="s">
        <v>95</v>
      </c>
      <c r="D442" s="54">
        <v>223.03100000000001</v>
      </c>
      <c r="E442" s="62">
        <v>950</v>
      </c>
      <c r="F442" s="54">
        <f t="shared" si="32"/>
        <v>222.0703273</v>
      </c>
      <c r="G442" s="69">
        <v>25569.041962604166</v>
      </c>
      <c r="H442" s="69">
        <v>25569.041962604166</v>
      </c>
      <c r="I442" s="62">
        <v>33</v>
      </c>
      <c r="J442" s="62">
        <v>1938</v>
      </c>
      <c r="K442" s="57" t="s">
        <v>384</v>
      </c>
      <c r="L442" s="52">
        <v>659</v>
      </c>
      <c r="M442" s="58">
        <f t="shared" si="31"/>
        <v>25.670995305986871</v>
      </c>
      <c r="N442" s="58">
        <v>6138.33</v>
      </c>
      <c r="O442" s="60">
        <f t="shared" si="29"/>
        <v>0.10735819025695914</v>
      </c>
      <c r="P442" s="60">
        <f t="shared" si="30"/>
        <v>4.1820813325427067E-3</v>
      </c>
    </row>
    <row r="443" spans="1:16" ht="17.25" customHeight="1" x14ac:dyDescent="0.2">
      <c r="A443" s="52">
        <v>1888</v>
      </c>
      <c r="B443" s="53" t="s">
        <v>33</v>
      </c>
      <c r="C443" s="53" t="s">
        <v>95</v>
      </c>
      <c r="D443" s="54">
        <v>221.03100000000001</v>
      </c>
      <c r="E443" s="62">
        <v>950</v>
      </c>
      <c r="F443" s="54">
        <f t="shared" si="32"/>
        <v>220.08372729999999</v>
      </c>
      <c r="G443" s="69">
        <v>25569.041962604166</v>
      </c>
      <c r="H443" s="69">
        <v>25569.041962604166</v>
      </c>
      <c r="I443" s="62">
        <v>32</v>
      </c>
      <c r="J443" s="62">
        <v>2175</v>
      </c>
      <c r="K443" s="57" t="s">
        <v>384</v>
      </c>
      <c r="L443" s="52">
        <v>506</v>
      </c>
      <c r="M443" s="58">
        <f t="shared" si="31"/>
        <v>22.494443758403985</v>
      </c>
      <c r="N443" s="58">
        <v>6846.99</v>
      </c>
      <c r="O443" s="60">
        <f t="shared" si="29"/>
        <v>7.390108646281067E-2</v>
      </c>
      <c r="P443" s="60">
        <f t="shared" si="30"/>
        <v>3.2853040180289422E-3</v>
      </c>
    </row>
    <row r="444" spans="1:16" ht="17.25" customHeight="1" x14ac:dyDescent="0.2">
      <c r="A444" s="52">
        <v>1889</v>
      </c>
      <c r="B444" s="53" t="s">
        <v>33</v>
      </c>
      <c r="C444" s="53" t="s">
        <v>95</v>
      </c>
      <c r="D444" s="54">
        <v>219.023</v>
      </c>
      <c r="E444" s="62">
        <v>950</v>
      </c>
      <c r="F444" s="54">
        <f t="shared" si="32"/>
        <v>218.08918089999997</v>
      </c>
      <c r="G444" s="69">
        <v>25569.041962604166</v>
      </c>
      <c r="H444" s="69">
        <v>25569.041962604166</v>
      </c>
      <c r="I444" s="62">
        <v>32</v>
      </c>
      <c r="J444" s="62">
        <v>823</v>
      </c>
      <c r="K444" s="57" t="s">
        <v>384</v>
      </c>
      <c r="L444" s="52">
        <v>120</v>
      </c>
      <c r="M444" s="58">
        <f t="shared" si="31"/>
        <v>10.954451150103322</v>
      </c>
      <c r="N444" s="58">
        <v>2483.83</v>
      </c>
      <c r="O444" s="60">
        <f t="shared" si="29"/>
        <v>4.8312485153975918E-2</v>
      </c>
      <c r="P444" s="60">
        <f t="shared" si="30"/>
        <v>4.4103063213276764E-3</v>
      </c>
    </row>
    <row r="445" spans="1:16" ht="17.25" customHeight="1" x14ac:dyDescent="0.2">
      <c r="A445" s="52">
        <v>1890</v>
      </c>
      <c r="B445" s="53" t="s">
        <v>385</v>
      </c>
      <c r="C445" s="53" t="s">
        <v>95</v>
      </c>
      <c r="D445" s="54">
        <v>246.16800000000001</v>
      </c>
      <c r="E445" s="62">
        <v>950</v>
      </c>
      <c r="F445" s="54">
        <f t="shared" si="32"/>
        <v>245.05230939999998</v>
      </c>
      <c r="G445" s="69">
        <v>25569.041962604166</v>
      </c>
      <c r="H445" s="69">
        <v>25569.041962604166</v>
      </c>
      <c r="I445" s="62">
        <v>33</v>
      </c>
      <c r="J445" s="62">
        <v>20347</v>
      </c>
      <c r="K445" s="57" t="s">
        <v>384</v>
      </c>
      <c r="L445" s="52">
        <v>56253</v>
      </c>
      <c r="M445" s="58">
        <f t="shared" si="31"/>
        <v>237.17714898362362</v>
      </c>
      <c r="N445" s="58">
        <v>68857.899999999994</v>
      </c>
      <c r="O445" s="60">
        <f t="shared" si="29"/>
        <v>0.81694329917119179</v>
      </c>
      <c r="P445" s="60">
        <f t="shared" si="30"/>
        <v>3.4444435421879501E-3</v>
      </c>
    </row>
    <row r="446" spans="1:16" ht="17.25" customHeight="1" x14ac:dyDescent="0.2">
      <c r="A446" s="52">
        <v>1891</v>
      </c>
      <c r="B446" s="53" t="s">
        <v>157</v>
      </c>
      <c r="C446" s="53" t="s">
        <v>95</v>
      </c>
      <c r="D446" s="54">
        <v>236.51300000000001</v>
      </c>
      <c r="E446" s="62">
        <v>2564</v>
      </c>
      <c r="F446" s="54">
        <f t="shared" si="32"/>
        <v>237.06518409999998</v>
      </c>
      <c r="G446" s="69">
        <v>25569.041962604166</v>
      </c>
      <c r="H446" s="91">
        <v>25569.041962604166</v>
      </c>
      <c r="I446" s="62">
        <v>277</v>
      </c>
      <c r="J446" s="62">
        <v>221519</v>
      </c>
      <c r="K446" s="57" t="s">
        <v>384</v>
      </c>
      <c r="L446" s="52">
        <v>13822120</v>
      </c>
      <c r="M446" s="58">
        <f t="shared" si="31"/>
        <v>3717.8111840167462</v>
      </c>
      <c r="N446" s="58">
        <v>6518890.9199999999</v>
      </c>
      <c r="O446" s="60">
        <f t="shared" si="29"/>
        <v>2.1203177303663181</v>
      </c>
      <c r="P446" s="60">
        <f t="shared" si="30"/>
        <v>5.703134520337619E-4</v>
      </c>
    </row>
    <row r="447" spans="1:16" ht="17.25" customHeight="1" x14ac:dyDescent="0.2">
      <c r="A447" s="52">
        <v>1892</v>
      </c>
      <c r="B447" s="53" t="s">
        <v>157</v>
      </c>
      <c r="C447" s="53" t="s">
        <v>95</v>
      </c>
      <c r="D447" s="54">
        <v>220.31</v>
      </c>
      <c r="E447" s="62">
        <v>2590</v>
      </c>
      <c r="F447" s="54">
        <f t="shared" si="32"/>
        <v>220.99656999999999</v>
      </c>
      <c r="G447" s="91">
        <v>25569.041962604166</v>
      </c>
      <c r="H447" s="91">
        <v>25569.041962604166</v>
      </c>
      <c r="I447" s="62">
        <v>299</v>
      </c>
      <c r="J447" s="62">
        <v>565123</v>
      </c>
      <c r="K447" s="57" t="s">
        <v>384</v>
      </c>
      <c r="L447" s="52">
        <v>1367215</v>
      </c>
      <c r="M447" s="58">
        <f t="shared" si="31"/>
        <v>1169.2796928023679</v>
      </c>
      <c r="N447" s="58">
        <v>16390093.529999999</v>
      </c>
      <c r="O447" s="60">
        <f t="shared" si="29"/>
        <v>8.3417156680496388E-2</v>
      </c>
      <c r="P447" s="60">
        <f t="shared" si="30"/>
        <v>7.1340635772587196E-5</v>
      </c>
    </row>
    <row r="448" spans="1:16" ht="17.25" customHeight="1" x14ac:dyDescent="0.2">
      <c r="A448" s="52">
        <v>1893</v>
      </c>
      <c r="B448" s="53" t="s">
        <v>334</v>
      </c>
      <c r="C448" s="53" t="s">
        <v>95</v>
      </c>
      <c r="D448" s="54">
        <v>222.172</v>
      </c>
      <c r="E448" s="62">
        <v>763</v>
      </c>
      <c r="F448" s="54">
        <f t="shared" si="32"/>
        <v>221.03133549999998</v>
      </c>
      <c r="G448" s="91">
        <v>25569.041962604166</v>
      </c>
      <c r="H448" s="91">
        <v>25569.041962604166</v>
      </c>
      <c r="I448" s="58">
        <v>33.700000000000003</v>
      </c>
      <c r="J448" s="62">
        <v>3274</v>
      </c>
      <c r="K448" s="57" t="s">
        <v>384</v>
      </c>
      <c r="L448" s="52">
        <v>968</v>
      </c>
      <c r="M448" s="58">
        <f t="shared" si="31"/>
        <v>31.11269837220809</v>
      </c>
      <c r="N448" s="58">
        <v>10547.44</v>
      </c>
      <c r="O448" s="60">
        <f t="shared" si="29"/>
        <v>9.1775824275843229E-2</v>
      </c>
      <c r="P448" s="60">
        <f t="shared" si="30"/>
        <v>2.9497867133833509E-3</v>
      </c>
    </row>
    <row r="449" spans="1:16" ht="17.25" customHeight="1" x14ac:dyDescent="0.2">
      <c r="A449" s="52">
        <v>1894</v>
      </c>
      <c r="B449" s="53" t="s">
        <v>334</v>
      </c>
      <c r="C449" s="53" t="s">
        <v>95</v>
      </c>
      <c r="D449" s="54">
        <v>220.15799999999999</v>
      </c>
      <c r="E449" s="62">
        <v>758</v>
      </c>
      <c r="F449" s="54">
        <f t="shared" si="32"/>
        <v>219.0258628</v>
      </c>
      <c r="G449" s="91">
        <v>25569.041962604166</v>
      </c>
      <c r="H449" s="91">
        <v>25569.041962604166</v>
      </c>
      <c r="I449" s="58">
        <v>33.700000000000003</v>
      </c>
      <c r="J449" s="62">
        <v>2870</v>
      </c>
      <c r="K449" s="57" t="s">
        <v>384</v>
      </c>
      <c r="L449" s="52">
        <v>581</v>
      </c>
      <c r="M449" s="58">
        <f t="shared" si="31"/>
        <v>24.103941586387901</v>
      </c>
      <c r="N449" s="58">
        <v>9317.18</v>
      </c>
      <c r="O449" s="60">
        <f t="shared" si="29"/>
        <v>6.235792374946067E-2</v>
      </c>
      <c r="P449" s="60">
        <f t="shared" si="30"/>
        <v>2.5870426015584006E-3</v>
      </c>
    </row>
    <row r="450" spans="1:16" ht="17.25" customHeight="1" x14ac:dyDescent="0.2">
      <c r="A450" s="52">
        <v>1895</v>
      </c>
      <c r="B450" s="53" t="s">
        <v>334</v>
      </c>
      <c r="C450" s="53" t="s">
        <v>95</v>
      </c>
      <c r="D450" s="54">
        <v>224.18600000000001</v>
      </c>
      <c r="E450" s="62">
        <v>758</v>
      </c>
      <c r="F450" s="54">
        <f t="shared" si="32"/>
        <v>223.02687520000001</v>
      </c>
      <c r="G450" s="91">
        <v>25569.041962604166</v>
      </c>
      <c r="H450" s="91">
        <v>25569.041962604166</v>
      </c>
      <c r="I450" s="58">
        <v>33.5</v>
      </c>
      <c r="J450" s="62">
        <v>2247</v>
      </c>
      <c r="K450" s="57" t="s">
        <v>384</v>
      </c>
      <c r="L450" s="52">
        <v>1139</v>
      </c>
      <c r="M450" s="58">
        <f t="shared" si="31"/>
        <v>33.749074061372411</v>
      </c>
      <c r="N450" s="58">
        <v>7277.21</v>
      </c>
      <c r="O450" s="60">
        <f t="shared" si="29"/>
        <v>0.15651602743359061</v>
      </c>
      <c r="P450" s="60">
        <f t="shared" si="30"/>
        <v>4.6376391586023229E-3</v>
      </c>
    </row>
    <row r="451" spans="1:16" ht="17.25" customHeight="1" x14ac:dyDescent="0.2">
      <c r="A451" s="52">
        <v>1896</v>
      </c>
      <c r="B451" s="53" t="s">
        <v>334</v>
      </c>
      <c r="C451" s="53" t="s">
        <v>95</v>
      </c>
      <c r="D451" s="54">
        <v>226.18</v>
      </c>
      <c r="E451" s="62">
        <v>756</v>
      </c>
      <c r="F451" s="54">
        <f t="shared" si="32"/>
        <v>225.00552880000001</v>
      </c>
      <c r="G451" s="91">
        <v>25569.041962604166</v>
      </c>
      <c r="H451" s="91">
        <v>25569.041962604166</v>
      </c>
      <c r="I451" s="58">
        <v>33.5</v>
      </c>
      <c r="J451" s="62">
        <v>1646</v>
      </c>
      <c r="K451" s="57" t="s">
        <v>384</v>
      </c>
      <c r="L451" s="52">
        <v>2711</v>
      </c>
      <c r="M451" s="58">
        <f t="shared" si="31"/>
        <v>52.067264187779251</v>
      </c>
      <c r="N451" s="58">
        <v>5250.9</v>
      </c>
      <c r="O451" s="60">
        <f t="shared" si="29"/>
        <v>0.51629244510464878</v>
      </c>
      <c r="P451" s="60">
        <f t="shared" si="30"/>
        <v>9.9158742668455421E-3</v>
      </c>
    </row>
    <row r="452" spans="1:16" ht="17.25" customHeight="1" x14ac:dyDescent="0.2">
      <c r="A452" s="52">
        <v>1897</v>
      </c>
      <c r="B452" s="53" t="s">
        <v>334</v>
      </c>
      <c r="C452" s="53" t="s">
        <v>95</v>
      </c>
      <c r="D452" s="54">
        <v>227.18700000000001</v>
      </c>
      <c r="E452" s="62">
        <v>756</v>
      </c>
      <c r="F452" s="54">
        <f t="shared" si="32"/>
        <v>226.00578190000002</v>
      </c>
      <c r="G452" s="91">
        <v>25569.041962604166</v>
      </c>
      <c r="H452" s="91">
        <v>25569.041962604166</v>
      </c>
      <c r="I452" s="58">
        <v>33.5</v>
      </c>
      <c r="J452" s="62">
        <v>1490</v>
      </c>
      <c r="K452" s="57" t="s">
        <v>384</v>
      </c>
      <c r="L452" s="52">
        <v>6720</v>
      </c>
      <c r="M452" s="58">
        <f t="shared" si="31"/>
        <v>81.975606127676784</v>
      </c>
      <c r="N452" s="58">
        <v>4821.9399999999996</v>
      </c>
      <c r="O452" s="60">
        <f t="shared" si="29"/>
        <v>1.3936299497712541</v>
      </c>
      <c r="P452" s="60">
        <f t="shared" si="30"/>
        <v>1.7000544620562844E-2</v>
      </c>
    </row>
    <row r="453" spans="1:16" ht="17.25" customHeight="1" x14ac:dyDescent="0.2">
      <c r="A453" s="52">
        <v>1898</v>
      </c>
      <c r="B453" s="53" t="s">
        <v>334</v>
      </c>
      <c r="C453" s="53" t="s">
        <v>95</v>
      </c>
      <c r="D453" s="54">
        <v>228.18799999999999</v>
      </c>
      <c r="E453" s="62">
        <v>754</v>
      </c>
      <c r="F453" s="54">
        <f t="shared" si="32"/>
        <v>226.99808859999996</v>
      </c>
      <c r="G453" s="91">
        <v>25569.041962604166</v>
      </c>
      <c r="H453" s="91">
        <v>25569.041962604166</v>
      </c>
      <c r="I453" s="58">
        <v>32.6</v>
      </c>
      <c r="J453" s="62">
        <v>1558</v>
      </c>
      <c r="K453" s="57" t="s">
        <v>384</v>
      </c>
      <c r="L453" s="52">
        <v>15212</v>
      </c>
      <c r="M453" s="58">
        <f t="shared" si="31"/>
        <v>123.3369368842927</v>
      </c>
      <c r="N453" s="58">
        <v>4747.33</v>
      </c>
      <c r="O453" s="60">
        <f t="shared" si="29"/>
        <v>3.2043274851337489</v>
      </c>
      <c r="P453" s="60">
        <f t="shared" si="30"/>
        <v>2.5980274572084246E-2</v>
      </c>
    </row>
    <row r="454" spans="1:16" ht="17.25" customHeight="1" x14ac:dyDescent="0.2">
      <c r="A454" s="52">
        <v>1899</v>
      </c>
      <c r="B454" s="53" t="s">
        <v>334</v>
      </c>
      <c r="C454" s="53" t="s">
        <v>95</v>
      </c>
      <c r="D454" s="54">
        <v>229.19499999999999</v>
      </c>
      <c r="E454" s="62">
        <v>763</v>
      </c>
      <c r="F454" s="54">
        <f t="shared" si="32"/>
        <v>228.00728139999998</v>
      </c>
      <c r="G454" s="91">
        <v>25569.041962604166</v>
      </c>
      <c r="H454" s="91">
        <v>25569.041962604166</v>
      </c>
      <c r="I454" s="58">
        <v>33.799999999999997</v>
      </c>
      <c r="J454" s="62">
        <v>1347</v>
      </c>
      <c r="K454" s="57" t="s">
        <v>384</v>
      </c>
      <c r="L454" s="52">
        <v>20100</v>
      </c>
      <c r="M454" s="58">
        <f t="shared" si="31"/>
        <v>141.77446878757826</v>
      </c>
      <c r="N454" s="58">
        <v>4306.62</v>
      </c>
      <c r="O454" s="60">
        <f t="shared" si="29"/>
        <v>4.6672332362734581</v>
      </c>
      <c r="P454" s="60">
        <f t="shared" si="30"/>
        <v>3.2920125013950211E-2</v>
      </c>
    </row>
    <row r="455" spans="1:16" ht="17.25" customHeight="1" x14ac:dyDescent="0.2">
      <c r="A455" s="52">
        <v>1900</v>
      </c>
      <c r="B455" s="53" t="s">
        <v>334</v>
      </c>
      <c r="C455" s="53" t="s">
        <v>95</v>
      </c>
      <c r="D455" s="54">
        <v>230.209</v>
      </c>
      <c r="E455" s="62">
        <v>763</v>
      </c>
      <c r="F455" s="54">
        <f t="shared" si="32"/>
        <v>229.0144876</v>
      </c>
      <c r="G455" s="91">
        <v>25569.041962604166</v>
      </c>
      <c r="H455" s="91">
        <v>25569.041962604166</v>
      </c>
      <c r="I455" s="58">
        <v>33.5</v>
      </c>
      <c r="J455" s="62">
        <v>1335</v>
      </c>
      <c r="K455" s="57" t="s">
        <v>384</v>
      </c>
      <c r="L455" s="52">
        <v>21528</v>
      </c>
      <c r="M455" s="58">
        <f t="shared" si="31"/>
        <v>146.7242311276498</v>
      </c>
      <c r="N455" s="58">
        <v>4242.55</v>
      </c>
      <c r="O455" s="60">
        <f t="shared" ref="O455:O518" si="33">L455/N455</f>
        <v>5.0743067259077677</v>
      </c>
      <c r="P455" s="60">
        <f t="shared" ref="P455:P518" si="34">M455/N455</f>
        <v>3.4583972169485284E-2</v>
      </c>
    </row>
    <row r="456" spans="1:16" ht="17.25" customHeight="1" x14ac:dyDescent="0.2">
      <c r="A456" s="52">
        <v>1901</v>
      </c>
      <c r="B456" s="53" t="s">
        <v>334</v>
      </c>
      <c r="C456" s="53" t="s">
        <v>95</v>
      </c>
      <c r="D456" s="54">
        <v>231.209</v>
      </c>
      <c r="E456" s="62">
        <v>763</v>
      </c>
      <c r="F456" s="54">
        <f t="shared" si="32"/>
        <v>230.0077876</v>
      </c>
      <c r="G456" s="91">
        <v>25569.041962604166</v>
      </c>
      <c r="H456" s="91">
        <v>25569.041962604166</v>
      </c>
      <c r="I456" s="58">
        <v>33.5</v>
      </c>
      <c r="J456" s="62">
        <v>1450</v>
      </c>
      <c r="K456" s="57" t="s">
        <v>384</v>
      </c>
      <c r="L456" s="52">
        <v>22694</v>
      </c>
      <c r="M456" s="58">
        <f t="shared" si="31"/>
        <v>150.64527871792066</v>
      </c>
      <c r="N456" s="58">
        <v>4603.3999999999996</v>
      </c>
      <c r="O456" s="60">
        <f t="shared" si="33"/>
        <v>4.9298344701742192</v>
      </c>
      <c r="P456" s="60">
        <f t="shared" si="34"/>
        <v>3.2724785749211602E-2</v>
      </c>
    </row>
    <row r="457" spans="1:16" ht="17.25" customHeight="1" x14ac:dyDescent="0.2">
      <c r="A457" s="52">
        <v>1902</v>
      </c>
      <c r="B457" s="53" t="s">
        <v>334</v>
      </c>
      <c r="C457" s="53" t="s">
        <v>95</v>
      </c>
      <c r="D457" s="54">
        <v>233.203</v>
      </c>
      <c r="E457" s="62">
        <v>763</v>
      </c>
      <c r="F457" s="54">
        <f t="shared" si="32"/>
        <v>231.98842780000001</v>
      </c>
      <c r="G457" s="91">
        <v>25569.041962604166</v>
      </c>
      <c r="H457" s="91">
        <v>25569.041962604166</v>
      </c>
      <c r="I457" s="58">
        <v>33.299999999999997</v>
      </c>
      <c r="J457" s="62">
        <v>5535</v>
      </c>
      <c r="K457" s="57" t="s">
        <v>384</v>
      </c>
      <c r="L457" s="52">
        <v>74540</v>
      </c>
      <c r="M457" s="58">
        <f t="shared" si="31"/>
        <v>273.02014577682723</v>
      </c>
      <c r="N457" s="58">
        <v>18044.63</v>
      </c>
      <c r="O457" s="60">
        <f t="shared" si="33"/>
        <v>4.1308688512870582</v>
      </c>
      <c r="P457" s="60">
        <f t="shared" si="34"/>
        <v>1.5130271209596828E-2</v>
      </c>
    </row>
    <row r="458" spans="1:16" ht="17.25" customHeight="1" x14ac:dyDescent="0.2">
      <c r="A458" s="52">
        <v>1903</v>
      </c>
      <c r="B458" s="53" t="s">
        <v>334</v>
      </c>
      <c r="C458" s="53" t="s">
        <v>95</v>
      </c>
      <c r="D458" s="54">
        <v>235.21</v>
      </c>
      <c r="E458" s="62">
        <v>763</v>
      </c>
      <c r="F458" s="54">
        <f t="shared" si="32"/>
        <v>233.9819809</v>
      </c>
      <c r="G458" s="91">
        <v>25569.041962604166</v>
      </c>
      <c r="H458" s="91">
        <v>25569.041962604166</v>
      </c>
      <c r="I458" s="58">
        <v>33.4</v>
      </c>
      <c r="J458" s="62">
        <v>2546</v>
      </c>
      <c r="K458" s="57" t="s">
        <v>384</v>
      </c>
      <c r="L458" s="52">
        <v>23969</v>
      </c>
      <c r="M458" s="58">
        <f t="shared" si="31"/>
        <v>154.81924944915602</v>
      </c>
      <c r="N458" s="58">
        <v>8224.2999999999993</v>
      </c>
      <c r="O458" s="60">
        <f t="shared" si="33"/>
        <v>2.9144121688167992</v>
      </c>
      <c r="P458" s="60">
        <f t="shared" si="34"/>
        <v>1.8824611146134752E-2</v>
      </c>
    </row>
    <row r="459" spans="1:16" ht="17.25" customHeight="1" x14ac:dyDescent="0.2">
      <c r="A459" s="52">
        <v>1904</v>
      </c>
      <c r="B459" s="53" t="s">
        <v>334</v>
      </c>
      <c r="C459" s="53" t="s">
        <v>95</v>
      </c>
      <c r="D459" s="54">
        <v>237.23099999999999</v>
      </c>
      <c r="E459" s="62">
        <v>763</v>
      </c>
      <c r="F459" s="54">
        <f t="shared" si="32"/>
        <v>235.98944019999999</v>
      </c>
      <c r="G459" s="91">
        <v>25569.041962604166</v>
      </c>
      <c r="H459" s="91">
        <v>25569.041962604166</v>
      </c>
      <c r="I459" s="58">
        <v>33.6</v>
      </c>
      <c r="J459" s="62">
        <v>2324</v>
      </c>
      <c r="K459" s="57" t="s">
        <v>384</v>
      </c>
      <c r="L459" s="52">
        <v>15580</v>
      </c>
      <c r="M459" s="58">
        <f t="shared" si="31"/>
        <v>124.81987021303939</v>
      </c>
      <c r="N459" s="58">
        <v>7501.26</v>
      </c>
      <c r="O459" s="60">
        <f t="shared" si="33"/>
        <v>2.0769843999541409</v>
      </c>
      <c r="P459" s="60">
        <f t="shared" si="34"/>
        <v>1.663985386628905E-2</v>
      </c>
    </row>
    <row r="460" spans="1:16" ht="17.25" customHeight="1" x14ac:dyDescent="0.2">
      <c r="A460" s="52">
        <v>1905</v>
      </c>
      <c r="B460" s="53" t="s">
        <v>334</v>
      </c>
      <c r="C460" s="53" t="s">
        <v>95</v>
      </c>
      <c r="D460" s="54">
        <v>239.22499999999999</v>
      </c>
      <c r="E460" s="62">
        <v>766</v>
      </c>
      <c r="F460" s="54">
        <f t="shared" si="32"/>
        <v>237.97306029999999</v>
      </c>
      <c r="G460" s="91">
        <v>25569.041962604166</v>
      </c>
      <c r="H460" s="91">
        <v>25569.041962604166</v>
      </c>
      <c r="I460" s="58">
        <v>33.4</v>
      </c>
      <c r="J460" s="62">
        <v>3226</v>
      </c>
      <c r="K460" s="57" t="s">
        <v>384</v>
      </c>
      <c r="L460" s="52">
        <v>15871</v>
      </c>
      <c r="M460" s="58">
        <f t="shared" si="31"/>
        <v>125.98015716770638</v>
      </c>
      <c r="N460" s="58">
        <v>10823.7</v>
      </c>
      <c r="O460" s="60">
        <f t="shared" si="33"/>
        <v>1.4663192808374215</v>
      </c>
      <c r="P460" s="60">
        <f t="shared" si="34"/>
        <v>1.163928759737487E-2</v>
      </c>
    </row>
    <row r="461" spans="1:16" ht="17.25" customHeight="1" x14ac:dyDescent="0.2">
      <c r="A461" s="52">
        <v>1906</v>
      </c>
      <c r="B461" s="53" t="s">
        <v>334</v>
      </c>
      <c r="C461" s="53" t="s">
        <v>95</v>
      </c>
      <c r="D461" s="54">
        <v>239.232</v>
      </c>
      <c r="E461" s="62">
        <v>772</v>
      </c>
      <c r="F461" s="54">
        <f t="shared" si="32"/>
        <v>237.98597319999999</v>
      </c>
      <c r="G461" s="91">
        <v>25569.041962604166</v>
      </c>
      <c r="H461" s="91">
        <v>25569.041962604166</v>
      </c>
      <c r="I461" s="58">
        <v>36.299999999999997</v>
      </c>
      <c r="J461" s="62">
        <v>1687</v>
      </c>
      <c r="K461" s="57" t="s">
        <v>384</v>
      </c>
      <c r="L461" s="52">
        <v>9084</v>
      </c>
      <c r="M461" s="58">
        <f t="shared" si="31"/>
        <v>95.310020459550842</v>
      </c>
      <c r="N461" s="58">
        <v>5954.89</v>
      </c>
      <c r="O461" s="60">
        <f t="shared" si="33"/>
        <v>1.5254689843137319</v>
      </c>
      <c r="P461" s="60">
        <f t="shared" si="34"/>
        <v>1.6005336867608105E-2</v>
      </c>
    </row>
    <row r="462" spans="1:16" ht="17.25" customHeight="1" x14ac:dyDescent="0.2">
      <c r="A462" s="52">
        <v>1907</v>
      </c>
      <c r="B462" s="53" t="s">
        <v>334</v>
      </c>
      <c r="C462" s="53" t="s">
        <v>95</v>
      </c>
      <c r="D462" s="54">
        <v>241.24100000000001</v>
      </c>
      <c r="E462" s="62">
        <v>772</v>
      </c>
      <c r="F462" s="54">
        <f t="shared" si="32"/>
        <v>239.98151290000001</v>
      </c>
      <c r="G462" s="91">
        <v>25569.041962604166</v>
      </c>
      <c r="H462" s="91">
        <v>25569.041962604166</v>
      </c>
      <c r="I462" s="58">
        <v>36.299999999999997</v>
      </c>
      <c r="J462" s="62">
        <v>3666</v>
      </c>
      <c r="K462" s="57" t="s">
        <v>384</v>
      </c>
      <c r="L462" s="52">
        <v>15924</v>
      </c>
      <c r="M462" s="58">
        <f t="shared" si="31"/>
        <v>126.19033243477885</v>
      </c>
      <c r="N462" s="58">
        <v>12976.94</v>
      </c>
      <c r="O462" s="60">
        <f t="shared" si="33"/>
        <v>1.2270997631182698</v>
      </c>
      <c r="P462" s="60">
        <f t="shared" si="34"/>
        <v>9.7241978798375314E-3</v>
      </c>
    </row>
    <row r="463" spans="1:16" ht="17.25" customHeight="1" x14ac:dyDescent="0.2">
      <c r="A463" s="52">
        <v>1908</v>
      </c>
      <c r="B463" s="53" t="s">
        <v>334</v>
      </c>
      <c r="C463" s="53" t="s">
        <v>95</v>
      </c>
      <c r="D463" s="54">
        <v>243.24700000000001</v>
      </c>
      <c r="E463" s="62">
        <v>772</v>
      </c>
      <c r="F463" s="54">
        <f t="shared" si="32"/>
        <v>241.97407269999999</v>
      </c>
      <c r="G463" s="91">
        <v>25569.041962604166</v>
      </c>
      <c r="H463" s="91">
        <v>25569.041962604166</v>
      </c>
      <c r="I463" s="58">
        <v>36.299999999999997</v>
      </c>
      <c r="J463" s="62">
        <v>1210</v>
      </c>
      <c r="K463" s="57" t="s">
        <v>384</v>
      </c>
      <c r="L463" s="52">
        <v>4843</v>
      </c>
      <c r="M463" s="58">
        <f t="shared" si="31"/>
        <v>69.591666167724426</v>
      </c>
      <c r="N463" s="58">
        <v>4167.25</v>
      </c>
      <c r="O463" s="60">
        <f t="shared" si="33"/>
        <v>1.162157297978283</v>
      </c>
      <c r="P463" s="60">
        <f t="shared" si="34"/>
        <v>1.6699661927584E-2</v>
      </c>
    </row>
    <row r="464" spans="1:16" ht="17.25" customHeight="1" x14ac:dyDescent="0.2">
      <c r="A464" s="52">
        <v>1909</v>
      </c>
      <c r="B464" s="53" t="s">
        <v>334</v>
      </c>
      <c r="C464" s="53" t="s">
        <v>95</v>
      </c>
      <c r="D464" s="54">
        <v>245.24799999999999</v>
      </c>
      <c r="E464" s="62">
        <v>772</v>
      </c>
      <c r="F464" s="54">
        <f t="shared" si="32"/>
        <v>243.96166599999998</v>
      </c>
      <c r="G464" s="91">
        <v>25569.041962604166</v>
      </c>
      <c r="H464" s="91">
        <v>25569.041962604166</v>
      </c>
      <c r="I464" s="58">
        <v>36.299999999999997</v>
      </c>
      <c r="J464" s="62">
        <v>1516</v>
      </c>
      <c r="K464" s="57" t="s">
        <v>384</v>
      </c>
      <c r="L464" s="52">
        <v>4737</v>
      </c>
      <c r="M464" s="58">
        <f t="shared" si="31"/>
        <v>68.825867230279059</v>
      </c>
      <c r="N464" s="58">
        <v>5424.29</v>
      </c>
      <c r="O464" s="60">
        <f t="shared" si="33"/>
        <v>0.8732940163597448</v>
      </c>
      <c r="P464" s="60">
        <f t="shared" si="34"/>
        <v>1.2688456411858336E-2</v>
      </c>
    </row>
    <row r="465" spans="1:16" ht="17.25" customHeight="1" x14ac:dyDescent="0.2">
      <c r="A465" s="52">
        <v>1910</v>
      </c>
      <c r="B465" s="53" t="s">
        <v>334</v>
      </c>
      <c r="C465" s="53" t="s">
        <v>95</v>
      </c>
      <c r="D465" s="54">
        <v>247.249</v>
      </c>
      <c r="E465" s="62">
        <v>772</v>
      </c>
      <c r="F465" s="54">
        <f t="shared" si="32"/>
        <v>245.94925929999999</v>
      </c>
      <c r="G465" s="91">
        <v>25569.041962604166</v>
      </c>
      <c r="H465" s="91">
        <v>25569.041962604166</v>
      </c>
      <c r="I465" s="58">
        <v>36.299999999999997</v>
      </c>
      <c r="J465" s="62">
        <v>1721</v>
      </c>
      <c r="K465" s="57" t="s">
        <v>384</v>
      </c>
      <c r="L465" s="52">
        <v>4006</v>
      </c>
      <c r="M465" s="58">
        <f t="shared" si="31"/>
        <v>63.292969593786637</v>
      </c>
      <c r="N465" s="58">
        <v>5978.84</v>
      </c>
      <c r="O465" s="60">
        <f t="shared" si="33"/>
        <v>0.67002963785617276</v>
      </c>
      <c r="P465" s="60">
        <f t="shared" si="34"/>
        <v>1.0586162130745536E-2</v>
      </c>
    </row>
    <row r="466" spans="1:16" ht="17.25" customHeight="1" x14ac:dyDescent="0.2">
      <c r="A466" s="52">
        <v>1911</v>
      </c>
      <c r="B466" s="53" t="s">
        <v>334</v>
      </c>
      <c r="C466" s="53" t="s">
        <v>95</v>
      </c>
      <c r="D466" s="54">
        <v>250.26300000000001</v>
      </c>
      <c r="E466" s="62">
        <v>772</v>
      </c>
      <c r="F466" s="54">
        <f t="shared" si="32"/>
        <v>248.94306549999999</v>
      </c>
      <c r="G466" s="91">
        <v>25569.041962604166</v>
      </c>
      <c r="H466" s="91">
        <v>25569.041962604166</v>
      </c>
      <c r="I466" s="58">
        <v>36.299999999999997</v>
      </c>
      <c r="J466" s="62">
        <v>1755</v>
      </c>
      <c r="K466" s="57" t="s">
        <v>384</v>
      </c>
      <c r="L466" s="52">
        <v>2750</v>
      </c>
      <c r="M466" s="58">
        <f t="shared" si="31"/>
        <v>52.440442408507579</v>
      </c>
      <c r="N466" s="58">
        <v>6145.79</v>
      </c>
      <c r="O466" s="60">
        <f t="shared" si="33"/>
        <v>0.44746078209636192</v>
      </c>
      <c r="P466" s="60">
        <f t="shared" si="34"/>
        <v>8.5327423176691005E-3</v>
      </c>
    </row>
    <row r="467" spans="1:16" ht="17.25" customHeight="1" x14ac:dyDescent="0.2">
      <c r="A467" s="52">
        <v>1912</v>
      </c>
      <c r="B467" s="53" t="s">
        <v>334</v>
      </c>
      <c r="C467" s="53" t="s">
        <v>95</v>
      </c>
      <c r="D467" s="54">
        <v>253.26400000000001</v>
      </c>
      <c r="E467" s="62">
        <v>772</v>
      </c>
      <c r="F467" s="54">
        <f t="shared" si="32"/>
        <v>251.92395880000001</v>
      </c>
      <c r="G467" s="91">
        <v>25569.041962604166</v>
      </c>
      <c r="H467" s="91">
        <v>25569.041962604166</v>
      </c>
      <c r="I467" s="58">
        <v>36.1</v>
      </c>
      <c r="J467" s="62">
        <v>850</v>
      </c>
      <c r="K467" s="57" t="s">
        <v>384</v>
      </c>
      <c r="L467" s="52">
        <v>894</v>
      </c>
      <c r="M467" s="58">
        <f t="shared" si="31"/>
        <v>29.899832775452108</v>
      </c>
      <c r="N467" s="58">
        <v>2847.79</v>
      </c>
      <c r="O467" s="60">
        <f t="shared" si="33"/>
        <v>0.31392764213653396</v>
      </c>
      <c r="P467" s="60">
        <f t="shared" si="34"/>
        <v>1.0499310965854963E-2</v>
      </c>
    </row>
    <row r="468" spans="1:16" ht="17.25" customHeight="1" x14ac:dyDescent="0.2">
      <c r="A468" s="52">
        <v>1913</v>
      </c>
      <c r="B468" s="53" t="s">
        <v>334</v>
      </c>
      <c r="C468" s="53" t="s">
        <v>95</v>
      </c>
      <c r="D468" s="54">
        <v>256.26600000000002</v>
      </c>
      <c r="E468" s="62">
        <v>772</v>
      </c>
      <c r="F468" s="54">
        <f t="shared" si="32"/>
        <v>254.9058454</v>
      </c>
      <c r="G468" s="91">
        <v>25569.041962604166</v>
      </c>
      <c r="H468" s="91">
        <v>25569.041962604166</v>
      </c>
      <c r="I468" s="58">
        <v>36.1</v>
      </c>
      <c r="J468" s="62">
        <v>901</v>
      </c>
      <c r="K468" s="57" t="s">
        <v>384</v>
      </c>
      <c r="L468" s="52">
        <v>835</v>
      </c>
      <c r="M468" s="58">
        <f t="shared" si="31"/>
        <v>28.89636655359978</v>
      </c>
      <c r="N468" s="58">
        <v>3123.58</v>
      </c>
      <c r="O468" s="60">
        <f t="shared" si="33"/>
        <v>0.26732147087636621</v>
      </c>
      <c r="P468" s="60">
        <f t="shared" si="34"/>
        <v>9.2510409701687737E-3</v>
      </c>
    </row>
    <row r="469" spans="1:16" ht="17.25" customHeight="1" x14ac:dyDescent="0.2">
      <c r="A469" s="52">
        <v>1914</v>
      </c>
      <c r="B469" s="53" t="s">
        <v>334</v>
      </c>
      <c r="C469" s="53" t="s">
        <v>95</v>
      </c>
      <c r="D469" s="54">
        <v>232.21600000000001</v>
      </c>
      <c r="E469" s="62">
        <v>772</v>
      </c>
      <c r="F469" s="54">
        <f t="shared" si="32"/>
        <v>231.01698039999999</v>
      </c>
      <c r="G469" s="91">
        <v>25569.041962604166</v>
      </c>
      <c r="H469" s="91">
        <v>25569.041962604166</v>
      </c>
      <c r="I469" s="58">
        <v>36.1</v>
      </c>
      <c r="J469" s="62">
        <v>1023</v>
      </c>
      <c r="K469" s="57" t="s">
        <v>384</v>
      </c>
      <c r="L469" s="52">
        <v>15918</v>
      </c>
      <c r="M469" s="58">
        <f t="shared" si="31"/>
        <v>126.16655658295505</v>
      </c>
      <c r="N469" s="58">
        <v>3493.49</v>
      </c>
      <c r="O469" s="60">
        <f t="shared" si="33"/>
        <v>4.5564750435810613</v>
      </c>
      <c r="P469" s="60">
        <f t="shared" si="34"/>
        <v>3.6114761050684292E-2</v>
      </c>
    </row>
    <row r="470" spans="1:16" ht="17.25" customHeight="1" x14ac:dyDescent="0.2">
      <c r="A470" s="52">
        <v>1915</v>
      </c>
      <c r="B470" s="53" t="s">
        <v>385</v>
      </c>
      <c r="C470" s="53" t="s">
        <v>95</v>
      </c>
      <c r="D470" s="54">
        <v>246.315</v>
      </c>
      <c r="E470" s="62">
        <v>772</v>
      </c>
      <c r="F470" s="54">
        <f t="shared" si="32"/>
        <v>245.02151709999998</v>
      </c>
      <c r="G470" s="91">
        <v>25569.041962604166</v>
      </c>
      <c r="H470" s="91">
        <v>25569.041962604166</v>
      </c>
      <c r="I470" s="58">
        <v>36.200000000000003</v>
      </c>
      <c r="J470" s="62">
        <v>19902</v>
      </c>
      <c r="K470" s="57" t="s">
        <v>384</v>
      </c>
      <c r="L470" s="52">
        <v>54761</v>
      </c>
      <c r="M470" s="58">
        <f t="shared" si="31"/>
        <v>234.01068351680016</v>
      </c>
      <c r="N470" s="58">
        <v>70957.03</v>
      </c>
      <c r="O470" s="60">
        <f t="shared" si="33"/>
        <v>0.77174876118687608</v>
      </c>
      <c r="P470" s="60">
        <f t="shared" si="34"/>
        <v>3.2979210589394758E-3</v>
      </c>
    </row>
    <row r="471" spans="1:16" ht="17.25" customHeight="1" x14ac:dyDescent="0.2">
      <c r="A471" s="52">
        <v>1916</v>
      </c>
      <c r="B471" s="53" t="s">
        <v>157</v>
      </c>
      <c r="C471" s="53" t="s">
        <v>95</v>
      </c>
      <c r="D471" s="54">
        <v>194.18100000000001</v>
      </c>
      <c r="E471" s="62">
        <v>2547</v>
      </c>
      <c r="F471" s="54">
        <f t="shared" si="32"/>
        <v>194.9999224</v>
      </c>
      <c r="G471" s="91">
        <v>25569.041962604166</v>
      </c>
      <c r="H471" s="91">
        <v>25569.041962604166</v>
      </c>
      <c r="I471" s="59" t="s">
        <v>412</v>
      </c>
      <c r="J471" s="62">
        <v>69659</v>
      </c>
      <c r="K471" s="57" t="s">
        <v>384</v>
      </c>
      <c r="L471" s="52">
        <v>7463</v>
      </c>
      <c r="M471" s="58">
        <f t="shared" si="31"/>
        <v>86.388656662781827</v>
      </c>
      <c r="N471" s="58">
        <v>1039115.1</v>
      </c>
      <c r="O471" s="60">
        <f t="shared" si="33"/>
        <v>7.1820725153546516E-3</v>
      </c>
      <c r="P471" s="60">
        <f t="shared" si="34"/>
        <v>8.3136754208250688E-5</v>
      </c>
    </row>
    <row r="472" spans="1:16" ht="17.25" customHeight="1" x14ac:dyDescent="0.2">
      <c r="A472" s="52">
        <v>1917</v>
      </c>
      <c r="B472" s="53" t="s">
        <v>157</v>
      </c>
      <c r="C472" s="53" t="s">
        <v>95</v>
      </c>
      <c r="D472" s="54">
        <v>194.45</v>
      </c>
      <c r="E472" s="62">
        <v>2244</v>
      </c>
      <c r="F472" s="54">
        <f t="shared" si="32"/>
        <v>194.96615019999999</v>
      </c>
      <c r="G472" s="91">
        <v>25569.041962604166</v>
      </c>
      <c r="H472" s="91">
        <v>25569.041962604166</v>
      </c>
      <c r="I472" s="62">
        <v>201</v>
      </c>
      <c r="J472" s="62">
        <v>601582</v>
      </c>
      <c r="K472" s="57" t="s">
        <v>384</v>
      </c>
      <c r="L472" s="52">
        <v>89854</v>
      </c>
      <c r="M472" s="58">
        <f t="shared" si="31"/>
        <v>299.7565679013556</v>
      </c>
      <c r="N472" s="58">
        <v>12404822.949999999</v>
      </c>
      <c r="O472" s="60">
        <f t="shared" si="33"/>
        <v>7.243472991285217E-3</v>
      </c>
      <c r="P472" s="60">
        <f t="shared" si="34"/>
        <v>2.4164518035411027E-5</v>
      </c>
    </row>
    <row r="473" spans="1:16" ht="17.25" customHeight="1" x14ac:dyDescent="0.2">
      <c r="A473" s="52">
        <v>1918</v>
      </c>
      <c r="B473" s="53" t="s">
        <v>336</v>
      </c>
      <c r="C473" s="53" t="s">
        <v>95</v>
      </c>
      <c r="D473" s="54">
        <v>218.74100000000001</v>
      </c>
      <c r="E473" s="62">
        <v>854</v>
      </c>
      <c r="F473" s="54">
        <f t="shared" si="32"/>
        <v>217.71371350000001</v>
      </c>
      <c r="G473" s="91">
        <v>25569.041962604166</v>
      </c>
      <c r="H473" s="91">
        <v>25569.041962604166</v>
      </c>
      <c r="I473" s="58">
        <v>40.1</v>
      </c>
      <c r="J473" s="62">
        <v>2364</v>
      </c>
      <c r="K473" s="57" t="s">
        <v>384</v>
      </c>
      <c r="L473" s="52">
        <v>475</v>
      </c>
      <c r="M473" s="58">
        <f t="shared" si="31"/>
        <v>21.794494717703369</v>
      </c>
      <c r="N473" s="58">
        <v>9494.43</v>
      </c>
      <c r="O473" s="60">
        <f t="shared" si="33"/>
        <v>5.0029332987867624E-2</v>
      </c>
      <c r="P473" s="60">
        <f t="shared" si="34"/>
        <v>2.2955032284932711E-3</v>
      </c>
    </row>
    <row r="474" spans="1:16" ht="17.25" customHeight="1" x14ac:dyDescent="0.2">
      <c r="A474" s="52">
        <v>1919</v>
      </c>
      <c r="B474" s="53" t="s">
        <v>336</v>
      </c>
      <c r="C474" s="53" t="s">
        <v>95</v>
      </c>
      <c r="D474" s="54">
        <v>221.756</v>
      </c>
      <c r="E474" s="62">
        <v>854</v>
      </c>
      <c r="F474" s="54">
        <f t="shared" si="32"/>
        <v>220.70851300000001</v>
      </c>
      <c r="G474" s="91">
        <v>25569.041962604166</v>
      </c>
      <c r="H474" s="91">
        <v>25569.041962604166</v>
      </c>
      <c r="I474" s="58">
        <v>45.5</v>
      </c>
      <c r="J474" s="62">
        <v>1607</v>
      </c>
      <c r="K474" s="57" t="s">
        <v>384</v>
      </c>
      <c r="L474" s="52">
        <v>513</v>
      </c>
      <c r="M474" s="58">
        <f t="shared" si="31"/>
        <v>22.649503305812249</v>
      </c>
      <c r="N474" s="58">
        <v>6534.71</v>
      </c>
      <c r="O474" s="60">
        <f t="shared" si="33"/>
        <v>7.85038662771569E-2</v>
      </c>
      <c r="P474" s="60">
        <f t="shared" si="34"/>
        <v>3.4660303679600549E-3</v>
      </c>
    </row>
    <row r="475" spans="1:16" ht="17.25" customHeight="1" x14ac:dyDescent="0.2">
      <c r="A475" s="52">
        <v>1920</v>
      </c>
      <c r="B475" s="53" t="s">
        <v>336</v>
      </c>
      <c r="C475" s="53" t="s">
        <v>95</v>
      </c>
      <c r="D475" s="54">
        <v>223.756</v>
      </c>
      <c r="E475" s="62">
        <v>855</v>
      </c>
      <c r="F475" s="54">
        <f t="shared" si="32"/>
        <v>222.6961063</v>
      </c>
      <c r="G475" s="91">
        <v>25569.041962604166</v>
      </c>
      <c r="H475" s="91">
        <v>25569.041962604166</v>
      </c>
      <c r="I475" s="58">
        <v>39.9</v>
      </c>
      <c r="J475" s="62">
        <v>1214</v>
      </c>
      <c r="K475" s="57" t="s">
        <v>384</v>
      </c>
      <c r="L475" s="52">
        <v>570</v>
      </c>
      <c r="M475" s="58">
        <f t="shared" si="31"/>
        <v>23.874672772626646</v>
      </c>
      <c r="N475" s="58">
        <v>4159.91</v>
      </c>
      <c r="O475" s="60">
        <f t="shared" si="33"/>
        <v>0.1370221951917229</v>
      </c>
      <c r="P475" s="60">
        <f t="shared" si="34"/>
        <v>5.7392281978760713E-3</v>
      </c>
    </row>
    <row r="476" spans="1:16" ht="17.25" customHeight="1" x14ac:dyDescent="0.2">
      <c r="A476" s="52">
        <v>1921</v>
      </c>
      <c r="B476" s="53" t="s">
        <v>336</v>
      </c>
      <c r="C476" s="53" t="s">
        <v>95</v>
      </c>
      <c r="D476" s="54">
        <v>225.75700000000001</v>
      </c>
      <c r="E476" s="62">
        <v>855</v>
      </c>
      <c r="F476" s="54">
        <f t="shared" si="32"/>
        <v>224.68369959999998</v>
      </c>
      <c r="G476" s="91">
        <v>25569.041962604166</v>
      </c>
      <c r="H476" s="91">
        <v>25569.041962604166</v>
      </c>
      <c r="I476" s="58">
        <v>39.9</v>
      </c>
      <c r="J476" s="62">
        <v>1138</v>
      </c>
      <c r="K476" s="57" t="s">
        <v>384</v>
      </c>
      <c r="L476" s="52">
        <v>1659</v>
      </c>
      <c r="M476" s="58">
        <f t="shared" ref="M476:M539" si="35">SQRT(L476)</f>
        <v>40.730823708832602</v>
      </c>
      <c r="N476" s="58">
        <v>4558.8599999999997</v>
      </c>
      <c r="O476" s="60">
        <f t="shared" si="33"/>
        <v>0.36390676616522555</v>
      </c>
      <c r="P476" s="60">
        <f t="shared" si="34"/>
        <v>8.9344317897089628E-3</v>
      </c>
    </row>
    <row r="477" spans="1:16" ht="17.25" customHeight="1" x14ac:dyDescent="0.2">
      <c r="A477" s="52">
        <v>1922</v>
      </c>
      <c r="B477" s="53" t="s">
        <v>336</v>
      </c>
      <c r="C477" s="53" t="s">
        <v>95</v>
      </c>
      <c r="D477" s="54">
        <v>226.75800000000001</v>
      </c>
      <c r="E477" s="62">
        <v>821</v>
      </c>
      <c r="F477" s="54">
        <f t="shared" si="32"/>
        <v>225.64422070000001</v>
      </c>
      <c r="G477" s="91">
        <v>25569.041962604166</v>
      </c>
      <c r="H477" s="91">
        <v>25569.041962604166</v>
      </c>
      <c r="I477" s="58">
        <v>35.299999999999997</v>
      </c>
      <c r="J477" s="62">
        <v>1069</v>
      </c>
      <c r="K477" s="57" t="s">
        <v>384</v>
      </c>
      <c r="L477" s="52">
        <v>3126</v>
      </c>
      <c r="M477" s="58">
        <f t="shared" si="35"/>
        <v>55.910642993977454</v>
      </c>
      <c r="N477" s="58">
        <v>3642.89</v>
      </c>
      <c r="O477" s="60">
        <f t="shared" si="33"/>
        <v>0.85810990724397396</v>
      </c>
      <c r="P477" s="60">
        <f t="shared" si="34"/>
        <v>1.5347881213535808E-2</v>
      </c>
    </row>
    <row r="478" spans="1:16" ht="17.25" customHeight="1" x14ac:dyDescent="0.2">
      <c r="A478" s="52">
        <v>1923</v>
      </c>
      <c r="B478" s="53" t="s">
        <v>336</v>
      </c>
      <c r="C478" s="53" t="s">
        <v>95</v>
      </c>
      <c r="D478" s="54">
        <v>227.75800000000001</v>
      </c>
      <c r="E478" s="62">
        <v>821</v>
      </c>
      <c r="F478" s="54">
        <f t="shared" si="32"/>
        <v>226.63752070000001</v>
      </c>
      <c r="G478" s="91">
        <v>25569.041962604166</v>
      </c>
      <c r="H478" s="91">
        <v>25569.041962604166</v>
      </c>
      <c r="I478" s="58">
        <v>36.1</v>
      </c>
      <c r="J478" s="62">
        <v>2424</v>
      </c>
      <c r="K478" s="57" t="s">
        <v>384</v>
      </c>
      <c r="L478" s="52">
        <v>19665</v>
      </c>
      <c r="M478" s="58">
        <f t="shared" si="35"/>
        <v>140.23195071024293</v>
      </c>
      <c r="N478" s="58">
        <v>8401.42</v>
      </c>
      <c r="O478" s="60">
        <f t="shared" si="33"/>
        <v>2.3406757429101273</v>
      </c>
      <c r="P478" s="60">
        <f t="shared" si="34"/>
        <v>1.6691458195191161E-2</v>
      </c>
    </row>
    <row r="479" spans="1:16" ht="17.25" customHeight="1" x14ac:dyDescent="0.2">
      <c r="A479" s="52">
        <v>1924</v>
      </c>
      <c r="B479" s="53" t="s">
        <v>336</v>
      </c>
      <c r="C479" s="53" t="s">
        <v>95</v>
      </c>
      <c r="D479" s="54">
        <v>228.76499999999999</v>
      </c>
      <c r="E479" s="62">
        <v>823</v>
      </c>
      <c r="F479" s="54">
        <f t="shared" si="32"/>
        <v>227.6397604</v>
      </c>
      <c r="G479" s="91">
        <v>25569.041962604166</v>
      </c>
      <c r="H479" s="91">
        <v>25569.041962604166</v>
      </c>
      <c r="I479" s="58">
        <v>34.1</v>
      </c>
      <c r="J479" s="62">
        <v>1074</v>
      </c>
      <c r="K479" s="57" t="s">
        <v>384</v>
      </c>
      <c r="L479" s="52">
        <v>14298</v>
      </c>
      <c r="M479" s="58">
        <f t="shared" si="35"/>
        <v>119.57424471850115</v>
      </c>
      <c r="N479" s="58">
        <v>3478.8</v>
      </c>
      <c r="O479" s="60">
        <f t="shared" si="33"/>
        <v>4.1100379441186616</v>
      </c>
      <c r="P479" s="60">
        <f t="shared" si="34"/>
        <v>3.4372267655082542E-2</v>
      </c>
    </row>
    <row r="480" spans="1:16" ht="17.25" customHeight="1" x14ac:dyDescent="0.2">
      <c r="A480" s="52">
        <v>1925</v>
      </c>
      <c r="B480" s="53" t="s">
        <v>336</v>
      </c>
      <c r="C480" s="53" t="s">
        <v>95</v>
      </c>
      <c r="D480" s="54">
        <v>229.77199999999999</v>
      </c>
      <c r="E480" s="62">
        <v>823</v>
      </c>
      <c r="F480" s="54">
        <f t="shared" si="32"/>
        <v>228.64001349999998</v>
      </c>
      <c r="G480" s="91">
        <v>25569.041962604166</v>
      </c>
      <c r="H480" s="91">
        <v>25569.041962604166</v>
      </c>
      <c r="I480" s="58">
        <v>33.299999999999997</v>
      </c>
      <c r="J480" s="62">
        <v>1128</v>
      </c>
      <c r="K480" s="57" t="s">
        <v>384</v>
      </c>
      <c r="L480" s="52">
        <v>19620</v>
      </c>
      <c r="M480" s="58">
        <f t="shared" si="35"/>
        <v>140.07141035914503</v>
      </c>
      <c r="N480" s="58">
        <v>3972.83</v>
      </c>
      <c r="O480" s="60">
        <f t="shared" si="33"/>
        <v>4.9385450673701117</v>
      </c>
      <c r="P480" s="60">
        <f t="shared" si="34"/>
        <v>3.525733805854895E-2</v>
      </c>
    </row>
    <row r="481" spans="1:16" ht="17.25" customHeight="1" x14ac:dyDescent="0.2">
      <c r="A481" s="52">
        <v>1926</v>
      </c>
      <c r="B481" s="53" t="s">
        <v>336</v>
      </c>
      <c r="C481" s="53" t="s">
        <v>95</v>
      </c>
      <c r="D481" s="54">
        <v>230.773</v>
      </c>
      <c r="E481" s="62">
        <v>823</v>
      </c>
      <c r="F481" s="54">
        <f t="shared" si="32"/>
        <v>229.63430679999999</v>
      </c>
      <c r="G481" s="91">
        <v>25569.041962604166</v>
      </c>
      <c r="H481" s="91">
        <v>25569.041962604166</v>
      </c>
      <c r="I481" s="58">
        <v>33.9</v>
      </c>
      <c r="J481" s="62">
        <v>1183</v>
      </c>
      <c r="K481" s="57" t="s">
        <v>384</v>
      </c>
      <c r="L481" s="52">
        <v>21104</v>
      </c>
      <c r="M481" s="58">
        <f t="shared" si="35"/>
        <v>145.27215837867902</v>
      </c>
      <c r="N481" s="58">
        <v>4201.3100000000004</v>
      </c>
      <c r="O481" s="60">
        <f t="shared" si="33"/>
        <v>5.0231951462758042</v>
      </c>
      <c r="P481" s="60">
        <f t="shared" si="34"/>
        <v>3.4577824149772098E-2</v>
      </c>
    </row>
    <row r="482" spans="1:16" ht="17.25" customHeight="1" x14ac:dyDescent="0.2">
      <c r="A482" s="52">
        <v>1927</v>
      </c>
      <c r="B482" s="53" t="s">
        <v>336</v>
      </c>
      <c r="C482" s="53" t="s">
        <v>95</v>
      </c>
      <c r="D482" s="54">
        <v>231.786</v>
      </c>
      <c r="E482" s="62">
        <v>823</v>
      </c>
      <c r="F482" s="54">
        <f t="shared" si="32"/>
        <v>230.6405197</v>
      </c>
      <c r="G482" s="91">
        <v>25569.041962604166</v>
      </c>
      <c r="H482" s="91">
        <v>25569.041962604166</v>
      </c>
      <c r="I482" s="58">
        <v>32.9</v>
      </c>
      <c r="J482" s="62">
        <v>1231</v>
      </c>
      <c r="K482" s="57" t="s">
        <v>384</v>
      </c>
      <c r="L482" s="52">
        <v>18642</v>
      </c>
      <c r="M482" s="58">
        <f t="shared" si="35"/>
        <v>136.53570961473778</v>
      </c>
      <c r="N482" s="58">
        <v>3829.99</v>
      </c>
      <c r="O482" s="60">
        <f t="shared" si="33"/>
        <v>4.867375632834551</v>
      </c>
      <c r="P482" s="60">
        <f t="shared" si="34"/>
        <v>3.5649103421872587E-2</v>
      </c>
    </row>
    <row r="483" spans="1:16" ht="17.25" customHeight="1" x14ac:dyDescent="0.2">
      <c r="A483" s="52">
        <v>1928</v>
      </c>
      <c r="B483" s="53" t="s">
        <v>336</v>
      </c>
      <c r="C483" s="53" t="s">
        <v>95</v>
      </c>
      <c r="D483" s="54">
        <v>232.78700000000001</v>
      </c>
      <c r="E483" s="62">
        <v>823</v>
      </c>
      <c r="F483" s="54">
        <f t="shared" si="32"/>
        <v>231.63481300000001</v>
      </c>
      <c r="G483" s="91">
        <v>25569.041962604166</v>
      </c>
      <c r="H483" s="91">
        <v>25569.041962604166</v>
      </c>
      <c r="I483" s="58">
        <v>31.3</v>
      </c>
      <c r="J483" s="62">
        <v>1153</v>
      </c>
      <c r="K483" s="57" t="s">
        <v>384</v>
      </c>
      <c r="L483" s="52">
        <v>15175</v>
      </c>
      <c r="M483" s="58">
        <f t="shared" si="35"/>
        <v>123.18684994754919</v>
      </c>
      <c r="N483" s="58">
        <v>3439.77</v>
      </c>
      <c r="O483" s="60">
        <f t="shared" si="33"/>
        <v>4.4116321730813395</v>
      </c>
      <c r="P483" s="60">
        <f t="shared" si="34"/>
        <v>3.5812525240800752E-2</v>
      </c>
    </row>
    <row r="484" spans="1:16" ht="17.25" customHeight="1" x14ac:dyDescent="0.2">
      <c r="A484" s="52">
        <v>1929</v>
      </c>
      <c r="B484" s="53" t="s">
        <v>336</v>
      </c>
      <c r="C484" s="53" t="s">
        <v>95</v>
      </c>
      <c r="D484" s="54">
        <v>233.78700000000001</v>
      </c>
      <c r="E484" s="62">
        <v>823</v>
      </c>
      <c r="F484" s="54">
        <f t="shared" si="32"/>
        <v>232.62811300000001</v>
      </c>
      <c r="G484" s="91">
        <v>25569.041962604166</v>
      </c>
      <c r="H484" s="91">
        <v>25569.041962604166</v>
      </c>
      <c r="I484" s="58">
        <v>31.5</v>
      </c>
      <c r="J484" s="62">
        <v>1439</v>
      </c>
      <c r="K484" s="57" t="s">
        <v>384</v>
      </c>
      <c r="L484" s="52">
        <v>16439</v>
      </c>
      <c r="M484" s="58">
        <f t="shared" si="35"/>
        <v>128.21466374795045</v>
      </c>
      <c r="N484" s="58">
        <v>4369.78</v>
      </c>
      <c r="O484" s="60">
        <f t="shared" si="33"/>
        <v>3.7619742870350454</v>
      </c>
      <c r="P484" s="60">
        <f t="shared" si="34"/>
        <v>2.9341217120301355E-2</v>
      </c>
    </row>
    <row r="485" spans="1:16" ht="17.25" customHeight="1" x14ac:dyDescent="0.2">
      <c r="A485" s="52">
        <v>1930</v>
      </c>
      <c r="B485" s="53" t="s">
        <v>336</v>
      </c>
      <c r="C485" s="53" t="s">
        <v>95</v>
      </c>
      <c r="D485" s="54">
        <v>235.78800000000001</v>
      </c>
      <c r="E485" s="62">
        <v>823</v>
      </c>
      <c r="F485" s="54">
        <f t="shared" si="32"/>
        <v>234.6157063</v>
      </c>
      <c r="G485" s="91">
        <v>25569.041962604166</v>
      </c>
      <c r="H485" s="91">
        <v>25569.041962604166</v>
      </c>
      <c r="I485" s="58">
        <v>32.5</v>
      </c>
      <c r="J485" s="62">
        <v>1362</v>
      </c>
      <c r="K485" s="57" t="s">
        <v>384</v>
      </c>
      <c r="L485" s="52">
        <v>12985</v>
      </c>
      <c r="M485" s="58">
        <f t="shared" si="35"/>
        <v>113.95174417269794</v>
      </c>
      <c r="N485" s="58">
        <v>4951.58</v>
      </c>
      <c r="O485" s="60">
        <f t="shared" si="33"/>
        <v>2.6223952758513445</v>
      </c>
      <c r="P485" s="60">
        <f t="shared" si="34"/>
        <v>2.301320874805576E-2</v>
      </c>
    </row>
    <row r="486" spans="1:16" ht="17.25" customHeight="1" x14ac:dyDescent="0.2">
      <c r="A486" s="52">
        <v>1931</v>
      </c>
      <c r="B486" s="53" t="s">
        <v>336</v>
      </c>
      <c r="C486" s="53" t="s">
        <v>95</v>
      </c>
      <c r="D486" s="54">
        <v>237.809</v>
      </c>
      <c r="E486" s="62">
        <v>823</v>
      </c>
      <c r="F486" s="54">
        <f t="shared" ref="F486:F549" si="36">0.9933*(D486 + E486/1000)-0.41</f>
        <v>236.62316559999999</v>
      </c>
      <c r="G486" s="91">
        <v>25569.041962604166</v>
      </c>
      <c r="H486" s="91">
        <v>25569.041962604166</v>
      </c>
      <c r="I486" s="58">
        <v>32.700000000000003</v>
      </c>
      <c r="J486" s="62">
        <v>2000</v>
      </c>
      <c r="K486" s="57" t="s">
        <v>384</v>
      </c>
      <c r="L486" s="52">
        <v>12526</v>
      </c>
      <c r="M486" s="58">
        <f t="shared" si="35"/>
        <v>111.91961400934154</v>
      </c>
      <c r="N486" s="58">
        <v>6804.84</v>
      </c>
      <c r="O486" s="60">
        <f t="shared" si="33"/>
        <v>1.8407486436124876</v>
      </c>
      <c r="P486" s="60">
        <f t="shared" si="34"/>
        <v>1.6447060329021924E-2</v>
      </c>
    </row>
    <row r="487" spans="1:16" ht="17.25" customHeight="1" x14ac:dyDescent="0.2">
      <c r="A487" s="52">
        <v>1932</v>
      </c>
      <c r="B487" s="53" t="s">
        <v>336</v>
      </c>
      <c r="C487" s="53" t="s">
        <v>95</v>
      </c>
      <c r="D487" s="54">
        <v>239.81</v>
      </c>
      <c r="E487" s="62">
        <v>823</v>
      </c>
      <c r="F487" s="54">
        <f t="shared" si="36"/>
        <v>238.61075890000001</v>
      </c>
      <c r="G487" s="91">
        <v>25569.041962604166</v>
      </c>
      <c r="H487" s="91">
        <v>25569.041962604166</v>
      </c>
      <c r="I487" s="58">
        <v>31.9</v>
      </c>
      <c r="J487" s="62">
        <v>2095</v>
      </c>
      <c r="K487" s="57" t="s">
        <v>384</v>
      </c>
      <c r="L487" s="52">
        <v>8176</v>
      </c>
      <c r="M487" s="58">
        <f t="shared" si="35"/>
        <v>90.421236443658515</v>
      </c>
      <c r="N487" s="58">
        <v>6423.08</v>
      </c>
      <c r="O487" s="60">
        <f t="shared" si="33"/>
        <v>1.2729095698636792</v>
      </c>
      <c r="P487" s="60">
        <f t="shared" si="34"/>
        <v>1.4077551025934366E-2</v>
      </c>
    </row>
    <row r="488" spans="1:16" ht="17.25" customHeight="1" x14ac:dyDescent="0.2">
      <c r="A488" s="52">
        <v>1933</v>
      </c>
      <c r="B488" s="53" t="s">
        <v>336</v>
      </c>
      <c r="C488" s="53" t="s">
        <v>95</v>
      </c>
      <c r="D488" s="54">
        <v>240.81700000000001</v>
      </c>
      <c r="E488" s="62">
        <v>823</v>
      </c>
      <c r="F488" s="54">
        <f t="shared" si="36"/>
        <v>239.61101200000002</v>
      </c>
      <c r="G488" s="91">
        <v>25569.041962604166</v>
      </c>
      <c r="H488" s="91">
        <v>25569.041962604166</v>
      </c>
      <c r="I488" s="58">
        <v>31.1</v>
      </c>
      <c r="J488" s="62">
        <v>1555</v>
      </c>
      <c r="K488" s="57" t="s">
        <v>384</v>
      </c>
      <c r="L488" s="52">
        <v>7011</v>
      </c>
      <c r="M488" s="58">
        <f t="shared" si="35"/>
        <v>83.731714421717172</v>
      </c>
      <c r="N488" s="58">
        <v>6048.23</v>
      </c>
      <c r="O488" s="60">
        <f t="shared" si="33"/>
        <v>1.1591821078232807</v>
      </c>
      <c r="P488" s="60">
        <f t="shared" si="34"/>
        <v>1.3844003025962502E-2</v>
      </c>
    </row>
    <row r="489" spans="1:16" ht="17.25" customHeight="1" x14ac:dyDescent="0.2">
      <c r="A489" s="52">
        <v>1934</v>
      </c>
      <c r="B489" s="53" t="s">
        <v>336</v>
      </c>
      <c r="C489" s="53" t="s">
        <v>95</v>
      </c>
      <c r="D489" s="54">
        <v>241.81700000000001</v>
      </c>
      <c r="E489" s="62">
        <v>823</v>
      </c>
      <c r="F489" s="54">
        <f t="shared" si="36"/>
        <v>240.60431200000002</v>
      </c>
      <c r="G489" s="91">
        <v>25569.041962604166</v>
      </c>
      <c r="H489" s="91">
        <v>25569.041962604166</v>
      </c>
      <c r="I489" s="58">
        <v>33.200000000000003</v>
      </c>
      <c r="J489" s="62">
        <v>1481</v>
      </c>
      <c r="K489" s="57" t="s">
        <v>384</v>
      </c>
      <c r="L489" s="52">
        <v>5419</v>
      </c>
      <c r="M489" s="58">
        <f t="shared" si="35"/>
        <v>73.61385739111897</v>
      </c>
      <c r="N489" s="58">
        <v>4550.57</v>
      </c>
      <c r="O489" s="60">
        <f t="shared" si="33"/>
        <v>1.1908398288566049</v>
      </c>
      <c r="P489" s="60">
        <f t="shared" si="34"/>
        <v>1.6176843206701354E-2</v>
      </c>
    </row>
    <row r="490" spans="1:16" ht="17.25" customHeight="1" x14ac:dyDescent="0.2">
      <c r="A490" s="52">
        <v>1935</v>
      </c>
      <c r="B490" s="53" t="s">
        <v>336</v>
      </c>
      <c r="C490" s="53" t="s">
        <v>95</v>
      </c>
      <c r="D490" s="54">
        <v>242.81700000000001</v>
      </c>
      <c r="E490" s="62">
        <v>823</v>
      </c>
      <c r="F490" s="54">
        <f t="shared" si="36"/>
        <v>241.597612</v>
      </c>
      <c r="G490" s="91">
        <v>25569.041962604166</v>
      </c>
      <c r="H490" s="91">
        <v>25569.041962604166</v>
      </c>
      <c r="I490" s="58">
        <v>30.4</v>
      </c>
      <c r="J490" s="62">
        <v>1857</v>
      </c>
      <c r="K490" s="57" t="s">
        <v>384</v>
      </c>
      <c r="L490" s="52">
        <v>6390</v>
      </c>
      <c r="M490" s="58">
        <f t="shared" si="35"/>
        <v>79.937475566845364</v>
      </c>
      <c r="N490" s="58">
        <v>5461.33</v>
      </c>
      <c r="O490" s="60">
        <f t="shared" si="33"/>
        <v>1.170044659451086</v>
      </c>
      <c r="P490" s="60">
        <f t="shared" si="34"/>
        <v>1.4636997868073412E-2</v>
      </c>
    </row>
    <row r="491" spans="1:16" ht="17.25" customHeight="1" x14ac:dyDescent="0.2">
      <c r="A491" s="52">
        <v>1936</v>
      </c>
      <c r="B491" s="53" t="s">
        <v>336</v>
      </c>
      <c r="C491" s="53" t="s">
        <v>95</v>
      </c>
      <c r="D491" s="54">
        <v>243.82499999999999</v>
      </c>
      <c r="E491" s="62">
        <v>823</v>
      </c>
      <c r="F491" s="54">
        <f t="shared" si="36"/>
        <v>242.59885839999998</v>
      </c>
      <c r="G491" s="91">
        <v>25569.041962604166</v>
      </c>
      <c r="H491" s="91">
        <v>25569.041962604166</v>
      </c>
      <c r="I491" s="58">
        <v>30.2</v>
      </c>
      <c r="J491" s="62">
        <v>1643</v>
      </c>
      <c r="K491" s="57" t="s">
        <v>384</v>
      </c>
      <c r="L491" s="52">
        <v>5095</v>
      </c>
      <c r="M491" s="58">
        <f t="shared" si="35"/>
        <v>71.379268698971686</v>
      </c>
      <c r="N491" s="58">
        <v>4807.59</v>
      </c>
      <c r="O491" s="60">
        <f t="shared" si="33"/>
        <v>1.0597825521727102</v>
      </c>
      <c r="P491" s="60">
        <f t="shared" si="34"/>
        <v>1.484720383788378E-2</v>
      </c>
    </row>
    <row r="492" spans="1:16" ht="17.25" customHeight="1" x14ac:dyDescent="0.2">
      <c r="A492" s="52">
        <v>1937</v>
      </c>
      <c r="B492" s="53" t="s">
        <v>336</v>
      </c>
      <c r="C492" s="53" t="s">
        <v>95</v>
      </c>
      <c r="D492" s="54">
        <v>245.81899999999999</v>
      </c>
      <c r="E492" s="62">
        <v>823</v>
      </c>
      <c r="F492" s="54">
        <f t="shared" si="36"/>
        <v>244.57949859999999</v>
      </c>
      <c r="G492" s="91">
        <v>25569.041962604166</v>
      </c>
      <c r="H492" s="91">
        <v>25569.041962604166</v>
      </c>
      <c r="I492" s="58">
        <v>32.299999999999997</v>
      </c>
      <c r="J492" s="62">
        <v>1593</v>
      </c>
      <c r="K492" s="57" t="s">
        <v>384</v>
      </c>
      <c r="L492" s="52">
        <v>4261</v>
      </c>
      <c r="M492" s="58">
        <f t="shared" si="35"/>
        <v>65.276335681470357</v>
      </c>
      <c r="N492" s="58">
        <v>5109.28</v>
      </c>
      <c r="O492" s="60">
        <f t="shared" si="33"/>
        <v>0.8339726928256036</v>
      </c>
      <c r="P492" s="60">
        <f t="shared" si="34"/>
        <v>1.2776034134255777E-2</v>
      </c>
    </row>
    <row r="493" spans="1:16" ht="17.25" customHeight="1" x14ac:dyDescent="0.2">
      <c r="A493" s="52">
        <v>1938</v>
      </c>
      <c r="B493" s="53" t="s">
        <v>336</v>
      </c>
      <c r="C493" s="53" t="s">
        <v>95</v>
      </c>
      <c r="D493" s="54">
        <v>247.82599999999999</v>
      </c>
      <c r="E493" s="62">
        <v>820</v>
      </c>
      <c r="F493" s="54">
        <f t="shared" si="36"/>
        <v>246.57007179999999</v>
      </c>
      <c r="G493" s="91">
        <v>25569.041962604166</v>
      </c>
      <c r="H493" s="91">
        <v>25569.041962604166</v>
      </c>
      <c r="I493" s="58">
        <v>32.200000000000003</v>
      </c>
      <c r="J493" s="62">
        <v>1679</v>
      </c>
      <c r="K493" s="57" t="s">
        <v>384</v>
      </c>
      <c r="L493" s="52">
        <v>3083</v>
      </c>
      <c r="M493" s="58">
        <f t="shared" si="35"/>
        <v>55.524769247606962</v>
      </c>
      <c r="N493" s="58">
        <v>5152.7299999999996</v>
      </c>
      <c r="O493" s="60">
        <f t="shared" si="33"/>
        <v>0.59832360709759691</v>
      </c>
      <c r="P493" s="60">
        <f t="shared" si="34"/>
        <v>1.0775796373496568E-2</v>
      </c>
    </row>
    <row r="494" spans="1:16" ht="17.25" customHeight="1" x14ac:dyDescent="0.2">
      <c r="A494" s="52">
        <v>1939</v>
      </c>
      <c r="B494" s="53" t="s">
        <v>336</v>
      </c>
      <c r="C494" s="53" t="s">
        <v>95</v>
      </c>
      <c r="D494" s="54">
        <v>249.827</v>
      </c>
      <c r="E494" s="62">
        <v>820</v>
      </c>
      <c r="F494" s="54">
        <f t="shared" si="36"/>
        <v>248.55766509999998</v>
      </c>
      <c r="G494" s="91">
        <v>25569.041962604166</v>
      </c>
      <c r="H494" s="91">
        <v>25569.041962604166</v>
      </c>
      <c r="I494" s="58">
        <v>32.200000000000003</v>
      </c>
      <c r="J494" s="62">
        <v>2208</v>
      </c>
      <c r="K494" s="57" t="s">
        <v>384</v>
      </c>
      <c r="L494" s="52">
        <v>3161</v>
      </c>
      <c r="M494" s="58">
        <f t="shared" si="35"/>
        <v>56.222771187482387</v>
      </c>
      <c r="N494" s="58">
        <v>6865.38</v>
      </c>
      <c r="O494" s="60">
        <f t="shared" si="33"/>
        <v>0.46042607983826095</v>
      </c>
      <c r="P494" s="60">
        <f t="shared" si="34"/>
        <v>8.1893167148041901E-3</v>
      </c>
    </row>
    <row r="495" spans="1:16" ht="17.25" customHeight="1" x14ac:dyDescent="0.2">
      <c r="A495" s="52">
        <v>1940</v>
      </c>
      <c r="B495" s="53" t="s">
        <v>336</v>
      </c>
      <c r="C495" s="53" t="s">
        <v>95</v>
      </c>
      <c r="D495" s="54">
        <v>252.83500000000001</v>
      </c>
      <c r="E495" s="62">
        <v>820</v>
      </c>
      <c r="F495" s="54">
        <f t="shared" si="36"/>
        <v>251.5455115</v>
      </c>
      <c r="G495" s="91">
        <v>25569.041962604166</v>
      </c>
      <c r="H495" s="91">
        <v>25569.041962604166</v>
      </c>
      <c r="I495" s="58">
        <v>38.1</v>
      </c>
      <c r="J495" s="62">
        <v>1293</v>
      </c>
      <c r="K495" s="57" t="s">
        <v>384</v>
      </c>
      <c r="L495" s="52">
        <v>1618</v>
      </c>
      <c r="M495" s="58">
        <f t="shared" si="35"/>
        <v>40.224370722237531</v>
      </c>
      <c r="N495" s="58">
        <v>4666.8599999999997</v>
      </c>
      <c r="O495" s="60">
        <f t="shared" si="33"/>
        <v>0.34669992243178499</v>
      </c>
      <c r="P495" s="60">
        <f t="shared" si="34"/>
        <v>8.6191509327979698E-3</v>
      </c>
    </row>
    <row r="496" spans="1:16" ht="17.25" customHeight="1" x14ac:dyDescent="0.2">
      <c r="A496" s="52">
        <v>1941</v>
      </c>
      <c r="B496" s="53" t="s">
        <v>336</v>
      </c>
      <c r="C496" s="53" t="s">
        <v>95</v>
      </c>
      <c r="D496" s="54">
        <v>255.83600000000001</v>
      </c>
      <c r="E496" s="62">
        <v>889</v>
      </c>
      <c r="F496" s="54">
        <f t="shared" si="36"/>
        <v>254.5949425</v>
      </c>
      <c r="G496" s="91">
        <v>25569.041962604166</v>
      </c>
      <c r="H496" s="91">
        <v>25569.041962604166</v>
      </c>
      <c r="I496" s="58">
        <v>38.6</v>
      </c>
      <c r="J496" s="62">
        <v>1175</v>
      </c>
      <c r="K496" s="57" t="s">
        <v>384</v>
      </c>
      <c r="L496" s="52">
        <v>1088</v>
      </c>
      <c r="M496" s="58">
        <f t="shared" si="35"/>
        <v>32.984845004941285</v>
      </c>
      <c r="N496" s="58">
        <v>3773.88</v>
      </c>
      <c r="O496" s="60">
        <f t="shared" si="33"/>
        <v>0.28829745513900812</v>
      </c>
      <c r="P496" s="60">
        <f t="shared" si="34"/>
        <v>8.7403004348154383E-3</v>
      </c>
    </row>
    <row r="497" spans="1:16" ht="17.25" customHeight="1" x14ac:dyDescent="0.2">
      <c r="A497" s="52">
        <v>1942</v>
      </c>
      <c r="B497" s="53" t="s">
        <v>385</v>
      </c>
      <c r="C497" s="53" t="s">
        <v>95</v>
      </c>
      <c r="D497" s="54">
        <v>246.18799999999999</v>
      </c>
      <c r="E497" s="62">
        <v>870</v>
      </c>
      <c r="F497" s="54">
        <f t="shared" si="36"/>
        <v>244.99271139999999</v>
      </c>
      <c r="G497" s="91">
        <v>25569.041962604166</v>
      </c>
      <c r="H497" s="91">
        <v>25569.041962604166</v>
      </c>
      <c r="I497" s="58">
        <v>36.9</v>
      </c>
      <c r="J497" s="62">
        <v>18480</v>
      </c>
      <c r="K497" s="57" t="s">
        <v>384</v>
      </c>
      <c r="L497" s="52">
        <v>54283</v>
      </c>
      <c r="M497" s="58">
        <f t="shared" si="35"/>
        <v>232.98712410774979</v>
      </c>
      <c r="N497" s="58">
        <v>66662.080000000002</v>
      </c>
      <c r="O497" s="60">
        <f t="shared" si="33"/>
        <v>0.81430102391044501</v>
      </c>
      <c r="P497" s="60">
        <f t="shared" si="34"/>
        <v>3.4950473208719226E-3</v>
      </c>
    </row>
    <row r="498" spans="1:16" ht="17.25" customHeight="1" x14ac:dyDescent="0.2">
      <c r="A498" s="52">
        <v>1943</v>
      </c>
      <c r="B498" s="53" t="s">
        <v>157</v>
      </c>
      <c r="C498" s="53" t="s">
        <v>95</v>
      </c>
      <c r="D498" s="54">
        <v>194.14099999999999</v>
      </c>
      <c r="E498" s="62">
        <v>2593</v>
      </c>
      <c r="F498" s="54">
        <f t="shared" si="36"/>
        <v>195.00588219999997</v>
      </c>
      <c r="G498" s="91">
        <v>25569.041962604166</v>
      </c>
      <c r="H498" s="92">
        <v>25569.041962604166</v>
      </c>
      <c r="I498" s="58">
        <v>224.1</v>
      </c>
      <c r="J498" s="62">
        <v>770215</v>
      </c>
      <c r="K498" s="57" t="s">
        <v>384</v>
      </c>
      <c r="L498" s="52">
        <v>48358</v>
      </c>
      <c r="M498" s="58">
        <f t="shared" si="35"/>
        <v>219.90452473744145</v>
      </c>
      <c r="N498" s="58">
        <v>6795470.1500000004</v>
      </c>
      <c r="O498" s="60">
        <f t="shared" si="33"/>
        <v>7.1162110836437116E-3</v>
      </c>
      <c r="P498" s="60">
        <f t="shared" si="34"/>
        <v>3.2360457758385039E-5</v>
      </c>
    </row>
    <row r="499" spans="1:16" ht="17.25" customHeight="1" x14ac:dyDescent="0.2">
      <c r="A499" s="52">
        <v>1944</v>
      </c>
      <c r="B499" s="53" t="s">
        <v>338</v>
      </c>
      <c r="C499" s="53" t="s">
        <v>95</v>
      </c>
      <c r="D499" s="54">
        <v>219.721</v>
      </c>
      <c r="E499" s="62">
        <v>986</v>
      </c>
      <c r="F499" s="54">
        <f t="shared" si="36"/>
        <v>218.8182631</v>
      </c>
      <c r="G499" s="91">
        <v>25569.041962604166</v>
      </c>
      <c r="H499" s="91">
        <v>25569.041962604166</v>
      </c>
      <c r="I499" s="58">
        <v>35.1</v>
      </c>
      <c r="J499" s="62">
        <v>3037</v>
      </c>
      <c r="K499" s="57" t="s">
        <v>384</v>
      </c>
      <c r="L499" s="52">
        <v>635</v>
      </c>
      <c r="M499" s="58">
        <f t="shared" si="35"/>
        <v>25.199206336708304</v>
      </c>
      <c r="N499" s="58">
        <v>10429.39</v>
      </c>
      <c r="O499" s="60">
        <f t="shared" si="33"/>
        <v>6.0885631853828462E-2</v>
      </c>
      <c r="P499" s="60">
        <f t="shared" si="34"/>
        <v>2.4161725984653279E-3</v>
      </c>
    </row>
    <row r="500" spans="1:16" ht="17.25" customHeight="1" x14ac:dyDescent="0.2">
      <c r="A500" s="52">
        <v>1945</v>
      </c>
      <c r="B500" s="53" t="s">
        <v>338</v>
      </c>
      <c r="C500" s="53" t="s">
        <v>95</v>
      </c>
      <c r="D500" s="54">
        <v>221.72900000000001</v>
      </c>
      <c r="E500" s="62">
        <v>986</v>
      </c>
      <c r="F500" s="54">
        <f t="shared" si="36"/>
        <v>220.81280949999999</v>
      </c>
      <c r="G500" s="91">
        <v>25569.041962604166</v>
      </c>
      <c r="H500" s="91">
        <v>25569.041962604166</v>
      </c>
      <c r="I500" s="58">
        <v>35.799999999999997</v>
      </c>
      <c r="J500" s="62">
        <v>2016</v>
      </c>
      <c r="K500" s="57" t="s">
        <v>384</v>
      </c>
      <c r="L500" s="52">
        <v>586</v>
      </c>
      <c r="M500" s="58">
        <f t="shared" si="35"/>
        <v>24.207436873820409</v>
      </c>
      <c r="N500" s="58">
        <v>6992.33</v>
      </c>
      <c r="O500" s="60">
        <f t="shared" si="33"/>
        <v>8.3806113269825649E-2</v>
      </c>
      <c r="P500" s="60">
        <f t="shared" si="34"/>
        <v>3.4619986290435963E-3</v>
      </c>
    </row>
    <row r="501" spans="1:16" ht="17.25" customHeight="1" x14ac:dyDescent="0.2">
      <c r="A501" s="52">
        <v>1946</v>
      </c>
      <c r="B501" s="53" t="s">
        <v>338</v>
      </c>
      <c r="C501" s="53" t="s">
        <v>95</v>
      </c>
      <c r="D501" s="54">
        <v>223.73599999999999</v>
      </c>
      <c r="E501" s="62">
        <v>986</v>
      </c>
      <c r="F501" s="54">
        <f t="shared" si="36"/>
        <v>222.80636259999997</v>
      </c>
      <c r="G501" s="91">
        <v>25569.041962604166</v>
      </c>
      <c r="H501" s="91">
        <v>25569.041962604166</v>
      </c>
      <c r="I501" s="58">
        <v>35.6</v>
      </c>
      <c r="J501" s="62">
        <v>1506</v>
      </c>
      <c r="K501" s="57" t="s">
        <v>384</v>
      </c>
      <c r="L501" s="52">
        <v>758</v>
      </c>
      <c r="M501" s="58">
        <f t="shared" si="35"/>
        <v>27.531799795872409</v>
      </c>
      <c r="N501" s="58">
        <v>5121.8500000000004</v>
      </c>
      <c r="O501" s="60">
        <f t="shared" si="33"/>
        <v>0.1479934008219686</v>
      </c>
      <c r="P501" s="60">
        <f t="shared" si="34"/>
        <v>5.3753623780220831E-3</v>
      </c>
    </row>
    <row r="502" spans="1:16" ht="17.25" customHeight="1" x14ac:dyDescent="0.2">
      <c r="A502" s="52">
        <v>1947</v>
      </c>
      <c r="B502" s="53" t="s">
        <v>338</v>
      </c>
      <c r="C502" s="53" t="s">
        <v>95</v>
      </c>
      <c r="D502" s="54">
        <v>225.751</v>
      </c>
      <c r="E502" s="62">
        <v>986</v>
      </c>
      <c r="F502" s="54">
        <f t="shared" si="36"/>
        <v>224.80786209999999</v>
      </c>
      <c r="G502" s="91">
        <v>25569.041962604166</v>
      </c>
      <c r="H502" s="91">
        <v>25569.041962604166</v>
      </c>
      <c r="I502" s="58">
        <v>36.1</v>
      </c>
      <c r="J502" s="62">
        <v>3324</v>
      </c>
      <c r="K502" s="57" t="s">
        <v>384</v>
      </c>
      <c r="L502" s="52">
        <v>4843</v>
      </c>
      <c r="M502" s="58">
        <f t="shared" si="35"/>
        <v>69.591666167724426</v>
      </c>
      <c r="N502" s="58">
        <v>11722.51</v>
      </c>
      <c r="O502" s="60">
        <f t="shared" si="33"/>
        <v>0.41313677702130347</v>
      </c>
      <c r="P502" s="60">
        <f t="shared" si="34"/>
        <v>5.9365840735238805E-3</v>
      </c>
    </row>
    <row r="503" spans="1:16" ht="17.25" customHeight="1" x14ac:dyDescent="0.2">
      <c r="A503" s="52">
        <v>1948</v>
      </c>
      <c r="B503" s="53" t="s">
        <v>338</v>
      </c>
      <c r="C503" s="53" t="s">
        <v>95</v>
      </c>
      <c r="D503" s="54">
        <v>226.751</v>
      </c>
      <c r="E503" s="62">
        <v>986</v>
      </c>
      <c r="F503" s="54">
        <f t="shared" si="36"/>
        <v>225.8011621</v>
      </c>
      <c r="G503" s="91">
        <v>25569.041962604166</v>
      </c>
      <c r="H503" s="91">
        <v>25569.041962604166</v>
      </c>
      <c r="I503" s="58">
        <v>36.1</v>
      </c>
      <c r="J503" s="62">
        <v>2724</v>
      </c>
      <c r="K503" s="57" t="s">
        <v>384</v>
      </c>
      <c r="L503" s="52">
        <v>9716</v>
      </c>
      <c r="M503" s="58">
        <f t="shared" si="35"/>
        <v>98.56977224281286</v>
      </c>
      <c r="N503" s="58">
        <v>9613.31</v>
      </c>
      <c r="O503" s="60">
        <f t="shared" si="33"/>
        <v>1.0106820647622932</v>
      </c>
      <c r="P503" s="60">
        <f t="shared" si="34"/>
        <v>1.0253468601638028E-2</v>
      </c>
    </row>
    <row r="504" spans="1:16" ht="17.25" customHeight="1" x14ac:dyDescent="0.2">
      <c r="A504" s="52">
        <v>1949</v>
      </c>
      <c r="B504" s="53" t="s">
        <v>338</v>
      </c>
      <c r="C504" s="53" t="s">
        <v>95</v>
      </c>
      <c r="D504" s="54">
        <v>227.751</v>
      </c>
      <c r="E504" s="62">
        <v>986</v>
      </c>
      <c r="F504" s="54">
        <f t="shared" si="36"/>
        <v>226.79446209999998</v>
      </c>
      <c r="G504" s="91">
        <v>25569.041962604166</v>
      </c>
      <c r="H504" s="91">
        <v>25569.041962604166</v>
      </c>
      <c r="I504" s="58">
        <v>36.1</v>
      </c>
      <c r="J504" s="62">
        <v>1352</v>
      </c>
      <c r="K504" s="57" t="s">
        <v>384</v>
      </c>
      <c r="L504" s="52">
        <v>12270</v>
      </c>
      <c r="M504" s="58">
        <f t="shared" si="35"/>
        <v>110.77003204838391</v>
      </c>
      <c r="N504" s="58">
        <v>4698.58</v>
      </c>
      <c r="O504" s="60">
        <f t="shared" si="33"/>
        <v>2.6114272822852862</v>
      </c>
      <c r="P504" s="60">
        <f t="shared" si="34"/>
        <v>2.357521464961412E-2</v>
      </c>
    </row>
    <row r="505" spans="1:16" ht="17.25" customHeight="1" x14ac:dyDescent="0.2">
      <c r="A505" s="52">
        <v>1950</v>
      </c>
      <c r="B505" s="53" t="s">
        <v>338</v>
      </c>
      <c r="C505" s="53" t="s">
        <v>95</v>
      </c>
      <c r="D505" s="54">
        <v>228.75800000000001</v>
      </c>
      <c r="E505" s="62">
        <v>986</v>
      </c>
      <c r="F505" s="54">
        <f t="shared" si="36"/>
        <v>227.79471519999998</v>
      </c>
      <c r="G505" s="91">
        <v>25569.041962604166</v>
      </c>
      <c r="H505" s="91">
        <v>25569.041962604166</v>
      </c>
      <c r="I505" s="58">
        <v>36.1</v>
      </c>
      <c r="J505" s="62">
        <v>996</v>
      </c>
      <c r="K505" s="57" t="s">
        <v>384</v>
      </c>
      <c r="L505" s="52">
        <v>14902</v>
      </c>
      <c r="M505" s="58">
        <f t="shared" si="35"/>
        <v>122.07374820165063</v>
      </c>
      <c r="N505" s="58">
        <v>3380.04</v>
      </c>
      <c r="O505" s="60">
        <f t="shared" si="33"/>
        <v>4.4088235642181752</v>
      </c>
      <c r="P505" s="60">
        <f t="shared" si="34"/>
        <v>3.6116066141717446E-2</v>
      </c>
    </row>
    <row r="506" spans="1:16" ht="17.25" customHeight="1" x14ac:dyDescent="0.2">
      <c r="A506" s="52">
        <v>1951</v>
      </c>
      <c r="B506" s="53" t="s">
        <v>338</v>
      </c>
      <c r="C506" s="53" t="s">
        <v>95</v>
      </c>
      <c r="D506" s="54">
        <v>229.76499999999999</v>
      </c>
      <c r="E506" s="62">
        <v>986</v>
      </c>
      <c r="F506" s="54">
        <f t="shared" si="36"/>
        <v>228.79496829999997</v>
      </c>
      <c r="G506" s="91">
        <v>25569.041962604166</v>
      </c>
      <c r="H506" s="91">
        <v>25569.041962604166</v>
      </c>
      <c r="I506" s="58">
        <v>36.1</v>
      </c>
      <c r="J506" s="62">
        <v>790</v>
      </c>
      <c r="K506" s="57" t="s">
        <v>384</v>
      </c>
      <c r="L506" s="52">
        <v>13329</v>
      </c>
      <c r="M506" s="58">
        <f t="shared" si="35"/>
        <v>115.45128842936315</v>
      </c>
      <c r="N506" s="58">
        <v>2632.31</v>
      </c>
      <c r="O506" s="60">
        <f t="shared" si="33"/>
        <v>5.0636133282174214</v>
      </c>
      <c r="P506" s="60">
        <f t="shared" si="34"/>
        <v>4.3859305488093407E-2</v>
      </c>
    </row>
    <row r="507" spans="1:16" ht="17.25" customHeight="1" x14ac:dyDescent="0.2">
      <c r="A507" s="52">
        <v>1952</v>
      </c>
      <c r="B507" s="53" t="s">
        <v>338</v>
      </c>
      <c r="C507" s="53" t="s">
        <v>95</v>
      </c>
      <c r="D507" s="54">
        <v>230.76599999999999</v>
      </c>
      <c r="E507" s="62">
        <v>986</v>
      </c>
      <c r="F507" s="54">
        <f t="shared" si="36"/>
        <v>229.78926159999997</v>
      </c>
      <c r="G507" s="91">
        <v>25569.041962604166</v>
      </c>
      <c r="H507" s="91">
        <v>25569.041962604166</v>
      </c>
      <c r="I507" s="58">
        <v>36.1</v>
      </c>
      <c r="J507" s="62">
        <v>1076</v>
      </c>
      <c r="K507" s="57" t="s">
        <v>384</v>
      </c>
      <c r="L507" s="52">
        <v>18705</v>
      </c>
      <c r="M507" s="58">
        <f t="shared" si="35"/>
        <v>136.7662239004938</v>
      </c>
      <c r="N507" s="58">
        <v>3717.39</v>
      </c>
      <c r="O507" s="60">
        <f t="shared" si="33"/>
        <v>5.0317561514933864</v>
      </c>
      <c r="P507" s="60">
        <f t="shared" si="34"/>
        <v>3.6790926940808953E-2</v>
      </c>
    </row>
    <row r="508" spans="1:16" ht="17.25" customHeight="1" x14ac:dyDescent="0.2">
      <c r="A508" s="52">
        <v>1953</v>
      </c>
      <c r="B508" s="53" t="s">
        <v>338</v>
      </c>
      <c r="C508" s="53" t="s">
        <v>95</v>
      </c>
      <c r="D508" s="54">
        <v>231.773</v>
      </c>
      <c r="E508" s="62">
        <v>986</v>
      </c>
      <c r="F508" s="54">
        <f t="shared" si="36"/>
        <v>230.78951469999998</v>
      </c>
      <c r="G508" s="91">
        <v>25569.041962604166</v>
      </c>
      <c r="H508" s="91">
        <v>25569.041962604166</v>
      </c>
      <c r="I508" s="58">
        <v>36.1</v>
      </c>
      <c r="J508" s="62">
        <v>982</v>
      </c>
      <c r="K508" s="57" t="s">
        <v>384</v>
      </c>
      <c r="L508" s="52">
        <v>16293</v>
      </c>
      <c r="M508" s="58">
        <f t="shared" si="35"/>
        <v>127.64403628842203</v>
      </c>
      <c r="N508" s="58">
        <v>3333.94</v>
      </c>
      <c r="O508" s="60">
        <f t="shared" si="33"/>
        <v>4.8870105640773378</v>
      </c>
      <c r="P508" s="60">
        <f t="shared" si="34"/>
        <v>3.8286242790338765E-2</v>
      </c>
    </row>
    <row r="509" spans="1:16" ht="17.25" customHeight="1" x14ac:dyDescent="0.2">
      <c r="A509" s="52">
        <v>1954</v>
      </c>
      <c r="B509" s="53" t="s">
        <v>338</v>
      </c>
      <c r="C509" s="53" t="s">
        <v>95</v>
      </c>
      <c r="D509" s="54">
        <v>232.773</v>
      </c>
      <c r="E509" s="62">
        <v>984</v>
      </c>
      <c r="F509" s="54">
        <f t="shared" si="36"/>
        <v>231.78082810000001</v>
      </c>
      <c r="G509" s="91">
        <v>25569.041962604166</v>
      </c>
      <c r="H509" s="91">
        <v>25569.041962604166</v>
      </c>
      <c r="I509" s="58">
        <v>35.9</v>
      </c>
      <c r="J509" s="62">
        <v>1418</v>
      </c>
      <c r="K509" s="57" t="s">
        <v>384</v>
      </c>
      <c r="L509" s="52">
        <v>21724</v>
      </c>
      <c r="M509" s="58">
        <f t="shared" si="35"/>
        <v>147.39063742314164</v>
      </c>
      <c r="N509" s="58">
        <v>4883.0200000000004</v>
      </c>
      <c r="O509" s="60">
        <f t="shared" si="33"/>
        <v>4.4488861401345883</v>
      </c>
      <c r="P509" s="60">
        <f t="shared" si="34"/>
        <v>3.018431983140385E-2</v>
      </c>
    </row>
    <row r="510" spans="1:16" ht="17.25" customHeight="1" x14ac:dyDescent="0.2">
      <c r="A510" s="52">
        <v>1955</v>
      </c>
      <c r="B510" s="53" t="s">
        <v>338</v>
      </c>
      <c r="C510" s="53" t="s">
        <v>95</v>
      </c>
      <c r="D510" s="54">
        <v>233.78</v>
      </c>
      <c r="E510" s="62">
        <v>984</v>
      </c>
      <c r="F510" s="54">
        <f t="shared" si="36"/>
        <v>232.78108120000002</v>
      </c>
      <c r="G510" s="91">
        <v>25569.041962604166</v>
      </c>
      <c r="H510" s="91">
        <v>25569.041962604166</v>
      </c>
      <c r="I510" s="58">
        <v>36.1</v>
      </c>
      <c r="J510" s="62">
        <v>1379</v>
      </c>
      <c r="K510" s="57" t="s">
        <v>384</v>
      </c>
      <c r="L510" s="52">
        <v>18232</v>
      </c>
      <c r="M510" s="58">
        <f t="shared" si="35"/>
        <v>135.02592343694599</v>
      </c>
      <c r="N510" s="58">
        <v>4796.53</v>
      </c>
      <c r="O510" s="60">
        <f t="shared" si="33"/>
        <v>3.8010811982829256</v>
      </c>
      <c r="P510" s="60">
        <f t="shared" si="34"/>
        <v>2.8150751363370186E-2</v>
      </c>
    </row>
    <row r="511" spans="1:16" ht="17.25" customHeight="1" x14ac:dyDescent="0.2">
      <c r="A511" s="52">
        <v>1956</v>
      </c>
      <c r="B511" s="53" t="s">
        <v>338</v>
      </c>
      <c r="C511" s="53" t="s">
        <v>95</v>
      </c>
      <c r="D511" s="54">
        <v>235.78800000000001</v>
      </c>
      <c r="E511" s="62">
        <v>984</v>
      </c>
      <c r="F511" s="54">
        <f t="shared" si="36"/>
        <v>234.77562760000001</v>
      </c>
      <c r="G511" s="91">
        <v>25569.041962604166</v>
      </c>
      <c r="H511" s="91">
        <v>25569.041962604166</v>
      </c>
      <c r="I511" s="58">
        <v>36.1</v>
      </c>
      <c r="J511" s="62">
        <v>1807</v>
      </c>
      <c r="K511" s="57" t="s">
        <v>384</v>
      </c>
      <c r="L511" s="52">
        <v>16591</v>
      </c>
      <c r="M511" s="58">
        <f t="shared" si="35"/>
        <v>128.80605575826007</v>
      </c>
      <c r="N511" s="58">
        <v>6202.41</v>
      </c>
      <c r="O511" s="60">
        <f t="shared" si="33"/>
        <v>2.6749279715465439</v>
      </c>
      <c r="P511" s="60">
        <f t="shared" si="34"/>
        <v>2.0767097911660159E-2</v>
      </c>
    </row>
    <row r="512" spans="1:16" ht="17.25" customHeight="1" x14ac:dyDescent="0.2">
      <c r="A512" s="52">
        <v>1957</v>
      </c>
      <c r="B512" s="53" t="s">
        <v>338</v>
      </c>
      <c r="C512" s="53" t="s">
        <v>95</v>
      </c>
      <c r="D512" s="54">
        <v>237.79499999999999</v>
      </c>
      <c r="E512" s="62">
        <v>984</v>
      </c>
      <c r="F512" s="54">
        <f t="shared" si="36"/>
        <v>236.76918069999999</v>
      </c>
      <c r="G512" s="91">
        <v>25569.041962604166</v>
      </c>
      <c r="H512" s="91">
        <v>25569.041962604166</v>
      </c>
      <c r="I512" s="58">
        <v>35.9</v>
      </c>
      <c r="J512" s="62">
        <v>2304</v>
      </c>
      <c r="K512" s="57" t="s">
        <v>384</v>
      </c>
      <c r="L512" s="52">
        <v>14929</v>
      </c>
      <c r="M512" s="58">
        <f t="shared" si="35"/>
        <v>122.18428704215611</v>
      </c>
      <c r="N512" s="58">
        <v>7944.91</v>
      </c>
      <c r="O512" s="60">
        <f t="shared" si="33"/>
        <v>1.8790647093547945</v>
      </c>
      <c r="P512" s="60">
        <f t="shared" si="34"/>
        <v>1.5378939099644441E-2</v>
      </c>
    </row>
    <row r="513" spans="1:16" ht="17.25" customHeight="1" x14ac:dyDescent="0.2">
      <c r="A513" s="52">
        <v>1958</v>
      </c>
      <c r="B513" s="53" t="s">
        <v>338</v>
      </c>
      <c r="C513" s="53" t="s">
        <v>95</v>
      </c>
      <c r="D513" s="54">
        <v>239.803</v>
      </c>
      <c r="E513" s="62">
        <v>984</v>
      </c>
      <c r="F513" s="54">
        <f t="shared" si="36"/>
        <v>238.76372710000001</v>
      </c>
      <c r="G513" s="91">
        <v>25569.041962604166</v>
      </c>
      <c r="H513" s="91">
        <v>25569.041962604166</v>
      </c>
      <c r="I513" s="58">
        <v>36.1</v>
      </c>
      <c r="J513" s="62">
        <v>3416</v>
      </c>
      <c r="K513" s="57" t="s">
        <v>384</v>
      </c>
      <c r="L513" s="52">
        <v>15947</v>
      </c>
      <c r="M513" s="58">
        <f t="shared" si="35"/>
        <v>126.28143173087641</v>
      </c>
      <c r="N513" s="58">
        <v>11971.8</v>
      </c>
      <c r="O513" s="60">
        <f t="shared" si="33"/>
        <v>1.3320469770627643</v>
      </c>
      <c r="P513" s="60">
        <f t="shared" si="34"/>
        <v>1.0548241010614646E-2</v>
      </c>
    </row>
    <row r="514" spans="1:16" ht="17.25" customHeight="1" x14ac:dyDescent="0.2">
      <c r="A514" s="52">
        <v>1959</v>
      </c>
      <c r="B514" s="53" t="s">
        <v>338</v>
      </c>
      <c r="C514" s="53" t="s">
        <v>95</v>
      </c>
      <c r="D514" s="54">
        <v>241.81</v>
      </c>
      <c r="E514" s="62">
        <v>984</v>
      </c>
      <c r="F514" s="54">
        <f t="shared" si="36"/>
        <v>240.7572802</v>
      </c>
      <c r="G514" s="91">
        <v>25569.041962604166</v>
      </c>
      <c r="H514" s="91">
        <v>25569.041962604166</v>
      </c>
      <c r="I514" s="58">
        <v>35.9</v>
      </c>
      <c r="J514" s="62">
        <v>1928</v>
      </c>
      <c r="K514" s="57" t="s">
        <v>384</v>
      </c>
      <c r="L514" s="52">
        <v>8455</v>
      </c>
      <c r="M514" s="58">
        <f t="shared" si="35"/>
        <v>91.951073946963774</v>
      </c>
      <c r="N514" s="58">
        <v>6682.39</v>
      </c>
      <c r="O514" s="60">
        <f t="shared" si="33"/>
        <v>1.2652658704445565</v>
      </c>
      <c r="P514" s="60">
        <f t="shared" si="34"/>
        <v>1.3760207642320154E-2</v>
      </c>
    </row>
    <row r="515" spans="1:16" ht="17.25" customHeight="1" x14ac:dyDescent="0.2">
      <c r="A515" s="52">
        <v>1960</v>
      </c>
      <c r="B515" s="53" t="s">
        <v>338</v>
      </c>
      <c r="C515" s="53" t="s">
        <v>95</v>
      </c>
      <c r="D515" s="54">
        <v>243.81800000000001</v>
      </c>
      <c r="E515" s="62">
        <v>984</v>
      </c>
      <c r="F515" s="54">
        <f t="shared" si="36"/>
        <v>242.75182660000002</v>
      </c>
      <c r="G515" s="91">
        <v>25569.041962604166</v>
      </c>
      <c r="H515" s="91">
        <v>25569.041962604166</v>
      </c>
      <c r="I515" s="58">
        <v>35.9</v>
      </c>
      <c r="J515" s="62">
        <v>1453</v>
      </c>
      <c r="K515" s="57" t="s">
        <v>384</v>
      </c>
      <c r="L515" s="52">
        <v>5452</v>
      </c>
      <c r="M515" s="58">
        <f t="shared" si="35"/>
        <v>73.837659767898927</v>
      </c>
      <c r="N515" s="58">
        <v>4961.0200000000004</v>
      </c>
      <c r="O515" s="60">
        <f t="shared" si="33"/>
        <v>1.0989675510278127</v>
      </c>
      <c r="P515" s="60">
        <f t="shared" si="34"/>
        <v>1.4883564220240781E-2</v>
      </c>
    </row>
    <row r="516" spans="1:16" ht="17.25" customHeight="1" x14ac:dyDescent="0.2">
      <c r="A516" s="52">
        <v>1961</v>
      </c>
      <c r="B516" s="53" t="s">
        <v>338</v>
      </c>
      <c r="C516" s="53" t="s">
        <v>95</v>
      </c>
      <c r="D516" s="54">
        <v>245.81200000000001</v>
      </c>
      <c r="E516" s="62">
        <v>984</v>
      </c>
      <c r="F516" s="54">
        <f t="shared" si="36"/>
        <v>244.73246680000003</v>
      </c>
      <c r="G516" s="91">
        <v>25569.041962604166</v>
      </c>
      <c r="H516" s="91">
        <v>25569.041962604166</v>
      </c>
      <c r="I516" s="58">
        <v>35.9</v>
      </c>
      <c r="J516" s="62">
        <v>1336</v>
      </c>
      <c r="K516" s="57" t="s">
        <v>384</v>
      </c>
      <c r="L516" s="52">
        <v>3799</v>
      </c>
      <c r="M516" s="58">
        <f t="shared" si="35"/>
        <v>61.636028424939909</v>
      </c>
      <c r="N516" s="58">
        <v>4486.21</v>
      </c>
      <c r="O516" s="60">
        <f t="shared" si="33"/>
        <v>0.84681724662911451</v>
      </c>
      <c r="P516" s="60">
        <f t="shared" si="34"/>
        <v>1.3738997600411017E-2</v>
      </c>
    </row>
    <row r="517" spans="1:16" ht="17.25" customHeight="1" x14ac:dyDescent="0.2">
      <c r="A517" s="52">
        <v>1962</v>
      </c>
      <c r="B517" s="53" t="s">
        <v>338</v>
      </c>
      <c r="C517" s="53" t="s">
        <v>95</v>
      </c>
      <c r="D517" s="54">
        <v>247.81899999999999</v>
      </c>
      <c r="E517" s="62">
        <v>984</v>
      </c>
      <c r="F517" s="54">
        <f t="shared" si="36"/>
        <v>246.72601989999998</v>
      </c>
      <c r="G517" s="91">
        <v>25569.041962604166</v>
      </c>
      <c r="H517" s="91">
        <v>25569.041962604166</v>
      </c>
      <c r="I517" s="58">
        <v>35.299999999999997</v>
      </c>
      <c r="J517" s="62">
        <v>943</v>
      </c>
      <c r="K517" s="57" t="s">
        <v>384</v>
      </c>
      <c r="L517" s="52">
        <v>2006</v>
      </c>
      <c r="M517" s="58">
        <f t="shared" si="35"/>
        <v>44.788391353117383</v>
      </c>
      <c r="N517" s="58">
        <v>3148.2</v>
      </c>
      <c r="O517" s="60">
        <f t="shared" si="33"/>
        <v>0.63718950511403349</v>
      </c>
      <c r="P517" s="60">
        <f t="shared" si="34"/>
        <v>1.4226666461189691E-2</v>
      </c>
    </row>
    <row r="518" spans="1:16" ht="17.25" customHeight="1" x14ac:dyDescent="0.2">
      <c r="A518" s="52">
        <v>1963</v>
      </c>
      <c r="B518" s="53" t="s">
        <v>338</v>
      </c>
      <c r="C518" s="53" t="s">
        <v>95</v>
      </c>
      <c r="D518" s="54">
        <v>249.82</v>
      </c>
      <c r="E518" s="62">
        <v>984</v>
      </c>
      <c r="F518" s="54">
        <f t="shared" si="36"/>
        <v>248.7136132</v>
      </c>
      <c r="G518" s="91">
        <v>25569.041962604166</v>
      </c>
      <c r="H518" s="91">
        <v>25569.041962604166</v>
      </c>
      <c r="I518" s="58">
        <v>35.1</v>
      </c>
      <c r="J518" s="62">
        <v>1296</v>
      </c>
      <c r="K518" s="57" t="s">
        <v>384</v>
      </c>
      <c r="L518" s="52">
        <v>1957</v>
      </c>
      <c r="M518" s="58">
        <f t="shared" si="35"/>
        <v>44.237992721189329</v>
      </c>
      <c r="N518" s="58">
        <v>4359.3599999999997</v>
      </c>
      <c r="O518" s="60">
        <f t="shared" si="33"/>
        <v>0.44891910739191077</v>
      </c>
      <c r="P518" s="60">
        <f t="shared" si="34"/>
        <v>1.0147818193769116E-2</v>
      </c>
    </row>
    <row r="519" spans="1:16" ht="17.25" customHeight="1" x14ac:dyDescent="0.2">
      <c r="A519" s="52">
        <v>1964</v>
      </c>
      <c r="B519" s="53" t="s">
        <v>338</v>
      </c>
      <c r="C519" s="53" t="s">
        <v>95</v>
      </c>
      <c r="D519" s="54">
        <v>251.828</v>
      </c>
      <c r="E519" s="62">
        <v>984</v>
      </c>
      <c r="F519" s="54">
        <f t="shared" si="36"/>
        <v>250.70815960000002</v>
      </c>
      <c r="G519" s="91">
        <v>25569.041962604166</v>
      </c>
      <c r="H519" s="91">
        <v>25569.041962604166</v>
      </c>
      <c r="I519" s="58">
        <v>35.1</v>
      </c>
      <c r="J519" s="62">
        <v>1175</v>
      </c>
      <c r="K519" s="57" t="s">
        <v>384</v>
      </c>
      <c r="L519" s="52">
        <v>1451</v>
      </c>
      <c r="M519" s="58">
        <f t="shared" si="35"/>
        <v>38.091993909481822</v>
      </c>
      <c r="N519" s="58">
        <v>3947.58</v>
      </c>
      <c r="O519" s="60">
        <f t="shared" ref="O519:O582" si="37">L519/N519</f>
        <v>0.36756696507733855</v>
      </c>
      <c r="P519" s="60">
        <f t="shared" ref="P519:P582" si="38">M519/N519</f>
        <v>9.6494545796365939E-3</v>
      </c>
    </row>
    <row r="520" spans="1:16" ht="17.25" customHeight="1" x14ac:dyDescent="0.2">
      <c r="A520" s="52">
        <v>1965</v>
      </c>
      <c r="B520" s="53" t="s">
        <v>338</v>
      </c>
      <c r="C520" s="53" t="s">
        <v>95</v>
      </c>
      <c r="D520" s="54">
        <v>253.83500000000001</v>
      </c>
      <c r="E520" s="62">
        <v>984</v>
      </c>
      <c r="F520" s="54">
        <f t="shared" si="36"/>
        <v>252.7017127</v>
      </c>
      <c r="G520" s="91">
        <v>25569.041962604166</v>
      </c>
      <c r="H520" s="91">
        <v>25569.041962604166</v>
      </c>
      <c r="I520" s="58">
        <v>34.299999999999997</v>
      </c>
      <c r="J520" s="62">
        <v>1072</v>
      </c>
      <c r="K520" s="57" t="s">
        <v>384</v>
      </c>
      <c r="L520" s="52">
        <v>1102</v>
      </c>
      <c r="M520" s="58">
        <f t="shared" si="35"/>
        <v>33.196385345395662</v>
      </c>
      <c r="N520" s="58">
        <v>3570.97</v>
      </c>
      <c r="O520" s="60">
        <f t="shared" si="37"/>
        <v>0.30859962419174625</v>
      </c>
      <c r="P520" s="60">
        <f t="shared" si="38"/>
        <v>9.2961815264187772E-3</v>
      </c>
    </row>
    <row r="521" spans="1:16" ht="17.25" customHeight="1" x14ac:dyDescent="0.2">
      <c r="A521" s="52">
        <v>1966</v>
      </c>
      <c r="B521" s="53" t="s">
        <v>338</v>
      </c>
      <c r="C521" s="53" t="s">
        <v>95</v>
      </c>
      <c r="D521" s="54">
        <v>330.36799999999999</v>
      </c>
      <c r="E521" s="62">
        <v>811</v>
      </c>
      <c r="F521" s="54">
        <f t="shared" si="36"/>
        <v>328.55010069999992</v>
      </c>
      <c r="G521" s="91">
        <v>25569.041962604166</v>
      </c>
      <c r="H521" s="91">
        <v>25569.041962604166</v>
      </c>
      <c r="I521" s="58">
        <v>20.8</v>
      </c>
      <c r="J521" s="62">
        <v>2248</v>
      </c>
      <c r="K521" s="57" t="s">
        <v>384</v>
      </c>
      <c r="L521" s="52">
        <v>1340</v>
      </c>
      <c r="M521" s="58">
        <f t="shared" si="35"/>
        <v>36.606010435446251</v>
      </c>
      <c r="N521" s="58">
        <v>4994.3900000000003</v>
      </c>
      <c r="O521" s="60">
        <f t="shared" si="37"/>
        <v>0.26830103375987857</v>
      </c>
      <c r="P521" s="60">
        <f t="shared" si="38"/>
        <v>7.3294257027277099E-3</v>
      </c>
    </row>
    <row r="522" spans="1:16" ht="17.25" customHeight="1" x14ac:dyDescent="0.2">
      <c r="A522" s="52">
        <v>1967</v>
      </c>
      <c r="B522" s="53" t="s">
        <v>338</v>
      </c>
      <c r="C522" s="53" t="s">
        <v>95</v>
      </c>
      <c r="D522" s="54">
        <v>333.375</v>
      </c>
      <c r="E522" s="62">
        <v>1030</v>
      </c>
      <c r="F522" s="54">
        <f t="shared" si="36"/>
        <v>331.75448649999993</v>
      </c>
      <c r="G522" s="91">
        <v>25569.041962604166</v>
      </c>
      <c r="H522" s="91">
        <v>25569.041962604166</v>
      </c>
      <c r="I522" s="58">
        <v>20.6</v>
      </c>
      <c r="J522" s="62">
        <v>876</v>
      </c>
      <c r="K522" s="57" t="s">
        <v>384</v>
      </c>
      <c r="L522" s="52">
        <v>619</v>
      </c>
      <c r="M522" s="58">
        <f t="shared" si="35"/>
        <v>24.879710609249457</v>
      </c>
      <c r="N522" s="58">
        <v>1697.88</v>
      </c>
      <c r="O522" s="60">
        <f t="shared" si="37"/>
        <v>0.36457229015006948</v>
      </c>
      <c r="P522" s="60">
        <f t="shared" si="38"/>
        <v>1.4653397536486357E-2</v>
      </c>
    </row>
    <row r="523" spans="1:16" ht="17.25" customHeight="1" x14ac:dyDescent="0.2">
      <c r="A523" s="52">
        <v>1968</v>
      </c>
      <c r="B523" s="53" t="s">
        <v>338</v>
      </c>
      <c r="C523" s="53" t="s">
        <v>95</v>
      </c>
      <c r="D523" s="54">
        <v>336.37700000000001</v>
      </c>
      <c r="E523" s="62">
        <v>1030</v>
      </c>
      <c r="F523" s="54">
        <f t="shared" si="36"/>
        <v>334.73637309999992</v>
      </c>
      <c r="G523" s="91">
        <v>25569.041962604166</v>
      </c>
      <c r="H523" s="91">
        <v>25569.041962604166</v>
      </c>
      <c r="I523" s="58">
        <v>20.100000000000001</v>
      </c>
      <c r="J523" s="62">
        <v>898</v>
      </c>
      <c r="K523" s="57" t="s">
        <v>384</v>
      </c>
      <c r="L523" s="52">
        <v>1206</v>
      </c>
      <c r="M523" s="58">
        <f t="shared" si="35"/>
        <v>34.727510708370673</v>
      </c>
      <c r="N523" s="58">
        <v>1720.17</v>
      </c>
      <c r="O523" s="60">
        <f t="shared" si="37"/>
        <v>0.70109349657301312</v>
      </c>
      <c r="P523" s="60">
        <f t="shared" si="38"/>
        <v>2.0188417835661981E-2</v>
      </c>
    </row>
    <row r="524" spans="1:16" ht="17.25" customHeight="1" x14ac:dyDescent="0.2">
      <c r="A524" s="52">
        <v>1969</v>
      </c>
      <c r="B524" s="53" t="s">
        <v>338</v>
      </c>
      <c r="C524" s="53" t="s">
        <v>95</v>
      </c>
      <c r="D524" s="54">
        <v>339.37799999999999</v>
      </c>
      <c r="E524" s="62">
        <v>1030</v>
      </c>
      <c r="F524" s="54">
        <f t="shared" si="36"/>
        <v>337.71726639999991</v>
      </c>
      <c r="G524" s="91">
        <v>25569.041962604166</v>
      </c>
      <c r="H524" s="91">
        <v>25569.041962604166</v>
      </c>
      <c r="I524" s="58">
        <v>19.899999999999999</v>
      </c>
      <c r="J524" s="62">
        <v>744</v>
      </c>
      <c r="K524" s="57" t="s">
        <v>384</v>
      </c>
      <c r="L524" s="52">
        <v>2125</v>
      </c>
      <c r="M524" s="58">
        <f t="shared" si="35"/>
        <v>46.097722286464439</v>
      </c>
      <c r="N524" s="58">
        <v>1420.45</v>
      </c>
      <c r="O524" s="60">
        <f t="shared" si="37"/>
        <v>1.496004787215319</v>
      </c>
      <c r="P524" s="60">
        <f t="shared" si="38"/>
        <v>3.2452900338952047E-2</v>
      </c>
    </row>
    <row r="525" spans="1:16" ht="17.25" customHeight="1" x14ac:dyDescent="0.2">
      <c r="A525" s="52">
        <v>1970</v>
      </c>
      <c r="B525" s="53" t="s">
        <v>338</v>
      </c>
      <c r="C525" s="53" t="s">
        <v>95</v>
      </c>
      <c r="D525" s="54">
        <v>341.37799999999999</v>
      </c>
      <c r="E525" s="62">
        <v>1030</v>
      </c>
      <c r="F525" s="54">
        <f t="shared" si="36"/>
        <v>339.70386639999992</v>
      </c>
      <c r="G525" s="91">
        <v>25569.041962604166</v>
      </c>
      <c r="H525" s="91">
        <v>25569.041962604166</v>
      </c>
      <c r="I525" s="58">
        <v>19.3</v>
      </c>
      <c r="J525" s="62">
        <v>666</v>
      </c>
      <c r="K525" s="57" t="s">
        <v>384</v>
      </c>
      <c r="L525" s="52">
        <v>3873</v>
      </c>
      <c r="M525" s="58">
        <f t="shared" si="35"/>
        <v>62.233431530006442</v>
      </c>
      <c r="N525" s="58">
        <v>1210.95</v>
      </c>
      <c r="O525" s="60">
        <f t="shared" si="37"/>
        <v>3.1983153722284157</v>
      </c>
      <c r="P525" s="60">
        <f t="shared" si="38"/>
        <v>5.1392238762960021E-2</v>
      </c>
    </row>
    <row r="526" spans="1:16" ht="17.25" customHeight="1" x14ac:dyDescent="0.2">
      <c r="A526" s="52">
        <v>1971</v>
      </c>
      <c r="B526" s="53" t="s">
        <v>338</v>
      </c>
      <c r="C526" s="53" t="s">
        <v>95</v>
      </c>
      <c r="D526" s="54">
        <v>343.37900000000002</v>
      </c>
      <c r="E526" s="62">
        <v>1030</v>
      </c>
      <c r="F526" s="54">
        <f t="shared" si="36"/>
        <v>341.69145969999994</v>
      </c>
      <c r="G526" s="91">
        <v>25569.041962604166</v>
      </c>
      <c r="H526" s="91">
        <v>25569.041962604166</v>
      </c>
      <c r="I526" s="58">
        <v>19.5</v>
      </c>
      <c r="J526" s="62">
        <v>577</v>
      </c>
      <c r="K526" s="57" t="s">
        <v>384</v>
      </c>
      <c r="L526" s="52">
        <v>10717</v>
      </c>
      <c r="M526" s="58">
        <f t="shared" si="35"/>
        <v>103.52294431670691</v>
      </c>
      <c r="N526" s="58">
        <v>1045.04</v>
      </c>
      <c r="O526" s="60">
        <f t="shared" si="37"/>
        <v>10.25510985225446</v>
      </c>
      <c r="P526" s="60">
        <f t="shared" si="38"/>
        <v>9.9061226667598284E-2</v>
      </c>
    </row>
    <row r="527" spans="1:16" ht="17.25" customHeight="1" x14ac:dyDescent="0.2">
      <c r="A527" s="52">
        <v>1972</v>
      </c>
      <c r="B527" s="53" t="s">
        <v>338</v>
      </c>
      <c r="C527" s="53" t="s">
        <v>95</v>
      </c>
      <c r="D527" s="54">
        <v>342.37900000000002</v>
      </c>
      <c r="E527" s="62">
        <v>1030</v>
      </c>
      <c r="F527" s="54">
        <f t="shared" si="36"/>
        <v>340.69815969999996</v>
      </c>
      <c r="G527" s="91">
        <v>25569.041962604166</v>
      </c>
      <c r="H527" s="91">
        <v>25569.041962604166</v>
      </c>
      <c r="I527" s="58">
        <v>19.100000000000001</v>
      </c>
      <c r="J527" s="62">
        <v>1279</v>
      </c>
      <c r="K527" s="57" t="s">
        <v>384</v>
      </c>
      <c r="L527" s="52">
        <v>12505</v>
      </c>
      <c r="M527" s="58">
        <f t="shared" si="35"/>
        <v>111.82575731914361</v>
      </c>
      <c r="N527" s="58">
        <v>2317.25</v>
      </c>
      <c r="O527" s="60">
        <f t="shared" si="37"/>
        <v>5.3964828999892109</v>
      </c>
      <c r="P527" s="60">
        <f t="shared" si="38"/>
        <v>4.8257959788172877E-2</v>
      </c>
    </row>
    <row r="528" spans="1:16" ht="17.25" customHeight="1" x14ac:dyDescent="0.2">
      <c r="A528" s="52">
        <v>1973</v>
      </c>
      <c r="B528" s="53" t="s">
        <v>338</v>
      </c>
      <c r="C528" s="53" t="s">
        <v>95</v>
      </c>
      <c r="D528" s="54">
        <v>344.38600000000002</v>
      </c>
      <c r="E528" s="62">
        <v>1030</v>
      </c>
      <c r="F528" s="54">
        <f t="shared" si="36"/>
        <v>342.69171279999995</v>
      </c>
      <c r="G528" s="91">
        <v>25569.041962604166</v>
      </c>
      <c r="H528" s="91">
        <v>25569.041962604166</v>
      </c>
      <c r="I528" s="58">
        <v>18.399999999999999</v>
      </c>
      <c r="J528" s="62">
        <v>742</v>
      </c>
      <c r="K528" s="57" t="s">
        <v>384</v>
      </c>
      <c r="L528" s="52">
        <v>23793</v>
      </c>
      <c r="M528" s="58">
        <f t="shared" si="35"/>
        <v>154.24979740667408</v>
      </c>
      <c r="N528" s="58">
        <v>1323.89</v>
      </c>
      <c r="O528" s="60">
        <f t="shared" si="37"/>
        <v>17.972036951710489</v>
      </c>
      <c r="P528" s="60">
        <f t="shared" si="38"/>
        <v>0.1165125481774725</v>
      </c>
    </row>
    <row r="529" spans="1:16" ht="17.25" customHeight="1" x14ac:dyDescent="0.2">
      <c r="A529" s="52">
        <v>1974</v>
      </c>
      <c r="B529" s="53" t="s">
        <v>338</v>
      </c>
      <c r="C529" s="53" t="s">
        <v>95</v>
      </c>
      <c r="D529" s="54">
        <v>345.387</v>
      </c>
      <c r="E529" s="62">
        <v>1030</v>
      </c>
      <c r="F529" s="54">
        <f t="shared" si="36"/>
        <v>343.68600609999993</v>
      </c>
      <c r="G529" s="91">
        <v>25569.041962604166</v>
      </c>
      <c r="H529" s="91">
        <v>25569.041962604166</v>
      </c>
      <c r="I529" s="58">
        <v>18.399999999999999</v>
      </c>
      <c r="J529" s="62">
        <v>672</v>
      </c>
      <c r="K529" s="57" t="s">
        <v>384</v>
      </c>
      <c r="L529" s="52">
        <v>28680</v>
      </c>
      <c r="M529" s="58">
        <f t="shared" si="35"/>
        <v>169.35170504013237</v>
      </c>
      <c r="N529" s="58">
        <v>1148.51</v>
      </c>
      <c r="O529" s="60">
        <f t="shared" si="37"/>
        <v>24.971484793340938</v>
      </c>
      <c r="P529" s="60">
        <f t="shared" si="38"/>
        <v>0.14745340052775541</v>
      </c>
    </row>
    <row r="530" spans="1:16" ht="17.25" customHeight="1" x14ac:dyDescent="0.2">
      <c r="A530" s="52">
        <v>1975</v>
      </c>
      <c r="B530" s="53" t="s">
        <v>338</v>
      </c>
      <c r="C530" s="53" t="s">
        <v>95</v>
      </c>
      <c r="D530" s="54">
        <v>346.387</v>
      </c>
      <c r="E530" s="62">
        <v>1030</v>
      </c>
      <c r="F530" s="54">
        <f t="shared" si="36"/>
        <v>344.67930609999996</v>
      </c>
      <c r="G530" s="91">
        <v>25569.041962604166</v>
      </c>
      <c r="H530" s="91">
        <v>25569.041962604166</v>
      </c>
      <c r="I530" s="58">
        <v>18.899999999999999</v>
      </c>
      <c r="J530" s="62">
        <v>792</v>
      </c>
      <c r="K530" s="57" t="s">
        <v>384</v>
      </c>
      <c r="L530" s="52">
        <v>40069</v>
      </c>
      <c r="M530" s="58">
        <f t="shared" si="35"/>
        <v>200.17242567346781</v>
      </c>
      <c r="N530" s="58">
        <v>1332.19</v>
      </c>
      <c r="O530" s="60">
        <f t="shared" si="37"/>
        <v>30.077541491829244</v>
      </c>
      <c r="P530" s="60">
        <f t="shared" si="38"/>
        <v>0.1502581656321304</v>
      </c>
    </row>
    <row r="531" spans="1:16" ht="17.25" customHeight="1" x14ac:dyDescent="0.2">
      <c r="A531" s="52">
        <v>1976</v>
      </c>
      <c r="B531" s="53" t="s">
        <v>9</v>
      </c>
      <c r="C531" s="53" t="s">
        <v>95</v>
      </c>
      <c r="D531" s="54">
        <v>347.38799999999998</v>
      </c>
      <c r="E531" s="62">
        <v>909</v>
      </c>
      <c r="F531" s="54">
        <f t="shared" si="36"/>
        <v>345.55341009999995</v>
      </c>
      <c r="G531" s="91">
        <v>25569.041962604166</v>
      </c>
      <c r="H531" s="91">
        <v>25569.041962604166</v>
      </c>
      <c r="I531" s="58">
        <v>16.5</v>
      </c>
      <c r="J531" s="62">
        <v>1136</v>
      </c>
      <c r="K531" s="57" t="s">
        <v>384</v>
      </c>
      <c r="L531" s="52">
        <v>53278</v>
      </c>
      <c r="M531" s="58">
        <f t="shared" si="35"/>
        <v>230.82027640569189</v>
      </c>
      <c r="N531" s="58">
        <v>1793.73</v>
      </c>
      <c r="O531" s="60">
        <f t="shared" si="37"/>
        <v>29.702352081974432</v>
      </c>
      <c r="P531" s="60">
        <f t="shared" si="38"/>
        <v>0.12868172824543933</v>
      </c>
    </row>
    <row r="532" spans="1:16" ht="17.25" customHeight="1" x14ac:dyDescent="0.2">
      <c r="A532" s="52">
        <v>1977</v>
      </c>
      <c r="B532" s="53" t="s">
        <v>338</v>
      </c>
      <c r="C532" s="53" t="s">
        <v>95</v>
      </c>
      <c r="D532" s="54">
        <v>348.38799999999998</v>
      </c>
      <c r="E532" s="62">
        <v>904</v>
      </c>
      <c r="F532" s="54">
        <f t="shared" si="36"/>
        <v>346.54174359999996</v>
      </c>
      <c r="G532" s="91">
        <v>25569.041962604166</v>
      </c>
      <c r="H532" s="91">
        <v>25569.041962604166</v>
      </c>
      <c r="I532" s="58">
        <v>16.5</v>
      </c>
      <c r="J532" s="62">
        <v>1240</v>
      </c>
      <c r="K532" s="57" t="s">
        <v>384</v>
      </c>
      <c r="L532" s="52">
        <v>55699</v>
      </c>
      <c r="M532" s="58">
        <f t="shared" si="35"/>
        <v>236.00635584661697</v>
      </c>
      <c r="N532" s="58">
        <v>1942.47</v>
      </c>
      <c r="O532" s="60">
        <f t="shared" si="37"/>
        <v>28.674316720464152</v>
      </c>
      <c r="P532" s="60">
        <f t="shared" si="38"/>
        <v>0.12149806990409992</v>
      </c>
    </row>
    <row r="533" spans="1:16" ht="17.25" customHeight="1" x14ac:dyDescent="0.2">
      <c r="A533" s="52">
        <v>1978</v>
      </c>
      <c r="B533" s="53" t="s">
        <v>338</v>
      </c>
      <c r="C533" s="53" t="s">
        <v>95</v>
      </c>
      <c r="D533" s="54">
        <v>349.40199999999999</v>
      </c>
      <c r="E533" s="62">
        <v>904</v>
      </c>
      <c r="F533" s="54">
        <f t="shared" si="36"/>
        <v>347.54894979999995</v>
      </c>
      <c r="G533" s="91">
        <v>25569.041962604166</v>
      </c>
      <c r="H533" s="91">
        <v>25569.041962604166</v>
      </c>
      <c r="I533" s="58">
        <v>18.100000000000001</v>
      </c>
      <c r="J533" s="62">
        <v>1215</v>
      </c>
      <c r="K533" s="57" t="s">
        <v>384</v>
      </c>
      <c r="L533" s="52">
        <v>54177</v>
      </c>
      <c r="M533" s="58">
        <f t="shared" si="35"/>
        <v>232.75953256526358</v>
      </c>
      <c r="N533" s="58">
        <v>2113.84</v>
      </c>
      <c r="O533" s="60">
        <f t="shared" si="37"/>
        <v>25.629659766112855</v>
      </c>
      <c r="P533" s="60">
        <f t="shared" si="38"/>
        <v>0.11011218094333704</v>
      </c>
    </row>
    <row r="534" spans="1:16" ht="17.25" customHeight="1" x14ac:dyDescent="0.2">
      <c r="A534" s="52">
        <v>1979</v>
      </c>
      <c r="B534" s="53" t="s">
        <v>338</v>
      </c>
      <c r="C534" s="53" t="s">
        <v>95</v>
      </c>
      <c r="D534" s="54">
        <v>351.40199999999999</v>
      </c>
      <c r="E534" s="62">
        <v>904</v>
      </c>
      <c r="F534" s="54">
        <f t="shared" si="36"/>
        <v>349.53554979999996</v>
      </c>
      <c r="G534" s="91">
        <v>25569.041962604166</v>
      </c>
      <c r="H534" s="91">
        <v>25569.041962604166</v>
      </c>
      <c r="I534" s="58">
        <v>19.5</v>
      </c>
      <c r="J534" s="62">
        <v>1228</v>
      </c>
      <c r="K534" s="57" t="s">
        <v>384</v>
      </c>
      <c r="L534" s="52">
        <v>44664</v>
      </c>
      <c r="M534" s="58">
        <f t="shared" si="35"/>
        <v>211.33859089148862</v>
      </c>
      <c r="N534" s="58">
        <v>2251.5</v>
      </c>
      <c r="O534" s="60">
        <f t="shared" si="37"/>
        <v>19.837441705529645</v>
      </c>
      <c r="P534" s="60">
        <f t="shared" si="38"/>
        <v>9.3865685494776196E-2</v>
      </c>
    </row>
    <row r="535" spans="1:16" ht="17.25" customHeight="1" x14ac:dyDescent="0.2">
      <c r="A535" s="52">
        <v>1980</v>
      </c>
      <c r="B535" s="53" t="s">
        <v>338</v>
      </c>
      <c r="C535" s="53" t="s">
        <v>95</v>
      </c>
      <c r="D535" s="54">
        <v>353.40300000000002</v>
      </c>
      <c r="E535" s="62">
        <v>904</v>
      </c>
      <c r="F535" s="54">
        <f t="shared" si="36"/>
        <v>351.52314309999997</v>
      </c>
      <c r="G535" s="91">
        <v>25569.041962604166</v>
      </c>
      <c r="H535" s="91">
        <v>25569.041962604166</v>
      </c>
      <c r="I535" s="58">
        <v>19.100000000000001</v>
      </c>
      <c r="J535" s="62">
        <v>1226</v>
      </c>
      <c r="K535" s="57" t="s">
        <v>384</v>
      </c>
      <c r="L535" s="52">
        <v>30161</v>
      </c>
      <c r="M535" s="58">
        <f t="shared" si="35"/>
        <v>173.66922582887275</v>
      </c>
      <c r="N535" s="62">
        <v>2123</v>
      </c>
      <c r="O535" s="60">
        <f t="shared" si="37"/>
        <v>14.206782854451248</v>
      </c>
      <c r="P535" s="60">
        <f t="shared" si="38"/>
        <v>8.1803686212375298E-2</v>
      </c>
    </row>
    <row r="536" spans="1:16" ht="17.25" customHeight="1" x14ac:dyDescent="0.2">
      <c r="A536" s="52">
        <v>1981</v>
      </c>
      <c r="B536" s="53" t="s">
        <v>338</v>
      </c>
      <c r="C536" s="53" t="s">
        <v>95</v>
      </c>
      <c r="D536" s="54">
        <v>355.404</v>
      </c>
      <c r="E536" s="62">
        <v>904</v>
      </c>
      <c r="F536" s="54">
        <f t="shared" si="36"/>
        <v>353.51073639999993</v>
      </c>
      <c r="G536" s="91">
        <v>25569.041962604166</v>
      </c>
      <c r="H536" s="91">
        <v>25569.041962604166</v>
      </c>
      <c r="I536" s="58">
        <v>19.100000000000001</v>
      </c>
      <c r="J536" s="62">
        <v>1103</v>
      </c>
      <c r="K536" s="57" t="s">
        <v>384</v>
      </c>
      <c r="L536" s="52">
        <v>19141</v>
      </c>
      <c r="M536" s="58">
        <f t="shared" si="35"/>
        <v>138.35100288758301</v>
      </c>
      <c r="N536" s="58">
        <v>1963.69</v>
      </c>
      <c r="O536" s="60">
        <f t="shared" si="37"/>
        <v>9.7474652312737753</v>
      </c>
      <c r="P536" s="60">
        <f t="shared" si="38"/>
        <v>7.0454604793823358E-2</v>
      </c>
    </row>
    <row r="537" spans="1:16" ht="17.25" customHeight="1" x14ac:dyDescent="0.2">
      <c r="A537" s="52">
        <v>1982</v>
      </c>
      <c r="B537" s="53" t="s">
        <v>338</v>
      </c>
      <c r="C537" s="53" t="s">
        <v>95</v>
      </c>
      <c r="D537" s="54">
        <v>357.40499999999997</v>
      </c>
      <c r="E537" s="62">
        <v>904</v>
      </c>
      <c r="F537" s="54">
        <f t="shared" si="36"/>
        <v>355.49832969999994</v>
      </c>
      <c r="G537" s="91">
        <v>25569.041962604166</v>
      </c>
      <c r="H537" s="91">
        <v>25569.041962604166</v>
      </c>
      <c r="I537" s="58">
        <v>18.600000000000001</v>
      </c>
      <c r="J537" s="62">
        <v>1171</v>
      </c>
      <c r="K537" s="57" t="s">
        <v>384</v>
      </c>
      <c r="L537" s="52">
        <v>13916</v>
      </c>
      <c r="M537" s="58">
        <f t="shared" si="35"/>
        <v>117.96609682446902</v>
      </c>
      <c r="N537" s="58">
        <v>2107.5100000000002</v>
      </c>
      <c r="O537" s="60">
        <f t="shared" si="37"/>
        <v>6.6030528918012248</v>
      </c>
      <c r="P537" s="60">
        <f t="shared" si="38"/>
        <v>5.5974157571954113E-2</v>
      </c>
    </row>
    <row r="538" spans="1:16" ht="17.25" customHeight="1" x14ac:dyDescent="0.2">
      <c r="A538" s="52">
        <v>1983</v>
      </c>
      <c r="B538" s="53" t="s">
        <v>338</v>
      </c>
      <c r="C538" s="53" t="s">
        <v>95</v>
      </c>
      <c r="D538" s="54">
        <v>359.41199999999998</v>
      </c>
      <c r="E538" s="62">
        <v>904</v>
      </c>
      <c r="F538" s="54">
        <f t="shared" si="36"/>
        <v>357.49188279999993</v>
      </c>
      <c r="G538" s="91">
        <v>25569.041962604166</v>
      </c>
      <c r="H538" s="91">
        <v>25569.041962604166</v>
      </c>
      <c r="I538" s="58">
        <v>18.8</v>
      </c>
      <c r="J538" s="62">
        <v>1180</v>
      </c>
      <c r="K538" s="57" t="s">
        <v>384</v>
      </c>
      <c r="L538" s="52">
        <v>8629</v>
      </c>
      <c r="M538" s="58">
        <f t="shared" si="35"/>
        <v>92.892410884851088</v>
      </c>
      <c r="N538" s="58">
        <v>2090.11</v>
      </c>
      <c r="O538" s="60">
        <f t="shared" si="37"/>
        <v>4.1284908449794502</v>
      </c>
      <c r="P538" s="60">
        <f t="shared" si="38"/>
        <v>4.4443790463110117E-2</v>
      </c>
    </row>
    <row r="539" spans="1:16" ht="17.25" customHeight="1" x14ac:dyDescent="0.2">
      <c r="A539" s="52">
        <v>1984</v>
      </c>
      <c r="B539" s="53" t="s">
        <v>338</v>
      </c>
      <c r="C539" s="53" t="s">
        <v>95</v>
      </c>
      <c r="D539" s="54">
        <v>361.41300000000001</v>
      </c>
      <c r="E539" s="62">
        <v>904</v>
      </c>
      <c r="F539" s="54">
        <f t="shared" si="36"/>
        <v>359.47947609999994</v>
      </c>
      <c r="G539" s="91">
        <v>25569.041962604166</v>
      </c>
      <c r="H539" s="91">
        <v>25569.041962604166</v>
      </c>
      <c r="I539" s="58">
        <v>18.5</v>
      </c>
      <c r="J539" s="62">
        <v>1165</v>
      </c>
      <c r="K539" s="57" t="s">
        <v>384</v>
      </c>
      <c r="L539" s="52">
        <v>5464</v>
      </c>
      <c r="M539" s="58">
        <f t="shared" si="35"/>
        <v>73.91887445030531</v>
      </c>
      <c r="N539" s="58">
        <v>2103.8200000000002</v>
      </c>
      <c r="O539" s="60">
        <f t="shared" si="37"/>
        <v>2.5971803671416755</v>
      </c>
      <c r="P539" s="60">
        <f t="shared" si="38"/>
        <v>3.5135550783957421E-2</v>
      </c>
    </row>
    <row r="540" spans="1:16" ht="17.25" customHeight="1" x14ac:dyDescent="0.2">
      <c r="A540" s="52">
        <v>1985</v>
      </c>
      <c r="B540" s="53" t="s">
        <v>338</v>
      </c>
      <c r="C540" s="53" t="s">
        <v>95</v>
      </c>
      <c r="D540" s="54">
        <v>363.41399999999999</v>
      </c>
      <c r="E540" s="62">
        <v>904</v>
      </c>
      <c r="F540" s="54">
        <f t="shared" si="36"/>
        <v>361.46706939999996</v>
      </c>
      <c r="G540" s="91">
        <v>25569.041962604166</v>
      </c>
      <c r="H540" s="91">
        <v>25569.041962604166</v>
      </c>
      <c r="I540" s="58">
        <v>18.8</v>
      </c>
      <c r="J540" s="62">
        <v>1060</v>
      </c>
      <c r="K540" s="57" t="s">
        <v>384</v>
      </c>
      <c r="L540" s="52">
        <v>3339</v>
      </c>
      <c r="M540" s="58">
        <f t="shared" ref="M540:M603" si="39">SQRT(L540)</f>
        <v>57.784080852774665</v>
      </c>
      <c r="N540" s="58">
        <v>1887.93</v>
      </c>
      <c r="O540" s="60">
        <f t="shared" si="37"/>
        <v>1.7686037088239499</v>
      </c>
      <c r="P540" s="60">
        <f t="shared" si="38"/>
        <v>3.0607109825456804E-2</v>
      </c>
    </row>
    <row r="541" spans="1:16" ht="17.25" customHeight="1" x14ac:dyDescent="0.2">
      <c r="A541" s="52">
        <v>1986</v>
      </c>
      <c r="B541" s="53" t="s">
        <v>338</v>
      </c>
      <c r="C541" s="53" t="s">
        <v>95</v>
      </c>
      <c r="D541" s="54">
        <v>365.42099999999999</v>
      </c>
      <c r="E541" s="62">
        <v>904</v>
      </c>
      <c r="F541" s="54">
        <f t="shared" si="36"/>
        <v>363.46062249999994</v>
      </c>
      <c r="G541" s="91">
        <v>25569.041962604166</v>
      </c>
      <c r="H541" s="91">
        <v>25569.041962604166</v>
      </c>
      <c r="I541" s="58">
        <v>19.100000000000001</v>
      </c>
      <c r="J541" s="62">
        <v>1059</v>
      </c>
      <c r="K541" s="57" t="s">
        <v>384</v>
      </c>
      <c r="L541" s="52">
        <v>2331</v>
      </c>
      <c r="M541" s="58">
        <f t="shared" si="39"/>
        <v>48.28043081829324</v>
      </c>
      <c r="N541" s="58">
        <v>1901.51</v>
      </c>
      <c r="O541" s="60">
        <f t="shared" si="37"/>
        <v>1.2258678629089512</v>
      </c>
      <c r="P541" s="60">
        <f t="shared" si="38"/>
        <v>2.5390574237470872E-2</v>
      </c>
    </row>
    <row r="542" spans="1:16" ht="17.25" customHeight="1" x14ac:dyDescent="0.2">
      <c r="A542" s="52">
        <v>1987</v>
      </c>
      <c r="B542" s="53" t="s">
        <v>338</v>
      </c>
      <c r="C542" s="53" t="s">
        <v>95</v>
      </c>
      <c r="D542" s="54">
        <v>347.31299999999999</v>
      </c>
      <c r="E542" s="62">
        <v>906</v>
      </c>
      <c r="F542" s="54">
        <f t="shared" si="36"/>
        <v>345.47593269999993</v>
      </c>
      <c r="G542" s="91">
        <v>25569.041962604166</v>
      </c>
      <c r="H542" s="91">
        <v>25569.041962604166</v>
      </c>
      <c r="I542" s="58">
        <v>19.8</v>
      </c>
      <c r="J542" s="62">
        <v>1072</v>
      </c>
      <c r="K542" s="57" t="s">
        <v>384</v>
      </c>
      <c r="L542" s="52">
        <v>60199</v>
      </c>
      <c r="M542" s="58">
        <f t="shared" si="39"/>
        <v>245.35484507137821</v>
      </c>
      <c r="N542" s="58">
        <v>2034.89</v>
      </c>
      <c r="O542" s="60">
        <f t="shared" si="37"/>
        <v>29.583417285455234</v>
      </c>
      <c r="P542" s="60">
        <f t="shared" si="38"/>
        <v>0.12057400894956395</v>
      </c>
    </row>
    <row r="543" spans="1:16" ht="17.25" customHeight="1" x14ac:dyDescent="0.2">
      <c r="A543" s="52">
        <v>1988</v>
      </c>
      <c r="B543" s="53" t="s">
        <v>385</v>
      </c>
      <c r="C543" s="53" t="s">
        <v>95</v>
      </c>
      <c r="D543" s="54">
        <v>246.054</v>
      </c>
      <c r="E543" s="62">
        <v>996</v>
      </c>
      <c r="F543" s="54">
        <f t="shared" si="36"/>
        <v>244.98476500000001</v>
      </c>
      <c r="G543" s="91">
        <v>25569.041962604166</v>
      </c>
      <c r="H543" s="91">
        <v>25569.041962604166</v>
      </c>
      <c r="I543" s="58">
        <v>37.200000000000003</v>
      </c>
      <c r="J543" s="62">
        <v>116071</v>
      </c>
      <c r="K543" s="57" t="s">
        <v>384</v>
      </c>
      <c r="L543" s="52">
        <v>356551</v>
      </c>
      <c r="M543" s="58">
        <f t="shared" si="39"/>
        <v>597.11891612977729</v>
      </c>
      <c r="N543" s="58">
        <v>436542.6</v>
      </c>
      <c r="O543" s="60">
        <f t="shared" si="37"/>
        <v>0.81676106753384436</v>
      </c>
      <c r="P543" s="60">
        <f t="shared" si="38"/>
        <v>1.3678365321729822E-3</v>
      </c>
    </row>
    <row r="544" spans="1:16" ht="17.25" customHeight="1" x14ac:dyDescent="0.2">
      <c r="A544" s="52">
        <v>1989</v>
      </c>
      <c r="B544" s="53" t="s">
        <v>157</v>
      </c>
      <c r="C544" s="53" t="s">
        <v>95</v>
      </c>
      <c r="D544" s="54">
        <v>203.863</v>
      </c>
      <c r="E544" s="62">
        <v>2955</v>
      </c>
      <c r="F544" s="54">
        <f t="shared" si="36"/>
        <v>205.02231940000001</v>
      </c>
      <c r="G544" s="91">
        <v>25569.041962604166</v>
      </c>
      <c r="H544" s="91">
        <v>25569.041962604166</v>
      </c>
      <c r="I544" s="62">
        <v>176</v>
      </c>
      <c r="J544" s="62">
        <v>767723</v>
      </c>
      <c r="K544" s="57" t="s">
        <v>384</v>
      </c>
      <c r="L544" s="52">
        <v>193743</v>
      </c>
      <c r="M544" s="58">
        <f t="shared" si="39"/>
        <v>440.16247000397476</v>
      </c>
      <c r="N544" s="58">
        <v>11931122.310000001</v>
      </c>
      <c r="O544" s="60">
        <f t="shared" si="37"/>
        <v>1.6238455609294645E-2</v>
      </c>
      <c r="P544" s="60">
        <f t="shared" si="38"/>
        <v>3.6891958574178322E-5</v>
      </c>
    </row>
    <row r="545" spans="1:16" ht="17.25" customHeight="1" x14ac:dyDescent="0.2">
      <c r="A545" s="52">
        <v>1990</v>
      </c>
      <c r="B545" s="53" t="s">
        <v>352</v>
      </c>
      <c r="C545" s="53" t="s">
        <v>95</v>
      </c>
      <c r="D545" s="54">
        <v>219.23099999999999</v>
      </c>
      <c r="E545" s="62">
        <v>1771</v>
      </c>
      <c r="F545" s="54">
        <f t="shared" si="36"/>
        <v>219.11128659999997</v>
      </c>
      <c r="G545" s="91">
        <v>25569.041962604166</v>
      </c>
      <c r="H545" s="91">
        <v>25569.041962604166</v>
      </c>
      <c r="I545" s="58">
        <v>37.200000000000003</v>
      </c>
      <c r="J545" s="62">
        <v>2375</v>
      </c>
      <c r="K545" s="57" t="s">
        <v>384</v>
      </c>
      <c r="L545" s="52">
        <v>517</v>
      </c>
      <c r="M545" s="58">
        <f t="shared" si="39"/>
        <v>22.737634001804146</v>
      </c>
      <c r="N545" s="58">
        <v>8039.72</v>
      </c>
      <c r="O545" s="60">
        <f t="shared" si="37"/>
        <v>6.4305722089824019E-2</v>
      </c>
      <c r="P545" s="60">
        <f t="shared" si="38"/>
        <v>2.8281624237913939E-3</v>
      </c>
    </row>
    <row r="546" spans="1:16" ht="17.25" customHeight="1" x14ac:dyDescent="0.2">
      <c r="A546" s="52">
        <v>1991</v>
      </c>
      <c r="B546" s="53" t="s">
        <v>352</v>
      </c>
      <c r="C546" s="53" t="s">
        <v>95</v>
      </c>
      <c r="D546" s="54">
        <v>221.239</v>
      </c>
      <c r="E546" s="62">
        <v>1771</v>
      </c>
      <c r="F546" s="54">
        <f t="shared" si="36"/>
        <v>221.10583299999999</v>
      </c>
      <c r="G546" s="91">
        <v>25569.041962604166</v>
      </c>
      <c r="H546" s="91">
        <v>25569.041962604166</v>
      </c>
      <c r="I546" s="58">
        <v>38.4</v>
      </c>
      <c r="J546" s="62">
        <v>1915</v>
      </c>
      <c r="K546" s="57" t="s">
        <v>384</v>
      </c>
      <c r="L546" s="52">
        <v>579</v>
      </c>
      <c r="M546" s="58">
        <f t="shared" si="39"/>
        <v>24.06241883103193</v>
      </c>
      <c r="N546" s="58">
        <v>7365.6</v>
      </c>
      <c r="O546" s="60">
        <f t="shared" si="37"/>
        <v>7.8608667318344733E-2</v>
      </c>
      <c r="P546" s="60">
        <f t="shared" si="38"/>
        <v>3.266864726706844E-3</v>
      </c>
    </row>
    <row r="547" spans="1:16" ht="17.25" customHeight="1" x14ac:dyDescent="0.2">
      <c r="A547" s="52">
        <v>1992</v>
      </c>
      <c r="B547" s="53" t="s">
        <v>352</v>
      </c>
      <c r="C547" s="53" t="s">
        <v>95</v>
      </c>
      <c r="D547" s="54">
        <v>223.25299999999999</v>
      </c>
      <c r="E547" s="62">
        <v>1771</v>
      </c>
      <c r="F547" s="54">
        <f t="shared" si="36"/>
        <v>223.10633919999998</v>
      </c>
      <c r="G547" s="91">
        <v>25569.041962604166</v>
      </c>
      <c r="H547" s="91">
        <v>25569.041962604166</v>
      </c>
      <c r="I547" s="58">
        <v>39.1</v>
      </c>
      <c r="J547" s="62">
        <v>1175</v>
      </c>
      <c r="K547" s="57" t="s">
        <v>384</v>
      </c>
      <c r="L547" s="52">
        <v>571</v>
      </c>
      <c r="M547" s="58">
        <f t="shared" si="39"/>
        <v>23.895606290697042</v>
      </c>
      <c r="N547" s="58">
        <v>4510.55</v>
      </c>
      <c r="O547" s="60">
        <f t="shared" si="37"/>
        <v>0.12659210074159469</v>
      </c>
      <c r="P547" s="60">
        <f t="shared" si="38"/>
        <v>5.2977145338588515E-3</v>
      </c>
    </row>
    <row r="548" spans="1:16" ht="17.25" customHeight="1" x14ac:dyDescent="0.2">
      <c r="A548" s="52">
        <v>1993</v>
      </c>
      <c r="B548" s="53" t="s">
        <v>352</v>
      </c>
      <c r="C548" s="53" t="s">
        <v>95</v>
      </c>
      <c r="D548" s="54">
        <v>225.25399999999999</v>
      </c>
      <c r="E548" s="62">
        <v>1676</v>
      </c>
      <c r="F548" s="54">
        <f t="shared" si="36"/>
        <v>224.99956899999998</v>
      </c>
      <c r="G548" s="91">
        <v>25569.041962604166</v>
      </c>
      <c r="H548" s="91">
        <v>25569.041962604166</v>
      </c>
      <c r="I548" s="58">
        <v>32.4</v>
      </c>
      <c r="J548" s="62">
        <v>836</v>
      </c>
      <c r="K548" s="57" t="s">
        <v>384</v>
      </c>
      <c r="L548" s="52">
        <v>1114</v>
      </c>
      <c r="M548" s="58">
        <f t="shared" si="39"/>
        <v>33.376638536557273</v>
      </c>
      <c r="N548" s="58">
        <v>2721.43</v>
      </c>
      <c r="O548" s="60">
        <f t="shared" si="37"/>
        <v>0.4093436171424582</v>
      </c>
      <c r="P548" s="60">
        <f t="shared" si="38"/>
        <v>1.2264375176490769E-2</v>
      </c>
    </row>
    <row r="549" spans="1:16" ht="17.25" customHeight="1" x14ac:dyDescent="0.2">
      <c r="A549" s="52">
        <v>1994</v>
      </c>
      <c r="B549" s="53" t="s">
        <v>352</v>
      </c>
      <c r="C549" s="53" t="s">
        <v>95</v>
      </c>
      <c r="D549" s="54">
        <v>226.261</v>
      </c>
      <c r="E549" s="62">
        <v>1676</v>
      </c>
      <c r="F549" s="54">
        <f t="shared" si="36"/>
        <v>225.99982209999999</v>
      </c>
      <c r="G549" s="91">
        <v>25569.041962604166</v>
      </c>
      <c r="H549" s="91">
        <v>25569.041962604166</v>
      </c>
      <c r="I549" s="58">
        <v>35.799999999999997</v>
      </c>
      <c r="J549" s="62">
        <v>3224</v>
      </c>
      <c r="K549" s="57" t="s">
        <v>384</v>
      </c>
      <c r="L549" s="52">
        <v>12049</v>
      </c>
      <c r="M549" s="58">
        <f t="shared" si="39"/>
        <v>109.7679370308106</v>
      </c>
      <c r="N549" s="58">
        <v>11288.45</v>
      </c>
      <c r="O549" s="60">
        <f t="shared" si="37"/>
        <v>1.0673741744880829</v>
      </c>
      <c r="P549" s="60">
        <f t="shared" si="38"/>
        <v>9.7239157750453418E-3</v>
      </c>
    </row>
    <row r="550" spans="1:16" ht="17.25" customHeight="1" x14ac:dyDescent="0.2">
      <c r="A550" s="52">
        <v>1995</v>
      </c>
      <c r="B550" s="53" t="s">
        <v>352</v>
      </c>
      <c r="C550" s="53" t="s">
        <v>95</v>
      </c>
      <c r="D550" s="54">
        <v>227.261</v>
      </c>
      <c r="E550" s="62">
        <v>1676</v>
      </c>
      <c r="F550" s="54">
        <f t="shared" ref="F550:F613" si="40">0.9933*(D550 + E550/1000)-0.41</f>
        <v>226.99312209999997</v>
      </c>
      <c r="G550" s="91">
        <v>25569.041962604166</v>
      </c>
      <c r="H550" s="91">
        <v>25569.041962604166</v>
      </c>
      <c r="I550" s="58">
        <v>36.299999999999997</v>
      </c>
      <c r="J550" s="62">
        <v>4088</v>
      </c>
      <c r="K550" s="57" t="s">
        <v>384</v>
      </c>
      <c r="L550" s="52">
        <v>35406</v>
      </c>
      <c r="M550" s="58">
        <f t="shared" si="39"/>
        <v>188.16482136680065</v>
      </c>
      <c r="N550" s="58">
        <v>13828.63</v>
      </c>
      <c r="O550" s="60">
        <f t="shared" si="37"/>
        <v>2.5603403952524584</v>
      </c>
      <c r="P550" s="60">
        <f t="shared" si="38"/>
        <v>1.360690259026387E-2</v>
      </c>
    </row>
    <row r="551" spans="1:16" ht="17.25" customHeight="1" x14ac:dyDescent="0.2">
      <c r="A551" s="52">
        <v>1996</v>
      </c>
      <c r="B551" s="53" t="s">
        <v>352</v>
      </c>
      <c r="C551" s="53" t="s">
        <v>95</v>
      </c>
      <c r="D551" s="54">
        <v>228.262</v>
      </c>
      <c r="E551" s="62">
        <v>1676</v>
      </c>
      <c r="F551" s="54">
        <f t="shared" si="40"/>
        <v>227.98741539999997</v>
      </c>
      <c r="G551" s="91">
        <v>25569.041962604166</v>
      </c>
      <c r="H551" s="91">
        <v>25569.041962604166</v>
      </c>
      <c r="I551" s="58">
        <v>34.9</v>
      </c>
      <c r="J551" s="62">
        <v>3346</v>
      </c>
      <c r="K551" s="57" t="s">
        <v>384</v>
      </c>
      <c r="L551" s="52">
        <v>45070</v>
      </c>
      <c r="M551" s="58">
        <f t="shared" si="39"/>
        <v>212.2969618247044</v>
      </c>
      <c r="N551" s="58">
        <v>11516.34</v>
      </c>
      <c r="O551" s="60">
        <f t="shared" si="37"/>
        <v>3.9135697626155532</v>
      </c>
      <c r="P551" s="60">
        <f t="shared" si="38"/>
        <v>1.8434412480415167E-2</v>
      </c>
    </row>
    <row r="552" spans="1:16" ht="17.25" customHeight="1" x14ac:dyDescent="0.2">
      <c r="A552" s="52">
        <v>1997</v>
      </c>
      <c r="B552" s="53" t="s">
        <v>352</v>
      </c>
      <c r="C552" s="53" t="s">
        <v>95</v>
      </c>
      <c r="D552" s="54">
        <v>229.262</v>
      </c>
      <c r="E552" s="62">
        <v>1676</v>
      </c>
      <c r="F552" s="54">
        <f t="shared" si="40"/>
        <v>228.98071539999998</v>
      </c>
      <c r="G552" s="91">
        <v>25569.041962604166</v>
      </c>
      <c r="H552" s="91">
        <v>25569.041962604166</v>
      </c>
      <c r="I552" s="58">
        <v>35.5</v>
      </c>
      <c r="J552" s="62">
        <v>2314</v>
      </c>
      <c r="K552" s="57" t="s">
        <v>384</v>
      </c>
      <c r="L552" s="52">
        <v>34896</v>
      </c>
      <c r="M552" s="58">
        <f t="shared" si="39"/>
        <v>186.80471086136987</v>
      </c>
      <c r="N552" s="58">
        <v>7934.21</v>
      </c>
      <c r="O552" s="60">
        <f t="shared" si="37"/>
        <v>4.3981694459813898</v>
      </c>
      <c r="P552" s="60">
        <f t="shared" si="38"/>
        <v>2.3544210559257931E-2</v>
      </c>
    </row>
    <row r="553" spans="1:16" ht="17.25" customHeight="1" x14ac:dyDescent="0.2">
      <c r="A553" s="52">
        <v>1998</v>
      </c>
      <c r="B553" s="53" t="s">
        <v>352</v>
      </c>
      <c r="C553" s="53" t="s">
        <v>95</v>
      </c>
      <c r="D553" s="54">
        <v>230.27600000000001</v>
      </c>
      <c r="E553" s="62">
        <v>1676</v>
      </c>
      <c r="F553" s="54">
        <f t="shared" si="40"/>
        <v>229.98792159999999</v>
      </c>
      <c r="G553" s="91">
        <v>25569.041962604166</v>
      </c>
      <c r="H553" s="91">
        <v>25569.041962604166</v>
      </c>
      <c r="I553" s="58">
        <v>35.4</v>
      </c>
      <c r="J553" s="62">
        <v>1195</v>
      </c>
      <c r="K553" s="57" t="s">
        <v>384</v>
      </c>
      <c r="L553" s="52">
        <v>17578</v>
      </c>
      <c r="M553" s="58">
        <f t="shared" si="39"/>
        <v>132.58205006711881</v>
      </c>
      <c r="N553" s="58">
        <v>3984.88</v>
      </c>
      <c r="O553" s="60">
        <f t="shared" si="37"/>
        <v>4.4111742386219914</v>
      </c>
      <c r="P553" s="60">
        <f t="shared" si="38"/>
        <v>3.3271277947420956E-2</v>
      </c>
    </row>
    <row r="554" spans="1:16" ht="17.25" customHeight="1" x14ac:dyDescent="0.2">
      <c r="A554" s="52">
        <v>1999</v>
      </c>
      <c r="B554" s="53" t="s">
        <v>352</v>
      </c>
      <c r="C554" s="53" t="s">
        <v>95</v>
      </c>
      <c r="D554" s="54">
        <v>231.27600000000001</v>
      </c>
      <c r="E554" s="62">
        <v>1676</v>
      </c>
      <c r="F554" s="54">
        <f t="shared" si="40"/>
        <v>230.9812216</v>
      </c>
      <c r="G554" s="91">
        <v>25569.041962604166</v>
      </c>
      <c r="H554" s="91">
        <v>25569.041962604166</v>
      </c>
      <c r="I554" s="58">
        <v>34.5</v>
      </c>
      <c r="J554" s="62">
        <v>1170</v>
      </c>
      <c r="K554" s="57" t="s">
        <v>384</v>
      </c>
      <c r="L554" s="52">
        <v>16490</v>
      </c>
      <c r="M554" s="58">
        <f t="shared" si="39"/>
        <v>128.41339493993607</v>
      </c>
      <c r="N554" s="58">
        <v>3901.13</v>
      </c>
      <c r="O554" s="60">
        <f t="shared" si="37"/>
        <v>4.2269803877338106</v>
      </c>
      <c r="P554" s="60">
        <f t="shared" si="38"/>
        <v>3.2916974040838438E-2</v>
      </c>
    </row>
    <row r="555" spans="1:16" ht="17.25" customHeight="1" x14ac:dyDescent="0.2">
      <c r="A555" s="52">
        <v>2000</v>
      </c>
      <c r="B555" s="53" t="s">
        <v>352</v>
      </c>
      <c r="C555" s="53" t="s">
        <v>95</v>
      </c>
      <c r="D555" s="54">
        <v>232.27600000000001</v>
      </c>
      <c r="E555" s="62">
        <v>1676</v>
      </c>
      <c r="F555" s="54">
        <f t="shared" si="40"/>
        <v>231.9745216</v>
      </c>
      <c r="G555" s="91">
        <v>25569.041962604166</v>
      </c>
      <c r="H555" s="91">
        <v>25569.041962604166</v>
      </c>
      <c r="I555" s="58">
        <v>34.1</v>
      </c>
      <c r="J555" s="62">
        <v>1152</v>
      </c>
      <c r="K555" s="57" t="s">
        <v>384</v>
      </c>
      <c r="L555" s="52">
        <v>12327</v>
      </c>
      <c r="M555" s="58">
        <f t="shared" si="39"/>
        <v>111.02702373746672</v>
      </c>
      <c r="N555" s="58">
        <v>3127.66</v>
      </c>
      <c r="O555" s="60">
        <f t="shared" si="37"/>
        <v>3.9412851780564386</v>
      </c>
      <c r="P555" s="60">
        <f t="shared" si="38"/>
        <v>3.5498431331240199E-2</v>
      </c>
    </row>
    <row r="556" spans="1:16" ht="17.25" customHeight="1" x14ac:dyDescent="0.2">
      <c r="A556" s="52">
        <v>2001</v>
      </c>
      <c r="B556" s="53" t="s">
        <v>352</v>
      </c>
      <c r="C556" s="53" t="s">
        <v>95</v>
      </c>
      <c r="D556" s="54">
        <v>233.27699999999999</v>
      </c>
      <c r="E556" s="62">
        <v>1676</v>
      </c>
      <c r="F556" s="54">
        <f t="shared" si="40"/>
        <v>232.96881489999996</v>
      </c>
      <c r="G556" s="91">
        <v>25569.041962604166</v>
      </c>
      <c r="H556" s="91">
        <v>25569.041962604166</v>
      </c>
      <c r="I556" s="58">
        <v>34.1</v>
      </c>
      <c r="J556" s="62">
        <v>1085</v>
      </c>
      <c r="K556" s="57" t="s">
        <v>384</v>
      </c>
      <c r="L556" s="52">
        <v>12727</v>
      </c>
      <c r="M556" s="58">
        <f t="shared" si="39"/>
        <v>112.81400622263178</v>
      </c>
      <c r="N556" s="58">
        <v>3526.64</v>
      </c>
      <c r="O556" s="60">
        <f t="shared" si="37"/>
        <v>3.6088174579769983</v>
      </c>
      <c r="P556" s="60">
        <f t="shared" si="38"/>
        <v>3.198909052884099E-2</v>
      </c>
    </row>
    <row r="557" spans="1:16" ht="17.25" customHeight="1" x14ac:dyDescent="0.2">
      <c r="A557" s="52">
        <v>2002</v>
      </c>
      <c r="B557" s="53" t="s">
        <v>352</v>
      </c>
      <c r="C557" s="53" t="s">
        <v>95</v>
      </c>
      <c r="D557" s="54">
        <v>235.28399999999999</v>
      </c>
      <c r="E557" s="62">
        <v>1676</v>
      </c>
      <c r="F557" s="54">
        <f t="shared" si="40"/>
        <v>234.96236799999997</v>
      </c>
      <c r="G557" s="91">
        <v>25569.041962604166</v>
      </c>
      <c r="H557" s="91">
        <v>25569.041962604166</v>
      </c>
      <c r="I557" s="58">
        <v>33.799999999999997</v>
      </c>
      <c r="J557" s="62">
        <v>1114</v>
      </c>
      <c r="K557" s="57" t="s">
        <v>384</v>
      </c>
      <c r="L557" s="52">
        <v>9981</v>
      </c>
      <c r="M557" s="58">
        <f t="shared" si="39"/>
        <v>99.904954832080278</v>
      </c>
      <c r="N557" s="58">
        <v>3588.47</v>
      </c>
      <c r="O557" s="60">
        <f t="shared" si="37"/>
        <v>2.7814082324779084</v>
      </c>
      <c r="P557" s="60">
        <f t="shared" si="38"/>
        <v>2.7840543416018604E-2</v>
      </c>
    </row>
    <row r="558" spans="1:16" ht="17.25" customHeight="1" x14ac:dyDescent="0.2">
      <c r="A558" s="52">
        <v>2003</v>
      </c>
      <c r="B558" s="53" t="s">
        <v>352</v>
      </c>
      <c r="C558" s="53" t="s">
        <v>95</v>
      </c>
      <c r="D558" s="54">
        <v>237.292</v>
      </c>
      <c r="E558" s="62">
        <v>1676</v>
      </c>
      <c r="F558" s="54">
        <f t="shared" si="40"/>
        <v>236.95691439999999</v>
      </c>
      <c r="G558" s="91">
        <v>25569.041962604166</v>
      </c>
      <c r="H558" s="91">
        <v>25569.041962604166</v>
      </c>
      <c r="I558" s="58">
        <v>33.1</v>
      </c>
      <c r="J558" s="62">
        <v>1125</v>
      </c>
      <c r="K558" s="57" t="s">
        <v>384</v>
      </c>
      <c r="L558" s="52">
        <v>7477</v>
      </c>
      <c r="M558" s="58">
        <f t="shared" si="39"/>
        <v>86.469647854030256</v>
      </c>
      <c r="N558" s="58">
        <v>3543.79</v>
      </c>
      <c r="O558" s="60">
        <f t="shared" si="37"/>
        <v>2.1098880012641832</v>
      </c>
      <c r="P558" s="60">
        <f t="shared" si="38"/>
        <v>2.4400330678180777E-2</v>
      </c>
    </row>
    <row r="559" spans="1:16" ht="17.25" customHeight="1" x14ac:dyDescent="0.2">
      <c r="A559" s="52">
        <v>2004</v>
      </c>
      <c r="B559" s="53" t="s">
        <v>352</v>
      </c>
      <c r="C559" s="53" t="s">
        <v>95</v>
      </c>
      <c r="D559" s="54">
        <v>239.29900000000001</v>
      </c>
      <c r="E559" s="62">
        <v>1676</v>
      </c>
      <c r="F559" s="54">
        <f t="shared" si="40"/>
        <v>238.9504675</v>
      </c>
      <c r="G559" s="91">
        <v>25569.041962604166</v>
      </c>
      <c r="H559" s="91">
        <v>25569.041962604166</v>
      </c>
      <c r="I559" s="58">
        <v>33.5</v>
      </c>
      <c r="J559" s="62">
        <v>1087</v>
      </c>
      <c r="K559" s="57" t="s">
        <v>384</v>
      </c>
      <c r="L559" s="52">
        <v>5389</v>
      </c>
      <c r="M559" s="58">
        <f t="shared" si="39"/>
        <v>73.409808608931812</v>
      </c>
      <c r="N559" s="58">
        <v>3437.34</v>
      </c>
      <c r="O559" s="60">
        <f t="shared" si="37"/>
        <v>1.5677820640378897</v>
      </c>
      <c r="P559" s="60">
        <f t="shared" si="38"/>
        <v>2.1356574737713407E-2</v>
      </c>
    </row>
    <row r="560" spans="1:16" ht="17.25" customHeight="1" x14ac:dyDescent="0.2">
      <c r="A560" s="52">
        <v>2005</v>
      </c>
      <c r="B560" s="53" t="s">
        <v>352</v>
      </c>
      <c r="C560" s="53" t="s">
        <v>95</v>
      </c>
      <c r="D560" s="54">
        <v>241.30699999999999</v>
      </c>
      <c r="E560" s="62">
        <v>1676</v>
      </c>
      <c r="F560" s="54">
        <f t="shared" si="40"/>
        <v>240.94501389999996</v>
      </c>
      <c r="G560" s="91">
        <v>25569.041962604166</v>
      </c>
      <c r="H560" s="91">
        <v>25569.041962604166</v>
      </c>
      <c r="I560" s="58">
        <v>33.200000000000003</v>
      </c>
      <c r="J560" s="62">
        <v>1089</v>
      </c>
      <c r="K560" s="57" t="s">
        <v>384</v>
      </c>
      <c r="L560" s="52">
        <v>4998</v>
      </c>
      <c r="M560" s="58">
        <f t="shared" si="39"/>
        <v>70.696534568534545</v>
      </c>
      <c r="N560" s="58">
        <v>3464.48</v>
      </c>
      <c r="O560" s="60">
        <f t="shared" si="37"/>
        <v>1.4426407426222694</v>
      </c>
      <c r="P560" s="60">
        <f t="shared" si="38"/>
        <v>2.0406102667221211E-2</v>
      </c>
    </row>
    <row r="561" spans="1:16" ht="17.25" customHeight="1" x14ac:dyDescent="0.2">
      <c r="A561" s="52">
        <v>2006</v>
      </c>
      <c r="B561" s="53" t="s">
        <v>352</v>
      </c>
      <c r="C561" s="53" t="s">
        <v>95</v>
      </c>
      <c r="D561" s="54">
        <v>243.31399999999999</v>
      </c>
      <c r="E561" s="62">
        <v>1676</v>
      </c>
      <c r="F561" s="54">
        <f t="shared" si="40"/>
        <v>242.93856699999998</v>
      </c>
      <c r="G561" s="91">
        <v>25569.041962604166</v>
      </c>
      <c r="H561" s="91">
        <v>25569.041962604166</v>
      </c>
      <c r="I561" s="58">
        <v>32.9</v>
      </c>
      <c r="J561" s="62">
        <v>1072</v>
      </c>
      <c r="K561" s="57" t="s">
        <v>384</v>
      </c>
      <c r="L561" s="52">
        <v>3725</v>
      </c>
      <c r="M561" s="58">
        <f t="shared" si="39"/>
        <v>61.032778078668514</v>
      </c>
      <c r="N561" s="58">
        <v>3356.56</v>
      </c>
      <c r="O561" s="60">
        <f t="shared" si="37"/>
        <v>1.1097671425507067</v>
      </c>
      <c r="P561" s="60">
        <f t="shared" si="38"/>
        <v>1.8183133350414864E-2</v>
      </c>
    </row>
    <row r="562" spans="1:16" ht="17.25" customHeight="1" x14ac:dyDescent="0.2">
      <c r="A562" s="52">
        <v>2007</v>
      </c>
      <c r="B562" s="53" t="s">
        <v>352</v>
      </c>
      <c r="C562" s="53" t="s">
        <v>95</v>
      </c>
      <c r="D562" s="54">
        <v>245.322</v>
      </c>
      <c r="E562" s="62">
        <v>1676</v>
      </c>
      <c r="F562" s="54">
        <f t="shared" si="40"/>
        <v>244.9331134</v>
      </c>
      <c r="G562" s="91">
        <v>25569.041962604166</v>
      </c>
      <c r="H562" s="91">
        <v>25569.041962604166</v>
      </c>
      <c r="I562" s="58">
        <v>32.9</v>
      </c>
      <c r="J562" s="62">
        <v>1070</v>
      </c>
      <c r="K562" s="57" t="s">
        <v>384</v>
      </c>
      <c r="L562" s="52">
        <v>2975</v>
      </c>
      <c r="M562" s="58">
        <f t="shared" si="39"/>
        <v>54.543560573178574</v>
      </c>
      <c r="N562" s="58">
        <v>3391.15</v>
      </c>
      <c r="O562" s="60">
        <f t="shared" si="37"/>
        <v>0.87728351739085564</v>
      </c>
      <c r="P562" s="60">
        <f t="shared" si="38"/>
        <v>1.6084089637196399E-2</v>
      </c>
    </row>
    <row r="563" spans="1:16" ht="17.25" customHeight="1" x14ac:dyDescent="0.2">
      <c r="A563" s="52">
        <v>2008</v>
      </c>
      <c r="B563" s="53" t="s">
        <v>352</v>
      </c>
      <c r="C563" s="53" t="s">
        <v>95</v>
      </c>
      <c r="D563" s="54">
        <v>247.32300000000001</v>
      </c>
      <c r="E563" s="62">
        <v>1676</v>
      </c>
      <c r="F563" s="54">
        <f t="shared" si="40"/>
        <v>246.92070669999998</v>
      </c>
      <c r="G563" s="91">
        <v>25569.041962604166</v>
      </c>
      <c r="H563" s="91">
        <v>25569.041962604166</v>
      </c>
      <c r="I563" s="58">
        <v>32.700000000000003</v>
      </c>
      <c r="J563" s="62">
        <v>1111</v>
      </c>
      <c r="K563" s="57" t="s">
        <v>384</v>
      </c>
      <c r="L563" s="52">
        <v>2186</v>
      </c>
      <c r="M563" s="58">
        <f t="shared" si="39"/>
        <v>46.75467891024384</v>
      </c>
      <c r="N563" s="58">
        <v>3482.54</v>
      </c>
      <c r="O563" s="60">
        <f t="shared" si="37"/>
        <v>0.62770276866884511</v>
      </c>
      <c r="P563" s="60">
        <f t="shared" si="38"/>
        <v>1.342545352249905E-2</v>
      </c>
    </row>
    <row r="564" spans="1:16" ht="17.25" customHeight="1" x14ac:dyDescent="0.2">
      <c r="A564" s="52">
        <v>2009</v>
      </c>
      <c r="B564" s="53" t="s">
        <v>352</v>
      </c>
      <c r="C564" s="53" t="s">
        <v>95</v>
      </c>
      <c r="D564" s="54">
        <v>249.33</v>
      </c>
      <c r="E564" s="62">
        <v>1676</v>
      </c>
      <c r="F564" s="54">
        <f t="shared" si="40"/>
        <v>248.9142598</v>
      </c>
      <c r="G564" s="91">
        <v>25569.041962604166</v>
      </c>
      <c r="H564" s="91">
        <v>25569.041962604166</v>
      </c>
      <c r="I564" s="58">
        <v>32.9</v>
      </c>
      <c r="J564" s="62">
        <v>1062</v>
      </c>
      <c r="K564" s="57" t="s">
        <v>384</v>
      </c>
      <c r="L564" s="52">
        <v>1619</v>
      </c>
      <c r="M564" s="58">
        <f t="shared" si="39"/>
        <v>40.23679907746142</v>
      </c>
      <c r="N564" s="58">
        <v>3244.21</v>
      </c>
      <c r="O564" s="60">
        <f t="shared" si="37"/>
        <v>0.49904291029249032</v>
      </c>
      <c r="P564" s="60">
        <f t="shared" si="38"/>
        <v>1.240264935915413E-2</v>
      </c>
    </row>
    <row r="565" spans="1:16" ht="17.25" customHeight="1" x14ac:dyDescent="0.2">
      <c r="A565" s="52">
        <v>2010</v>
      </c>
      <c r="B565" s="53" t="s">
        <v>352</v>
      </c>
      <c r="C565" s="53" t="s">
        <v>95</v>
      </c>
      <c r="D565" s="54">
        <v>251.33099999999999</v>
      </c>
      <c r="E565" s="62">
        <v>1676</v>
      </c>
      <c r="F565" s="54">
        <f t="shared" si="40"/>
        <v>250.90185309999998</v>
      </c>
      <c r="G565" s="91">
        <v>25569.041962604166</v>
      </c>
      <c r="H565" s="91">
        <v>25569.041962604166</v>
      </c>
      <c r="I565" s="58">
        <v>32.4</v>
      </c>
      <c r="J565" s="62">
        <v>1127</v>
      </c>
      <c r="K565" s="57" t="s">
        <v>384</v>
      </c>
      <c r="L565" s="52">
        <v>1438</v>
      </c>
      <c r="M565" s="58">
        <f t="shared" si="39"/>
        <v>37.920970451717082</v>
      </c>
      <c r="N565" s="58">
        <v>3482.89</v>
      </c>
      <c r="O565" s="60">
        <f t="shared" si="37"/>
        <v>0.41287551429990615</v>
      </c>
      <c r="P565" s="60">
        <f t="shared" si="38"/>
        <v>1.0887788719057186E-2</v>
      </c>
    </row>
    <row r="566" spans="1:16" ht="17.25" customHeight="1" x14ac:dyDescent="0.2">
      <c r="A566" s="52">
        <v>2011</v>
      </c>
      <c r="B566" s="53" t="s">
        <v>352</v>
      </c>
      <c r="C566" s="53" t="s">
        <v>95</v>
      </c>
      <c r="D566" s="54">
        <v>253.33099999999999</v>
      </c>
      <c r="E566" s="62">
        <v>1676</v>
      </c>
      <c r="F566" s="54">
        <f t="shared" si="40"/>
        <v>252.88845309999996</v>
      </c>
      <c r="G566" s="91">
        <v>25569.041962604166</v>
      </c>
      <c r="H566" s="91">
        <v>25569.041962604166</v>
      </c>
      <c r="I566" s="58">
        <v>32.4</v>
      </c>
      <c r="J566" s="62">
        <v>1478</v>
      </c>
      <c r="K566" s="57" t="s">
        <v>384</v>
      </c>
      <c r="L566" s="52">
        <v>1514</v>
      </c>
      <c r="M566" s="58">
        <f t="shared" si="39"/>
        <v>38.910152916687437</v>
      </c>
      <c r="N566" s="58">
        <v>4598.71</v>
      </c>
      <c r="O566" s="60">
        <f t="shared" si="37"/>
        <v>0.32922276029582209</v>
      </c>
      <c r="P566" s="60">
        <f t="shared" si="38"/>
        <v>8.4611016821429137E-3</v>
      </c>
    </row>
    <row r="567" spans="1:16" ht="17.25" customHeight="1" x14ac:dyDescent="0.2">
      <c r="A567" s="52">
        <v>2012</v>
      </c>
      <c r="B567" s="53" t="s">
        <v>352</v>
      </c>
      <c r="C567" s="53" t="s">
        <v>95</v>
      </c>
      <c r="D567" s="54">
        <v>255.33199999999999</v>
      </c>
      <c r="E567" s="62">
        <v>1676</v>
      </c>
      <c r="F567" s="54">
        <f t="shared" si="40"/>
        <v>254.87604639999998</v>
      </c>
      <c r="G567" s="91">
        <v>25569.041962604166</v>
      </c>
      <c r="H567" s="91">
        <v>25569.041962604166</v>
      </c>
      <c r="I567" s="58">
        <v>31.9</v>
      </c>
      <c r="J567" s="62">
        <v>1477</v>
      </c>
      <c r="K567" s="57" t="s">
        <v>384</v>
      </c>
      <c r="L567" s="52">
        <v>1302</v>
      </c>
      <c r="M567" s="58">
        <f t="shared" si="39"/>
        <v>36.083237105337432</v>
      </c>
      <c r="N567" s="58">
        <v>4527.7</v>
      </c>
      <c r="O567" s="60">
        <f t="shared" si="37"/>
        <v>0.28756322194491685</v>
      </c>
      <c r="P567" s="60">
        <f t="shared" si="38"/>
        <v>7.9694407989348744E-3</v>
      </c>
    </row>
    <row r="568" spans="1:16" ht="17.25" customHeight="1" x14ac:dyDescent="0.2">
      <c r="A568" s="52">
        <v>2013</v>
      </c>
      <c r="B568" s="53" t="s">
        <v>352</v>
      </c>
      <c r="C568" s="53" t="s">
        <v>95</v>
      </c>
      <c r="D568" s="54">
        <v>240.21199999999999</v>
      </c>
      <c r="E568" s="62">
        <v>1676</v>
      </c>
      <c r="F568" s="54">
        <f t="shared" si="40"/>
        <v>239.85735039999997</v>
      </c>
      <c r="G568" s="91">
        <v>25569.041962604166</v>
      </c>
      <c r="H568" s="91">
        <v>25569.041962604166</v>
      </c>
      <c r="I568" s="58">
        <v>32.700000000000003</v>
      </c>
      <c r="J568" s="62">
        <v>1281</v>
      </c>
      <c r="K568" s="57" t="s">
        <v>384</v>
      </c>
      <c r="L568" s="52">
        <v>5872</v>
      </c>
      <c r="M568" s="58">
        <f t="shared" si="39"/>
        <v>76.628976242672067</v>
      </c>
      <c r="N568" s="58">
        <v>3993.79</v>
      </c>
      <c r="O568" s="60">
        <f t="shared" si="37"/>
        <v>1.4702826137578591</v>
      </c>
      <c r="P568" s="60">
        <f t="shared" si="38"/>
        <v>1.9187031927735826E-2</v>
      </c>
    </row>
    <row r="569" spans="1:16" ht="17.25" customHeight="1" x14ac:dyDescent="0.2">
      <c r="A569" s="52">
        <v>2014</v>
      </c>
      <c r="B569" s="53" t="s">
        <v>352</v>
      </c>
      <c r="C569" s="53" t="s">
        <v>95</v>
      </c>
      <c r="D569" s="54">
        <v>242.21299999999999</v>
      </c>
      <c r="E569" s="62">
        <v>1676</v>
      </c>
      <c r="F569" s="54">
        <f t="shared" si="40"/>
        <v>241.84494369999999</v>
      </c>
      <c r="G569" s="91">
        <v>25569.041962604166</v>
      </c>
      <c r="H569" s="91">
        <v>25569.041962604166</v>
      </c>
      <c r="I569" s="58">
        <v>32.9</v>
      </c>
      <c r="J569" s="62">
        <v>1101</v>
      </c>
      <c r="K569" s="57" t="s">
        <v>384</v>
      </c>
      <c r="L569" s="52">
        <v>4457</v>
      </c>
      <c r="M569" s="58">
        <f t="shared" si="39"/>
        <v>66.760766921898067</v>
      </c>
      <c r="N569" s="58">
        <v>3422.26</v>
      </c>
      <c r="O569" s="60">
        <f t="shared" si="37"/>
        <v>1.3023557532157111</v>
      </c>
      <c r="P569" s="60">
        <f t="shared" si="38"/>
        <v>1.9507800962492057E-2</v>
      </c>
    </row>
    <row r="570" spans="1:16" ht="17.25" customHeight="1" x14ac:dyDescent="0.2">
      <c r="A570" s="52">
        <v>2015</v>
      </c>
      <c r="B570" s="53" t="s">
        <v>29</v>
      </c>
      <c r="C570" s="53" t="s">
        <v>413</v>
      </c>
      <c r="D570" s="54">
        <v>345.26600000000002</v>
      </c>
      <c r="E570" s="62">
        <v>1676</v>
      </c>
      <c r="F570" s="54">
        <f t="shared" si="40"/>
        <v>344.20748859999998</v>
      </c>
      <c r="G570" s="91">
        <v>25569.041962604166</v>
      </c>
      <c r="H570" s="91">
        <v>25569.041962604166</v>
      </c>
      <c r="I570" s="58">
        <v>24.1</v>
      </c>
      <c r="J570" s="62">
        <v>4481</v>
      </c>
      <c r="K570" s="57" t="s">
        <v>384</v>
      </c>
      <c r="L570" s="52">
        <v>574650</v>
      </c>
      <c r="M570" s="58">
        <f t="shared" si="39"/>
        <v>758.05672610959664</v>
      </c>
      <c r="N570" s="58">
        <v>10607.22</v>
      </c>
      <c r="O570" s="60">
        <f t="shared" si="37"/>
        <v>54.175363573113408</v>
      </c>
      <c r="P570" s="60">
        <f t="shared" si="38"/>
        <v>7.1466107623825728E-2</v>
      </c>
    </row>
    <row r="571" spans="1:16" ht="17.25" customHeight="1" x14ac:dyDescent="0.2">
      <c r="A571" s="52">
        <v>2016</v>
      </c>
      <c r="B571" s="53" t="s">
        <v>29</v>
      </c>
      <c r="C571" s="53" t="s">
        <v>413</v>
      </c>
      <c r="D571" s="54">
        <v>344.286</v>
      </c>
      <c r="E571" s="62">
        <v>816</v>
      </c>
      <c r="F571" s="54">
        <f t="shared" si="40"/>
        <v>342.37981659999991</v>
      </c>
      <c r="G571" s="91">
        <v>25569.041962604166</v>
      </c>
      <c r="H571" s="91">
        <v>25569.041962604166</v>
      </c>
      <c r="I571" s="62">
        <v>25</v>
      </c>
      <c r="J571" s="62">
        <v>2961</v>
      </c>
      <c r="K571" s="57" t="s">
        <v>384</v>
      </c>
      <c r="L571" s="52">
        <v>336215</v>
      </c>
      <c r="M571" s="58">
        <f t="shared" si="39"/>
        <v>579.84049530883919</v>
      </c>
      <c r="N571" s="58">
        <v>7205.28</v>
      </c>
      <c r="O571" s="60">
        <f t="shared" si="37"/>
        <v>46.662308751360115</v>
      </c>
      <c r="P571" s="60">
        <f t="shared" si="38"/>
        <v>8.047438757533909E-2</v>
      </c>
    </row>
    <row r="572" spans="1:16" ht="17.25" customHeight="1" x14ac:dyDescent="0.2">
      <c r="A572" s="52">
        <v>2017</v>
      </c>
      <c r="B572" s="53" t="s">
        <v>29</v>
      </c>
      <c r="C572" s="53" t="s">
        <v>413</v>
      </c>
      <c r="D572" s="54">
        <v>343.28500000000003</v>
      </c>
      <c r="E572" s="62">
        <v>813</v>
      </c>
      <c r="F572" s="54">
        <f t="shared" si="40"/>
        <v>341.38254339999997</v>
      </c>
      <c r="G572" s="91">
        <v>25569.041962604166</v>
      </c>
      <c r="H572" s="91">
        <v>25569.041962604166</v>
      </c>
      <c r="I572" s="58">
        <v>25.5</v>
      </c>
      <c r="J572" s="62">
        <v>1462</v>
      </c>
      <c r="K572" s="57" t="s">
        <v>384</v>
      </c>
      <c r="L572" s="52">
        <v>136455</v>
      </c>
      <c r="M572" s="58">
        <f t="shared" si="39"/>
        <v>369.39815917245716</v>
      </c>
      <c r="N572" s="58">
        <v>3501.91</v>
      </c>
      <c r="O572" s="60">
        <f t="shared" si="37"/>
        <v>38.965878620524229</v>
      </c>
      <c r="P572" s="60">
        <f t="shared" si="38"/>
        <v>0.10548476664804554</v>
      </c>
    </row>
    <row r="573" spans="1:16" ht="17.25" customHeight="1" x14ac:dyDescent="0.2">
      <c r="A573" s="52">
        <v>2018</v>
      </c>
      <c r="B573" s="53" t="s">
        <v>29</v>
      </c>
      <c r="C573" s="53" t="s">
        <v>413</v>
      </c>
      <c r="D573" s="54">
        <v>342.26499999999999</v>
      </c>
      <c r="E573" s="62">
        <v>813</v>
      </c>
      <c r="F573" s="54">
        <f t="shared" si="40"/>
        <v>340.36937739999996</v>
      </c>
      <c r="G573" s="91">
        <v>25569.041962604166</v>
      </c>
      <c r="H573" s="91">
        <v>25569.041962604166</v>
      </c>
      <c r="I573" s="58">
        <v>26.1</v>
      </c>
      <c r="J573" s="62">
        <v>1834</v>
      </c>
      <c r="K573" s="57" t="s">
        <v>384</v>
      </c>
      <c r="L573" s="52">
        <v>127866</v>
      </c>
      <c r="M573" s="58">
        <f t="shared" si="39"/>
        <v>357.58355666892737</v>
      </c>
      <c r="N573" s="58">
        <v>4584.96</v>
      </c>
      <c r="O573" s="60">
        <f t="shared" si="37"/>
        <v>27.888138609715242</v>
      </c>
      <c r="P573" s="60">
        <f t="shared" si="38"/>
        <v>7.7990550990396285E-2</v>
      </c>
    </row>
    <row r="574" spans="1:16" ht="17.25" customHeight="1" x14ac:dyDescent="0.2">
      <c r="A574" s="52">
        <v>2019</v>
      </c>
      <c r="B574" s="53" t="s">
        <v>29</v>
      </c>
      <c r="C574" s="53" t="s">
        <v>413</v>
      </c>
      <c r="D574" s="54">
        <v>341.291</v>
      </c>
      <c r="E574" s="62">
        <v>813</v>
      </c>
      <c r="F574" s="54">
        <f t="shared" si="40"/>
        <v>339.40190319999994</v>
      </c>
      <c r="G574" s="91">
        <v>25569.041962604166</v>
      </c>
      <c r="H574" s="91">
        <v>25569.041962604166</v>
      </c>
      <c r="I574" s="58">
        <v>26.1</v>
      </c>
      <c r="J574" s="62">
        <v>1209</v>
      </c>
      <c r="K574" s="57" t="s">
        <v>384</v>
      </c>
      <c r="L574" s="52">
        <v>42716</v>
      </c>
      <c r="M574" s="58">
        <f t="shared" si="39"/>
        <v>206.67849428520617</v>
      </c>
      <c r="N574" s="58">
        <v>2974.84</v>
      </c>
      <c r="O574" s="60">
        <f t="shared" si="37"/>
        <v>14.359091581395974</v>
      </c>
      <c r="P574" s="60">
        <f t="shared" si="38"/>
        <v>6.947549928238364E-2</v>
      </c>
    </row>
    <row r="575" spans="1:16" ht="17.25" customHeight="1" x14ac:dyDescent="0.2">
      <c r="A575" s="52">
        <v>2020</v>
      </c>
      <c r="B575" s="53" t="s">
        <v>29</v>
      </c>
      <c r="C575" s="53" t="s">
        <v>413</v>
      </c>
      <c r="D575" s="54">
        <v>340.27699999999999</v>
      </c>
      <c r="E575" s="62">
        <v>813</v>
      </c>
      <c r="F575" s="54">
        <f t="shared" si="40"/>
        <v>338.39469699999995</v>
      </c>
      <c r="G575" s="91">
        <v>25569.041962604166</v>
      </c>
      <c r="H575" s="91">
        <v>25569.041962604166</v>
      </c>
      <c r="I575" s="58">
        <v>26.2</v>
      </c>
      <c r="J575" s="62">
        <v>1306</v>
      </c>
      <c r="K575" s="57" t="s">
        <v>384</v>
      </c>
      <c r="L575" s="52">
        <v>25296</v>
      </c>
      <c r="M575" s="58">
        <f t="shared" si="39"/>
        <v>159.04716281656835</v>
      </c>
      <c r="N575" s="58">
        <v>3291.75</v>
      </c>
      <c r="O575" s="60">
        <f t="shared" si="37"/>
        <v>7.6846662109820008</v>
      </c>
      <c r="P575" s="60">
        <f t="shared" si="38"/>
        <v>4.8316902199914434E-2</v>
      </c>
    </row>
    <row r="576" spans="1:16" ht="17.25" customHeight="1" x14ac:dyDescent="0.2">
      <c r="A576" s="52">
        <v>2021</v>
      </c>
      <c r="B576" s="53" t="s">
        <v>29</v>
      </c>
      <c r="C576" s="53" t="s">
        <v>413</v>
      </c>
      <c r="D576" s="54">
        <v>339.29</v>
      </c>
      <c r="E576" s="62">
        <v>813</v>
      </c>
      <c r="F576" s="54">
        <f t="shared" si="40"/>
        <v>337.41430989999998</v>
      </c>
      <c r="G576" s="91">
        <v>25569.041962604166</v>
      </c>
      <c r="H576" s="91">
        <v>25569.041962604166</v>
      </c>
      <c r="I576" s="58">
        <v>26.7</v>
      </c>
      <c r="J576" s="62">
        <v>1330</v>
      </c>
      <c r="K576" s="57" t="s">
        <v>384</v>
      </c>
      <c r="L576" s="52">
        <v>16358</v>
      </c>
      <c r="M576" s="58">
        <f t="shared" si="39"/>
        <v>127.89839717525783</v>
      </c>
      <c r="N576" s="58">
        <v>3414.9</v>
      </c>
      <c r="O576" s="60">
        <f t="shared" si="37"/>
        <v>4.7901841928021316</v>
      </c>
      <c r="P576" s="60">
        <f t="shared" si="38"/>
        <v>3.7453043185820323E-2</v>
      </c>
    </row>
    <row r="577" spans="1:16" ht="17.25" customHeight="1" x14ac:dyDescent="0.2">
      <c r="A577" s="52">
        <v>2022</v>
      </c>
      <c r="B577" s="53" t="s">
        <v>29</v>
      </c>
      <c r="C577" s="53" t="s">
        <v>413</v>
      </c>
      <c r="D577" s="54">
        <v>337.29</v>
      </c>
      <c r="E577" s="62">
        <v>813</v>
      </c>
      <c r="F577" s="54">
        <f t="shared" si="40"/>
        <v>335.42770989999997</v>
      </c>
      <c r="G577" s="91">
        <v>25569.041962604166</v>
      </c>
      <c r="H577" s="91">
        <v>25569.041962604166</v>
      </c>
      <c r="I577" s="58">
        <v>27.1</v>
      </c>
      <c r="J577" s="62">
        <v>1303</v>
      </c>
      <c r="K577" s="57" t="s">
        <v>384</v>
      </c>
      <c r="L577" s="52">
        <v>8250</v>
      </c>
      <c r="M577" s="58">
        <f t="shared" si="39"/>
        <v>90.829510622924744</v>
      </c>
      <c r="N577" s="58">
        <v>3385.97</v>
      </c>
      <c r="O577" s="60">
        <f t="shared" si="37"/>
        <v>2.4365248363098315</v>
      </c>
      <c r="P577" s="60">
        <f t="shared" si="38"/>
        <v>2.6825255576075614E-2</v>
      </c>
    </row>
    <row r="578" spans="1:16" ht="17.25" customHeight="1" x14ac:dyDescent="0.2">
      <c r="A578" s="52">
        <v>2023</v>
      </c>
      <c r="B578" s="53" t="s">
        <v>29</v>
      </c>
      <c r="C578" s="53" t="s">
        <v>413</v>
      </c>
      <c r="D578" s="54">
        <v>335.28199999999998</v>
      </c>
      <c r="E578" s="62">
        <v>813</v>
      </c>
      <c r="F578" s="54">
        <f t="shared" si="40"/>
        <v>333.43316349999992</v>
      </c>
      <c r="G578" s="91">
        <v>25569.041962604166</v>
      </c>
      <c r="H578" s="91">
        <v>25569.041962604166</v>
      </c>
      <c r="I578" s="58">
        <v>25.7</v>
      </c>
      <c r="J578" s="62">
        <v>1053</v>
      </c>
      <c r="K578" s="57" t="s">
        <v>384</v>
      </c>
      <c r="L578" s="52">
        <v>3776</v>
      </c>
      <c r="M578" s="58">
        <f t="shared" si="39"/>
        <v>61.449165982948863</v>
      </c>
      <c r="N578" s="58">
        <v>2625.1</v>
      </c>
      <c r="O578" s="60">
        <f t="shared" si="37"/>
        <v>1.4384213934707251</v>
      </c>
      <c r="P578" s="60">
        <f t="shared" si="38"/>
        <v>2.3408314343434104E-2</v>
      </c>
    </row>
    <row r="579" spans="1:16" ht="17.25" customHeight="1" x14ac:dyDescent="0.2">
      <c r="A579" s="52">
        <v>2024</v>
      </c>
      <c r="B579" s="53" t="s">
        <v>29</v>
      </c>
      <c r="C579" s="53" t="s">
        <v>413</v>
      </c>
      <c r="D579" s="54">
        <v>333.27499999999998</v>
      </c>
      <c r="E579" s="62">
        <v>813</v>
      </c>
      <c r="F579" s="54">
        <f t="shared" si="40"/>
        <v>331.43961039999994</v>
      </c>
      <c r="G579" s="91">
        <v>25569.041962604166</v>
      </c>
      <c r="H579" s="91">
        <v>25569.041962604166</v>
      </c>
      <c r="I579" s="58">
        <v>26.2</v>
      </c>
      <c r="J579" s="62">
        <v>1061</v>
      </c>
      <c r="K579" s="57" t="s">
        <v>384</v>
      </c>
      <c r="L579" s="52">
        <v>2612</v>
      </c>
      <c r="M579" s="58">
        <f t="shared" si="39"/>
        <v>51.107729356722551</v>
      </c>
      <c r="N579" s="58">
        <v>2659.52</v>
      </c>
      <c r="O579" s="60">
        <f t="shared" si="37"/>
        <v>0.98213211406569612</v>
      </c>
      <c r="P579" s="60">
        <f t="shared" si="38"/>
        <v>1.9216899800235589E-2</v>
      </c>
    </row>
    <row r="580" spans="1:16" ht="17.25" customHeight="1" x14ac:dyDescent="0.2">
      <c r="A580" s="52">
        <v>2025</v>
      </c>
      <c r="B580" s="53" t="s">
        <v>29</v>
      </c>
      <c r="C580" s="53" t="s">
        <v>413</v>
      </c>
      <c r="D580" s="54">
        <v>331.28100000000001</v>
      </c>
      <c r="E580" s="62">
        <v>813</v>
      </c>
      <c r="F580" s="54">
        <f t="shared" si="40"/>
        <v>329.45897019999995</v>
      </c>
      <c r="G580" s="91">
        <v>25569.041962604166</v>
      </c>
      <c r="H580" s="91">
        <v>25569.041962604166</v>
      </c>
      <c r="I580" s="58">
        <v>26.4</v>
      </c>
      <c r="J580" s="62">
        <v>1051</v>
      </c>
      <c r="K580" s="57" t="s">
        <v>384</v>
      </c>
      <c r="L580" s="52">
        <v>1956</v>
      </c>
      <c r="M580" s="58">
        <f t="shared" si="39"/>
        <v>44.226688774991963</v>
      </c>
      <c r="N580" s="58">
        <v>2744.6</v>
      </c>
      <c r="O580" s="60">
        <f t="shared" si="37"/>
        <v>0.71267215623405966</v>
      </c>
      <c r="P580" s="60">
        <f t="shared" si="38"/>
        <v>1.61140744643999E-2</v>
      </c>
    </row>
    <row r="581" spans="1:16" ht="17.25" customHeight="1" x14ac:dyDescent="0.2">
      <c r="A581" s="52">
        <v>2026</v>
      </c>
      <c r="B581" s="53" t="s">
        <v>29</v>
      </c>
      <c r="C581" s="53" t="s">
        <v>413</v>
      </c>
      <c r="D581" s="54">
        <v>346.3</v>
      </c>
      <c r="E581" s="62">
        <v>813</v>
      </c>
      <c r="F581" s="54">
        <f t="shared" si="40"/>
        <v>344.37734289999997</v>
      </c>
      <c r="G581" s="91">
        <v>25569.041962604166</v>
      </c>
      <c r="H581" s="91">
        <v>25569.041962604166</v>
      </c>
      <c r="I581" s="58">
        <v>26.3</v>
      </c>
      <c r="J581" s="62">
        <v>1191</v>
      </c>
      <c r="K581" s="57" t="s">
        <v>384</v>
      </c>
      <c r="L581" s="52">
        <v>163365</v>
      </c>
      <c r="M581" s="58">
        <f t="shared" si="39"/>
        <v>404.18436387371543</v>
      </c>
      <c r="N581" s="58">
        <v>2913.05</v>
      </c>
      <c r="O581" s="60">
        <f t="shared" si="37"/>
        <v>56.080396834932458</v>
      </c>
      <c r="P581" s="60">
        <f t="shared" si="38"/>
        <v>0.13874954562184494</v>
      </c>
    </row>
    <row r="582" spans="1:16" ht="17.25" customHeight="1" x14ac:dyDescent="0.2">
      <c r="A582" s="52">
        <v>2027</v>
      </c>
      <c r="B582" s="53" t="s">
        <v>29</v>
      </c>
      <c r="C582" s="53" t="s">
        <v>413</v>
      </c>
      <c r="D582" s="54">
        <v>347.3</v>
      </c>
      <c r="E582" s="62">
        <v>813</v>
      </c>
      <c r="F582" s="54">
        <f t="shared" si="40"/>
        <v>345.37064289999995</v>
      </c>
      <c r="G582" s="91">
        <v>25569.041962604166</v>
      </c>
      <c r="H582" s="91">
        <v>25569.041962604166</v>
      </c>
      <c r="I582" s="58">
        <v>25.9</v>
      </c>
      <c r="J582" s="62">
        <v>1155</v>
      </c>
      <c r="K582" s="57" t="s">
        <v>384</v>
      </c>
      <c r="L582" s="52">
        <v>152444</v>
      </c>
      <c r="M582" s="58">
        <f t="shared" si="39"/>
        <v>390.44077655900645</v>
      </c>
      <c r="N582" s="58">
        <v>2841.98</v>
      </c>
      <c r="O582" s="60">
        <f t="shared" si="37"/>
        <v>53.640067840027022</v>
      </c>
      <c r="P582" s="60">
        <f t="shared" si="38"/>
        <v>0.13738336531538098</v>
      </c>
    </row>
    <row r="583" spans="1:16" ht="17.25" customHeight="1" x14ac:dyDescent="0.2">
      <c r="A583" s="52">
        <v>2028</v>
      </c>
      <c r="B583" s="53" t="s">
        <v>29</v>
      </c>
      <c r="C583" s="53" t="s">
        <v>413</v>
      </c>
      <c r="D583" s="54">
        <v>348.30099999999999</v>
      </c>
      <c r="E583" s="62">
        <v>813</v>
      </c>
      <c r="F583" s="54">
        <f t="shared" si="40"/>
        <v>346.36493619999993</v>
      </c>
      <c r="G583" s="91">
        <v>25569.041962604166</v>
      </c>
      <c r="H583" s="91">
        <v>25569.041962604166</v>
      </c>
      <c r="I583" s="58">
        <v>26.7</v>
      </c>
      <c r="J583" s="62">
        <v>1189</v>
      </c>
      <c r="K583" s="57" t="s">
        <v>384</v>
      </c>
      <c r="L583" s="52">
        <v>147825</v>
      </c>
      <c r="M583" s="58">
        <f t="shared" si="39"/>
        <v>384.48016853928891</v>
      </c>
      <c r="N583" s="58">
        <v>3023.42</v>
      </c>
      <c r="O583" s="60">
        <f t="shared" ref="O583:O646" si="41">L583/N583</f>
        <v>48.893306255829486</v>
      </c>
      <c r="P583" s="60">
        <f t="shared" ref="P583:P646" si="42">M583/N583</f>
        <v>0.12716730343097846</v>
      </c>
    </row>
    <row r="584" spans="1:16" ht="17.25" customHeight="1" x14ac:dyDescent="0.2">
      <c r="A584" s="52">
        <v>2029</v>
      </c>
      <c r="B584" s="53" t="s">
        <v>29</v>
      </c>
      <c r="C584" s="53" t="s">
        <v>413</v>
      </c>
      <c r="D584" s="54">
        <v>349.30799999999999</v>
      </c>
      <c r="E584" s="62">
        <v>813</v>
      </c>
      <c r="F584" s="54">
        <f t="shared" si="40"/>
        <v>347.36518929999994</v>
      </c>
      <c r="G584" s="91">
        <v>25569.041962604166</v>
      </c>
      <c r="H584" s="91">
        <v>25569.041962604166</v>
      </c>
      <c r="I584" s="58">
        <v>26.9</v>
      </c>
      <c r="J584" s="62">
        <v>1246</v>
      </c>
      <c r="K584" s="57" t="s">
        <v>384</v>
      </c>
      <c r="L584" s="52">
        <v>133986</v>
      </c>
      <c r="M584" s="58">
        <f t="shared" si="39"/>
        <v>366.04098131220223</v>
      </c>
      <c r="N584" s="58">
        <v>3128.06</v>
      </c>
      <c r="O584" s="60">
        <f t="shared" si="41"/>
        <v>42.833577361048064</v>
      </c>
      <c r="P584" s="60">
        <f t="shared" si="42"/>
        <v>0.11701852947584197</v>
      </c>
    </row>
    <row r="585" spans="1:16" ht="17.25" customHeight="1" x14ac:dyDescent="0.2">
      <c r="A585" s="52">
        <v>2030</v>
      </c>
      <c r="B585" s="53" t="s">
        <v>29</v>
      </c>
      <c r="C585" s="53" t="s">
        <v>413</v>
      </c>
      <c r="D585" s="54">
        <v>350.30799999999999</v>
      </c>
      <c r="E585" s="62">
        <v>813</v>
      </c>
      <c r="F585" s="54">
        <f t="shared" si="40"/>
        <v>348.35848929999992</v>
      </c>
      <c r="G585" s="91">
        <v>25569.041962604166</v>
      </c>
      <c r="H585" s="91">
        <v>25569.041962604166</v>
      </c>
      <c r="I585" s="58">
        <v>24.5</v>
      </c>
      <c r="J585" s="62">
        <v>1206</v>
      </c>
      <c r="K585" s="57" t="s">
        <v>384</v>
      </c>
      <c r="L585" s="52">
        <v>102485</v>
      </c>
      <c r="M585" s="58">
        <f t="shared" si="39"/>
        <v>320.13278495024531</v>
      </c>
      <c r="N585" s="58">
        <v>2830.86</v>
      </c>
      <c r="O585" s="60">
        <f t="shared" si="41"/>
        <v>36.202779367400716</v>
      </c>
      <c r="P585" s="60">
        <f t="shared" si="42"/>
        <v>0.11308675983632016</v>
      </c>
    </row>
    <row r="586" spans="1:16" ht="17.25" customHeight="1" x14ac:dyDescent="0.2">
      <c r="A586" s="52">
        <v>2031</v>
      </c>
      <c r="B586" s="53" t="s">
        <v>29</v>
      </c>
      <c r="C586" s="53" t="s">
        <v>413</v>
      </c>
      <c r="D586" s="54">
        <v>351.30799999999999</v>
      </c>
      <c r="E586" s="62">
        <v>813</v>
      </c>
      <c r="F586" s="54">
        <f t="shared" si="40"/>
        <v>349.35178929999995</v>
      </c>
      <c r="G586" s="91">
        <v>25569.041962604166</v>
      </c>
      <c r="H586" s="91">
        <v>25569.041962604166</v>
      </c>
      <c r="I586" s="58">
        <v>24.4</v>
      </c>
      <c r="J586" s="62">
        <v>1135</v>
      </c>
      <c r="K586" s="57" t="s">
        <v>384</v>
      </c>
      <c r="L586" s="52">
        <v>78688</v>
      </c>
      <c r="M586" s="58">
        <f t="shared" si="39"/>
        <v>280.51381427658782</v>
      </c>
      <c r="N586" s="58">
        <v>2677.26</v>
      </c>
      <c r="O586" s="60">
        <f t="shared" si="41"/>
        <v>29.39124328604618</v>
      </c>
      <c r="P586" s="60">
        <f t="shared" si="42"/>
        <v>0.1047764558827263</v>
      </c>
    </row>
    <row r="587" spans="1:16" ht="17.25" customHeight="1" x14ac:dyDescent="0.2">
      <c r="A587" s="52">
        <v>2032</v>
      </c>
      <c r="B587" s="53" t="s">
        <v>29</v>
      </c>
      <c r="C587" s="53" t="s">
        <v>413</v>
      </c>
      <c r="D587" s="54">
        <v>352.30900000000003</v>
      </c>
      <c r="E587" s="62">
        <v>813</v>
      </c>
      <c r="F587" s="54">
        <f t="shared" si="40"/>
        <v>350.34608259999999</v>
      </c>
      <c r="G587" s="91">
        <v>25569.041962604166</v>
      </c>
      <c r="H587" s="91">
        <v>25569.041962604166</v>
      </c>
      <c r="I587" s="58">
        <v>24.5</v>
      </c>
      <c r="J587" s="62">
        <v>1569</v>
      </c>
      <c r="K587" s="57" t="s">
        <v>384</v>
      </c>
      <c r="L587" s="52">
        <v>89399</v>
      </c>
      <c r="M587" s="58">
        <f t="shared" si="39"/>
        <v>298.9966554996895</v>
      </c>
      <c r="N587" s="58">
        <v>3714.02</v>
      </c>
      <c r="O587" s="60">
        <f t="shared" si="41"/>
        <v>24.070683518128604</v>
      </c>
      <c r="P587" s="60">
        <f t="shared" si="42"/>
        <v>8.0504858751350147E-2</v>
      </c>
    </row>
    <row r="588" spans="1:16" ht="17.25" customHeight="1" x14ac:dyDescent="0.2">
      <c r="A588" s="52">
        <v>2033</v>
      </c>
      <c r="B588" s="53" t="s">
        <v>29</v>
      </c>
      <c r="C588" s="53" t="s">
        <v>413</v>
      </c>
      <c r="D588" s="54">
        <v>353.32299999999998</v>
      </c>
      <c r="E588" s="62">
        <v>813</v>
      </c>
      <c r="F588" s="54">
        <f t="shared" si="40"/>
        <v>351.35328879999992</v>
      </c>
      <c r="G588" s="91">
        <v>25569.041962604166</v>
      </c>
      <c r="H588" s="91">
        <v>25569.041962604166</v>
      </c>
      <c r="I588" s="58">
        <v>24.6</v>
      </c>
      <c r="J588" s="62">
        <v>1098</v>
      </c>
      <c r="K588" s="57" t="s">
        <v>384</v>
      </c>
      <c r="L588" s="52">
        <v>49640</v>
      </c>
      <c r="M588" s="58">
        <f t="shared" si="39"/>
        <v>222.80035906613796</v>
      </c>
      <c r="N588" s="58">
        <v>2583.73</v>
      </c>
      <c r="O588" s="60">
        <f t="shared" si="41"/>
        <v>19.212533817388039</v>
      </c>
      <c r="P588" s="60">
        <f t="shared" si="42"/>
        <v>8.6232059490015583E-2</v>
      </c>
    </row>
    <row r="589" spans="1:16" ht="17.25" customHeight="1" x14ac:dyDescent="0.2">
      <c r="A589" s="52">
        <v>2034</v>
      </c>
      <c r="B589" s="53" t="s">
        <v>29</v>
      </c>
      <c r="C589" s="53" t="s">
        <v>413</v>
      </c>
      <c r="D589" s="54">
        <v>354.31599999999997</v>
      </c>
      <c r="E589" s="62">
        <v>813</v>
      </c>
      <c r="F589" s="54">
        <f t="shared" si="40"/>
        <v>352.33963569999992</v>
      </c>
      <c r="G589" s="91">
        <v>25569.041962604166</v>
      </c>
      <c r="H589" s="91">
        <v>25569.041962604166</v>
      </c>
      <c r="I589" s="58">
        <v>24.6</v>
      </c>
      <c r="J589" s="62">
        <v>1132</v>
      </c>
      <c r="K589" s="57" t="s">
        <v>384</v>
      </c>
      <c r="L589" s="52">
        <v>40371</v>
      </c>
      <c r="M589" s="58">
        <f t="shared" si="39"/>
        <v>200.925359275528</v>
      </c>
      <c r="N589" s="58">
        <v>2618.84</v>
      </c>
      <c r="O589" s="60">
        <f t="shared" si="41"/>
        <v>15.415603855141971</v>
      </c>
      <c r="P589" s="60">
        <f t="shared" si="42"/>
        <v>7.6723037404166722E-2</v>
      </c>
    </row>
    <row r="590" spans="1:16" ht="17.25" customHeight="1" x14ac:dyDescent="0.2">
      <c r="A590" s="52">
        <v>2035</v>
      </c>
      <c r="B590" s="53" t="s">
        <v>29</v>
      </c>
      <c r="C590" s="53" t="s">
        <v>413</v>
      </c>
      <c r="D590" s="54">
        <v>355.31700000000001</v>
      </c>
      <c r="E590" s="62">
        <v>813</v>
      </c>
      <c r="F590" s="54">
        <f t="shared" si="40"/>
        <v>353.33392899999996</v>
      </c>
      <c r="G590" s="91">
        <v>25569.041962604166</v>
      </c>
      <c r="H590" s="91">
        <v>25569.041962604166</v>
      </c>
      <c r="I590" s="58">
        <v>24.6</v>
      </c>
      <c r="J590" s="62">
        <v>1303</v>
      </c>
      <c r="K590" s="57" t="s">
        <v>384</v>
      </c>
      <c r="L590" s="52">
        <v>39424</v>
      </c>
      <c r="M590" s="58">
        <f t="shared" si="39"/>
        <v>198.55477833585371</v>
      </c>
      <c r="N590" s="58">
        <v>3172.6</v>
      </c>
      <c r="O590" s="60">
        <f t="shared" si="41"/>
        <v>12.426401059068272</v>
      </c>
      <c r="P590" s="60">
        <f t="shared" si="42"/>
        <v>6.2584245834915758E-2</v>
      </c>
    </row>
    <row r="591" spans="1:16" ht="17.25" customHeight="1" x14ac:dyDescent="0.2">
      <c r="A591" s="52">
        <v>2036</v>
      </c>
      <c r="B591" s="53" t="s">
        <v>29</v>
      </c>
      <c r="C591" s="53" t="s">
        <v>413</v>
      </c>
      <c r="D591" s="54">
        <v>357.31700000000001</v>
      </c>
      <c r="E591" s="62">
        <v>813</v>
      </c>
      <c r="F591" s="54">
        <f t="shared" si="40"/>
        <v>355.32052899999996</v>
      </c>
      <c r="G591" s="91">
        <v>25569.041962604166</v>
      </c>
      <c r="H591" s="91">
        <v>25569.041962604166</v>
      </c>
      <c r="I591" s="58">
        <v>26.4</v>
      </c>
      <c r="J591" s="62">
        <v>1074</v>
      </c>
      <c r="K591" s="57" t="s">
        <v>384</v>
      </c>
      <c r="L591" s="52">
        <v>23841</v>
      </c>
      <c r="M591" s="58">
        <f t="shared" si="39"/>
        <v>154.40531078949326</v>
      </c>
      <c r="N591" s="58">
        <v>2787.71</v>
      </c>
      <c r="O591" s="60">
        <f t="shared" si="41"/>
        <v>8.5521808222519553</v>
      </c>
      <c r="P591" s="60">
        <f t="shared" si="42"/>
        <v>5.5387867026876272E-2</v>
      </c>
    </row>
    <row r="592" spans="1:16" ht="17.25" customHeight="1" x14ac:dyDescent="0.2">
      <c r="A592" s="52">
        <v>2037</v>
      </c>
      <c r="B592" s="53" t="s">
        <v>29</v>
      </c>
      <c r="C592" s="53" t="s">
        <v>413</v>
      </c>
      <c r="D592" s="54">
        <v>359.31200000000001</v>
      </c>
      <c r="E592" s="62">
        <v>813</v>
      </c>
      <c r="F592" s="54">
        <f t="shared" si="40"/>
        <v>357.30216249999995</v>
      </c>
      <c r="G592" s="91">
        <v>25569.041962604166</v>
      </c>
      <c r="H592" s="91">
        <v>25569.041962604166</v>
      </c>
      <c r="I592" s="58">
        <v>26.9</v>
      </c>
      <c r="J592" s="62">
        <v>1074</v>
      </c>
      <c r="K592" s="57" t="s">
        <v>384</v>
      </c>
      <c r="L592" s="52">
        <v>16704</v>
      </c>
      <c r="M592" s="58">
        <f t="shared" si="39"/>
        <v>129.24395537122808</v>
      </c>
      <c r="N592" s="58">
        <v>2759.05</v>
      </c>
      <c r="O592" s="60">
        <f t="shared" si="41"/>
        <v>6.0542578061289207</v>
      </c>
      <c r="P592" s="60">
        <f t="shared" si="42"/>
        <v>4.6843643780006911E-2</v>
      </c>
    </row>
    <row r="593" spans="1:16" ht="17.25" customHeight="1" x14ac:dyDescent="0.2">
      <c r="A593" s="52">
        <v>2038</v>
      </c>
      <c r="B593" s="53" t="s">
        <v>29</v>
      </c>
      <c r="C593" s="53" t="s">
        <v>413</v>
      </c>
      <c r="D593" s="54">
        <v>361.32600000000002</v>
      </c>
      <c r="E593" s="62">
        <v>813</v>
      </c>
      <c r="F593" s="54">
        <f t="shared" si="40"/>
        <v>359.30266869999997</v>
      </c>
      <c r="G593" s="91">
        <v>25569.041962604166</v>
      </c>
      <c r="H593" s="91">
        <v>25569.041962604166</v>
      </c>
      <c r="I593" s="58">
        <v>26.6</v>
      </c>
      <c r="J593" s="62">
        <v>1089</v>
      </c>
      <c r="K593" s="57" t="s">
        <v>384</v>
      </c>
      <c r="L593" s="52">
        <v>12518</v>
      </c>
      <c r="M593" s="58">
        <f t="shared" si="39"/>
        <v>111.88386836358492</v>
      </c>
      <c r="N593" s="58">
        <v>2759.23</v>
      </c>
      <c r="O593" s="60">
        <f t="shared" si="41"/>
        <v>4.5367729402768164</v>
      </c>
      <c r="P593" s="60">
        <f t="shared" si="42"/>
        <v>4.054894603334442E-2</v>
      </c>
    </row>
    <row r="594" spans="1:16" ht="17.25" customHeight="1" x14ac:dyDescent="0.2">
      <c r="A594" s="52">
        <v>2039</v>
      </c>
      <c r="B594" s="53" t="s">
        <v>29</v>
      </c>
      <c r="C594" s="53" t="s">
        <v>413</v>
      </c>
      <c r="D594" s="54">
        <v>363.33300000000003</v>
      </c>
      <c r="E594" s="62">
        <v>813</v>
      </c>
      <c r="F594" s="54">
        <f t="shared" si="40"/>
        <v>361.29622179999996</v>
      </c>
      <c r="G594" s="91">
        <v>25569.041962604166</v>
      </c>
      <c r="H594" s="91">
        <v>25569.041962604166</v>
      </c>
      <c r="I594" s="58">
        <v>26.2</v>
      </c>
      <c r="J594" s="62">
        <v>1043</v>
      </c>
      <c r="K594" s="57" t="s">
        <v>384</v>
      </c>
      <c r="L594" s="52">
        <v>9082</v>
      </c>
      <c r="M594" s="58">
        <f t="shared" si="39"/>
        <v>95.299527805755673</v>
      </c>
      <c r="N594" s="58">
        <v>2636.15</v>
      </c>
      <c r="O594" s="60">
        <f t="shared" si="41"/>
        <v>3.4451757297574113</v>
      </c>
      <c r="P594" s="60">
        <f t="shared" si="42"/>
        <v>3.6151026233619356E-2</v>
      </c>
    </row>
    <row r="595" spans="1:16" ht="17.25" customHeight="1" x14ac:dyDescent="0.2">
      <c r="A595" s="52">
        <v>2040</v>
      </c>
      <c r="B595" s="53" t="s">
        <v>29</v>
      </c>
      <c r="C595" s="53" t="s">
        <v>413</v>
      </c>
      <c r="D595" s="54">
        <v>365.334</v>
      </c>
      <c r="E595" s="62">
        <v>813</v>
      </c>
      <c r="F595" s="54">
        <f t="shared" si="40"/>
        <v>363.28381509999997</v>
      </c>
      <c r="G595" s="91">
        <v>25569.041962604166</v>
      </c>
      <c r="H595" s="91">
        <v>25569.041962604166</v>
      </c>
      <c r="I595" s="58">
        <v>28.6</v>
      </c>
      <c r="J595" s="62">
        <v>1045</v>
      </c>
      <c r="K595" s="57" t="s">
        <v>384</v>
      </c>
      <c r="L595" s="52">
        <v>8051</v>
      </c>
      <c r="M595" s="58">
        <f t="shared" si="39"/>
        <v>89.727364833700534</v>
      </c>
      <c r="N595" s="58">
        <v>2866.18</v>
      </c>
      <c r="O595" s="60">
        <f t="shared" si="41"/>
        <v>2.8089652429365919</v>
      </c>
      <c r="P595" s="60">
        <f t="shared" si="42"/>
        <v>3.130555821117325E-2</v>
      </c>
    </row>
    <row r="596" spans="1:16" ht="17.25" customHeight="1" x14ac:dyDescent="0.2">
      <c r="A596" s="52">
        <v>2041</v>
      </c>
      <c r="B596" s="53" t="s">
        <v>29</v>
      </c>
      <c r="C596" s="53" t="s">
        <v>413</v>
      </c>
      <c r="D596" s="54">
        <v>367.33499999999998</v>
      </c>
      <c r="E596" s="62">
        <v>813</v>
      </c>
      <c r="F596" s="54">
        <f t="shared" si="40"/>
        <v>365.27140839999993</v>
      </c>
      <c r="G596" s="91">
        <v>25569.041962604166</v>
      </c>
      <c r="H596" s="91">
        <v>25569.041962604166</v>
      </c>
      <c r="I596" s="58">
        <v>28.4</v>
      </c>
      <c r="J596" s="62">
        <v>1043</v>
      </c>
      <c r="K596" s="57" t="s">
        <v>384</v>
      </c>
      <c r="L596" s="52">
        <v>6641</v>
      </c>
      <c r="M596" s="58">
        <f t="shared" si="39"/>
        <v>81.492330927517344</v>
      </c>
      <c r="N596" s="58">
        <v>2862.39</v>
      </c>
      <c r="O596" s="60">
        <f t="shared" si="41"/>
        <v>2.3200891562645203</v>
      </c>
      <c r="P596" s="60">
        <f t="shared" si="42"/>
        <v>2.8470030613409546E-2</v>
      </c>
    </row>
    <row r="597" spans="1:16" ht="17.25" customHeight="1" x14ac:dyDescent="0.2">
      <c r="A597" s="52">
        <v>2042</v>
      </c>
      <c r="B597" s="53" t="s">
        <v>157</v>
      </c>
      <c r="C597" s="53" t="s">
        <v>413</v>
      </c>
      <c r="D597" s="54">
        <v>346.3</v>
      </c>
      <c r="E597" s="62">
        <v>751</v>
      </c>
      <c r="F597" s="54">
        <f t="shared" si="40"/>
        <v>344.31575829999997</v>
      </c>
      <c r="G597" s="91">
        <v>25569.041962604166</v>
      </c>
      <c r="H597" s="91">
        <v>25569.041962604166</v>
      </c>
      <c r="I597" s="58">
        <v>24.3</v>
      </c>
      <c r="J597" s="62">
        <v>543480</v>
      </c>
      <c r="K597" s="57" t="s">
        <v>384</v>
      </c>
      <c r="L597" s="52">
        <v>73140127</v>
      </c>
      <c r="M597" s="58">
        <f t="shared" si="39"/>
        <v>8552.2001262832946</v>
      </c>
      <c r="N597" s="58">
        <v>1316776.72</v>
      </c>
      <c r="O597" s="60">
        <f t="shared" si="41"/>
        <v>55.544820841000288</v>
      </c>
      <c r="P597" s="60">
        <f t="shared" si="42"/>
        <v>6.4947990015219092E-3</v>
      </c>
    </row>
    <row r="598" spans="1:16" ht="17.25" customHeight="1" x14ac:dyDescent="0.2">
      <c r="A598" s="52">
        <v>2043</v>
      </c>
      <c r="B598" s="53" t="s">
        <v>30</v>
      </c>
      <c r="C598" s="53" t="s">
        <v>413</v>
      </c>
      <c r="D598" s="54">
        <v>345.29899999999998</v>
      </c>
      <c r="E598" s="62">
        <v>754</v>
      </c>
      <c r="F598" s="54">
        <f t="shared" si="40"/>
        <v>343.32444489999995</v>
      </c>
      <c r="G598" s="91">
        <v>25569.041962604166</v>
      </c>
      <c r="H598" s="56" t="s">
        <v>414</v>
      </c>
      <c r="I598" s="58">
        <v>25.7</v>
      </c>
      <c r="J598" s="62">
        <v>2338</v>
      </c>
      <c r="K598" s="57" t="s">
        <v>384</v>
      </c>
      <c r="L598" s="52">
        <v>300334</v>
      </c>
      <c r="M598" s="58">
        <f t="shared" si="39"/>
        <v>548.02737157919398</v>
      </c>
      <c r="N598" s="58">
        <v>5742.21</v>
      </c>
      <c r="O598" s="60">
        <f t="shared" si="41"/>
        <v>52.302859003763359</v>
      </c>
      <c r="P598" s="60">
        <f t="shared" si="42"/>
        <v>9.5438406393913489E-2</v>
      </c>
    </row>
    <row r="599" spans="1:16" ht="17.25" customHeight="1" x14ac:dyDescent="0.2">
      <c r="A599" s="52">
        <v>2044</v>
      </c>
      <c r="B599" s="53" t="s">
        <v>30</v>
      </c>
      <c r="C599" s="53" t="s">
        <v>413</v>
      </c>
      <c r="D599" s="54">
        <v>344.30599999999998</v>
      </c>
      <c r="E599" s="62">
        <v>754</v>
      </c>
      <c r="F599" s="54">
        <f t="shared" si="40"/>
        <v>342.33809799999995</v>
      </c>
      <c r="G599" s="91">
        <v>25569.041962604166</v>
      </c>
      <c r="H599" s="91">
        <v>25569.041962604166</v>
      </c>
      <c r="I599" s="58">
        <v>25.1</v>
      </c>
      <c r="J599" s="62">
        <v>1251</v>
      </c>
      <c r="K599" s="57" t="s">
        <v>384</v>
      </c>
      <c r="L599" s="52">
        <v>138191</v>
      </c>
      <c r="M599" s="58">
        <f t="shared" si="39"/>
        <v>371.74050088737977</v>
      </c>
      <c r="N599" s="58">
        <v>3042.78</v>
      </c>
      <c r="O599" s="60">
        <f t="shared" si="41"/>
        <v>45.416034021519792</v>
      </c>
      <c r="P599" s="60">
        <f t="shared" si="42"/>
        <v>0.12217133702974903</v>
      </c>
    </row>
    <row r="600" spans="1:16" ht="17.25" customHeight="1" x14ac:dyDescent="0.2">
      <c r="A600" s="52">
        <v>2045</v>
      </c>
      <c r="B600" s="53" t="s">
        <v>30</v>
      </c>
      <c r="C600" s="53" t="s">
        <v>413</v>
      </c>
      <c r="D600" s="54">
        <v>343.29899999999998</v>
      </c>
      <c r="E600" s="62">
        <v>754</v>
      </c>
      <c r="F600" s="54">
        <f t="shared" si="40"/>
        <v>341.33784489999994</v>
      </c>
      <c r="G600" s="91">
        <v>25569.041962604166</v>
      </c>
      <c r="H600" s="91">
        <v>25569.041962604166</v>
      </c>
      <c r="I600" s="58">
        <v>25.9</v>
      </c>
      <c r="J600" s="62">
        <v>1290</v>
      </c>
      <c r="K600" s="57" t="s">
        <v>384</v>
      </c>
      <c r="L600" s="52">
        <v>113189</v>
      </c>
      <c r="M600" s="58">
        <f t="shared" si="39"/>
        <v>336.43572937486886</v>
      </c>
      <c r="N600" s="58">
        <v>3148.14</v>
      </c>
      <c r="O600" s="60">
        <f t="shared" si="41"/>
        <v>35.954245999224938</v>
      </c>
      <c r="P600" s="60">
        <f t="shared" si="42"/>
        <v>0.10686809651885522</v>
      </c>
    </row>
    <row r="601" spans="1:16" ht="17.25" customHeight="1" x14ac:dyDescent="0.2">
      <c r="A601" s="52">
        <v>2046</v>
      </c>
      <c r="B601" s="53" t="s">
        <v>30</v>
      </c>
      <c r="C601" s="53" t="s">
        <v>413</v>
      </c>
      <c r="D601" s="54">
        <v>342.298</v>
      </c>
      <c r="E601" s="62">
        <v>754</v>
      </c>
      <c r="F601" s="54">
        <f t="shared" si="40"/>
        <v>340.34355159999996</v>
      </c>
      <c r="G601" s="91">
        <v>25569.041962604166</v>
      </c>
      <c r="H601" s="91">
        <v>25569.041962604166</v>
      </c>
      <c r="I601" s="58">
        <v>25.8</v>
      </c>
      <c r="J601" s="62">
        <v>1207</v>
      </c>
      <c r="K601" s="57" t="s">
        <v>384</v>
      </c>
      <c r="L601" s="52">
        <v>63739</v>
      </c>
      <c r="M601" s="58">
        <f t="shared" si="39"/>
        <v>252.46583927335595</v>
      </c>
      <c r="N601" s="58">
        <v>3001.25</v>
      </c>
      <c r="O601" s="60">
        <f t="shared" si="41"/>
        <v>21.237484381507706</v>
      </c>
      <c r="P601" s="60">
        <f t="shared" si="42"/>
        <v>8.4120229662092774E-2</v>
      </c>
    </row>
    <row r="602" spans="1:16" ht="17.25" customHeight="1" x14ac:dyDescent="0.2">
      <c r="A602" s="52">
        <v>2047</v>
      </c>
      <c r="B602" s="53" t="s">
        <v>30</v>
      </c>
      <c r="C602" s="53" t="s">
        <v>413</v>
      </c>
      <c r="D602" s="54">
        <v>341.298</v>
      </c>
      <c r="E602" s="62">
        <v>754</v>
      </c>
      <c r="F602" s="54">
        <f t="shared" si="40"/>
        <v>339.35025159999998</v>
      </c>
      <c r="G602" s="91">
        <v>25569.041962604166</v>
      </c>
      <c r="H602" s="91">
        <v>25569.041962604166</v>
      </c>
      <c r="I602" s="58">
        <v>25.9</v>
      </c>
      <c r="J602" s="62">
        <v>1240</v>
      </c>
      <c r="K602" s="57" t="s">
        <v>384</v>
      </c>
      <c r="L602" s="52">
        <v>33405</v>
      </c>
      <c r="M602" s="58">
        <f t="shared" si="39"/>
        <v>182.77034770443481</v>
      </c>
      <c r="N602" s="58">
        <v>3033.63</v>
      </c>
      <c r="O602" s="60">
        <f t="shared" si="41"/>
        <v>11.011560407828245</v>
      </c>
      <c r="P602" s="60">
        <f t="shared" si="42"/>
        <v>6.0248068388180101E-2</v>
      </c>
    </row>
    <row r="603" spans="1:16" ht="17.25" customHeight="1" x14ac:dyDescent="0.2">
      <c r="A603" s="52">
        <v>2048</v>
      </c>
      <c r="B603" s="53" t="s">
        <v>30</v>
      </c>
      <c r="C603" s="53" t="s">
        <v>413</v>
      </c>
      <c r="D603" s="54">
        <v>340.298</v>
      </c>
      <c r="E603" s="62">
        <v>754</v>
      </c>
      <c r="F603" s="54">
        <f t="shared" si="40"/>
        <v>338.3569516</v>
      </c>
      <c r="G603" s="91">
        <v>25569.041962604166</v>
      </c>
      <c r="H603" s="91">
        <v>25569.041962604166</v>
      </c>
      <c r="I603" s="62">
        <v>26</v>
      </c>
      <c r="J603" s="62">
        <v>1169</v>
      </c>
      <c r="K603" s="57" t="s">
        <v>384</v>
      </c>
      <c r="L603" s="52">
        <v>18434</v>
      </c>
      <c r="M603" s="58">
        <f t="shared" si="39"/>
        <v>135.77186748365804</v>
      </c>
      <c r="N603" s="58">
        <v>2919.59</v>
      </c>
      <c r="O603" s="60">
        <f t="shared" si="41"/>
        <v>6.3139002394171779</v>
      </c>
      <c r="P603" s="60">
        <f t="shared" si="42"/>
        <v>4.6503744527025381E-2</v>
      </c>
    </row>
    <row r="604" spans="1:16" ht="17.25" customHeight="1" x14ac:dyDescent="0.2">
      <c r="A604" s="52">
        <v>2049</v>
      </c>
      <c r="B604" s="53" t="s">
        <v>30</v>
      </c>
      <c r="C604" s="53" t="s">
        <v>413</v>
      </c>
      <c r="D604" s="54">
        <v>339.29</v>
      </c>
      <c r="E604" s="62">
        <v>754</v>
      </c>
      <c r="F604" s="54">
        <f t="shared" si="40"/>
        <v>337.35570519999999</v>
      </c>
      <c r="G604" s="91">
        <v>25569.041962604166</v>
      </c>
      <c r="H604" s="91">
        <v>25569.041962604166</v>
      </c>
      <c r="I604" s="58">
        <v>25.5</v>
      </c>
      <c r="J604" s="62">
        <v>1166</v>
      </c>
      <c r="K604" s="57" t="s">
        <v>384</v>
      </c>
      <c r="L604" s="52">
        <v>11807</v>
      </c>
      <c r="M604" s="58">
        <f t="shared" ref="M604:M667" si="43">SQRT(L604)</f>
        <v>108.66002024663901</v>
      </c>
      <c r="N604" s="58">
        <v>2829.19</v>
      </c>
      <c r="O604" s="60">
        <f t="shared" si="41"/>
        <v>4.1732792778144985</v>
      </c>
      <c r="P604" s="60">
        <f t="shared" si="42"/>
        <v>3.8406759619056693E-2</v>
      </c>
    </row>
    <row r="605" spans="1:16" ht="17.25" customHeight="1" x14ac:dyDescent="0.2">
      <c r="A605" s="52">
        <v>2050</v>
      </c>
      <c r="B605" s="53" t="s">
        <v>30</v>
      </c>
      <c r="C605" s="53" t="s">
        <v>413</v>
      </c>
      <c r="D605" s="54">
        <v>337.29599999999999</v>
      </c>
      <c r="E605" s="62">
        <v>754</v>
      </c>
      <c r="F605" s="54">
        <f t="shared" si="40"/>
        <v>335.37506499999995</v>
      </c>
      <c r="G605" s="91">
        <v>25569.041962604166</v>
      </c>
      <c r="H605" s="91">
        <v>25569.041962604166</v>
      </c>
      <c r="I605" s="58">
        <v>26.1</v>
      </c>
      <c r="J605" s="62">
        <v>1089</v>
      </c>
      <c r="K605" s="57" t="s">
        <v>384</v>
      </c>
      <c r="L605" s="52">
        <v>5951</v>
      </c>
      <c r="M605" s="58">
        <f t="shared" si="43"/>
        <v>77.142724867611463</v>
      </c>
      <c r="N605" s="62">
        <v>2734</v>
      </c>
      <c r="O605" s="60">
        <f t="shared" si="41"/>
        <v>2.1766642282370152</v>
      </c>
      <c r="P605" s="60">
        <f t="shared" si="42"/>
        <v>2.8216066154942012E-2</v>
      </c>
    </row>
    <row r="606" spans="1:16" ht="17.25" customHeight="1" x14ac:dyDescent="0.2">
      <c r="A606" s="52">
        <v>2051</v>
      </c>
      <c r="B606" s="53" t="s">
        <v>30</v>
      </c>
      <c r="C606" s="53" t="s">
        <v>413</v>
      </c>
      <c r="D606" s="54">
        <v>335.29599999999999</v>
      </c>
      <c r="E606" s="62">
        <v>754</v>
      </c>
      <c r="F606" s="54">
        <f t="shared" si="40"/>
        <v>333.388465</v>
      </c>
      <c r="G606" s="91">
        <v>25569.041962604166</v>
      </c>
      <c r="H606" s="91">
        <v>25569.041962604166</v>
      </c>
      <c r="I606" s="58">
        <v>26.1</v>
      </c>
      <c r="J606" s="62">
        <v>1141</v>
      </c>
      <c r="K606" s="57" t="s">
        <v>384</v>
      </c>
      <c r="L606" s="52">
        <v>3793</v>
      </c>
      <c r="M606" s="58">
        <f t="shared" si="43"/>
        <v>61.587336360651285</v>
      </c>
      <c r="N606" s="58">
        <v>2860.35</v>
      </c>
      <c r="O606" s="60">
        <f t="shared" si="41"/>
        <v>1.3260614959707728</v>
      </c>
      <c r="P606" s="60">
        <f t="shared" si="42"/>
        <v>2.1531398731152233E-2</v>
      </c>
    </row>
    <row r="607" spans="1:16" ht="17.25" customHeight="1" x14ac:dyDescent="0.2">
      <c r="A607" s="52">
        <v>2052</v>
      </c>
      <c r="B607" s="53" t="s">
        <v>30</v>
      </c>
      <c r="C607" s="53" t="s">
        <v>413</v>
      </c>
      <c r="D607" s="54">
        <v>333.28800000000001</v>
      </c>
      <c r="E607" s="62">
        <v>754</v>
      </c>
      <c r="F607" s="54">
        <f t="shared" si="40"/>
        <v>331.39391860000001</v>
      </c>
      <c r="G607" s="91">
        <v>25569.041962604166</v>
      </c>
      <c r="H607" s="91">
        <v>25569.041962604166</v>
      </c>
      <c r="I607" s="58">
        <v>25.2</v>
      </c>
      <c r="J607" s="62">
        <v>1050</v>
      </c>
      <c r="K607" s="57" t="s">
        <v>384</v>
      </c>
      <c r="L607" s="52">
        <v>2340</v>
      </c>
      <c r="M607" s="58">
        <f t="shared" si="43"/>
        <v>48.373546489791295</v>
      </c>
      <c r="N607" s="58">
        <v>2573.86</v>
      </c>
      <c r="O607" s="60">
        <f t="shared" si="41"/>
        <v>0.90914035728438991</v>
      </c>
      <c r="P607" s="60">
        <f t="shared" si="42"/>
        <v>1.8794163820017907E-2</v>
      </c>
    </row>
    <row r="608" spans="1:16" ht="17.25" customHeight="1" x14ac:dyDescent="0.2">
      <c r="A608" s="52">
        <v>2053</v>
      </c>
      <c r="B608" s="53" t="s">
        <v>30</v>
      </c>
      <c r="C608" s="53" t="s">
        <v>413</v>
      </c>
      <c r="D608" s="54">
        <v>331.28699999999998</v>
      </c>
      <c r="E608" s="62">
        <v>754</v>
      </c>
      <c r="F608" s="54">
        <f t="shared" si="40"/>
        <v>329.40632529999993</v>
      </c>
      <c r="G608" s="91">
        <v>25569.041962604166</v>
      </c>
      <c r="H608" s="91">
        <v>25569.041962604166</v>
      </c>
      <c r="I608" s="58">
        <v>25.4</v>
      </c>
      <c r="J608" s="62">
        <v>1048</v>
      </c>
      <c r="K608" s="57" t="s">
        <v>384</v>
      </c>
      <c r="L608" s="52">
        <v>1661</v>
      </c>
      <c r="M608" s="58">
        <f t="shared" si="43"/>
        <v>40.755367744629666</v>
      </c>
      <c r="N608" s="58">
        <v>2530.89</v>
      </c>
      <c r="O608" s="60">
        <f t="shared" si="41"/>
        <v>0.65629087001015451</v>
      </c>
      <c r="P608" s="60">
        <f t="shared" si="42"/>
        <v>1.6103176252081151E-2</v>
      </c>
    </row>
    <row r="609" spans="1:16" ht="17.25" customHeight="1" x14ac:dyDescent="0.2">
      <c r="A609" s="52">
        <v>2054</v>
      </c>
      <c r="B609" s="53" t="s">
        <v>30</v>
      </c>
      <c r="C609" s="53" t="s">
        <v>413</v>
      </c>
      <c r="D609" s="54">
        <v>346.3</v>
      </c>
      <c r="E609" s="62">
        <v>754</v>
      </c>
      <c r="F609" s="54">
        <f t="shared" si="40"/>
        <v>344.31873819999998</v>
      </c>
      <c r="G609" s="91">
        <v>25569.041962604166</v>
      </c>
      <c r="H609" s="91">
        <v>25569.041962604166</v>
      </c>
      <c r="I609" s="62">
        <v>25</v>
      </c>
      <c r="J609" s="62">
        <v>1362</v>
      </c>
      <c r="K609" s="57" t="s">
        <v>384</v>
      </c>
      <c r="L609" s="52">
        <v>182136</v>
      </c>
      <c r="M609" s="58">
        <f t="shared" si="43"/>
        <v>426.77394484668343</v>
      </c>
      <c r="N609" s="58">
        <v>3282.72</v>
      </c>
      <c r="O609" s="60">
        <f t="shared" si="41"/>
        <v>55.483257786226062</v>
      </c>
      <c r="P609" s="60">
        <f t="shared" si="42"/>
        <v>0.13000619755772147</v>
      </c>
    </row>
    <row r="610" spans="1:16" ht="17.25" customHeight="1" x14ac:dyDescent="0.2">
      <c r="A610" s="52">
        <v>2055</v>
      </c>
      <c r="B610" s="53" t="s">
        <v>30</v>
      </c>
      <c r="C610" s="53" t="s">
        <v>413</v>
      </c>
      <c r="D610" s="54">
        <v>347.3</v>
      </c>
      <c r="E610" s="62">
        <v>754</v>
      </c>
      <c r="F610" s="54">
        <f t="shared" si="40"/>
        <v>345.31203820000002</v>
      </c>
      <c r="G610" s="91">
        <v>25569.041962604166</v>
      </c>
      <c r="H610" s="91">
        <v>25569.041962604166</v>
      </c>
      <c r="I610" s="58">
        <v>25.2</v>
      </c>
      <c r="J610" s="62">
        <v>1274</v>
      </c>
      <c r="K610" s="57" t="s">
        <v>384</v>
      </c>
      <c r="L610" s="52">
        <v>167668</v>
      </c>
      <c r="M610" s="58">
        <f t="shared" si="43"/>
        <v>409.47283182159958</v>
      </c>
      <c r="N610" s="58">
        <v>3094.31</v>
      </c>
      <c r="O610" s="60">
        <f t="shared" si="41"/>
        <v>54.185908974860311</v>
      </c>
      <c r="P610" s="60">
        <f t="shared" si="42"/>
        <v>0.13233090150036667</v>
      </c>
    </row>
    <row r="611" spans="1:16" ht="17.25" customHeight="1" x14ac:dyDescent="0.2">
      <c r="A611" s="52">
        <v>2056</v>
      </c>
      <c r="B611" s="53" t="s">
        <v>30</v>
      </c>
      <c r="C611" s="53" t="s">
        <v>413</v>
      </c>
      <c r="D611" s="54">
        <v>348.30700000000002</v>
      </c>
      <c r="E611" s="62">
        <v>754</v>
      </c>
      <c r="F611" s="54">
        <f t="shared" si="40"/>
        <v>346.31229129999997</v>
      </c>
      <c r="G611" s="91">
        <v>25569.041962604166</v>
      </c>
      <c r="H611" s="91">
        <v>25569.041962604166</v>
      </c>
      <c r="I611" s="58">
        <v>25.2</v>
      </c>
      <c r="J611" s="62">
        <v>1156</v>
      </c>
      <c r="K611" s="57" t="s">
        <v>384</v>
      </c>
      <c r="L611" s="52">
        <v>141199</v>
      </c>
      <c r="M611" s="58">
        <f t="shared" si="43"/>
        <v>375.76455394302428</v>
      </c>
      <c r="N611" s="58">
        <v>2809.47</v>
      </c>
      <c r="O611" s="60">
        <f t="shared" si="41"/>
        <v>50.258233759392347</v>
      </c>
      <c r="P611" s="60">
        <f t="shared" si="42"/>
        <v>0.13374926727924638</v>
      </c>
    </row>
    <row r="612" spans="1:16" ht="17.25" customHeight="1" x14ac:dyDescent="0.2">
      <c r="A612" s="52">
        <v>2057</v>
      </c>
      <c r="B612" s="53" t="s">
        <v>30</v>
      </c>
      <c r="C612" s="53" t="s">
        <v>413</v>
      </c>
      <c r="D612" s="54">
        <v>349.30099999999999</v>
      </c>
      <c r="E612" s="62">
        <v>754</v>
      </c>
      <c r="F612" s="54">
        <f t="shared" si="40"/>
        <v>347.29963149999998</v>
      </c>
      <c r="G612" s="91">
        <v>25569.041962604166</v>
      </c>
      <c r="H612" s="91">
        <v>25569.041962604166</v>
      </c>
      <c r="I612" s="58">
        <v>25.2</v>
      </c>
      <c r="J612" s="62">
        <v>1112</v>
      </c>
      <c r="K612" s="57" t="s">
        <v>384</v>
      </c>
      <c r="L612" s="52">
        <v>100167</v>
      </c>
      <c r="M612" s="58">
        <f t="shared" si="43"/>
        <v>316.49170605246513</v>
      </c>
      <c r="N612" s="58">
        <v>2315.9699999999998</v>
      </c>
      <c r="O612" s="60">
        <f t="shared" si="41"/>
        <v>43.250560240417627</v>
      </c>
      <c r="P612" s="60">
        <f t="shared" si="42"/>
        <v>0.13665622009458894</v>
      </c>
    </row>
    <row r="613" spans="1:16" ht="17.25" customHeight="1" x14ac:dyDescent="0.2">
      <c r="A613" s="52">
        <v>2058</v>
      </c>
      <c r="B613" s="53" t="s">
        <v>30</v>
      </c>
      <c r="C613" s="53" t="s">
        <v>413</v>
      </c>
      <c r="D613" s="54">
        <v>350.81200000000001</v>
      </c>
      <c r="E613" s="62">
        <v>754</v>
      </c>
      <c r="F613" s="54">
        <f t="shared" si="40"/>
        <v>348.80050779999999</v>
      </c>
      <c r="G613" s="91">
        <v>25569.041962604166</v>
      </c>
      <c r="H613" s="91">
        <v>25569.041962604166</v>
      </c>
      <c r="I613" s="58">
        <v>25.2</v>
      </c>
      <c r="J613" s="62">
        <v>1118</v>
      </c>
      <c r="K613" s="57" t="s">
        <v>384</v>
      </c>
      <c r="L613" s="52">
        <v>90326</v>
      </c>
      <c r="M613" s="58">
        <f t="shared" si="43"/>
        <v>300.54284220390275</v>
      </c>
      <c r="N613" s="58">
        <v>2688.66</v>
      </c>
      <c r="O613" s="60">
        <f t="shared" si="41"/>
        <v>33.595173804051093</v>
      </c>
      <c r="P613" s="60">
        <f t="shared" si="42"/>
        <v>0.11178164669534368</v>
      </c>
    </row>
    <row r="614" spans="1:16" ht="17.25" customHeight="1" x14ac:dyDescent="0.2">
      <c r="A614" s="52">
        <v>2059</v>
      </c>
      <c r="B614" s="53" t="s">
        <v>30</v>
      </c>
      <c r="C614" s="53" t="s">
        <v>413</v>
      </c>
      <c r="D614" s="54">
        <v>352.30900000000003</v>
      </c>
      <c r="E614" s="62">
        <v>754</v>
      </c>
      <c r="F614" s="54">
        <f t="shared" ref="F614:F675" si="44">0.9933*(D614 + E614/1000)-0.41</f>
        <v>350.2874779</v>
      </c>
      <c r="G614" s="91">
        <v>25569.041962604166</v>
      </c>
      <c r="H614" s="91">
        <v>25569.041962604166</v>
      </c>
      <c r="I614" s="58">
        <v>25.2</v>
      </c>
      <c r="J614" s="62">
        <v>1139</v>
      </c>
      <c r="K614" s="57" t="s">
        <v>384</v>
      </c>
      <c r="L614" s="52">
        <v>67134</v>
      </c>
      <c r="M614" s="58">
        <f t="shared" si="43"/>
        <v>259.10229640047578</v>
      </c>
      <c r="N614" s="58">
        <v>2739.01</v>
      </c>
      <c r="O614" s="60">
        <f t="shared" si="41"/>
        <v>24.510315771026757</v>
      </c>
      <c r="P614" s="60">
        <f t="shared" si="42"/>
        <v>9.4597061128099486E-2</v>
      </c>
    </row>
    <row r="615" spans="1:16" ht="17.25" customHeight="1" x14ac:dyDescent="0.2">
      <c r="A615" s="52">
        <v>2060</v>
      </c>
      <c r="B615" s="53" t="s">
        <v>30</v>
      </c>
      <c r="C615" s="53" t="s">
        <v>413</v>
      </c>
      <c r="D615" s="54">
        <v>353.80599999999998</v>
      </c>
      <c r="E615" s="62">
        <v>754</v>
      </c>
      <c r="F615" s="54">
        <f t="shared" si="44"/>
        <v>351.77444799999995</v>
      </c>
      <c r="G615" s="66"/>
      <c r="H615" s="66"/>
      <c r="I615" s="59"/>
      <c r="J615" s="55"/>
      <c r="K615" s="57" t="s">
        <v>384</v>
      </c>
      <c r="L615" s="52"/>
      <c r="M615" s="58">
        <f t="shared" si="43"/>
        <v>0</v>
      </c>
      <c r="N615" s="59"/>
      <c r="O615" s="71" t="e">
        <f t="shared" si="41"/>
        <v>#DIV/0!</v>
      </c>
      <c r="P615" s="60" t="e">
        <f t="shared" si="42"/>
        <v>#DIV/0!</v>
      </c>
    </row>
    <row r="616" spans="1:16" ht="17.25" customHeight="1" x14ac:dyDescent="0.2">
      <c r="A616" s="52">
        <v>2061</v>
      </c>
      <c r="B616" s="53" t="s">
        <v>30</v>
      </c>
      <c r="C616" s="53" t="s">
        <v>413</v>
      </c>
      <c r="D616" s="54">
        <v>353.80599999999998</v>
      </c>
      <c r="E616" s="62">
        <v>754</v>
      </c>
      <c r="F616" s="54">
        <f t="shared" si="44"/>
        <v>351.77444799999995</v>
      </c>
      <c r="G616" s="91">
        <v>25569.041962604166</v>
      </c>
      <c r="H616" s="91">
        <v>25569.041962604166</v>
      </c>
      <c r="I616" s="58">
        <v>24.4</v>
      </c>
      <c r="J616" s="62">
        <v>1085</v>
      </c>
      <c r="K616" s="57" t="s">
        <v>384</v>
      </c>
      <c r="L616" s="52">
        <v>44930</v>
      </c>
      <c r="M616" s="58">
        <f t="shared" si="43"/>
        <v>211.96697856034086</v>
      </c>
      <c r="N616" s="58">
        <v>2539.15</v>
      </c>
      <c r="O616" s="60">
        <f t="shared" si="41"/>
        <v>17.694897898903175</v>
      </c>
      <c r="P616" s="60">
        <f t="shared" si="42"/>
        <v>8.3479502416297133E-2</v>
      </c>
    </row>
    <row r="617" spans="1:16" ht="17.25" customHeight="1" x14ac:dyDescent="0.2">
      <c r="A617" s="52">
        <v>2062</v>
      </c>
      <c r="B617" s="53" t="s">
        <v>30</v>
      </c>
      <c r="C617" s="53" t="s">
        <v>413</v>
      </c>
      <c r="D617" s="54">
        <v>355.31</v>
      </c>
      <c r="E617" s="62">
        <v>754</v>
      </c>
      <c r="F617" s="54">
        <f t="shared" si="44"/>
        <v>353.26837119999999</v>
      </c>
      <c r="G617" s="91">
        <v>25569.041962604166</v>
      </c>
      <c r="H617" s="91">
        <v>25569.041962604166</v>
      </c>
      <c r="I617" s="62">
        <v>25</v>
      </c>
      <c r="J617" s="62">
        <v>1094</v>
      </c>
      <c r="K617" s="57" t="s">
        <v>384</v>
      </c>
      <c r="L617" s="52">
        <v>33494</v>
      </c>
      <c r="M617" s="58">
        <f t="shared" si="43"/>
        <v>183.01366069231008</v>
      </c>
      <c r="N617" s="58">
        <v>2578.2600000000002</v>
      </c>
      <c r="O617" s="60">
        <f t="shared" si="41"/>
        <v>12.990931868779718</v>
      </c>
      <c r="P617" s="60">
        <f t="shared" si="42"/>
        <v>7.0983399925651433E-2</v>
      </c>
    </row>
    <row r="618" spans="1:16" ht="17.25" customHeight="1" x14ac:dyDescent="0.2">
      <c r="A618" s="52">
        <v>2063</v>
      </c>
      <c r="B618" s="53" t="s">
        <v>30</v>
      </c>
      <c r="C618" s="53" t="s">
        <v>413</v>
      </c>
      <c r="D618" s="54">
        <v>357.31700000000001</v>
      </c>
      <c r="E618" s="62">
        <v>754</v>
      </c>
      <c r="F618" s="54">
        <f t="shared" si="44"/>
        <v>355.26192429999998</v>
      </c>
      <c r="G618" s="91">
        <v>25569.041962604166</v>
      </c>
      <c r="H618" s="91">
        <v>25569.041962604166</v>
      </c>
      <c r="I618" s="62">
        <v>25</v>
      </c>
      <c r="J618" s="62">
        <v>1263</v>
      </c>
      <c r="K618" s="57" t="s">
        <v>384</v>
      </c>
      <c r="L618" s="52">
        <v>26275</v>
      </c>
      <c r="M618" s="58">
        <f t="shared" si="43"/>
        <v>162.09565077447328</v>
      </c>
      <c r="N618" s="58">
        <v>3050.05</v>
      </c>
      <c r="O618" s="60">
        <f t="shared" si="41"/>
        <v>8.6146128751987661</v>
      </c>
      <c r="P618" s="60">
        <f t="shared" si="42"/>
        <v>5.3145243774519527E-2</v>
      </c>
    </row>
    <row r="619" spans="1:16" ht="17.25" customHeight="1" x14ac:dyDescent="0.2">
      <c r="A619" s="52">
        <v>2064</v>
      </c>
      <c r="B619" s="53" t="s">
        <v>30</v>
      </c>
      <c r="C619" s="53" t="s">
        <v>413</v>
      </c>
      <c r="D619" s="54">
        <v>359.31799999999998</v>
      </c>
      <c r="E619" s="62">
        <v>754</v>
      </c>
      <c r="F619" s="54">
        <f t="shared" si="44"/>
        <v>357.24951759999999</v>
      </c>
      <c r="G619" s="91">
        <v>25569.041962604166</v>
      </c>
      <c r="H619" s="91">
        <v>25569.041962604166</v>
      </c>
      <c r="I619" s="62">
        <v>25</v>
      </c>
      <c r="J619" s="62">
        <v>1160</v>
      </c>
      <c r="K619" s="57" t="s">
        <v>384</v>
      </c>
      <c r="L619" s="52">
        <v>17312</v>
      </c>
      <c r="M619" s="58">
        <f t="shared" si="43"/>
        <v>131.5750736271882</v>
      </c>
      <c r="N619" s="58">
        <v>2776.77</v>
      </c>
      <c r="O619" s="60">
        <f t="shared" si="41"/>
        <v>6.2345819063156114</v>
      </c>
      <c r="P619" s="60">
        <f t="shared" si="42"/>
        <v>4.7384217499896714E-2</v>
      </c>
    </row>
    <row r="620" spans="1:16" ht="17.25" customHeight="1" x14ac:dyDescent="0.2">
      <c r="A620" s="52">
        <v>2065</v>
      </c>
      <c r="B620" s="53" t="s">
        <v>30</v>
      </c>
      <c r="C620" s="53" t="s">
        <v>413</v>
      </c>
      <c r="D620" s="54">
        <v>361.32600000000002</v>
      </c>
      <c r="E620" s="62">
        <v>754</v>
      </c>
      <c r="F620" s="54">
        <f t="shared" si="44"/>
        <v>359.24406399999998</v>
      </c>
      <c r="G620" s="91">
        <v>25569.041962604166</v>
      </c>
      <c r="H620" s="91">
        <v>25569.041962604166</v>
      </c>
      <c r="I620" s="62">
        <v>25</v>
      </c>
      <c r="J620" s="62">
        <v>1236</v>
      </c>
      <c r="K620" s="57" t="s">
        <v>384</v>
      </c>
      <c r="L620" s="52">
        <v>13569</v>
      </c>
      <c r="M620" s="58">
        <f t="shared" si="43"/>
        <v>116.48605066702193</v>
      </c>
      <c r="N620" s="58">
        <v>2961.26</v>
      </c>
      <c r="O620" s="60">
        <f t="shared" si="41"/>
        <v>4.5821711028413574</v>
      </c>
      <c r="P620" s="60">
        <f t="shared" si="42"/>
        <v>3.93366508401903E-2</v>
      </c>
    </row>
    <row r="621" spans="1:16" ht="17.25" customHeight="1" x14ac:dyDescent="0.2">
      <c r="A621" s="52">
        <v>2066</v>
      </c>
      <c r="B621" s="53" t="s">
        <v>30</v>
      </c>
      <c r="C621" s="53" t="s">
        <v>413</v>
      </c>
      <c r="D621" s="54">
        <v>363.33300000000003</v>
      </c>
      <c r="E621" s="62">
        <v>754</v>
      </c>
      <c r="F621" s="54">
        <f t="shared" si="44"/>
        <v>361.23761710000002</v>
      </c>
      <c r="G621" s="91">
        <v>25569.041962604166</v>
      </c>
      <c r="H621" s="91">
        <v>25569.041962604166</v>
      </c>
      <c r="I621" s="58">
        <v>24.6</v>
      </c>
      <c r="J621" s="62">
        <v>1141</v>
      </c>
      <c r="K621" s="57" t="s">
        <v>384</v>
      </c>
      <c r="L621" s="52">
        <v>9598</v>
      </c>
      <c r="M621" s="58">
        <f t="shared" si="43"/>
        <v>97.969382972436847</v>
      </c>
      <c r="N621" s="58">
        <v>2727.43</v>
      </c>
      <c r="O621" s="60">
        <f t="shared" si="41"/>
        <v>3.5190637339913402</v>
      </c>
      <c r="P621" s="60">
        <f t="shared" si="42"/>
        <v>3.5920035701168078E-2</v>
      </c>
    </row>
    <row r="622" spans="1:16" ht="17.25" customHeight="1" x14ac:dyDescent="0.2">
      <c r="A622" s="52">
        <v>2067</v>
      </c>
      <c r="B622" s="53" t="s">
        <v>30</v>
      </c>
      <c r="C622" s="53" t="s">
        <v>413</v>
      </c>
      <c r="D622" s="54">
        <v>365.334</v>
      </c>
      <c r="E622" s="62">
        <v>754</v>
      </c>
      <c r="F622" s="54">
        <f t="shared" si="44"/>
        <v>363.22521039999998</v>
      </c>
      <c r="G622" s="91">
        <v>25569.041962604166</v>
      </c>
      <c r="H622" s="91">
        <v>25569.041962604166</v>
      </c>
      <c r="I622" s="58">
        <v>24.8</v>
      </c>
      <c r="J622" s="62">
        <v>1392</v>
      </c>
      <c r="K622" s="57" t="s">
        <v>384</v>
      </c>
      <c r="L622" s="52">
        <v>9377</v>
      </c>
      <c r="M622" s="58">
        <f t="shared" si="43"/>
        <v>96.834911060009759</v>
      </c>
      <c r="N622" s="58">
        <v>3293.93</v>
      </c>
      <c r="O622" s="60">
        <f t="shared" si="41"/>
        <v>2.8467514488771775</v>
      </c>
      <c r="P622" s="60">
        <f t="shared" si="42"/>
        <v>2.9397986921400807E-2</v>
      </c>
    </row>
    <row r="623" spans="1:16" ht="17.25" customHeight="1" x14ac:dyDescent="0.2">
      <c r="A623" s="52">
        <v>2068</v>
      </c>
      <c r="B623" s="53" t="s">
        <v>30</v>
      </c>
      <c r="C623" s="53" t="s">
        <v>413</v>
      </c>
      <c r="D623" s="54">
        <v>367.32799999999997</v>
      </c>
      <c r="E623" s="62">
        <v>754</v>
      </c>
      <c r="F623" s="54">
        <f t="shared" si="44"/>
        <v>365.20585059999996</v>
      </c>
      <c r="G623" s="91">
        <v>25569.041962604166</v>
      </c>
      <c r="H623" s="91">
        <v>25569.041962604166</v>
      </c>
      <c r="I623" s="58">
        <v>24.9</v>
      </c>
      <c r="J623" s="62">
        <v>1353</v>
      </c>
      <c r="K623" s="57" t="s">
        <v>384</v>
      </c>
      <c r="L623" s="52">
        <v>7556</v>
      </c>
      <c r="M623" s="58">
        <f t="shared" si="43"/>
        <v>86.92525524840292</v>
      </c>
      <c r="N623" s="58">
        <v>3238.53</v>
      </c>
      <c r="O623" s="60">
        <f t="shared" si="41"/>
        <v>2.3331573275529327</v>
      </c>
      <c r="P623" s="60">
        <f t="shared" si="42"/>
        <v>2.6840960327186383E-2</v>
      </c>
    </row>
    <row r="624" spans="1:16" ht="17.25" customHeight="1" x14ac:dyDescent="0.2">
      <c r="A624" s="52">
        <v>2069</v>
      </c>
      <c r="B624" s="53" t="s">
        <v>157</v>
      </c>
      <c r="C624" s="53" t="s">
        <v>413</v>
      </c>
      <c r="D624" s="54">
        <v>390.32299999999998</v>
      </c>
      <c r="E624" s="62">
        <v>2744</v>
      </c>
      <c r="F624" s="54">
        <f t="shared" si="44"/>
        <v>390.02345109999999</v>
      </c>
      <c r="G624" s="91">
        <v>25569.041962604166</v>
      </c>
      <c r="H624" s="91">
        <v>25569.041962604166</v>
      </c>
      <c r="I624" s="59" t="s">
        <v>415</v>
      </c>
      <c r="J624" s="62">
        <v>783993</v>
      </c>
      <c r="K624" s="57" t="s">
        <v>384</v>
      </c>
      <c r="L624" s="52">
        <v>7258867</v>
      </c>
      <c r="M624" s="58">
        <f t="shared" si="43"/>
        <v>2694.2284609884146</v>
      </c>
      <c r="N624" s="58">
        <v>13248940.24</v>
      </c>
      <c r="O624" s="60">
        <f t="shared" si="41"/>
        <v>0.54788283957117467</v>
      </c>
      <c r="P624" s="60">
        <f t="shared" si="42"/>
        <v>2.0335426171326851E-4</v>
      </c>
    </row>
    <row r="625" spans="1:16" ht="17.25" customHeight="1" x14ac:dyDescent="0.2">
      <c r="A625" s="52">
        <v>2070</v>
      </c>
      <c r="B625" s="53" t="s">
        <v>31</v>
      </c>
      <c r="C625" s="53" t="s">
        <v>413</v>
      </c>
      <c r="D625" s="54">
        <v>365.233</v>
      </c>
      <c r="E625" s="62">
        <v>892</v>
      </c>
      <c r="F625" s="54">
        <f t="shared" si="44"/>
        <v>363.26196249999998</v>
      </c>
      <c r="G625" s="91">
        <v>25569.041962604166</v>
      </c>
      <c r="H625" s="91">
        <v>25569.041962604166</v>
      </c>
      <c r="I625" s="58">
        <v>26.6</v>
      </c>
      <c r="J625" s="62">
        <v>1333</v>
      </c>
      <c r="K625" s="57" t="s">
        <v>384</v>
      </c>
      <c r="L625" s="52">
        <v>8387</v>
      </c>
      <c r="M625" s="58">
        <f t="shared" si="43"/>
        <v>91.58056562393574</v>
      </c>
      <c r="N625" s="58">
        <v>3405.42</v>
      </c>
      <c r="O625" s="60">
        <f t="shared" si="41"/>
        <v>2.4628386513264151</v>
      </c>
      <c r="P625" s="60">
        <f t="shared" si="42"/>
        <v>2.6892590524497929E-2</v>
      </c>
    </row>
    <row r="626" spans="1:16" ht="17.25" customHeight="1" x14ac:dyDescent="0.2">
      <c r="A626" s="52">
        <v>2071</v>
      </c>
      <c r="B626" s="53" t="s">
        <v>31</v>
      </c>
      <c r="C626" s="53" t="s">
        <v>413</v>
      </c>
      <c r="D626" s="54">
        <v>363.226</v>
      </c>
      <c r="E626" s="62">
        <v>892</v>
      </c>
      <c r="F626" s="54">
        <f t="shared" si="44"/>
        <v>361.26840939999994</v>
      </c>
      <c r="G626" s="91">
        <v>25569.041962604166</v>
      </c>
      <c r="H626" s="91">
        <v>25569.041962604166</v>
      </c>
      <c r="I626" s="58">
        <v>26.9</v>
      </c>
      <c r="J626" s="62">
        <v>1061</v>
      </c>
      <c r="K626" s="57" t="s">
        <v>384</v>
      </c>
      <c r="L626" s="52">
        <v>8210</v>
      </c>
      <c r="M626" s="58">
        <f t="shared" si="43"/>
        <v>90.609050320594349</v>
      </c>
      <c r="N626" s="58">
        <v>2687.55</v>
      </c>
      <c r="O626" s="60">
        <f t="shared" si="41"/>
        <v>3.0548268869416382</v>
      </c>
      <c r="P626" s="60">
        <f t="shared" si="42"/>
        <v>3.3714368224068147E-2</v>
      </c>
    </row>
    <row r="627" spans="1:16" ht="17.25" customHeight="1" x14ac:dyDescent="0.2">
      <c r="A627" s="52">
        <v>2072</v>
      </c>
      <c r="B627" s="53" t="s">
        <v>31</v>
      </c>
      <c r="C627" s="53" t="s">
        <v>413</v>
      </c>
      <c r="D627" s="54">
        <v>361.22500000000002</v>
      </c>
      <c r="E627" s="62">
        <v>892</v>
      </c>
      <c r="F627" s="54">
        <f t="shared" si="44"/>
        <v>359.28081609999998</v>
      </c>
      <c r="G627" s="91">
        <v>25569.041962604166</v>
      </c>
      <c r="H627" s="91">
        <v>25569.041962604166</v>
      </c>
      <c r="I627" s="58">
        <v>27.1</v>
      </c>
      <c r="J627" s="62">
        <v>1074</v>
      </c>
      <c r="K627" s="57" t="s">
        <v>384</v>
      </c>
      <c r="L627" s="52">
        <v>11391</v>
      </c>
      <c r="M627" s="58">
        <f t="shared" si="43"/>
        <v>106.72862783714592</v>
      </c>
      <c r="N627" s="58">
        <v>2812.62</v>
      </c>
      <c r="O627" s="60">
        <f t="shared" si="41"/>
        <v>4.0499605350171723</v>
      </c>
      <c r="P627" s="60">
        <f t="shared" si="42"/>
        <v>3.7946337520584343E-2</v>
      </c>
    </row>
    <row r="628" spans="1:16" ht="17.25" customHeight="1" x14ac:dyDescent="0.2">
      <c r="A628" s="52">
        <v>2073</v>
      </c>
      <c r="B628" s="53" t="s">
        <v>31</v>
      </c>
      <c r="C628" s="53" t="s">
        <v>413</v>
      </c>
      <c r="D628" s="54">
        <v>359.22399999999999</v>
      </c>
      <c r="E628" s="62">
        <v>892</v>
      </c>
      <c r="F628" s="54">
        <f t="shared" si="44"/>
        <v>357.29322279999997</v>
      </c>
      <c r="G628" s="91">
        <v>25569.041962604166</v>
      </c>
      <c r="H628" s="91">
        <v>25569.041962604166</v>
      </c>
      <c r="I628" s="58">
        <v>27.1</v>
      </c>
      <c r="J628" s="62">
        <v>1059</v>
      </c>
      <c r="K628" s="57" t="s">
        <v>384</v>
      </c>
      <c r="L628" s="52">
        <v>15456</v>
      </c>
      <c r="M628" s="58">
        <f t="shared" si="43"/>
        <v>124.32216214336043</v>
      </c>
      <c r="N628" s="58">
        <v>2739.9</v>
      </c>
      <c r="O628" s="60">
        <f t="shared" si="41"/>
        <v>5.6410817913062514</v>
      </c>
      <c r="P628" s="60">
        <f t="shared" si="42"/>
        <v>4.5374707888375644E-2</v>
      </c>
    </row>
    <row r="629" spans="1:16" ht="17.25" customHeight="1" x14ac:dyDescent="0.2">
      <c r="A629" s="52">
        <v>2074</v>
      </c>
      <c r="B629" s="53" t="s">
        <v>31</v>
      </c>
      <c r="C629" s="53" t="s">
        <v>413</v>
      </c>
      <c r="D629" s="54">
        <v>357.21</v>
      </c>
      <c r="E629" s="62">
        <v>892</v>
      </c>
      <c r="F629" s="54">
        <f t="shared" si="44"/>
        <v>355.29271659999995</v>
      </c>
      <c r="G629" s="91">
        <v>25569.041962604166</v>
      </c>
      <c r="H629" s="91">
        <v>25569.041962604166</v>
      </c>
      <c r="I629" s="58">
        <v>27.2</v>
      </c>
      <c r="J629" s="62">
        <v>1063</v>
      </c>
      <c r="K629" s="57" t="s">
        <v>384</v>
      </c>
      <c r="L629" s="52">
        <v>22307</v>
      </c>
      <c r="M629" s="58">
        <f t="shared" si="43"/>
        <v>149.35528112524176</v>
      </c>
      <c r="N629" s="58">
        <v>2794.7</v>
      </c>
      <c r="O629" s="60">
        <f t="shared" si="41"/>
        <v>7.9818942999248579</v>
      </c>
      <c r="P629" s="60">
        <f t="shared" si="42"/>
        <v>5.3442330527513425E-2</v>
      </c>
    </row>
    <row r="630" spans="1:16" ht="17.25" customHeight="1" x14ac:dyDescent="0.2">
      <c r="A630" s="52">
        <v>2075</v>
      </c>
      <c r="B630" s="53" t="s">
        <v>31</v>
      </c>
      <c r="C630" s="53" t="s">
        <v>413</v>
      </c>
      <c r="D630" s="54">
        <v>355.209</v>
      </c>
      <c r="E630" s="62">
        <v>892</v>
      </c>
      <c r="F630" s="54">
        <f t="shared" si="44"/>
        <v>353.30512329999993</v>
      </c>
      <c r="G630" s="91">
        <v>25569.041962604166</v>
      </c>
      <c r="H630" s="91">
        <v>25569.041962604166</v>
      </c>
      <c r="I630" s="58">
        <v>27.5</v>
      </c>
      <c r="J630" s="62">
        <v>1052</v>
      </c>
      <c r="K630" s="57" t="s">
        <v>384</v>
      </c>
      <c r="L630" s="52">
        <v>32544</v>
      </c>
      <c r="M630" s="58">
        <f t="shared" si="43"/>
        <v>180.39955654047489</v>
      </c>
      <c r="N630" s="58">
        <v>2703.73</v>
      </c>
      <c r="O630" s="60">
        <f t="shared" si="41"/>
        <v>12.036704848487091</v>
      </c>
      <c r="P630" s="60">
        <f t="shared" si="42"/>
        <v>6.6722474707339455E-2</v>
      </c>
    </row>
    <row r="631" spans="1:16" ht="17.25" customHeight="1" x14ac:dyDescent="0.2">
      <c r="A631" s="52">
        <v>2076</v>
      </c>
      <c r="B631" s="53" t="s">
        <v>31</v>
      </c>
      <c r="C631" s="53" t="s">
        <v>413</v>
      </c>
      <c r="D631" s="54">
        <v>353.20800000000003</v>
      </c>
      <c r="E631" s="62">
        <v>892</v>
      </c>
      <c r="F631" s="54">
        <f t="shared" si="44"/>
        <v>351.31752999999998</v>
      </c>
      <c r="G631" s="91">
        <v>25569.041962604166</v>
      </c>
      <c r="H631" s="91">
        <v>25569.041962604166</v>
      </c>
      <c r="I631" s="58">
        <v>27.7</v>
      </c>
      <c r="J631" s="62">
        <v>1064</v>
      </c>
      <c r="K631" s="57" t="s">
        <v>384</v>
      </c>
      <c r="L631" s="52">
        <v>51457</v>
      </c>
      <c r="M631" s="58">
        <f t="shared" si="43"/>
        <v>226.8413542544657</v>
      </c>
      <c r="N631" s="58">
        <v>2796.46</v>
      </c>
      <c r="O631" s="60">
        <f t="shared" si="41"/>
        <v>18.400763822833152</v>
      </c>
      <c r="P631" s="60">
        <f t="shared" si="42"/>
        <v>8.111732485158582E-2</v>
      </c>
    </row>
    <row r="632" spans="1:16" ht="17.25" customHeight="1" x14ac:dyDescent="0.2">
      <c r="A632" s="52">
        <v>2077</v>
      </c>
      <c r="B632" s="53" t="s">
        <v>31</v>
      </c>
      <c r="C632" s="53" t="s">
        <v>413</v>
      </c>
      <c r="D632" s="54">
        <v>352.21499999999997</v>
      </c>
      <c r="E632" s="62">
        <v>842</v>
      </c>
      <c r="F632" s="54">
        <f t="shared" si="44"/>
        <v>350.28151809999991</v>
      </c>
      <c r="G632" s="91">
        <v>25569.041962604166</v>
      </c>
      <c r="H632" s="91">
        <v>25569.041962604166</v>
      </c>
      <c r="I632" s="58">
        <v>22.9</v>
      </c>
      <c r="J632" s="62">
        <v>1138</v>
      </c>
      <c r="K632" s="57" t="s">
        <v>384</v>
      </c>
      <c r="L632" s="52">
        <v>56733</v>
      </c>
      <c r="M632" s="58">
        <f t="shared" si="43"/>
        <v>238.18690140307885</v>
      </c>
      <c r="N632" s="58">
        <v>2469.4299999999998</v>
      </c>
      <c r="O632" s="60">
        <f t="shared" si="41"/>
        <v>22.974127632692568</v>
      </c>
      <c r="P632" s="60">
        <f t="shared" si="42"/>
        <v>9.6454202550013107E-2</v>
      </c>
    </row>
    <row r="633" spans="1:16" ht="17.25" customHeight="1" x14ac:dyDescent="0.2">
      <c r="A633" s="52">
        <v>2078</v>
      </c>
      <c r="B633" s="53" t="s">
        <v>31</v>
      </c>
      <c r="C633" s="53" t="s">
        <v>413</v>
      </c>
      <c r="D633" s="54">
        <v>351.214</v>
      </c>
      <c r="E633" s="62">
        <v>842</v>
      </c>
      <c r="F633" s="54">
        <f t="shared" si="44"/>
        <v>349.28722479999993</v>
      </c>
      <c r="G633" s="91">
        <v>25569.041962604166</v>
      </c>
      <c r="H633" s="91">
        <v>25569.041962604166</v>
      </c>
      <c r="I633" s="62">
        <v>23</v>
      </c>
      <c r="J633" s="62">
        <v>1060</v>
      </c>
      <c r="K633" s="57" t="s">
        <v>384</v>
      </c>
      <c r="L633" s="52">
        <v>66125</v>
      </c>
      <c r="M633" s="58">
        <f t="shared" si="43"/>
        <v>257.14781741247583</v>
      </c>
      <c r="N633" s="58">
        <v>2309.83</v>
      </c>
      <c r="O633" s="60">
        <f t="shared" si="41"/>
        <v>28.627647922141456</v>
      </c>
      <c r="P633" s="60">
        <f t="shared" si="42"/>
        <v>0.11132759441711115</v>
      </c>
    </row>
    <row r="634" spans="1:16" ht="17.25" customHeight="1" x14ac:dyDescent="0.2">
      <c r="A634" s="52">
        <v>2079</v>
      </c>
      <c r="B634" s="53" t="s">
        <v>31</v>
      </c>
      <c r="C634" s="53" t="s">
        <v>413</v>
      </c>
      <c r="D634" s="54">
        <v>350.20699999999999</v>
      </c>
      <c r="E634" s="62">
        <v>842</v>
      </c>
      <c r="F634" s="54">
        <f t="shared" si="44"/>
        <v>348.28697169999992</v>
      </c>
      <c r="G634" s="91">
        <v>25569.041962604166</v>
      </c>
      <c r="H634" s="91">
        <v>25569.041962604166</v>
      </c>
      <c r="I634" s="58">
        <v>22.9</v>
      </c>
      <c r="J634" s="62">
        <v>1061</v>
      </c>
      <c r="K634" s="57" t="s">
        <v>384</v>
      </c>
      <c r="L634" s="52">
        <v>81541</v>
      </c>
      <c r="M634" s="58">
        <f t="shared" si="43"/>
        <v>285.55384781158176</v>
      </c>
      <c r="N634" s="58">
        <v>2346.09</v>
      </c>
      <c r="O634" s="60">
        <f t="shared" si="41"/>
        <v>34.756126150318188</v>
      </c>
      <c r="P634" s="60">
        <f t="shared" si="42"/>
        <v>0.12171478835491466</v>
      </c>
    </row>
    <row r="635" spans="1:16" ht="17.25" customHeight="1" x14ac:dyDescent="0.2">
      <c r="A635" s="52">
        <v>2080</v>
      </c>
      <c r="B635" s="53" t="s">
        <v>31</v>
      </c>
      <c r="C635" s="53" t="s">
        <v>413</v>
      </c>
      <c r="D635" s="54">
        <v>349.20699999999999</v>
      </c>
      <c r="E635" s="62">
        <v>842</v>
      </c>
      <c r="F635" s="54">
        <f t="shared" si="44"/>
        <v>347.29367169999995</v>
      </c>
      <c r="G635" s="91">
        <v>25569.041962604166</v>
      </c>
      <c r="H635" s="91">
        <v>25569.041962604166</v>
      </c>
      <c r="I635" s="58">
        <v>22.3</v>
      </c>
      <c r="J635" s="62">
        <v>1196</v>
      </c>
      <c r="K635" s="57" t="s">
        <v>384</v>
      </c>
      <c r="L635" s="52">
        <v>106464</v>
      </c>
      <c r="M635" s="58">
        <f t="shared" si="43"/>
        <v>326.2882161525298</v>
      </c>
      <c r="N635" s="58">
        <v>2607.1</v>
      </c>
      <c r="O635" s="60">
        <f t="shared" si="41"/>
        <v>40.836178128955545</v>
      </c>
      <c r="P635" s="60">
        <f t="shared" si="42"/>
        <v>0.12515370187278194</v>
      </c>
    </row>
    <row r="636" spans="1:16" ht="17.25" customHeight="1" x14ac:dyDescent="0.2">
      <c r="A636" s="52">
        <v>2081</v>
      </c>
      <c r="B636" s="53" t="s">
        <v>31</v>
      </c>
      <c r="C636" s="53" t="s">
        <v>413</v>
      </c>
      <c r="D636" s="54">
        <v>348.20699999999999</v>
      </c>
      <c r="E636" s="62">
        <v>842</v>
      </c>
      <c r="F636" s="54">
        <f t="shared" si="44"/>
        <v>346.30037169999991</v>
      </c>
      <c r="G636" s="91">
        <v>25569.041962604166</v>
      </c>
      <c r="H636" s="91">
        <v>25569.041962604166</v>
      </c>
      <c r="I636" s="58">
        <v>22.5</v>
      </c>
      <c r="J636" s="62">
        <v>1194</v>
      </c>
      <c r="K636" s="57" t="s">
        <v>384</v>
      </c>
      <c r="L636" s="52">
        <v>120219</v>
      </c>
      <c r="M636" s="58">
        <f t="shared" si="43"/>
        <v>346.72611669731486</v>
      </c>
      <c r="N636" s="58">
        <v>2567.84</v>
      </c>
      <c r="O636" s="60">
        <f t="shared" si="41"/>
        <v>46.817169294037008</v>
      </c>
      <c r="P636" s="60">
        <f t="shared" si="42"/>
        <v>0.13502637107347609</v>
      </c>
    </row>
    <row r="637" spans="1:16" ht="17.25" customHeight="1" x14ac:dyDescent="0.2">
      <c r="A637" s="52">
        <v>2082</v>
      </c>
      <c r="B637" s="53" t="s">
        <v>31</v>
      </c>
      <c r="C637" s="53" t="s">
        <v>413</v>
      </c>
      <c r="D637" s="54">
        <v>347.20600000000002</v>
      </c>
      <c r="E637" s="62">
        <v>842</v>
      </c>
      <c r="F637" s="54">
        <f t="shared" si="44"/>
        <v>345.30607839999999</v>
      </c>
      <c r="G637" s="91">
        <v>25569.041962604166</v>
      </c>
      <c r="H637" s="91">
        <v>25569.041962604166</v>
      </c>
      <c r="I637" s="58">
        <v>22.5</v>
      </c>
      <c r="J637" s="62">
        <v>1112</v>
      </c>
      <c r="K637" s="57" t="s">
        <v>384</v>
      </c>
      <c r="L637" s="52">
        <v>120536</v>
      </c>
      <c r="M637" s="58">
        <f t="shared" si="43"/>
        <v>347.18294889006285</v>
      </c>
      <c r="N637" s="58">
        <v>2402.27</v>
      </c>
      <c r="O637" s="60">
        <f t="shared" si="41"/>
        <v>50.175875317928458</v>
      </c>
      <c r="P637" s="60">
        <f t="shared" si="42"/>
        <v>0.14452286749202331</v>
      </c>
    </row>
    <row r="638" spans="1:16" ht="17.25" customHeight="1" x14ac:dyDescent="0.2">
      <c r="A638" s="52">
        <v>2083</v>
      </c>
      <c r="B638" s="53" t="s">
        <v>31</v>
      </c>
      <c r="C638" s="53" t="s">
        <v>413</v>
      </c>
      <c r="D638" s="54">
        <v>346.19900000000001</v>
      </c>
      <c r="E638" s="62">
        <v>842</v>
      </c>
      <c r="F638" s="54">
        <f t="shared" si="44"/>
        <v>344.30582529999998</v>
      </c>
      <c r="G638" s="91">
        <v>25569.041962604166</v>
      </c>
      <c r="H638" s="91">
        <v>25569.041962604166</v>
      </c>
      <c r="I638" s="58">
        <v>22.7</v>
      </c>
      <c r="J638" s="62">
        <v>1115</v>
      </c>
      <c r="K638" s="57" t="s">
        <v>384</v>
      </c>
      <c r="L638" s="52">
        <v>128089</v>
      </c>
      <c r="M638" s="58">
        <f t="shared" si="43"/>
        <v>357.89523606776328</v>
      </c>
      <c r="N638" s="58">
        <v>2472.11</v>
      </c>
      <c r="O638" s="60">
        <f t="shared" si="41"/>
        <v>51.813632888504152</v>
      </c>
      <c r="P638" s="60">
        <f t="shared" si="42"/>
        <v>0.14477318406857431</v>
      </c>
    </row>
    <row r="639" spans="1:16" ht="17.25" customHeight="1" x14ac:dyDescent="0.2">
      <c r="A639" s="52">
        <v>2084</v>
      </c>
      <c r="B639" s="53" t="s">
        <v>31</v>
      </c>
      <c r="C639" s="53" t="s">
        <v>413</v>
      </c>
      <c r="D639" s="54">
        <v>345.21199999999999</v>
      </c>
      <c r="E639" s="62">
        <v>842</v>
      </c>
      <c r="F639" s="54">
        <f t="shared" si="44"/>
        <v>343.32543819999995</v>
      </c>
      <c r="G639" s="91">
        <v>25569.041962604166</v>
      </c>
      <c r="H639" s="91">
        <v>25569.041962604166</v>
      </c>
      <c r="I639" s="58">
        <v>23.2</v>
      </c>
      <c r="J639" s="62">
        <v>1139</v>
      </c>
      <c r="K639" s="57" t="s">
        <v>384</v>
      </c>
      <c r="L639" s="52">
        <v>125086</v>
      </c>
      <c r="M639" s="58">
        <f t="shared" si="43"/>
        <v>353.67499204778392</v>
      </c>
      <c r="N639" s="58">
        <v>2526.2800000000002</v>
      </c>
      <c r="O639" s="60">
        <f t="shared" si="41"/>
        <v>49.513909780388552</v>
      </c>
      <c r="P639" s="60">
        <f t="shared" si="42"/>
        <v>0.13999833432865078</v>
      </c>
    </row>
    <row r="640" spans="1:16" ht="17.25" customHeight="1" x14ac:dyDescent="0.2">
      <c r="A640" s="52">
        <v>2085</v>
      </c>
      <c r="B640" s="53" t="s">
        <v>31</v>
      </c>
      <c r="C640" s="53" t="s">
        <v>413</v>
      </c>
      <c r="D640" s="54">
        <v>344.19200000000001</v>
      </c>
      <c r="E640" s="62">
        <v>842</v>
      </c>
      <c r="F640" s="54">
        <f t="shared" si="44"/>
        <v>342.31227219999994</v>
      </c>
      <c r="G640" s="91">
        <v>25569.041962604166</v>
      </c>
      <c r="H640" s="91">
        <v>25569.041962604166</v>
      </c>
      <c r="I640" s="58">
        <v>22.9</v>
      </c>
      <c r="J640" s="62">
        <v>1113</v>
      </c>
      <c r="K640" s="57" t="s">
        <v>384</v>
      </c>
      <c r="L640" s="52">
        <v>105018</v>
      </c>
      <c r="M640" s="58">
        <f t="shared" si="43"/>
        <v>324.06480833314805</v>
      </c>
      <c r="N640" s="58">
        <v>2467.33</v>
      </c>
      <c r="O640" s="60">
        <f t="shared" si="41"/>
        <v>42.563418756307428</v>
      </c>
      <c r="P640" s="60">
        <f t="shared" si="42"/>
        <v>0.13134230456937177</v>
      </c>
    </row>
    <row r="641" spans="1:16" ht="17.25" customHeight="1" x14ac:dyDescent="0.2">
      <c r="A641" s="52">
        <v>2086</v>
      </c>
      <c r="B641" s="53" t="s">
        <v>31</v>
      </c>
      <c r="C641" s="53" t="s">
        <v>413</v>
      </c>
      <c r="D641" s="54">
        <v>343.19799999999998</v>
      </c>
      <c r="E641" s="62">
        <v>842</v>
      </c>
      <c r="F641" s="54">
        <f t="shared" si="44"/>
        <v>341.32493199999993</v>
      </c>
      <c r="G641" s="91">
        <v>25569.041962604166</v>
      </c>
      <c r="H641" s="91">
        <v>25569.041962604166</v>
      </c>
      <c r="I641" s="58">
        <v>22.9</v>
      </c>
      <c r="J641" s="62">
        <v>1205</v>
      </c>
      <c r="K641" s="57" t="s">
        <v>384</v>
      </c>
      <c r="L641" s="52">
        <v>85705</v>
      </c>
      <c r="M641" s="58">
        <f t="shared" si="43"/>
        <v>292.75416307885359</v>
      </c>
      <c r="N641" s="58">
        <v>2648.99</v>
      </c>
      <c r="O641" s="60">
        <f t="shared" si="41"/>
        <v>32.353840520349266</v>
      </c>
      <c r="P641" s="60">
        <f t="shared" si="42"/>
        <v>0.11051539004633978</v>
      </c>
    </row>
    <row r="642" spans="1:16" ht="17.25" customHeight="1" x14ac:dyDescent="0.2">
      <c r="A642" s="52">
        <v>2087</v>
      </c>
      <c r="B642" s="53" t="s">
        <v>31</v>
      </c>
      <c r="C642" s="53" t="s">
        <v>413</v>
      </c>
      <c r="D642" s="54">
        <v>342.19799999999998</v>
      </c>
      <c r="E642" s="62">
        <v>842</v>
      </c>
      <c r="F642" s="54">
        <f t="shared" si="44"/>
        <v>340.3316319999999</v>
      </c>
      <c r="G642" s="91">
        <v>25569.041962604166</v>
      </c>
      <c r="H642" s="91">
        <v>25569.041962604166</v>
      </c>
      <c r="I642" s="58">
        <v>23.7</v>
      </c>
      <c r="J642" s="62">
        <v>1093</v>
      </c>
      <c r="K642" s="57" t="s">
        <v>384</v>
      </c>
      <c r="L642" s="52">
        <v>47684</v>
      </c>
      <c r="M642" s="58">
        <f t="shared" si="43"/>
        <v>218.3666641225258</v>
      </c>
      <c r="N642" s="58">
        <v>2500.64</v>
      </c>
      <c r="O642" s="60">
        <f t="shared" si="41"/>
        <v>19.06871840808753</v>
      </c>
      <c r="P642" s="60">
        <f t="shared" si="42"/>
        <v>8.7324310625490204E-2</v>
      </c>
    </row>
    <row r="643" spans="1:16" ht="17.25" customHeight="1" x14ac:dyDescent="0.2">
      <c r="A643" s="52">
        <v>2088</v>
      </c>
      <c r="B643" s="53" t="s">
        <v>31</v>
      </c>
      <c r="C643" s="53" t="s">
        <v>413</v>
      </c>
      <c r="D643" s="54">
        <v>341.18400000000003</v>
      </c>
      <c r="E643" s="62">
        <v>842</v>
      </c>
      <c r="F643" s="54">
        <f t="shared" si="44"/>
        <v>339.32442579999997</v>
      </c>
      <c r="G643" s="91">
        <v>25569.041962604166</v>
      </c>
      <c r="H643" s="91">
        <v>25569.041962604166</v>
      </c>
      <c r="I643" s="58">
        <v>23.4</v>
      </c>
      <c r="J643" s="62">
        <v>1210</v>
      </c>
      <c r="K643" s="57" t="s">
        <v>384</v>
      </c>
      <c r="L643" s="52">
        <v>26875</v>
      </c>
      <c r="M643" s="58">
        <f t="shared" si="43"/>
        <v>163.93596310755001</v>
      </c>
      <c r="N643" s="58">
        <v>2677.45</v>
      </c>
      <c r="O643" s="60">
        <f t="shared" si="41"/>
        <v>10.037535714952661</v>
      </c>
      <c r="P643" s="60">
        <f t="shared" si="42"/>
        <v>6.1228393847709582E-2</v>
      </c>
    </row>
    <row r="644" spans="1:16" ht="17.25" customHeight="1" x14ac:dyDescent="0.2">
      <c r="A644" s="52">
        <v>2089</v>
      </c>
      <c r="B644" s="53" t="s">
        <v>31</v>
      </c>
      <c r="C644" s="53" t="s">
        <v>413</v>
      </c>
      <c r="D644" s="54">
        <v>340.19</v>
      </c>
      <c r="E644" s="62">
        <v>842</v>
      </c>
      <c r="F644" s="54">
        <f t="shared" si="44"/>
        <v>338.33708559999997</v>
      </c>
      <c r="G644" s="91">
        <v>25569.041962604166</v>
      </c>
      <c r="H644" s="91">
        <v>25569.041962604166</v>
      </c>
      <c r="I644" s="58">
        <v>23.2</v>
      </c>
      <c r="J644" s="62">
        <v>1058</v>
      </c>
      <c r="K644" s="57" t="s">
        <v>384</v>
      </c>
      <c r="L644" s="52">
        <v>13914</v>
      </c>
      <c r="M644" s="58">
        <f t="shared" si="43"/>
        <v>117.957619508025</v>
      </c>
      <c r="N644" s="58">
        <v>2401.9</v>
      </c>
      <c r="O644" s="60">
        <f t="shared" si="41"/>
        <v>5.7929139431283563</v>
      </c>
      <c r="P644" s="60">
        <f t="shared" si="42"/>
        <v>4.9110129276000253E-2</v>
      </c>
    </row>
    <row r="645" spans="1:16" ht="17.25" customHeight="1" x14ac:dyDescent="0.2">
      <c r="A645" s="52">
        <v>2090</v>
      </c>
      <c r="B645" s="53" t="s">
        <v>31</v>
      </c>
      <c r="C645" s="53" t="s">
        <v>413</v>
      </c>
      <c r="D645" s="54">
        <v>338.19600000000003</v>
      </c>
      <c r="E645" s="62">
        <v>842</v>
      </c>
      <c r="F645" s="54">
        <f t="shared" si="44"/>
        <v>336.35644539999998</v>
      </c>
      <c r="G645" s="91">
        <v>25569.041962604166</v>
      </c>
      <c r="H645" s="91">
        <v>25569.041962604166</v>
      </c>
      <c r="I645" s="58">
        <v>24.1</v>
      </c>
      <c r="J645" s="62">
        <v>1098</v>
      </c>
      <c r="K645" s="57" t="s">
        <v>384</v>
      </c>
      <c r="L645" s="52">
        <v>6886</v>
      </c>
      <c r="M645" s="58">
        <f t="shared" si="43"/>
        <v>82.98192574289898</v>
      </c>
      <c r="N645" s="58">
        <v>2547.9299999999998</v>
      </c>
      <c r="O645" s="60">
        <f t="shared" si="41"/>
        <v>2.7025860208090493</v>
      </c>
      <c r="P645" s="60">
        <f t="shared" si="42"/>
        <v>3.2568369516783817E-2</v>
      </c>
    </row>
    <row r="646" spans="1:16" ht="17.25" customHeight="1" x14ac:dyDescent="0.2">
      <c r="A646" s="52">
        <v>2091</v>
      </c>
      <c r="B646" s="53" t="s">
        <v>31</v>
      </c>
      <c r="C646" s="53" t="s">
        <v>413</v>
      </c>
      <c r="D646" s="54">
        <v>336.18900000000002</v>
      </c>
      <c r="E646" s="62">
        <v>842</v>
      </c>
      <c r="F646" s="54">
        <f t="shared" si="44"/>
        <v>334.36289229999994</v>
      </c>
      <c r="G646" s="91">
        <v>25569.041962604166</v>
      </c>
      <c r="H646" s="91">
        <v>25569.041962604166</v>
      </c>
      <c r="I646" s="58">
        <v>24.1</v>
      </c>
      <c r="J646" s="62">
        <v>1060</v>
      </c>
      <c r="K646" s="57" t="s">
        <v>384</v>
      </c>
      <c r="L646" s="52">
        <v>3832</v>
      </c>
      <c r="M646" s="58">
        <f t="shared" si="43"/>
        <v>61.903150162168643</v>
      </c>
      <c r="N646" s="58">
        <v>2428.81</v>
      </c>
      <c r="O646" s="60">
        <f t="shared" si="41"/>
        <v>1.5777273644294942</v>
      </c>
      <c r="P646" s="60">
        <f t="shared" si="42"/>
        <v>2.5487028693956564E-2</v>
      </c>
    </row>
    <row r="647" spans="1:16" ht="17.25" customHeight="1" x14ac:dyDescent="0.2">
      <c r="A647" s="52">
        <v>2092</v>
      </c>
      <c r="B647" s="53" t="s">
        <v>31</v>
      </c>
      <c r="C647" s="53" t="s">
        <v>413</v>
      </c>
      <c r="D647" s="54">
        <v>334.18099999999998</v>
      </c>
      <c r="E647" s="62">
        <v>842</v>
      </c>
      <c r="F647" s="54">
        <f t="shared" si="44"/>
        <v>332.36834589999995</v>
      </c>
      <c r="G647" s="91">
        <v>25569.041962604166</v>
      </c>
      <c r="H647" s="91">
        <v>25569.041962604166</v>
      </c>
      <c r="I647" s="58">
        <v>24.5</v>
      </c>
      <c r="J647" s="62">
        <v>1213</v>
      </c>
      <c r="K647" s="57" t="s">
        <v>384</v>
      </c>
      <c r="L647" s="52">
        <v>2852</v>
      </c>
      <c r="M647" s="58">
        <f t="shared" si="43"/>
        <v>53.404119691274758</v>
      </c>
      <c r="N647" s="58">
        <v>2786.71</v>
      </c>
      <c r="O647" s="60">
        <f t="shared" ref="O647:O675" si="45">L647/N647</f>
        <v>1.0234290615098089</v>
      </c>
      <c r="P647" s="60">
        <f t="shared" ref="P647:P675" si="46">M647/N647</f>
        <v>1.9163859781346018E-2</v>
      </c>
    </row>
    <row r="648" spans="1:16" ht="17.25" customHeight="1" x14ac:dyDescent="0.2">
      <c r="A648" s="52">
        <v>2093</v>
      </c>
      <c r="B648" s="53" t="s">
        <v>31</v>
      </c>
      <c r="C648" s="53" t="s">
        <v>413</v>
      </c>
      <c r="D648" s="54">
        <v>332.18</v>
      </c>
      <c r="E648" s="62">
        <v>842</v>
      </c>
      <c r="F648" s="54">
        <f t="shared" si="44"/>
        <v>330.38075259999994</v>
      </c>
      <c r="G648" s="91">
        <v>25569.041962604166</v>
      </c>
      <c r="H648" s="91">
        <v>25569.041962604166</v>
      </c>
      <c r="I648" s="58">
        <v>24.2</v>
      </c>
      <c r="J648" s="62">
        <v>1436</v>
      </c>
      <c r="K648" s="57" t="s">
        <v>384</v>
      </c>
      <c r="L648" s="52">
        <v>2389</v>
      </c>
      <c r="M648" s="58">
        <f t="shared" si="43"/>
        <v>48.877397639399746</v>
      </c>
      <c r="N648" s="58">
        <v>3379.87</v>
      </c>
      <c r="O648" s="60">
        <f t="shared" si="45"/>
        <v>0.7068319195708711</v>
      </c>
      <c r="P648" s="60">
        <f t="shared" si="46"/>
        <v>1.4461324737164372E-2</v>
      </c>
    </row>
    <row r="649" spans="1:16" ht="17.25" customHeight="1" x14ac:dyDescent="0.2">
      <c r="A649" s="52">
        <v>2094</v>
      </c>
      <c r="B649" s="53" t="s">
        <v>385</v>
      </c>
      <c r="C649" s="53" t="s">
        <v>413</v>
      </c>
      <c r="D649" s="54">
        <v>244.28100000000001</v>
      </c>
      <c r="E649" s="62">
        <v>2791</v>
      </c>
      <c r="F649" s="54">
        <f t="shared" si="44"/>
        <v>245.0066176</v>
      </c>
      <c r="G649" s="91">
        <v>25569.041962604166</v>
      </c>
      <c r="H649" s="91">
        <v>25569.041962604166</v>
      </c>
      <c r="I649" s="62">
        <v>255</v>
      </c>
      <c r="J649" s="62">
        <v>29484</v>
      </c>
      <c r="K649" s="57" t="s">
        <v>384</v>
      </c>
      <c r="L649" s="52">
        <v>5270</v>
      </c>
      <c r="M649" s="58">
        <f t="shared" si="43"/>
        <v>72.594765651526146</v>
      </c>
      <c r="N649" s="58">
        <v>697649.8</v>
      </c>
      <c r="O649" s="60">
        <f t="shared" si="45"/>
        <v>7.5539332197902152E-3</v>
      </c>
      <c r="P649" s="60">
        <f t="shared" si="46"/>
        <v>1.0405616922921233E-4</v>
      </c>
    </row>
    <row r="650" spans="1:16" ht="17.25" customHeight="1" x14ac:dyDescent="0.2">
      <c r="A650" s="52">
        <v>2095</v>
      </c>
      <c r="B650" s="53" t="s">
        <v>157</v>
      </c>
      <c r="C650" s="53" t="s">
        <v>413</v>
      </c>
      <c r="D650" s="54">
        <v>319.77300000000002</v>
      </c>
      <c r="E650" s="62">
        <v>2792</v>
      </c>
      <c r="F650" s="54">
        <f t="shared" si="44"/>
        <v>319.99381449999998</v>
      </c>
      <c r="G650" s="91">
        <v>25569.041962604166</v>
      </c>
      <c r="H650" s="91">
        <v>25569.041962604166</v>
      </c>
      <c r="I650" s="62">
        <v>221</v>
      </c>
      <c r="J650" s="62">
        <v>790376</v>
      </c>
      <c r="K650" s="57" t="s">
        <v>384</v>
      </c>
      <c r="L650" s="52">
        <v>2072595</v>
      </c>
      <c r="M650" s="58">
        <f t="shared" si="43"/>
        <v>1439.6509993745012</v>
      </c>
      <c r="N650" s="58">
        <v>12716644.720000001</v>
      </c>
      <c r="O650" s="60">
        <f t="shared" si="45"/>
        <v>0.16298285008626079</v>
      </c>
      <c r="P650" s="60">
        <f t="shared" si="46"/>
        <v>1.1320997252603131E-4</v>
      </c>
    </row>
    <row r="651" spans="1:16" ht="17.25" customHeight="1" x14ac:dyDescent="0.2">
      <c r="A651" s="52">
        <v>2096</v>
      </c>
      <c r="B651" s="53" t="s">
        <v>32</v>
      </c>
      <c r="C651" s="53" t="s">
        <v>413</v>
      </c>
      <c r="D651" s="54">
        <v>329.35399999999998</v>
      </c>
      <c r="E651" s="62">
        <v>778</v>
      </c>
      <c r="F651" s="54">
        <f t="shared" si="44"/>
        <v>327.51011559999995</v>
      </c>
      <c r="G651" s="91">
        <v>25569.041962604166</v>
      </c>
      <c r="H651" s="91">
        <v>25569.041962604166</v>
      </c>
      <c r="I651" s="58">
        <v>23.9</v>
      </c>
      <c r="J651" s="62">
        <v>3196</v>
      </c>
      <c r="K651" s="57" t="s">
        <v>384</v>
      </c>
      <c r="L651" s="52">
        <v>3370</v>
      </c>
      <c r="M651" s="58">
        <f t="shared" si="43"/>
        <v>58.051701094799967</v>
      </c>
      <c r="N651" s="58">
        <v>7401.26</v>
      </c>
      <c r="O651" s="60">
        <f t="shared" si="45"/>
        <v>0.45532787660479429</v>
      </c>
      <c r="P651" s="60">
        <f t="shared" si="46"/>
        <v>7.8434889592853066E-3</v>
      </c>
    </row>
    <row r="652" spans="1:16" ht="17.25" customHeight="1" x14ac:dyDescent="0.2">
      <c r="A652" s="52">
        <v>2097</v>
      </c>
      <c r="B652" s="53" t="s">
        <v>32</v>
      </c>
      <c r="C652" s="53" t="s">
        <v>413</v>
      </c>
      <c r="D652" s="54">
        <v>332.36200000000002</v>
      </c>
      <c r="E652" s="62">
        <v>873</v>
      </c>
      <c r="F652" s="54">
        <f t="shared" si="44"/>
        <v>330.59232549999996</v>
      </c>
      <c r="G652" s="91">
        <v>25569.041962604166</v>
      </c>
      <c r="H652" s="91">
        <v>25569.041962604166</v>
      </c>
      <c r="I652" s="58">
        <v>24.2</v>
      </c>
      <c r="J652" s="62">
        <v>1403</v>
      </c>
      <c r="K652" s="57" t="s">
        <v>384</v>
      </c>
      <c r="L652" s="52">
        <v>2352</v>
      </c>
      <c r="M652" s="58">
        <f t="shared" si="43"/>
        <v>48.497422611928563</v>
      </c>
      <c r="N652" s="58">
        <v>3272.52</v>
      </c>
      <c r="O652" s="60">
        <f t="shared" si="45"/>
        <v>0.71871218510505663</v>
      </c>
      <c r="P652" s="60">
        <f t="shared" si="46"/>
        <v>1.481959548358102E-2</v>
      </c>
    </row>
    <row r="653" spans="1:16" ht="17.25" customHeight="1" x14ac:dyDescent="0.2">
      <c r="A653" s="52">
        <v>2098</v>
      </c>
      <c r="B653" s="53" t="s">
        <v>32</v>
      </c>
      <c r="C653" s="53" t="s">
        <v>413</v>
      </c>
      <c r="D653" s="54">
        <v>334.36200000000002</v>
      </c>
      <c r="E653" s="62">
        <v>873</v>
      </c>
      <c r="F653" s="54">
        <f t="shared" si="44"/>
        <v>332.57892549999997</v>
      </c>
      <c r="G653" s="91">
        <v>25569.041962604166</v>
      </c>
      <c r="H653" s="91">
        <v>25569.041962604166</v>
      </c>
      <c r="I653" s="58">
        <v>24.8</v>
      </c>
      <c r="J653" s="62">
        <v>1231</v>
      </c>
      <c r="K653" s="57" t="s">
        <v>384</v>
      </c>
      <c r="L653" s="52">
        <v>2918</v>
      </c>
      <c r="M653" s="58">
        <f t="shared" si="43"/>
        <v>54.018515344278022</v>
      </c>
      <c r="N653" s="58">
        <v>2881.36</v>
      </c>
      <c r="O653" s="60">
        <f t="shared" si="45"/>
        <v>1.0127162173418107</v>
      </c>
      <c r="P653" s="60">
        <f t="shared" si="46"/>
        <v>1.8747575917024608E-2</v>
      </c>
    </row>
    <row r="654" spans="1:16" ht="17.25" customHeight="1" x14ac:dyDescent="0.2">
      <c r="A654" s="52">
        <v>2099</v>
      </c>
      <c r="B654" s="53" t="s">
        <v>32</v>
      </c>
      <c r="C654" s="53" t="s">
        <v>413</v>
      </c>
      <c r="D654" s="54">
        <v>336.37</v>
      </c>
      <c r="E654" s="62">
        <v>873</v>
      </c>
      <c r="F654" s="54">
        <f t="shared" si="44"/>
        <v>334.57347189999996</v>
      </c>
      <c r="G654" s="91">
        <v>25569.041962604166</v>
      </c>
      <c r="H654" s="91">
        <v>25569.041962604166</v>
      </c>
      <c r="I654" s="58">
        <v>24.3</v>
      </c>
      <c r="J654" s="62">
        <v>1169</v>
      </c>
      <c r="K654" s="57" t="s">
        <v>384</v>
      </c>
      <c r="L654" s="52">
        <v>4415</v>
      </c>
      <c r="M654" s="58">
        <f t="shared" si="43"/>
        <v>66.445466361520857</v>
      </c>
      <c r="N654" s="58">
        <v>2730.21</v>
      </c>
      <c r="O654" s="60">
        <f t="shared" si="45"/>
        <v>1.6170917255449215</v>
      </c>
      <c r="P654" s="60">
        <f t="shared" si="46"/>
        <v>2.4337126580563712E-2</v>
      </c>
    </row>
    <row r="655" spans="1:16" ht="17.25" customHeight="1" x14ac:dyDescent="0.2">
      <c r="A655" s="52">
        <v>2100</v>
      </c>
      <c r="B655" s="53" t="s">
        <v>32</v>
      </c>
      <c r="C655" s="53" t="s">
        <v>413</v>
      </c>
      <c r="D655" s="54">
        <v>338.37099999999998</v>
      </c>
      <c r="E655" s="62">
        <v>873</v>
      </c>
      <c r="F655" s="54">
        <f t="shared" si="44"/>
        <v>336.56106519999992</v>
      </c>
      <c r="G655" s="91">
        <v>25569.041962604166</v>
      </c>
      <c r="H655" s="91">
        <v>25569.041962604166</v>
      </c>
      <c r="I655" s="58">
        <v>24.2</v>
      </c>
      <c r="J655" s="62">
        <v>1352</v>
      </c>
      <c r="K655" s="57" t="s">
        <v>384</v>
      </c>
      <c r="L655" s="52">
        <v>8610</v>
      </c>
      <c r="M655" s="58">
        <f t="shared" si="43"/>
        <v>92.790085677296361</v>
      </c>
      <c r="N655" s="58">
        <v>3152.75</v>
      </c>
      <c r="O655" s="60">
        <f t="shared" si="45"/>
        <v>2.730949171358338</v>
      </c>
      <c r="P655" s="60">
        <f t="shared" si="46"/>
        <v>2.9431475910648278E-2</v>
      </c>
    </row>
    <row r="656" spans="1:16" ht="17.25" customHeight="1" x14ac:dyDescent="0.2">
      <c r="A656" s="52">
        <v>2101</v>
      </c>
      <c r="B656" s="53" t="s">
        <v>32</v>
      </c>
      <c r="C656" s="53" t="s">
        <v>413</v>
      </c>
      <c r="D656" s="54">
        <v>340.37099999999998</v>
      </c>
      <c r="E656" s="62">
        <v>873</v>
      </c>
      <c r="F656" s="54">
        <f t="shared" si="44"/>
        <v>338.54766519999993</v>
      </c>
      <c r="G656" s="91">
        <v>25569.041962604166</v>
      </c>
      <c r="H656" s="91">
        <v>25569.041962604166</v>
      </c>
      <c r="I656" s="58">
        <v>25.1</v>
      </c>
      <c r="J656" s="62">
        <v>1173</v>
      </c>
      <c r="K656" s="57" t="s">
        <v>384</v>
      </c>
      <c r="L656" s="52">
        <v>16635</v>
      </c>
      <c r="M656" s="58">
        <f t="shared" si="43"/>
        <v>128.97674208941703</v>
      </c>
      <c r="N656" s="58">
        <v>2798.71</v>
      </c>
      <c r="O656" s="60">
        <f t="shared" si="45"/>
        <v>5.9438098266701447</v>
      </c>
      <c r="P656" s="60">
        <f t="shared" si="46"/>
        <v>4.6084353894979127E-2</v>
      </c>
    </row>
    <row r="657" spans="1:16" ht="17.25" customHeight="1" x14ac:dyDescent="0.2">
      <c r="A657" s="52">
        <v>2102</v>
      </c>
      <c r="B657" s="53" t="s">
        <v>32</v>
      </c>
      <c r="C657" s="53" t="s">
        <v>413</v>
      </c>
      <c r="D657" s="54">
        <v>341.37200000000001</v>
      </c>
      <c r="E657" s="62">
        <v>873</v>
      </c>
      <c r="F657" s="54">
        <f t="shared" si="44"/>
        <v>339.54195849999996</v>
      </c>
      <c r="G657" s="91">
        <v>25569.041962604166</v>
      </c>
      <c r="H657" s="91">
        <v>25569.041962604166</v>
      </c>
      <c r="I657" s="58">
        <v>25.2</v>
      </c>
      <c r="J657" s="62">
        <v>1826</v>
      </c>
      <c r="K657" s="57" t="s">
        <v>384</v>
      </c>
      <c r="L657" s="52">
        <v>40532</v>
      </c>
      <c r="M657" s="58">
        <f t="shared" si="43"/>
        <v>201.32560691576222</v>
      </c>
      <c r="N657" s="58">
        <v>3034.92</v>
      </c>
      <c r="O657" s="60">
        <f t="shared" si="45"/>
        <v>13.355211998998326</v>
      </c>
      <c r="P657" s="60">
        <f t="shared" si="46"/>
        <v>6.6336380173369389E-2</v>
      </c>
    </row>
    <row r="658" spans="1:16" ht="17.25" customHeight="1" x14ac:dyDescent="0.2">
      <c r="A658" s="52">
        <v>2103</v>
      </c>
      <c r="B658" s="53" t="s">
        <v>32</v>
      </c>
      <c r="C658" s="53" t="s">
        <v>413</v>
      </c>
      <c r="D658" s="54">
        <v>342.37200000000001</v>
      </c>
      <c r="E658" s="62">
        <v>873</v>
      </c>
      <c r="F658" s="54">
        <f t="shared" si="44"/>
        <v>340.53525849999994</v>
      </c>
      <c r="G658" s="91">
        <v>25569.041962604166</v>
      </c>
      <c r="H658" s="91">
        <v>25569.041962604166</v>
      </c>
      <c r="I658" s="58">
        <v>25.6</v>
      </c>
      <c r="J658" s="62">
        <v>1114</v>
      </c>
      <c r="K658" s="57" t="s">
        <v>384</v>
      </c>
      <c r="L658" s="52">
        <v>53265</v>
      </c>
      <c r="M658" s="58">
        <f t="shared" si="43"/>
        <v>230.79211425003237</v>
      </c>
      <c r="N658" s="58">
        <v>2755.01</v>
      </c>
      <c r="O658" s="60">
        <f t="shared" si="45"/>
        <v>19.333868116631155</v>
      </c>
      <c r="P658" s="60">
        <f t="shared" si="46"/>
        <v>8.3771788214936554E-2</v>
      </c>
    </row>
    <row r="659" spans="1:16" ht="17.25" customHeight="1" x14ac:dyDescent="0.2">
      <c r="A659" s="52">
        <v>2104</v>
      </c>
      <c r="B659" s="53" t="s">
        <v>32</v>
      </c>
      <c r="C659" s="53" t="s">
        <v>413</v>
      </c>
      <c r="D659" s="54">
        <v>343.37299999999999</v>
      </c>
      <c r="E659" s="62">
        <v>873</v>
      </c>
      <c r="F659" s="54">
        <f t="shared" si="44"/>
        <v>341.52955179999992</v>
      </c>
      <c r="G659" s="91">
        <v>25569.041962604166</v>
      </c>
      <c r="H659" s="91">
        <v>25569.041962604166</v>
      </c>
      <c r="I659" s="58">
        <v>25.1</v>
      </c>
      <c r="J659" s="62">
        <v>1174</v>
      </c>
      <c r="K659" s="57" t="s">
        <v>384</v>
      </c>
      <c r="L659" s="52">
        <v>97927</v>
      </c>
      <c r="M659" s="58">
        <f t="shared" si="43"/>
        <v>312.932900155928</v>
      </c>
      <c r="N659" s="58">
        <v>2856.16</v>
      </c>
      <c r="O659" s="60">
        <f t="shared" si="45"/>
        <v>34.286244468097024</v>
      </c>
      <c r="P659" s="60">
        <f t="shared" si="46"/>
        <v>0.10956420514114336</v>
      </c>
    </row>
    <row r="660" spans="1:16" ht="17.25" customHeight="1" x14ac:dyDescent="0.2">
      <c r="A660" s="52">
        <v>2105</v>
      </c>
      <c r="B660" s="53" t="s">
        <v>32</v>
      </c>
      <c r="C660" s="53" t="s">
        <v>413</v>
      </c>
      <c r="D660" s="54">
        <v>344.38</v>
      </c>
      <c r="E660" s="62">
        <v>873</v>
      </c>
      <c r="F660" s="54">
        <f t="shared" si="44"/>
        <v>342.52980489999993</v>
      </c>
      <c r="G660" s="91">
        <v>25569.041962604166</v>
      </c>
      <c r="H660" s="91">
        <v>25569.041962604166</v>
      </c>
      <c r="I660" s="58">
        <v>25.3</v>
      </c>
      <c r="J660" s="62">
        <v>1160</v>
      </c>
      <c r="K660" s="57" t="s">
        <v>384</v>
      </c>
      <c r="L660" s="52">
        <v>132757</v>
      </c>
      <c r="M660" s="58">
        <f t="shared" si="43"/>
        <v>364.35834009941368</v>
      </c>
      <c r="N660" s="58">
        <v>2826.73</v>
      </c>
      <c r="O660" s="60">
        <f t="shared" si="45"/>
        <v>46.964867532449155</v>
      </c>
      <c r="P660" s="60">
        <f t="shared" si="46"/>
        <v>0.12889746813435088</v>
      </c>
    </row>
    <row r="661" spans="1:16" ht="17.25" customHeight="1" x14ac:dyDescent="0.2">
      <c r="A661" s="52">
        <v>2106</v>
      </c>
      <c r="B661" s="53" t="s">
        <v>32</v>
      </c>
      <c r="C661" s="53" t="s">
        <v>413</v>
      </c>
      <c r="D661" s="54">
        <v>345.38</v>
      </c>
      <c r="E661" s="62">
        <v>873</v>
      </c>
      <c r="F661" s="54">
        <f t="shared" si="44"/>
        <v>343.52310489999996</v>
      </c>
      <c r="G661" s="91">
        <v>25569.041962604166</v>
      </c>
      <c r="H661" s="91">
        <v>25569.041962604166</v>
      </c>
      <c r="I661" s="58">
        <v>24.5</v>
      </c>
      <c r="J661" s="62">
        <v>1187</v>
      </c>
      <c r="K661" s="57" t="s">
        <v>384</v>
      </c>
      <c r="L661" s="52">
        <v>150201</v>
      </c>
      <c r="M661" s="58">
        <f t="shared" si="43"/>
        <v>387.55773763402016</v>
      </c>
      <c r="N661" s="58">
        <v>2863.37</v>
      </c>
      <c r="O661" s="60">
        <f t="shared" si="45"/>
        <v>52.456022099833412</v>
      </c>
      <c r="P661" s="60">
        <f t="shared" si="46"/>
        <v>0.13535021238401609</v>
      </c>
    </row>
    <row r="662" spans="1:16" ht="17.25" customHeight="1" x14ac:dyDescent="0.2">
      <c r="A662" s="52">
        <v>2107</v>
      </c>
      <c r="B662" s="53" t="s">
        <v>32</v>
      </c>
      <c r="C662" s="53" t="s">
        <v>413</v>
      </c>
      <c r="D662" s="54">
        <v>346.38</v>
      </c>
      <c r="E662" s="62">
        <v>873</v>
      </c>
      <c r="F662" s="54">
        <f t="shared" si="44"/>
        <v>344.51640489999994</v>
      </c>
      <c r="G662" s="91">
        <v>25569.041962604166</v>
      </c>
      <c r="H662" s="91">
        <v>25569.041962604166</v>
      </c>
      <c r="I662" s="58">
        <v>25.9</v>
      </c>
      <c r="J662" s="62">
        <v>1291</v>
      </c>
      <c r="K662" s="57" t="s">
        <v>384</v>
      </c>
      <c r="L662" s="52">
        <v>168673</v>
      </c>
      <c r="M662" s="58">
        <f t="shared" si="43"/>
        <v>410.69818601985571</v>
      </c>
      <c r="N662" s="58">
        <v>3190.72</v>
      </c>
      <c r="O662" s="60">
        <f t="shared" si="45"/>
        <v>52.863616989268884</v>
      </c>
      <c r="P662" s="60">
        <f t="shared" si="46"/>
        <v>0.12871646086772132</v>
      </c>
    </row>
    <row r="663" spans="1:16" ht="17.25" customHeight="1" x14ac:dyDescent="0.2">
      <c r="A663" s="52">
        <v>2108</v>
      </c>
      <c r="B663" s="53" t="s">
        <v>32</v>
      </c>
      <c r="C663" s="53" t="s">
        <v>413</v>
      </c>
      <c r="D663" s="54">
        <v>347.38099999999997</v>
      </c>
      <c r="E663" s="62">
        <v>873</v>
      </c>
      <c r="F663" s="54">
        <f t="shared" si="44"/>
        <v>345.51069819999992</v>
      </c>
      <c r="G663" s="91">
        <v>25569.041962604166</v>
      </c>
      <c r="H663" s="91">
        <v>25569.041962604166</v>
      </c>
      <c r="I663" s="58">
        <v>25.7</v>
      </c>
      <c r="J663" s="62">
        <v>1396</v>
      </c>
      <c r="K663" s="57" t="s">
        <v>384</v>
      </c>
      <c r="L663" s="52">
        <v>174186</v>
      </c>
      <c r="M663" s="58">
        <f t="shared" si="43"/>
        <v>417.35596317771717</v>
      </c>
      <c r="N663" s="58">
        <v>3479.82</v>
      </c>
      <c r="O663" s="60">
        <f t="shared" si="45"/>
        <v>50.056037381243854</v>
      </c>
      <c r="P663" s="60">
        <f t="shared" si="46"/>
        <v>0.11993607806660032</v>
      </c>
    </row>
    <row r="664" spans="1:16" ht="17.25" customHeight="1" x14ac:dyDescent="0.2">
      <c r="A664" s="52">
        <v>2109</v>
      </c>
      <c r="B664" s="53" t="s">
        <v>32</v>
      </c>
      <c r="C664" s="53" t="s">
        <v>413</v>
      </c>
      <c r="D664" s="54">
        <v>348.38099999999997</v>
      </c>
      <c r="E664" s="62">
        <v>873</v>
      </c>
      <c r="F664" s="54">
        <f t="shared" si="44"/>
        <v>346.5039981999999</v>
      </c>
      <c r="G664" s="91">
        <v>25569.041962604166</v>
      </c>
      <c r="H664" s="91">
        <v>25569.041962604166</v>
      </c>
      <c r="I664" s="58">
        <v>25.9</v>
      </c>
      <c r="J664" s="62">
        <v>1067</v>
      </c>
      <c r="K664" s="57" t="s">
        <v>384</v>
      </c>
      <c r="L664" s="52">
        <v>118520</v>
      </c>
      <c r="M664" s="58">
        <f t="shared" si="43"/>
        <v>344.26733798023884</v>
      </c>
      <c r="N664" s="58">
        <v>2648.73</v>
      </c>
      <c r="O664" s="60">
        <f t="shared" si="45"/>
        <v>44.745972598188565</v>
      </c>
      <c r="P664" s="60">
        <f t="shared" si="46"/>
        <v>0.12997449267393762</v>
      </c>
    </row>
    <row r="665" spans="1:16" ht="17.25" customHeight="1" x14ac:dyDescent="0.2">
      <c r="A665" s="52">
        <v>2110</v>
      </c>
      <c r="B665" s="53" t="s">
        <v>32</v>
      </c>
      <c r="C665" s="53" t="s">
        <v>413</v>
      </c>
      <c r="D665" s="54">
        <v>349.38799999999998</v>
      </c>
      <c r="E665" s="62">
        <v>873</v>
      </c>
      <c r="F665" s="54">
        <f t="shared" si="44"/>
        <v>347.50425129999991</v>
      </c>
      <c r="G665" s="91">
        <v>25569.041962604166</v>
      </c>
      <c r="H665" s="91">
        <v>25569.041962604166</v>
      </c>
      <c r="I665" s="62">
        <v>25</v>
      </c>
      <c r="J665" s="62">
        <v>1187</v>
      </c>
      <c r="K665" s="57" t="s">
        <v>384</v>
      </c>
      <c r="L665" s="52">
        <v>112674</v>
      </c>
      <c r="M665" s="58">
        <f t="shared" si="43"/>
        <v>335.66948029274272</v>
      </c>
      <c r="N665" s="58">
        <v>2905.72</v>
      </c>
      <c r="O665" s="60">
        <f t="shared" si="45"/>
        <v>38.776619908318764</v>
      </c>
      <c r="P665" s="60">
        <f t="shared" si="46"/>
        <v>0.11552024293212793</v>
      </c>
    </row>
    <row r="666" spans="1:16" ht="17.25" customHeight="1" x14ac:dyDescent="0.2">
      <c r="A666" s="52">
        <v>2111</v>
      </c>
      <c r="B666" s="53" t="s">
        <v>32</v>
      </c>
      <c r="C666" s="53" t="s">
        <v>413</v>
      </c>
      <c r="D666" s="54">
        <v>350.38900000000001</v>
      </c>
      <c r="E666" s="62">
        <v>873</v>
      </c>
      <c r="F666" s="54">
        <f t="shared" si="44"/>
        <v>348.49854459999995</v>
      </c>
      <c r="G666" s="91">
        <v>25569.041962604166</v>
      </c>
      <c r="H666" s="91">
        <v>25569.041962604166</v>
      </c>
      <c r="I666" s="58">
        <v>26.2</v>
      </c>
      <c r="J666" s="62">
        <v>1080</v>
      </c>
      <c r="K666" s="57" t="s">
        <v>384</v>
      </c>
      <c r="L666" s="52">
        <v>86950</v>
      </c>
      <c r="M666" s="58">
        <f t="shared" si="43"/>
        <v>294.87285395573463</v>
      </c>
      <c r="N666" s="58">
        <v>2688.08</v>
      </c>
      <c r="O666" s="60">
        <f t="shared" si="45"/>
        <v>32.346507544418323</v>
      </c>
      <c r="P666" s="60">
        <f t="shared" si="46"/>
        <v>0.10969645767824418</v>
      </c>
    </row>
    <row r="667" spans="1:16" ht="17.25" customHeight="1" x14ac:dyDescent="0.2">
      <c r="A667" s="52">
        <v>2112</v>
      </c>
      <c r="B667" s="53" t="s">
        <v>32</v>
      </c>
      <c r="C667" s="53" t="s">
        <v>413</v>
      </c>
      <c r="D667" s="54">
        <v>351.38900000000001</v>
      </c>
      <c r="E667" s="62">
        <v>873</v>
      </c>
      <c r="F667" s="54">
        <f t="shared" si="44"/>
        <v>349.49184459999998</v>
      </c>
      <c r="G667" s="91">
        <v>25569.041962604166</v>
      </c>
      <c r="H667" s="91">
        <v>25569.041962604166</v>
      </c>
      <c r="I667" s="58">
        <v>26.2</v>
      </c>
      <c r="J667" s="62">
        <v>1289</v>
      </c>
      <c r="K667" s="57" t="s">
        <v>384</v>
      </c>
      <c r="L667" s="52">
        <v>84028</v>
      </c>
      <c r="M667" s="58">
        <f t="shared" si="43"/>
        <v>289.87583548823108</v>
      </c>
      <c r="N667" s="58">
        <v>3188.54</v>
      </c>
      <c r="O667" s="60">
        <f t="shared" si="45"/>
        <v>26.353127136557799</v>
      </c>
      <c r="P667" s="60">
        <f t="shared" si="46"/>
        <v>9.0911776389266272E-2</v>
      </c>
    </row>
    <row r="668" spans="1:16" ht="17.25" customHeight="1" x14ac:dyDescent="0.2">
      <c r="A668" s="52">
        <v>2113</v>
      </c>
      <c r="B668" s="53" t="s">
        <v>32</v>
      </c>
      <c r="C668" s="53" t="s">
        <v>413</v>
      </c>
      <c r="D668" s="54">
        <v>352.40300000000002</v>
      </c>
      <c r="E668" s="62">
        <v>873</v>
      </c>
      <c r="F668" s="54">
        <f t="shared" si="44"/>
        <v>350.49905079999996</v>
      </c>
      <c r="G668" s="91">
        <v>25569.041962604166</v>
      </c>
      <c r="H668" s="91">
        <v>25569.041962604166</v>
      </c>
      <c r="I668" s="58">
        <v>26.1</v>
      </c>
      <c r="J668" s="62">
        <v>1063</v>
      </c>
      <c r="K668" s="57" t="s">
        <v>384</v>
      </c>
      <c r="L668" s="52">
        <v>55656</v>
      </c>
      <c r="M668" s="58">
        <f t="shared" ref="M668:M675" si="47">SQRT(L668)</f>
        <v>235.91523901605001</v>
      </c>
      <c r="N668" s="58">
        <v>2602.11</v>
      </c>
      <c r="O668" s="60">
        <f t="shared" si="45"/>
        <v>21.388796015541232</v>
      </c>
      <c r="P668" s="60">
        <f t="shared" si="46"/>
        <v>9.0663053835560364E-2</v>
      </c>
    </row>
    <row r="669" spans="1:16" ht="17.25" customHeight="1" x14ac:dyDescent="0.2">
      <c r="A669" s="52">
        <v>2114</v>
      </c>
      <c r="B669" s="53" t="s">
        <v>32</v>
      </c>
      <c r="C669" s="53" t="s">
        <v>413</v>
      </c>
      <c r="D669" s="54">
        <v>354.39699999999999</v>
      </c>
      <c r="E669" s="62">
        <v>873</v>
      </c>
      <c r="F669" s="54">
        <f t="shared" si="44"/>
        <v>352.47969099999995</v>
      </c>
      <c r="G669" s="91">
        <v>25569.041962604166</v>
      </c>
      <c r="H669" s="91">
        <v>25569.041962604166</v>
      </c>
      <c r="I669" s="58">
        <v>26.4</v>
      </c>
      <c r="J669" s="62">
        <v>1099</v>
      </c>
      <c r="K669" s="57" t="s">
        <v>384</v>
      </c>
      <c r="L669" s="52">
        <v>37702</v>
      </c>
      <c r="M669" s="58">
        <f t="shared" si="47"/>
        <v>194.17002858319819</v>
      </c>
      <c r="N669" s="58">
        <v>2758.94</v>
      </c>
      <c r="O669" s="60">
        <f t="shared" si="45"/>
        <v>13.665393230733542</v>
      </c>
      <c r="P669" s="60">
        <f t="shared" si="46"/>
        <v>7.037848905130166E-2</v>
      </c>
    </row>
    <row r="670" spans="1:16" ht="17.25" customHeight="1" x14ac:dyDescent="0.2">
      <c r="A670" s="52">
        <v>2115</v>
      </c>
      <c r="B670" s="53" t="s">
        <v>32</v>
      </c>
      <c r="C670" s="53" t="s">
        <v>413</v>
      </c>
      <c r="D670" s="54">
        <v>356.39800000000002</v>
      </c>
      <c r="E670" s="62">
        <v>873</v>
      </c>
      <c r="F670" s="54">
        <f t="shared" si="44"/>
        <v>354.46728429999996</v>
      </c>
      <c r="G670" s="91">
        <v>25569.041962604166</v>
      </c>
      <c r="H670" s="91">
        <v>25569.041962604166</v>
      </c>
      <c r="I670" s="58">
        <v>26.3</v>
      </c>
      <c r="J670" s="62">
        <v>1069</v>
      </c>
      <c r="K670" s="57" t="s">
        <v>384</v>
      </c>
      <c r="L670" s="52">
        <v>24223</v>
      </c>
      <c r="M670" s="58">
        <f t="shared" si="47"/>
        <v>155.6373991044569</v>
      </c>
      <c r="N670" s="58">
        <v>2660.66</v>
      </c>
      <c r="O670" s="60">
        <f t="shared" si="45"/>
        <v>9.1041320574594273</v>
      </c>
      <c r="P670" s="60">
        <f t="shared" si="46"/>
        <v>5.8495786423089349E-2</v>
      </c>
    </row>
    <row r="671" spans="1:16" ht="17.25" customHeight="1" x14ac:dyDescent="0.2">
      <c r="A671" s="52">
        <v>2116</v>
      </c>
      <c r="B671" s="53" t="s">
        <v>32</v>
      </c>
      <c r="C671" s="53" t="s">
        <v>413</v>
      </c>
      <c r="D671" s="54">
        <v>358.40499999999997</v>
      </c>
      <c r="E671" s="62">
        <v>870</v>
      </c>
      <c r="F671" s="54">
        <f t="shared" si="44"/>
        <v>356.45785749999993</v>
      </c>
      <c r="G671" s="91">
        <v>25569.041962604166</v>
      </c>
      <c r="H671" s="91">
        <v>25569.041962604166</v>
      </c>
      <c r="I671" s="62">
        <v>25</v>
      </c>
      <c r="J671" s="62">
        <v>1066</v>
      </c>
      <c r="K671" s="57" t="s">
        <v>384</v>
      </c>
      <c r="L671" s="52">
        <v>16191</v>
      </c>
      <c r="M671" s="58">
        <f t="shared" si="47"/>
        <v>127.24386036269098</v>
      </c>
      <c r="N671" s="58">
        <v>2666.49</v>
      </c>
      <c r="O671" s="60">
        <f t="shared" si="45"/>
        <v>6.0720272718067578</v>
      </c>
      <c r="P671" s="60">
        <f t="shared" si="46"/>
        <v>4.7719609060109351E-2</v>
      </c>
    </row>
    <row r="672" spans="1:16" ht="17.25" customHeight="1" x14ac:dyDescent="0.2">
      <c r="A672" s="52">
        <v>2117</v>
      </c>
      <c r="B672" s="53" t="s">
        <v>32</v>
      </c>
      <c r="C672" s="53" t="s">
        <v>413</v>
      </c>
      <c r="D672" s="54">
        <v>360.40600000000001</v>
      </c>
      <c r="E672" s="62">
        <v>870</v>
      </c>
      <c r="F672" s="54">
        <f t="shared" si="44"/>
        <v>358.44545079999995</v>
      </c>
      <c r="G672" s="91">
        <v>25569.041962604166</v>
      </c>
      <c r="H672" s="91">
        <v>25569.041962604166</v>
      </c>
      <c r="I672" s="58">
        <v>24.4</v>
      </c>
      <c r="J672" s="62">
        <v>1067</v>
      </c>
      <c r="K672" s="57" t="s">
        <v>384</v>
      </c>
      <c r="L672" s="52">
        <v>11152</v>
      </c>
      <c r="M672" s="58">
        <f t="shared" si="47"/>
        <v>105.60303025955268</v>
      </c>
      <c r="N672" s="58">
        <v>2492.92</v>
      </c>
      <c r="O672" s="60">
        <f t="shared" si="45"/>
        <v>4.4734688638223448</v>
      </c>
      <c r="P672" s="60">
        <f t="shared" si="46"/>
        <v>4.2361178962643277E-2</v>
      </c>
    </row>
    <row r="673" spans="1:16" ht="17.25" customHeight="1" x14ac:dyDescent="0.2">
      <c r="A673" s="52">
        <v>2118</v>
      </c>
      <c r="B673" s="53" t="s">
        <v>32</v>
      </c>
      <c r="C673" s="53" t="s">
        <v>413</v>
      </c>
      <c r="D673" s="54">
        <v>362.41300000000001</v>
      </c>
      <c r="E673" s="62">
        <v>870</v>
      </c>
      <c r="F673" s="54">
        <f t="shared" si="44"/>
        <v>360.43900389999999</v>
      </c>
      <c r="G673" s="91">
        <v>25569.041962604166</v>
      </c>
      <c r="H673" s="66">
        <v>25569.041962604166</v>
      </c>
      <c r="I673" s="58">
        <v>24.5</v>
      </c>
      <c r="J673" s="62">
        <v>1095</v>
      </c>
      <c r="K673" s="57" t="s">
        <v>384</v>
      </c>
      <c r="L673" s="52">
        <v>8600</v>
      </c>
      <c r="M673" s="58">
        <f t="shared" si="47"/>
        <v>92.736184954957039</v>
      </c>
      <c r="N673" s="62">
        <v>2603</v>
      </c>
      <c r="O673" s="60">
        <f t="shared" si="45"/>
        <v>3.3038801383019591</v>
      </c>
      <c r="P673" s="60">
        <f t="shared" si="46"/>
        <v>3.5626655764485995E-2</v>
      </c>
    </row>
    <row r="674" spans="1:16" ht="17.25" customHeight="1" x14ac:dyDescent="0.2">
      <c r="A674" s="52">
        <v>2119</v>
      </c>
      <c r="B674" s="53" t="s">
        <v>32</v>
      </c>
      <c r="C674" s="53" t="s">
        <v>413</v>
      </c>
      <c r="D674" s="54">
        <v>364.41399999999999</v>
      </c>
      <c r="E674" s="62">
        <v>870</v>
      </c>
      <c r="F674" s="54">
        <f t="shared" si="44"/>
        <v>362.42659719999995</v>
      </c>
      <c r="G674" s="66">
        <v>25569.041962604166</v>
      </c>
      <c r="H674" s="66">
        <v>25569.041962604166</v>
      </c>
      <c r="I674" s="58">
        <v>24.6</v>
      </c>
      <c r="J674" s="62">
        <v>1068</v>
      </c>
      <c r="K674" s="57" t="s">
        <v>384</v>
      </c>
      <c r="L674" s="52">
        <v>6462</v>
      </c>
      <c r="M674" s="58">
        <f t="shared" si="47"/>
        <v>80.386566041845569</v>
      </c>
      <c r="N674" s="58">
        <v>2529.88</v>
      </c>
      <c r="O674" s="60">
        <f t="shared" si="45"/>
        <v>2.5542713488386801</v>
      </c>
      <c r="P674" s="60">
        <f t="shared" si="46"/>
        <v>3.1774853369268725E-2</v>
      </c>
    </row>
    <row r="675" spans="1:16" ht="17.25" customHeight="1" x14ac:dyDescent="0.2">
      <c r="A675" s="52">
        <v>2120</v>
      </c>
      <c r="B675" s="53" t="s">
        <v>32</v>
      </c>
      <c r="C675" s="53" t="s">
        <v>413</v>
      </c>
      <c r="D675" s="54">
        <v>366.41500000000002</v>
      </c>
      <c r="E675" s="62">
        <v>870</v>
      </c>
      <c r="F675" s="54">
        <f t="shared" si="44"/>
        <v>364.41419049999996</v>
      </c>
      <c r="G675" s="66">
        <v>25569.041962604166</v>
      </c>
      <c r="H675" s="66">
        <v>25569.041962604166</v>
      </c>
      <c r="I675" s="58">
        <v>24.7</v>
      </c>
      <c r="J675" s="62">
        <v>1703</v>
      </c>
      <c r="K675" s="57" t="s">
        <v>384</v>
      </c>
      <c r="L675" s="52">
        <v>8654</v>
      </c>
      <c r="M675" s="58">
        <f t="shared" si="47"/>
        <v>93.026877836461864</v>
      </c>
      <c r="N675" s="58">
        <v>4068.99</v>
      </c>
      <c r="O675" s="60">
        <f t="shared" si="45"/>
        <v>2.1268177115205495</v>
      </c>
      <c r="P675" s="60">
        <f t="shared" si="46"/>
        <v>2.2862400211468171E-2</v>
      </c>
    </row>
    <row r="676" spans="1:16" ht="17.25" customHeight="1" x14ac:dyDescent="0.2">
      <c r="A676" s="75"/>
      <c r="B676" s="63"/>
      <c r="C676" s="63"/>
      <c r="D676" s="76"/>
      <c r="E676" s="75"/>
      <c r="F676" s="76"/>
      <c r="G676" s="93"/>
      <c r="H676" s="93"/>
      <c r="I676" s="76"/>
      <c r="J676" s="75"/>
      <c r="K676" s="63"/>
      <c r="L676" s="75"/>
      <c r="M676" s="76"/>
      <c r="N676" s="76"/>
      <c r="O676" s="78"/>
      <c r="P676" s="78"/>
    </row>
    <row r="677" spans="1:16" ht="17.25" customHeight="1" x14ac:dyDescent="0.2">
      <c r="A677" s="75"/>
      <c r="B677" s="63"/>
      <c r="C677" s="63"/>
      <c r="D677" s="76"/>
      <c r="E677" s="75"/>
      <c r="F677" s="76"/>
      <c r="G677" s="93"/>
      <c r="H677" s="93"/>
      <c r="I677" s="76"/>
      <c r="J677" s="75"/>
      <c r="K677" s="63"/>
      <c r="L677" s="75"/>
      <c r="M677" s="76"/>
      <c r="N677" s="76"/>
      <c r="O677" s="78"/>
      <c r="P677" s="78"/>
    </row>
    <row r="678" spans="1:16" ht="17.25" customHeight="1" x14ac:dyDescent="0.2">
      <c r="A678" s="75"/>
      <c r="B678" s="63"/>
      <c r="C678" s="63"/>
      <c r="D678" s="76"/>
      <c r="E678" s="75"/>
      <c r="F678" s="76"/>
      <c r="G678" s="93"/>
      <c r="H678" s="93"/>
      <c r="I678" s="76"/>
      <c r="J678" s="75"/>
      <c r="K678" s="63"/>
      <c r="L678" s="75"/>
      <c r="M678" s="76"/>
      <c r="N678" s="76"/>
      <c r="O678" s="78"/>
      <c r="P678" s="78"/>
    </row>
    <row r="679" spans="1:16" ht="17.25" customHeight="1" x14ac:dyDescent="0.2">
      <c r="A679" s="75"/>
      <c r="B679" s="63"/>
      <c r="C679" s="63"/>
      <c r="D679" s="76"/>
      <c r="E679" s="75"/>
      <c r="F679" s="76"/>
      <c r="G679" s="93"/>
      <c r="H679" s="93"/>
      <c r="I679" s="76"/>
      <c r="J679" s="75"/>
      <c r="K679" s="63"/>
      <c r="L679" s="75"/>
      <c r="M679" s="76"/>
      <c r="N679" s="76"/>
      <c r="O679" s="78"/>
      <c r="P679" s="78"/>
    </row>
    <row r="680" spans="1:16" ht="17.25" customHeight="1" x14ac:dyDescent="0.2">
      <c r="A680" s="75"/>
      <c r="B680" s="63"/>
      <c r="C680" s="63"/>
      <c r="D680" s="76"/>
      <c r="E680" s="75"/>
      <c r="F680" s="76"/>
      <c r="G680" s="93"/>
      <c r="H680" s="93"/>
      <c r="I680" s="76"/>
      <c r="J680" s="75"/>
      <c r="K680" s="63"/>
      <c r="L680" s="75"/>
      <c r="M680" s="76"/>
      <c r="N680" s="76"/>
      <c r="O680" s="78"/>
      <c r="P680" s="78"/>
    </row>
    <row r="681" spans="1:16" ht="17.25" customHeight="1" x14ac:dyDescent="0.2">
      <c r="A681" s="75"/>
      <c r="B681" s="63"/>
      <c r="C681" s="63"/>
      <c r="D681" s="76"/>
      <c r="E681" s="75"/>
      <c r="F681" s="76"/>
      <c r="G681" s="93"/>
      <c r="H681" s="93"/>
      <c r="I681" s="76"/>
      <c r="J681" s="75"/>
      <c r="K681" s="63"/>
      <c r="L681" s="75"/>
      <c r="M681" s="76"/>
      <c r="N681" s="76"/>
      <c r="O681" s="78"/>
      <c r="P681" s="78"/>
    </row>
    <row r="682" spans="1:16" ht="17.25" customHeight="1" x14ac:dyDescent="0.2">
      <c r="A682" s="75"/>
      <c r="B682" s="63"/>
      <c r="C682" s="63"/>
      <c r="D682" s="76"/>
      <c r="E682" s="75"/>
      <c r="F682" s="76"/>
      <c r="G682" s="93"/>
      <c r="H682" s="93"/>
      <c r="I682" s="76"/>
      <c r="J682" s="75"/>
      <c r="K682" s="63"/>
      <c r="L682" s="75"/>
      <c r="M682" s="76"/>
      <c r="N682" s="76"/>
      <c r="O682" s="78"/>
      <c r="P682" s="78"/>
    </row>
    <row r="683" spans="1:16" ht="17.25" customHeight="1" x14ac:dyDescent="0.2">
      <c r="A683" s="75"/>
      <c r="B683" s="63"/>
      <c r="C683" s="63"/>
      <c r="D683" s="76"/>
      <c r="E683" s="75"/>
      <c r="F683" s="76"/>
      <c r="G683" s="93"/>
      <c r="H683" s="93"/>
      <c r="I683" s="76"/>
      <c r="J683" s="75"/>
      <c r="K683" s="63"/>
      <c r="L683" s="75"/>
      <c r="M683" s="76"/>
      <c r="N683" s="76"/>
      <c r="O683" s="78"/>
      <c r="P683" s="78"/>
    </row>
    <row r="684" spans="1:16" ht="17.25" customHeight="1" x14ac:dyDescent="0.2">
      <c r="A684" s="75"/>
      <c r="B684" s="63"/>
      <c r="C684" s="63"/>
      <c r="D684" s="76"/>
      <c r="E684" s="75"/>
      <c r="F684" s="76"/>
      <c r="G684" s="93"/>
      <c r="H684" s="93"/>
      <c r="I684" s="76"/>
      <c r="J684" s="75"/>
      <c r="K684" s="63"/>
      <c r="L684" s="75"/>
      <c r="M684" s="76"/>
      <c r="N684" s="76"/>
      <c r="O684" s="78"/>
      <c r="P684" s="78"/>
    </row>
    <row r="685" spans="1:16" ht="17.25" customHeight="1" x14ac:dyDescent="0.2">
      <c r="A685" s="75"/>
      <c r="B685" s="63"/>
      <c r="C685" s="63"/>
      <c r="D685" s="76"/>
      <c r="E685" s="75"/>
      <c r="F685" s="76"/>
      <c r="G685" s="93"/>
      <c r="H685" s="93"/>
      <c r="I685" s="76"/>
      <c r="J685" s="75"/>
      <c r="K685" s="63"/>
      <c r="L685" s="75"/>
      <c r="M685" s="76"/>
      <c r="N685" s="76"/>
      <c r="O685" s="78"/>
      <c r="P685" s="78"/>
    </row>
    <row r="686" spans="1:16" ht="17.25" customHeight="1" x14ac:dyDescent="0.2">
      <c r="A686" s="75"/>
      <c r="B686" s="63"/>
      <c r="C686" s="63"/>
      <c r="D686" s="76"/>
      <c r="E686" s="75"/>
      <c r="F686" s="76"/>
      <c r="G686" s="93"/>
      <c r="H686" s="93"/>
      <c r="I686" s="76"/>
      <c r="J686" s="75"/>
      <c r="K686" s="63"/>
      <c r="L686" s="75"/>
      <c r="M686" s="76"/>
      <c r="N686" s="76"/>
      <c r="O686" s="78"/>
      <c r="P686" s="78"/>
    </row>
    <row r="687" spans="1:16" ht="17.25" customHeight="1" x14ac:dyDescent="0.2">
      <c r="A687" s="75"/>
      <c r="B687" s="63"/>
      <c r="C687" s="63"/>
      <c r="D687" s="76"/>
      <c r="E687" s="75"/>
      <c r="F687" s="76"/>
      <c r="G687" s="93"/>
      <c r="H687" s="93"/>
      <c r="I687" s="76"/>
      <c r="J687" s="75"/>
      <c r="K687" s="63"/>
      <c r="L687" s="75"/>
      <c r="M687" s="76"/>
      <c r="N687" s="76"/>
      <c r="O687" s="78"/>
      <c r="P687" s="78"/>
    </row>
    <row r="688" spans="1:16" ht="17.25" customHeight="1" x14ac:dyDescent="0.2">
      <c r="A688" s="75"/>
      <c r="B688" s="63"/>
      <c r="C688" s="63"/>
      <c r="D688" s="76"/>
      <c r="E688" s="75"/>
      <c r="F688" s="76"/>
      <c r="G688" s="93"/>
      <c r="H688" s="93"/>
      <c r="I688" s="76"/>
      <c r="J688" s="75"/>
      <c r="K688" s="63"/>
      <c r="L688" s="75"/>
      <c r="M688" s="76"/>
      <c r="N688" s="76"/>
      <c r="O688" s="78"/>
      <c r="P688" s="78"/>
    </row>
    <row r="689" spans="1:16" ht="17.25" customHeight="1" x14ac:dyDescent="0.2">
      <c r="A689" s="75"/>
      <c r="B689" s="63"/>
      <c r="C689" s="63"/>
      <c r="D689" s="76"/>
      <c r="E689" s="75"/>
      <c r="F689" s="76"/>
      <c r="G689" s="93"/>
      <c r="H689" s="93"/>
      <c r="I689" s="76"/>
      <c r="J689" s="75"/>
      <c r="K689" s="63"/>
      <c r="L689" s="75"/>
      <c r="M689" s="76"/>
      <c r="N689" s="76"/>
      <c r="O689" s="78"/>
      <c r="P689" s="78"/>
    </row>
    <row r="690" spans="1:16" ht="17.25" customHeight="1" x14ac:dyDescent="0.2">
      <c r="A690" s="75"/>
      <c r="B690" s="63"/>
      <c r="C690" s="63"/>
      <c r="D690" s="76"/>
      <c r="E690" s="75"/>
      <c r="F690" s="76"/>
      <c r="G690" s="93"/>
      <c r="H690" s="93"/>
      <c r="I690" s="76"/>
      <c r="J690" s="75"/>
      <c r="K690" s="63"/>
      <c r="L690" s="75"/>
      <c r="M690" s="76"/>
      <c r="N690" s="76"/>
      <c r="O690" s="78"/>
      <c r="P690" s="78"/>
    </row>
    <row r="691" spans="1:16" ht="17.25" customHeight="1" x14ac:dyDescent="0.2">
      <c r="A691" s="75"/>
      <c r="B691" s="63"/>
      <c r="C691" s="63"/>
      <c r="D691" s="76"/>
      <c r="E691" s="75"/>
      <c r="F691" s="76"/>
      <c r="G691" s="93"/>
      <c r="H691" s="93"/>
      <c r="I691" s="76"/>
      <c r="J691" s="75"/>
      <c r="K691" s="63"/>
      <c r="L691" s="75"/>
      <c r="M691" s="76"/>
      <c r="N691" s="76"/>
      <c r="O691" s="78"/>
      <c r="P691" s="78"/>
    </row>
    <row r="692" spans="1:16" ht="17.25" customHeight="1" x14ac:dyDescent="0.2">
      <c r="A692" s="75"/>
      <c r="B692" s="63"/>
      <c r="C692" s="63"/>
      <c r="D692" s="76"/>
      <c r="E692" s="75"/>
      <c r="F692" s="76"/>
      <c r="G692" s="93"/>
      <c r="H692" s="93"/>
      <c r="I692" s="76"/>
      <c r="J692" s="75"/>
      <c r="K692" s="63"/>
      <c r="L692" s="75"/>
      <c r="M692" s="76"/>
      <c r="N692" s="76"/>
      <c r="O692" s="78"/>
      <c r="P692" s="78"/>
    </row>
    <row r="693" spans="1:16" ht="17.25" customHeight="1" x14ac:dyDescent="0.2">
      <c r="A693" s="75"/>
      <c r="B693" s="63"/>
      <c r="C693" s="63"/>
      <c r="D693" s="76"/>
      <c r="E693" s="75"/>
      <c r="F693" s="76"/>
      <c r="G693" s="93"/>
      <c r="H693" s="93"/>
      <c r="I693" s="76"/>
      <c r="J693" s="75"/>
      <c r="K693" s="63"/>
      <c r="L693" s="75"/>
      <c r="M693" s="76"/>
      <c r="N693" s="76"/>
      <c r="O693" s="78"/>
      <c r="P693" s="78"/>
    </row>
    <row r="694" spans="1:16" ht="17.25" customHeight="1" x14ac:dyDescent="0.2">
      <c r="A694" s="75"/>
      <c r="B694" s="63"/>
      <c r="C694" s="63"/>
      <c r="D694" s="76"/>
      <c r="E694" s="75"/>
      <c r="F694" s="76"/>
      <c r="G694" s="93"/>
      <c r="H694" s="93"/>
      <c r="I694" s="76"/>
      <c r="J694" s="75"/>
      <c r="K694" s="63"/>
      <c r="L694" s="75"/>
      <c r="M694" s="76"/>
      <c r="N694" s="76"/>
      <c r="O694" s="78"/>
      <c r="P694" s="78"/>
    </row>
    <row r="695" spans="1:16" ht="17.25" customHeight="1" x14ac:dyDescent="0.2">
      <c r="A695" s="75"/>
      <c r="B695" s="63"/>
      <c r="C695" s="63"/>
      <c r="D695" s="76"/>
      <c r="E695" s="75"/>
      <c r="F695" s="76"/>
      <c r="G695" s="93"/>
      <c r="H695" s="93"/>
      <c r="I695" s="76"/>
      <c r="J695" s="75"/>
      <c r="K695" s="63"/>
      <c r="L695" s="75"/>
      <c r="M695" s="76"/>
      <c r="N695" s="76"/>
      <c r="O695" s="78"/>
      <c r="P695" s="78"/>
    </row>
    <row r="696" spans="1:16" ht="17.25" customHeight="1" x14ac:dyDescent="0.2">
      <c r="A696" s="75"/>
      <c r="B696" s="63"/>
      <c r="C696" s="63"/>
      <c r="D696" s="76"/>
      <c r="E696" s="75"/>
      <c r="F696" s="76"/>
      <c r="G696" s="93"/>
      <c r="H696" s="93"/>
      <c r="I696" s="76"/>
      <c r="J696" s="75"/>
      <c r="K696" s="63"/>
      <c r="L696" s="75"/>
      <c r="M696" s="76"/>
      <c r="N696" s="76"/>
      <c r="O696" s="78"/>
      <c r="P696" s="78"/>
    </row>
    <row r="697" spans="1:16" ht="17.25" customHeight="1" x14ac:dyDescent="0.2">
      <c r="A697" s="75"/>
      <c r="B697" s="63"/>
      <c r="C697" s="63"/>
      <c r="D697" s="76"/>
      <c r="E697" s="75"/>
      <c r="F697" s="76"/>
      <c r="G697" s="93"/>
      <c r="H697" s="93"/>
      <c r="I697" s="76"/>
      <c r="J697" s="75"/>
      <c r="K697" s="63"/>
      <c r="L697" s="75"/>
      <c r="M697" s="76"/>
      <c r="N697" s="76"/>
      <c r="O697" s="78"/>
      <c r="P697" s="78"/>
    </row>
    <row r="698" spans="1:16" ht="17.25" customHeight="1" x14ac:dyDescent="0.2">
      <c r="A698" s="75"/>
      <c r="B698" s="63"/>
      <c r="C698" s="63"/>
      <c r="D698" s="76"/>
      <c r="E698" s="75"/>
      <c r="F698" s="76"/>
      <c r="G698" s="93"/>
      <c r="H698" s="93"/>
      <c r="I698" s="76"/>
      <c r="J698" s="75"/>
      <c r="K698" s="63"/>
      <c r="L698" s="75"/>
      <c r="M698" s="76"/>
      <c r="N698" s="76"/>
      <c r="O698" s="78"/>
      <c r="P698" s="78"/>
    </row>
    <row r="699" spans="1:16" ht="17.25" customHeight="1" x14ac:dyDescent="0.2">
      <c r="A699" s="75"/>
      <c r="B699" s="63"/>
      <c r="C699" s="63"/>
      <c r="D699" s="76"/>
      <c r="E699" s="75"/>
      <c r="F699" s="76"/>
      <c r="G699" s="93"/>
      <c r="H699" s="93"/>
      <c r="I699" s="76"/>
      <c r="J699" s="75"/>
      <c r="K699" s="63"/>
      <c r="L699" s="75"/>
      <c r="M699" s="76"/>
      <c r="N699" s="76"/>
      <c r="O699" s="78"/>
      <c r="P699" s="78"/>
    </row>
    <row r="700" spans="1:16" ht="17.25" customHeight="1" x14ac:dyDescent="0.2">
      <c r="A700" s="75"/>
      <c r="B700" s="63"/>
      <c r="C700" s="63"/>
      <c r="D700" s="76"/>
      <c r="E700" s="75"/>
      <c r="F700" s="76"/>
      <c r="G700" s="93"/>
      <c r="H700" s="93"/>
      <c r="I700" s="76"/>
      <c r="J700" s="75"/>
      <c r="K700" s="63"/>
      <c r="L700" s="75"/>
      <c r="M700" s="76"/>
      <c r="N700" s="76"/>
      <c r="O700" s="78"/>
      <c r="P700" s="78"/>
    </row>
    <row r="701" spans="1:16" ht="17.25" customHeight="1" x14ac:dyDescent="0.2">
      <c r="A701" s="75"/>
      <c r="B701" s="63"/>
      <c r="C701" s="63"/>
      <c r="D701" s="76"/>
      <c r="E701" s="75"/>
      <c r="F701" s="76"/>
      <c r="G701" s="93"/>
      <c r="H701" s="93"/>
      <c r="I701" s="76"/>
      <c r="J701" s="75"/>
      <c r="K701" s="63"/>
      <c r="L701" s="75"/>
      <c r="M701" s="76"/>
      <c r="N701" s="76"/>
      <c r="O701" s="78"/>
      <c r="P701" s="78"/>
    </row>
    <row r="702" spans="1:16" ht="17.25" customHeight="1" x14ac:dyDescent="0.2">
      <c r="A702" s="75"/>
      <c r="B702" s="63"/>
      <c r="C702" s="63"/>
      <c r="D702" s="76"/>
      <c r="E702" s="75"/>
      <c r="F702" s="76"/>
      <c r="G702" s="93"/>
      <c r="H702" s="93"/>
      <c r="I702" s="76"/>
      <c r="J702" s="75"/>
      <c r="K702" s="63"/>
      <c r="L702" s="75"/>
      <c r="M702" s="76"/>
      <c r="N702" s="76"/>
      <c r="O702" s="78"/>
      <c r="P702" s="78"/>
    </row>
    <row r="703" spans="1:16" ht="17.25" customHeight="1" x14ac:dyDescent="0.2">
      <c r="A703" s="75"/>
      <c r="B703" s="63"/>
      <c r="C703" s="63"/>
      <c r="D703" s="76"/>
      <c r="E703" s="75"/>
      <c r="F703" s="76"/>
      <c r="G703" s="93"/>
      <c r="H703" s="93"/>
      <c r="I703" s="76"/>
      <c r="J703" s="75"/>
      <c r="K703" s="63"/>
      <c r="L703" s="75"/>
      <c r="M703" s="76"/>
      <c r="N703" s="76"/>
      <c r="O703" s="78"/>
      <c r="P703" s="78"/>
    </row>
    <row r="704" spans="1:16" ht="17.25" customHeight="1" x14ac:dyDescent="0.2">
      <c r="A704" s="75"/>
      <c r="B704" s="63"/>
      <c r="C704" s="63"/>
      <c r="D704" s="76"/>
      <c r="E704" s="75"/>
      <c r="F704" s="76"/>
      <c r="G704" s="93"/>
      <c r="H704" s="93"/>
      <c r="I704" s="76"/>
      <c r="J704" s="75"/>
      <c r="K704" s="63"/>
      <c r="L704" s="75"/>
      <c r="M704" s="76"/>
      <c r="N704" s="76"/>
      <c r="O704" s="78"/>
      <c r="P704" s="78"/>
    </row>
    <row r="705" spans="1:16" ht="17.25" customHeight="1" x14ac:dyDescent="0.2">
      <c r="A705" s="75"/>
      <c r="B705" s="63"/>
      <c r="C705" s="63"/>
      <c r="D705" s="76"/>
      <c r="E705" s="75"/>
      <c r="F705" s="76"/>
      <c r="G705" s="93"/>
      <c r="H705" s="93"/>
      <c r="I705" s="76"/>
      <c r="J705" s="75"/>
      <c r="K705" s="63"/>
      <c r="L705" s="75"/>
      <c r="M705" s="76"/>
      <c r="N705" s="76"/>
      <c r="O705" s="78"/>
      <c r="P705" s="78"/>
    </row>
    <row r="706" spans="1:16" ht="17.25" customHeight="1" x14ac:dyDescent="0.2">
      <c r="A706" s="75"/>
      <c r="B706" s="63"/>
      <c r="C706" s="63"/>
      <c r="D706" s="76"/>
      <c r="E706" s="75"/>
      <c r="F706" s="76"/>
      <c r="G706" s="93"/>
      <c r="H706" s="93"/>
      <c r="I706" s="76"/>
      <c r="J706" s="75"/>
      <c r="K706" s="63"/>
      <c r="L706" s="75"/>
      <c r="M706" s="76"/>
      <c r="N706" s="76"/>
      <c r="O706" s="78"/>
      <c r="P706" s="78"/>
    </row>
    <row r="707" spans="1:16" ht="17.25" customHeight="1" x14ac:dyDescent="0.2">
      <c r="A707" s="75"/>
      <c r="B707" s="63"/>
      <c r="C707" s="63"/>
      <c r="D707" s="76"/>
      <c r="E707" s="75"/>
      <c r="F707" s="76"/>
      <c r="G707" s="93"/>
      <c r="H707" s="93"/>
      <c r="I707" s="76"/>
      <c r="J707" s="75"/>
      <c r="K707" s="63"/>
      <c r="L707" s="75"/>
      <c r="M707" s="76"/>
      <c r="N707" s="76"/>
      <c r="O707" s="78"/>
      <c r="P707" s="78"/>
    </row>
    <row r="708" spans="1:16" ht="17.25" customHeight="1" x14ac:dyDescent="0.2">
      <c r="A708" s="75"/>
      <c r="B708" s="63"/>
      <c r="C708" s="63"/>
      <c r="D708" s="76"/>
      <c r="E708" s="75"/>
      <c r="F708" s="76"/>
      <c r="G708" s="93"/>
      <c r="H708" s="93"/>
      <c r="I708" s="76"/>
      <c r="J708" s="75"/>
      <c r="K708" s="63"/>
      <c r="L708" s="75"/>
      <c r="M708" s="76"/>
      <c r="N708" s="76"/>
      <c r="O708" s="78"/>
      <c r="P708" s="78"/>
    </row>
    <row r="709" spans="1:16" ht="17.25" customHeight="1" x14ac:dyDescent="0.2">
      <c r="A709" s="75"/>
      <c r="B709" s="63"/>
      <c r="C709" s="63"/>
      <c r="D709" s="76"/>
      <c r="E709" s="75"/>
      <c r="F709" s="76"/>
      <c r="G709" s="93"/>
      <c r="H709" s="93"/>
      <c r="I709" s="76"/>
      <c r="J709" s="75"/>
      <c r="K709" s="63"/>
      <c r="L709" s="75"/>
      <c r="M709" s="76"/>
      <c r="N709" s="76"/>
      <c r="O709" s="78"/>
      <c r="P709" s="78"/>
    </row>
    <row r="710" spans="1:16" ht="17.25" customHeight="1" x14ac:dyDescent="0.2">
      <c r="A710" s="75"/>
      <c r="B710" s="63"/>
      <c r="C710" s="63"/>
      <c r="D710" s="76"/>
      <c r="E710" s="75"/>
      <c r="F710" s="76"/>
      <c r="G710" s="93"/>
      <c r="H710" s="93"/>
      <c r="I710" s="76"/>
      <c r="J710" s="75"/>
      <c r="K710" s="63"/>
      <c r="L710" s="75"/>
      <c r="M710" s="76"/>
      <c r="N710" s="76"/>
      <c r="O710" s="78"/>
      <c r="P710" s="78"/>
    </row>
    <row r="711" spans="1:16" ht="17.25" customHeight="1" x14ac:dyDescent="0.2">
      <c r="A711" s="75"/>
      <c r="B711" s="63"/>
      <c r="C711" s="63"/>
      <c r="D711" s="76"/>
      <c r="E711" s="75"/>
      <c r="F711" s="76"/>
      <c r="G711" s="93"/>
      <c r="H711" s="93"/>
      <c r="I711" s="76"/>
      <c r="J711" s="75"/>
      <c r="K711" s="63"/>
      <c r="L711" s="75"/>
      <c r="M711" s="76"/>
      <c r="N711" s="76"/>
      <c r="O711" s="78"/>
      <c r="P711" s="78"/>
    </row>
    <row r="712" spans="1:16" ht="17.25" customHeight="1" x14ac:dyDescent="0.2">
      <c r="A712" s="75"/>
      <c r="B712" s="63"/>
      <c r="C712" s="63"/>
      <c r="D712" s="76"/>
      <c r="E712" s="75"/>
      <c r="F712" s="76"/>
      <c r="G712" s="93"/>
      <c r="H712" s="93"/>
      <c r="I712" s="76"/>
      <c r="J712" s="75"/>
      <c r="K712" s="63"/>
      <c r="L712" s="75"/>
      <c r="M712" s="76"/>
      <c r="N712" s="76"/>
      <c r="O712" s="78"/>
      <c r="P712" s="78"/>
    </row>
    <row r="713" spans="1:16" ht="17.25" customHeight="1" x14ac:dyDescent="0.2">
      <c r="A713" s="75"/>
      <c r="B713" s="63"/>
      <c r="C713" s="63"/>
      <c r="D713" s="76"/>
      <c r="E713" s="75"/>
      <c r="F713" s="76"/>
      <c r="G713" s="93"/>
      <c r="H713" s="93"/>
      <c r="I713" s="76"/>
      <c r="J713" s="75"/>
      <c r="K713" s="63"/>
      <c r="L713" s="75"/>
      <c r="M713" s="76"/>
      <c r="N713" s="76"/>
      <c r="O713" s="78"/>
      <c r="P713" s="78"/>
    </row>
    <row r="714" spans="1:16" ht="17.25" customHeight="1" x14ac:dyDescent="0.2">
      <c r="A714" s="75"/>
      <c r="B714" s="63"/>
      <c r="C714" s="63"/>
      <c r="D714" s="76"/>
      <c r="E714" s="75"/>
      <c r="F714" s="76"/>
      <c r="G714" s="93"/>
      <c r="H714" s="93"/>
      <c r="I714" s="76"/>
      <c r="J714" s="75"/>
      <c r="K714" s="63"/>
      <c r="L714" s="75"/>
      <c r="M714" s="76"/>
      <c r="N714" s="76"/>
      <c r="O714" s="78"/>
      <c r="P714" s="78"/>
    </row>
    <row r="715" spans="1:16" ht="17.25" customHeight="1" x14ac:dyDescent="0.2">
      <c r="A715" s="75"/>
      <c r="B715" s="63"/>
      <c r="C715" s="63"/>
      <c r="D715" s="76"/>
      <c r="E715" s="75"/>
      <c r="F715" s="76"/>
      <c r="G715" s="93"/>
      <c r="H715" s="93"/>
      <c r="I715" s="76"/>
      <c r="J715" s="75"/>
      <c r="K715" s="63"/>
      <c r="L715" s="75"/>
      <c r="M715" s="76"/>
      <c r="N715" s="76"/>
      <c r="O715" s="78"/>
      <c r="P715" s="78"/>
    </row>
    <row r="716" spans="1:16" ht="17.25" customHeight="1" x14ac:dyDescent="0.2">
      <c r="A716" s="75"/>
      <c r="B716" s="63"/>
      <c r="C716" s="63"/>
      <c r="D716" s="76"/>
      <c r="E716" s="75"/>
      <c r="F716" s="76"/>
      <c r="G716" s="93"/>
      <c r="H716" s="93"/>
      <c r="I716" s="76"/>
      <c r="J716" s="75"/>
      <c r="K716" s="63"/>
      <c r="L716" s="75"/>
      <c r="M716" s="76"/>
      <c r="N716" s="76"/>
      <c r="O716" s="78"/>
      <c r="P716" s="78"/>
    </row>
    <row r="717" spans="1:16" ht="17.25" customHeight="1" x14ac:dyDescent="0.2">
      <c r="A717" s="75"/>
      <c r="B717" s="63"/>
      <c r="C717" s="63"/>
      <c r="D717" s="76"/>
      <c r="E717" s="75"/>
      <c r="F717" s="76"/>
      <c r="G717" s="93"/>
      <c r="H717" s="93"/>
      <c r="I717" s="76"/>
      <c r="J717" s="75"/>
      <c r="K717" s="63"/>
      <c r="L717" s="75"/>
      <c r="M717" s="76"/>
      <c r="N717" s="76"/>
      <c r="O717" s="78"/>
      <c r="P717" s="78"/>
    </row>
    <row r="718" spans="1:16" ht="17.25" customHeight="1" x14ac:dyDescent="0.2">
      <c r="A718" s="75"/>
      <c r="B718" s="63"/>
      <c r="C718" s="63"/>
      <c r="D718" s="76"/>
      <c r="E718" s="75"/>
      <c r="F718" s="76"/>
      <c r="G718" s="93"/>
      <c r="H718" s="93"/>
      <c r="I718" s="76"/>
      <c r="J718" s="75"/>
      <c r="K718" s="63"/>
      <c r="L718" s="75"/>
      <c r="M718" s="76"/>
      <c r="N718" s="76"/>
      <c r="O718" s="78"/>
      <c r="P718" s="78"/>
    </row>
    <row r="719" spans="1:16" ht="17.25" customHeight="1" x14ac:dyDescent="0.2">
      <c r="A719" s="75"/>
      <c r="B719" s="63"/>
      <c r="C719" s="63"/>
      <c r="D719" s="76"/>
      <c r="E719" s="75"/>
      <c r="F719" s="76"/>
      <c r="G719" s="93"/>
      <c r="H719" s="93"/>
      <c r="I719" s="76"/>
      <c r="J719" s="75"/>
      <c r="K719" s="63"/>
      <c r="L719" s="75"/>
      <c r="M719" s="76"/>
      <c r="N719" s="76"/>
      <c r="O719" s="78"/>
      <c r="P719" s="78"/>
    </row>
    <row r="720" spans="1:16" ht="17.25" customHeight="1" x14ac:dyDescent="0.2">
      <c r="A720" s="75"/>
      <c r="B720" s="63"/>
      <c r="C720" s="63"/>
      <c r="D720" s="76"/>
      <c r="E720" s="75"/>
      <c r="F720" s="76"/>
      <c r="G720" s="93"/>
      <c r="H720" s="93"/>
      <c r="I720" s="76"/>
      <c r="J720" s="75"/>
      <c r="K720" s="63"/>
      <c r="L720" s="75"/>
      <c r="M720" s="76"/>
      <c r="N720" s="76"/>
      <c r="O720" s="78"/>
      <c r="P720" s="78"/>
    </row>
    <row r="721" spans="1:16" ht="17.25" customHeight="1" x14ac:dyDescent="0.2">
      <c r="A721" s="75"/>
      <c r="B721" s="63"/>
      <c r="C721" s="63"/>
      <c r="D721" s="76"/>
      <c r="E721" s="75"/>
      <c r="F721" s="76"/>
      <c r="G721" s="93"/>
      <c r="H721" s="93"/>
      <c r="I721" s="76"/>
      <c r="J721" s="75"/>
      <c r="K721" s="63"/>
      <c r="L721" s="75"/>
      <c r="M721" s="76"/>
      <c r="N721" s="76"/>
      <c r="O721" s="78"/>
      <c r="P721" s="78"/>
    </row>
    <row r="722" spans="1:16" ht="17.25" customHeight="1" x14ac:dyDescent="0.2">
      <c r="A722" s="75"/>
      <c r="B722" s="63"/>
      <c r="C722" s="63"/>
      <c r="D722" s="76"/>
      <c r="E722" s="75"/>
      <c r="F722" s="76"/>
      <c r="G722" s="93"/>
      <c r="H722" s="93"/>
      <c r="I722" s="76"/>
      <c r="J722" s="75"/>
      <c r="K722" s="63"/>
      <c r="L722" s="75"/>
      <c r="M722" s="76"/>
      <c r="N722" s="76"/>
      <c r="O722" s="78"/>
      <c r="P722" s="78"/>
    </row>
    <row r="723" spans="1:16" ht="17.25" customHeight="1" x14ac:dyDescent="0.2">
      <c r="A723" s="75"/>
      <c r="B723" s="63"/>
      <c r="C723" s="63"/>
      <c r="D723" s="76"/>
      <c r="E723" s="75"/>
      <c r="F723" s="76"/>
      <c r="G723" s="93"/>
      <c r="H723" s="93"/>
      <c r="I723" s="76"/>
      <c r="J723" s="75"/>
      <c r="K723" s="63"/>
      <c r="L723" s="75"/>
      <c r="M723" s="76"/>
      <c r="N723" s="76"/>
      <c r="O723" s="78"/>
      <c r="P723" s="78"/>
    </row>
    <row r="724" spans="1:16" ht="17.25" customHeight="1" x14ac:dyDescent="0.2">
      <c r="A724" s="75"/>
      <c r="B724" s="63"/>
      <c r="C724" s="63"/>
      <c r="D724" s="76"/>
      <c r="E724" s="75"/>
      <c r="F724" s="76"/>
      <c r="G724" s="93"/>
      <c r="H724" s="93"/>
      <c r="I724" s="76"/>
      <c r="J724" s="75"/>
      <c r="K724" s="63"/>
      <c r="L724" s="75"/>
      <c r="M724" s="76"/>
      <c r="N724" s="76"/>
      <c r="O724" s="78"/>
      <c r="P724" s="78"/>
    </row>
    <row r="725" spans="1:16" ht="17.25" customHeight="1" x14ac:dyDescent="0.2">
      <c r="A725" s="75"/>
      <c r="B725" s="63"/>
      <c r="C725" s="63"/>
      <c r="D725" s="76"/>
      <c r="E725" s="75"/>
      <c r="F725" s="76"/>
      <c r="G725" s="93"/>
      <c r="H725" s="93"/>
      <c r="I725" s="76"/>
      <c r="J725" s="75"/>
      <c r="K725" s="63"/>
      <c r="L725" s="75"/>
      <c r="M725" s="76"/>
      <c r="N725" s="76"/>
      <c r="O725" s="78"/>
      <c r="P725" s="78"/>
    </row>
    <row r="726" spans="1:16" ht="17.25" customHeight="1" x14ac:dyDescent="0.2">
      <c r="A726" s="75"/>
      <c r="B726" s="63"/>
      <c r="C726" s="63"/>
      <c r="D726" s="76"/>
      <c r="E726" s="75"/>
      <c r="F726" s="76"/>
      <c r="G726" s="93"/>
      <c r="H726" s="93"/>
      <c r="I726" s="76"/>
      <c r="J726" s="75"/>
      <c r="K726" s="63"/>
      <c r="L726" s="75"/>
      <c r="M726" s="76"/>
      <c r="N726" s="76"/>
      <c r="O726" s="78"/>
      <c r="P726" s="78"/>
    </row>
    <row r="727" spans="1:16" ht="17.25" customHeight="1" x14ac:dyDescent="0.2">
      <c r="A727" s="75"/>
      <c r="B727" s="63"/>
      <c r="C727" s="63"/>
      <c r="D727" s="76"/>
      <c r="E727" s="75"/>
      <c r="F727" s="76"/>
      <c r="G727" s="93"/>
      <c r="H727" s="93"/>
      <c r="I727" s="76"/>
      <c r="J727" s="75"/>
      <c r="K727" s="63"/>
      <c r="L727" s="75"/>
      <c r="M727" s="76"/>
      <c r="N727" s="76"/>
      <c r="O727" s="78"/>
      <c r="P727" s="78"/>
    </row>
    <row r="728" spans="1:16" ht="17.25" customHeight="1" x14ac:dyDescent="0.2">
      <c r="A728" s="75"/>
      <c r="B728" s="63"/>
      <c r="C728" s="63"/>
      <c r="D728" s="76"/>
      <c r="E728" s="75"/>
      <c r="F728" s="76"/>
      <c r="G728" s="93"/>
      <c r="H728" s="93"/>
      <c r="I728" s="76"/>
      <c r="J728" s="75"/>
      <c r="K728" s="63"/>
      <c r="L728" s="75"/>
      <c r="M728" s="76"/>
      <c r="N728" s="76"/>
      <c r="O728" s="78"/>
      <c r="P728" s="78"/>
    </row>
    <row r="729" spans="1:16" ht="17.25" customHeight="1" x14ac:dyDescent="0.2">
      <c r="A729" s="75"/>
      <c r="B729" s="63"/>
      <c r="C729" s="63"/>
      <c r="D729" s="76"/>
      <c r="E729" s="75"/>
      <c r="F729" s="76"/>
      <c r="G729" s="93"/>
      <c r="H729" s="93"/>
      <c r="I729" s="76"/>
      <c r="J729" s="75"/>
      <c r="K729" s="63"/>
      <c r="L729" s="75"/>
      <c r="M729" s="76"/>
      <c r="N729" s="76"/>
      <c r="O729" s="78"/>
      <c r="P729" s="78"/>
    </row>
    <row r="730" spans="1:16" ht="17.25" customHeight="1" x14ac:dyDescent="0.2">
      <c r="A730" s="75"/>
      <c r="B730" s="63"/>
      <c r="C730" s="63"/>
      <c r="D730" s="76"/>
      <c r="E730" s="75"/>
      <c r="F730" s="76"/>
      <c r="G730" s="93"/>
      <c r="H730" s="93"/>
      <c r="I730" s="76"/>
      <c r="J730" s="75"/>
      <c r="K730" s="63"/>
      <c r="L730" s="75"/>
      <c r="M730" s="76"/>
      <c r="N730" s="76"/>
      <c r="O730" s="78"/>
      <c r="P730" s="78"/>
    </row>
    <row r="731" spans="1:16" ht="17.25" customHeight="1" x14ac:dyDescent="0.2">
      <c r="A731" s="75"/>
      <c r="B731" s="63"/>
      <c r="C731" s="63"/>
      <c r="D731" s="76"/>
      <c r="E731" s="75"/>
      <c r="F731" s="76"/>
      <c r="G731" s="93"/>
      <c r="H731" s="93"/>
      <c r="I731" s="76"/>
      <c r="J731" s="75"/>
      <c r="K731" s="63"/>
      <c r="L731" s="75"/>
      <c r="M731" s="76"/>
      <c r="N731" s="76"/>
      <c r="O731" s="78"/>
      <c r="P731" s="78"/>
    </row>
    <row r="732" spans="1:16" ht="17.25" customHeight="1" x14ac:dyDescent="0.2">
      <c r="A732" s="75"/>
      <c r="B732" s="63"/>
      <c r="C732" s="63"/>
      <c r="D732" s="76"/>
      <c r="E732" s="75"/>
      <c r="F732" s="76"/>
      <c r="G732" s="93"/>
      <c r="H732" s="93"/>
      <c r="I732" s="76"/>
      <c r="J732" s="75"/>
      <c r="K732" s="63"/>
      <c r="L732" s="75"/>
      <c r="M732" s="76"/>
      <c r="N732" s="76"/>
      <c r="O732" s="78"/>
      <c r="P732" s="78"/>
    </row>
    <row r="733" spans="1:16" ht="17.25" customHeight="1" x14ac:dyDescent="0.2">
      <c r="A733" s="75"/>
      <c r="B733" s="63"/>
      <c r="C733" s="63"/>
      <c r="D733" s="76"/>
      <c r="E733" s="75"/>
      <c r="F733" s="76"/>
      <c r="G733" s="93"/>
      <c r="H733" s="93"/>
      <c r="I733" s="76"/>
      <c r="J733" s="75"/>
      <c r="K733" s="63"/>
      <c r="L733" s="75"/>
      <c r="M733" s="76"/>
      <c r="N733" s="76"/>
      <c r="O733" s="78"/>
      <c r="P733" s="78"/>
    </row>
    <row r="734" spans="1:16" ht="17.25" customHeight="1" x14ac:dyDescent="0.2">
      <c r="A734" s="75"/>
      <c r="B734" s="63"/>
      <c r="C734" s="63"/>
      <c r="D734" s="76"/>
      <c r="E734" s="75"/>
      <c r="F734" s="76"/>
      <c r="G734" s="93"/>
      <c r="H734" s="93"/>
      <c r="I734" s="76"/>
      <c r="J734" s="75"/>
      <c r="K734" s="63"/>
      <c r="L734" s="75"/>
      <c r="M734" s="76"/>
      <c r="N734" s="76"/>
      <c r="O734" s="78"/>
      <c r="P734" s="78"/>
    </row>
    <row r="735" spans="1:16" ht="17.25" customHeight="1" x14ac:dyDescent="0.2">
      <c r="A735" s="75"/>
      <c r="B735" s="63"/>
      <c r="C735" s="63"/>
      <c r="D735" s="76"/>
      <c r="E735" s="75"/>
      <c r="F735" s="76"/>
      <c r="G735" s="93"/>
      <c r="H735" s="93"/>
      <c r="I735" s="76"/>
      <c r="J735" s="75"/>
      <c r="K735" s="63"/>
      <c r="L735" s="75"/>
      <c r="M735" s="76"/>
      <c r="N735" s="76"/>
      <c r="O735" s="78"/>
      <c r="P735" s="78"/>
    </row>
    <row r="736" spans="1:16" ht="17.25" customHeight="1" x14ac:dyDescent="0.2">
      <c r="A736" s="75"/>
      <c r="B736" s="63"/>
      <c r="C736" s="63"/>
      <c r="D736" s="76"/>
      <c r="E736" s="75"/>
      <c r="F736" s="76"/>
      <c r="G736" s="93"/>
      <c r="H736" s="93"/>
      <c r="I736" s="76"/>
      <c r="J736" s="75"/>
      <c r="K736" s="63"/>
      <c r="L736" s="75"/>
      <c r="M736" s="76"/>
      <c r="N736" s="76"/>
      <c r="O736" s="78"/>
      <c r="P736" s="78"/>
    </row>
    <row r="737" spans="1:16" ht="17.25" customHeight="1" x14ac:dyDescent="0.2">
      <c r="A737" s="75"/>
      <c r="B737" s="63"/>
      <c r="C737" s="63"/>
      <c r="D737" s="76"/>
      <c r="E737" s="75"/>
      <c r="F737" s="76"/>
      <c r="G737" s="93"/>
      <c r="H737" s="93"/>
      <c r="I737" s="76"/>
      <c r="J737" s="75"/>
      <c r="K737" s="63"/>
      <c r="L737" s="75"/>
      <c r="M737" s="76"/>
      <c r="N737" s="76"/>
      <c r="O737" s="78"/>
      <c r="P737" s="78"/>
    </row>
    <row r="738" spans="1:16" ht="17.25" customHeight="1" x14ac:dyDescent="0.2">
      <c r="A738" s="75"/>
      <c r="B738" s="63"/>
      <c r="C738" s="63"/>
      <c r="D738" s="76"/>
      <c r="E738" s="75"/>
      <c r="F738" s="76"/>
      <c r="G738" s="93"/>
      <c r="H738" s="93"/>
      <c r="I738" s="76"/>
      <c r="J738" s="75"/>
      <c r="K738" s="63"/>
      <c r="L738" s="75"/>
      <c r="M738" s="76"/>
      <c r="N738" s="76"/>
      <c r="O738" s="78"/>
      <c r="P738" s="78"/>
    </row>
    <row r="739" spans="1:16" ht="17.25" customHeight="1" x14ac:dyDescent="0.2">
      <c r="A739" s="75"/>
      <c r="B739" s="63"/>
      <c r="C739" s="63"/>
      <c r="D739" s="76"/>
      <c r="E739" s="75"/>
      <c r="F739" s="76"/>
      <c r="G739" s="93"/>
      <c r="H739" s="93"/>
      <c r="I739" s="76"/>
      <c r="J739" s="75"/>
      <c r="K739" s="63"/>
      <c r="L739" s="75"/>
      <c r="M739" s="76"/>
      <c r="N739" s="76"/>
      <c r="O739" s="78"/>
      <c r="P739" s="78"/>
    </row>
    <row r="740" spans="1:16" ht="17.25" customHeight="1" x14ac:dyDescent="0.2">
      <c r="A740" s="75"/>
      <c r="B740" s="63"/>
      <c r="C740" s="63"/>
      <c r="D740" s="76"/>
      <c r="E740" s="75"/>
      <c r="F740" s="76"/>
      <c r="G740" s="93"/>
      <c r="H740" s="93"/>
      <c r="I740" s="76"/>
      <c r="J740" s="75"/>
      <c r="K740" s="63"/>
      <c r="L740" s="75"/>
      <c r="M740" s="76"/>
      <c r="N740" s="76"/>
      <c r="O740" s="78"/>
      <c r="P740" s="78"/>
    </row>
    <row r="741" spans="1:16" ht="17.25" customHeight="1" x14ac:dyDescent="0.2">
      <c r="A741" s="75"/>
      <c r="B741" s="63"/>
      <c r="C741" s="63"/>
      <c r="D741" s="76"/>
      <c r="E741" s="75"/>
      <c r="F741" s="76"/>
      <c r="G741" s="93"/>
      <c r="H741" s="93"/>
      <c r="I741" s="76"/>
      <c r="J741" s="75"/>
      <c r="K741" s="63"/>
      <c r="L741" s="75"/>
      <c r="M741" s="76"/>
      <c r="N741" s="76"/>
      <c r="O741" s="78"/>
      <c r="P741" s="78"/>
    </row>
    <row r="742" spans="1:16" ht="17.25" customHeight="1" x14ac:dyDescent="0.2">
      <c r="A742" s="75"/>
      <c r="B742" s="63"/>
      <c r="C742" s="63"/>
      <c r="D742" s="76"/>
      <c r="E742" s="75"/>
      <c r="F742" s="76"/>
      <c r="G742" s="93"/>
      <c r="H742" s="93"/>
      <c r="I742" s="76"/>
      <c r="J742" s="75"/>
      <c r="K742" s="63"/>
      <c r="L742" s="75"/>
      <c r="M742" s="76"/>
      <c r="N742" s="76"/>
      <c r="O742" s="78"/>
      <c r="P742" s="78"/>
    </row>
    <row r="743" spans="1:16" ht="17.25" customHeight="1" x14ac:dyDescent="0.2">
      <c r="A743" s="75"/>
      <c r="B743" s="63"/>
      <c r="C743" s="63"/>
      <c r="D743" s="76"/>
      <c r="E743" s="75"/>
      <c r="F743" s="76"/>
      <c r="G743" s="93"/>
      <c r="H743" s="93"/>
      <c r="I743" s="76"/>
      <c r="J743" s="75"/>
      <c r="K743" s="63"/>
      <c r="L743" s="75"/>
      <c r="M743" s="76"/>
      <c r="N743" s="76"/>
      <c r="O743" s="78"/>
      <c r="P743" s="78"/>
    </row>
    <row r="744" spans="1:16" ht="17.25" customHeight="1" x14ac:dyDescent="0.2">
      <c r="A744" s="75"/>
      <c r="B744" s="63"/>
      <c r="C744" s="63"/>
      <c r="D744" s="76"/>
      <c r="E744" s="75"/>
      <c r="F744" s="76"/>
      <c r="G744" s="93"/>
      <c r="H744" s="93"/>
      <c r="I744" s="76"/>
      <c r="J744" s="75"/>
      <c r="K744" s="63"/>
      <c r="L744" s="75"/>
      <c r="M744" s="76"/>
      <c r="N744" s="76"/>
      <c r="O744" s="78"/>
      <c r="P744" s="78"/>
    </row>
    <row r="745" spans="1:16" ht="17.25" customHeight="1" x14ac:dyDescent="0.2">
      <c r="A745" s="75"/>
      <c r="B745" s="63"/>
      <c r="C745" s="63"/>
      <c r="D745" s="76"/>
      <c r="E745" s="75"/>
      <c r="F745" s="76"/>
      <c r="G745" s="93"/>
      <c r="H745" s="93"/>
      <c r="I745" s="76"/>
      <c r="J745" s="75"/>
      <c r="K745" s="63"/>
      <c r="L745" s="75"/>
      <c r="M745" s="76"/>
      <c r="N745" s="76"/>
      <c r="O745" s="78"/>
      <c r="P745" s="78"/>
    </row>
    <row r="746" spans="1:16" ht="17.25" customHeight="1" x14ac:dyDescent="0.2">
      <c r="A746" s="75"/>
      <c r="B746" s="63"/>
      <c r="C746" s="63"/>
      <c r="D746" s="76"/>
      <c r="E746" s="75"/>
      <c r="F746" s="76"/>
      <c r="G746" s="93"/>
      <c r="H746" s="93"/>
      <c r="I746" s="76"/>
      <c r="J746" s="75"/>
      <c r="K746" s="63"/>
      <c r="L746" s="75"/>
      <c r="M746" s="76"/>
      <c r="N746" s="76"/>
      <c r="O746" s="78"/>
      <c r="P746" s="78"/>
    </row>
    <row r="747" spans="1:16" ht="17.25" customHeight="1" x14ac:dyDescent="0.2">
      <c r="A747" s="75"/>
      <c r="B747" s="63"/>
      <c r="C747" s="63"/>
      <c r="D747" s="76"/>
      <c r="E747" s="75"/>
      <c r="F747" s="76"/>
      <c r="G747" s="93"/>
      <c r="H747" s="93"/>
      <c r="I747" s="76"/>
      <c r="J747" s="75"/>
      <c r="K747" s="63"/>
      <c r="L747" s="75"/>
      <c r="M747" s="76"/>
      <c r="N747" s="76"/>
      <c r="O747" s="78"/>
      <c r="P747" s="78"/>
    </row>
    <row r="748" spans="1:16" ht="17.25" customHeight="1" x14ac:dyDescent="0.2">
      <c r="A748" s="75"/>
      <c r="B748" s="63"/>
      <c r="C748" s="63"/>
      <c r="D748" s="76"/>
      <c r="E748" s="75"/>
      <c r="F748" s="76"/>
      <c r="G748" s="93"/>
      <c r="H748" s="93"/>
      <c r="I748" s="76"/>
      <c r="J748" s="75"/>
      <c r="K748" s="63"/>
      <c r="L748" s="75"/>
      <c r="M748" s="76"/>
      <c r="N748" s="76"/>
      <c r="O748" s="78"/>
      <c r="P748" s="78"/>
    </row>
    <row r="749" spans="1:16" ht="17.25" customHeight="1" x14ac:dyDescent="0.2">
      <c r="A749" s="75"/>
      <c r="B749" s="63"/>
      <c r="C749" s="63"/>
      <c r="D749" s="76"/>
      <c r="E749" s="75"/>
      <c r="F749" s="76"/>
      <c r="G749" s="93"/>
      <c r="H749" s="93"/>
      <c r="I749" s="76"/>
      <c r="J749" s="75"/>
      <c r="K749" s="63"/>
      <c r="L749" s="75"/>
      <c r="M749" s="76"/>
      <c r="N749" s="76"/>
      <c r="O749" s="78"/>
      <c r="P749" s="78"/>
    </row>
    <row r="750" spans="1:16" ht="17.25" customHeight="1" x14ac:dyDescent="0.2">
      <c r="A750" s="75"/>
      <c r="B750" s="63"/>
      <c r="C750" s="63"/>
      <c r="D750" s="76"/>
      <c r="E750" s="75"/>
      <c r="F750" s="76"/>
      <c r="G750" s="93"/>
      <c r="H750" s="93"/>
      <c r="I750" s="76"/>
      <c r="J750" s="75"/>
      <c r="K750" s="63"/>
      <c r="L750" s="75"/>
      <c r="M750" s="76"/>
      <c r="N750" s="76"/>
      <c r="O750" s="78"/>
      <c r="P750" s="78"/>
    </row>
    <row r="751" spans="1:16" ht="17.25" customHeight="1" x14ac:dyDescent="0.2">
      <c r="A751" s="75"/>
      <c r="B751" s="63"/>
      <c r="C751" s="63"/>
      <c r="D751" s="76"/>
      <c r="E751" s="75"/>
      <c r="F751" s="76"/>
      <c r="G751" s="93"/>
      <c r="H751" s="93"/>
      <c r="I751" s="76"/>
      <c r="J751" s="75"/>
      <c r="K751" s="63"/>
      <c r="L751" s="75"/>
      <c r="M751" s="76"/>
      <c r="N751" s="76"/>
      <c r="O751" s="78"/>
      <c r="P751" s="78"/>
    </row>
    <row r="752" spans="1:16" ht="17.25" customHeight="1" x14ac:dyDescent="0.2">
      <c r="A752" s="75"/>
      <c r="B752" s="63"/>
      <c r="C752" s="63"/>
      <c r="D752" s="76"/>
      <c r="E752" s="75"/>
      <c r="F752" s="76"/>
      <c r="G752" s="93"/>
      <c r="H752" s="93"/>
      <c r="I752" s="76"/>
      <c r="J752" s="75"/>
      <c r="K752" s="63"/>
      <c r="L752" s="75"/>
      <c r="M752" s="76"/>
      <c r="N752" s="76"/>
      <c r="O752" s="78"/>
      <c r="P752" s="78"/>
    </row>
    <row r="753" spans="1:16" ht="17.25" customHeight="1" x14ac:dyDescent="0.2">
      <c r="A753" s="75"/>
      <c r="B753" s="63"/>
      <c r="C753" s="63"/>
      <c r="D753" s="76"/>
      <c r="E753" s="75"/>
      <c r="F753" s="76"/>
      <c r="G753" s="93"/>
      <c r="H753" s="93"/>
      <c r="I753" s="76"/>
      <c r="J753" s="75"/>
      <c r="K753" s="63"/>
      <c r="L753" s="75"/>
      <c r="M753" s="76"/>
      <c r="N753" s="76"/>
      <c r="O753" s="78"/>
      <c r="P753" s="78"/>
    </row>
    <row r="754" spans="1:16" ht="17.25" customHeight="1" x14ac:dyDescent="0.2">
      <c r="A754" s="75"/>
      <c r="B754" s="63"/>
      <c r="C754" s="63"/>
      <c r="D754" s="76"/>
      <c r="E754" s="75"/>
      <c r="F754" s="76"/>
      <c r="G754" s="93"/>
      <c r="H754" s="93"/>
      <c r="I754" s="76"/>
      <c r="J754" s="75"/>
      <c r="K754" s="63"/>
      <c r="L754" s="75"/>
      <c r="M754" s="76"/>
      <c r="N754" s="76"/>
      <c r="O754" s="78"/>
      <c r="P754" s="78"/>
    </row>
    <row r="755" spans="1:16" ht="17.25" customHeight="1" x14ac:dyDescent="0.2">
      <c r="A755" s="75"/>
      <c r="B755" s="63"/>
      <c r="C755" s="63"/>
      <c r="D755" s="76"/>
      <c r="E755" s="75"/>
      <c r="F755" s="76"/>
      <c r="G755" s="93"/>
      <c r="H755" s="93"/>
      <c r="I755" s="76"/>
      <c r="J755" s="75"/>
      <c r="K755" s="63"/>
      <c r="L755" s="75"/>
      <c r="M755" s="76"/>
      <c r="N755" s="76"/>
      <c r="O755" s="78"/>
      <c r="P755" s="78"/>
    </row>
    <row r="756" spans="1:16" ht="17.25" customHeight="1" x14ac:dyDescent="0.2">
      <c r="A756" s="75"/>
      <c r="B756" s="63"/>
      <c r="C756" s="63"/>
      <c r="D756" s="76"/>
      <c r="E756" s="75"/>
      <c r="F756" s="76"/>
      <c r="G756" s="93"/>
      <c r="H756" s="93"/>
      <c r="I756" s="76"/>
      <c r="J756" s="75"/>
      <c r="K756" s="63"/>
      <c r="L756" s="75"/>
      <c r="M756" s="76"/>
      <c r="N756" s="76"/>
      <c r="O756" s="78"/>
      <c r="P756" s="78"/>
    </row>
    <row r="757" spans="1:16" ht="17.25" customHeight="1" x14ac:dyDescent="0.2">
      <c r="A757" s="75"/>
      <c r="B757" s="63"/>
      <c r="C757" s="63"/>
      <c r="D757" s="76"/>
      <c r="E757" s="75"/>
      <c r="F757" s="76"/>
      <c r="G757" s="93"/>
      <c r="H757" s="93"/>
      <c r="I757" s="76"/>
      <c r="J757" s="75"/>
      <c r="K757" s="63"/>
      <c r="L757" s="75"/>
      <c r="M757" s="76"/>
      <c r="N757" s="76"/>
      <c r="O757" s="78"/>
      <c r="P757" s="78"/>
    </row>
    <row r="758" spans="1:16" ht="17.25" customHeight="1" x14ac:dyDescent="0.2">
      <c r="A758" s="75"/>
      <c r="B758" s="63"/>
      <c r="C758" s="63"/>
      <c r="D758" s="76"/>
      <c r="E758" s="75"/>
      <c r="F758" s="76"/>
      <c r="G758" s="93"/>
      <c r="H758" s="93"/>
      <c r="I758" s="76"/>
      <c r="J758" s="75"/>
      <c r="K758" s="63"/>
      <c r="L758" s="75"/>
      <c r="M758" s="76"/>
      <c r="N758" s="76"/>
      <c r="O758" s="78"/>
      <c r="P758" s="78"/>
    </row>
    <row r="759" spans="1:16" ht="17.25" customHeight="1" x14ac:dyDescent="0.2">
      <c r="A759" s="75"/>
      <c r="B759" s="63"/>
      <c r="C759" s="63"/>
      <c r="D759" s="76"/>
      <c r="E759" s="75"/>
      <c r="F759" s="76"/>
      <c r="G759" s="93"/>
      <c r="H759" s="93"/>
      <c r="I759" s="76"/>
      <c r="J759" s="75"/>
      <c r="K759" s="63"/>
      <c r="L759" s="75"/>
      <c r="M759" s="76"/>
      <c r="N759" s="76"/>
      <c r="O759" s="78"/>
      <c r="P759" s="78"/>
    </row>
    <row r="760" spans="1:16" ht="17.25" customHeight="1" x14ac:dyDescent="0.2">
      <c r="A760" s="75"/>
      <c r="B760" s="63"/>
      <c r="C760" s="63"/>
      <c r="D760" s="76"/>
      <c r="E760" s="75"/>
      <c r="F760" s="76"/>
      <c r="G760" s="93"/>
      <c r="H760" s="93"/>
      <c r="I760" s="76"/>
      <c r="J760" s="75"/>
      <c r="K760" s="63"/>
      <c r="L760" s="75"/>
      <c r="M760" s="76"/>
      <c r="N760" s="76"/>
      <c r="O760" s="78"/>
      <c r="P760" s="78"/>
    </row>
    <row r="761" spans="1:16" ht="17.25" customHeight="1" x14ac:dyDescent="0.2">
      <c r="A761" s="75"/>
      <c r="B761" s="63"/>
      <c r="C761" s="63"/>
      <c r="D761" s="76"/>
      <c r="E761" s="75"/>
      <c r="F761" s="76"/>
      <c r="G761" s="93"/>
      <c r="H761" s="93"/>
      <c r="I761" s="76"/>
      <c r="J761" s="75"/>
      <c r="K761" s="63"/>
      <c r="L761" s="75"/>
      <c r="M761" s="76"/>
      <c r="N761" s="76"/>
      <c r="O761" s="78"/>
      <c r="P761" s="78"/>
    </row>
    <row r="762" spans="1:16" ht="17.25" customHeight="1" x14ac:dyDescent="0.2">
      <c r="A762" s="75"/>
      <c r="B762" s="63"/>
      <c r="C762" s="63"/>
      <c r="D762" s="76"/>
      <c r="E762" s="75"/>
      <c r="F762" s="76"/>
      <c r="G762" s="93"/>
      <c r="H762" s="93"/>
      <c r="I762" s="76"/>
      <c r="J762" s="75"/>
      <c r="K762" s="63"/>
      <c r="L762" s="75"/>
      <c r="M762" s="76"/>
      <c r="N762" s="76"/>
      <c r="O762" s="78"/>
      <c r="P762" s="78"/>
    </row>
    <row r="763" spans="1:16" ht="17.25" customHeight="1" x14ac:dyDescent="0.2">
      <c r="A763" s="75"/>
      <c r="B763" s="63"/>
      <c r="C763" s="63"/>
      <c r="D763" s="76"/>
      <c r="E763" s="75"/>
      <c r="F763" s="76"/>
      <c r="G763" s="93"/>
      <c r="H763" s="93"/>
      <c r="I763" s="76"/>
      <c r="J763" s="75"/>
      <c r="K763" s="63"/>
      <c r="L763" s="75"/>
      <c r="M763" s="76"/>
      <c r="N763" s="76"/>
      <c r="O763" s="78"/>
      <c r="P763" s="78"/>
    </row>
    <row r="764" spans="1:16" ht="17.25" customHeight="1" x14ac:dyDescent="0.2">
      <c r="A764" s="75"/>
      <c r="B764" s="63"/>
      <c r="C764" s="63"/>
      <c r="D764" s="76"/>
      <c r="E764" s="75"/>
      <c r="F764" s="76"/>
      <c r="G764" s="93"/>
      <c r="H764" s="93"/>
      <c r="I764" s="76"/>
      <c r="J764" s="75"/>
      <c r="K764" s="63"/>
      <c r="L764" s="75"/>
      <c r="M764" s="76"/>
      <c r="N764" s="76"/>
      <c r="O764" s="78"/>
      <c r="P764" s="78"/>
    </row>
    <row r="765" spans="1:16" ht="17.25" customHeight="1" x14ac:dyDescent="0.2">
      <c r="A765" s="75"/>
      <c r="B765" s="63"/>
      <c r="C765" s="63"/>
      <c r="D765" s="76"/>
      <c r="E765" s="75"/>
      <c r="F765" s="76"/>
      <c r="G765" s="93"/>
      <c r="H765" s="93"/>
      <c r="I765" s="76"/>
      <c r="J765" s="75"/>
      <c r="K765" s="63"/>
      <c r="L765" s="75"/>
      <c r="M765" s="76"/>
      <c r="N765" s="76"/>
      <c r="O765" s="78"/>
      <c r="P765" s="78"/>
    </row>
    <row r="766" spans="1:16" ht="17.25" customHeight="1" x14ac:dyDescent="0.2">
      <c r="A766" s="75"/>
      <c r="B766" s="63"/>
      <c r="C766" s="63"/>
      <c r="D766" s="76"/>
      <c r="E766" s="75"/>
      <c r="F766" s="76"/>
      <c r="G766" s="93"/>
      <c r="H766" s="93"/>
      <c r="I766" s="76"/>
      <c r="J766" s="75"/>
      <c r="K766" s="63"/>
      <c r="L766" s="75"/>
      <c r="M766" s="76"/>
      <c r="N766" s="76"/>
      <c r="O766" s="78"/>
      <c r="P766" s="78"/>
    </row>
    <row r="767" spans="1:16" ht="17.25" customHeight="1" x14ac:dyDescent="0.2">
      <c r="A767" s="75"/>
      <c r="B767" s="63"/>
      <c r="C767" s="63"/>
      <c r="D767" s="76"/>
      <c r="E767" s="75"/>
      <c r="F767" s="76"/>
      <c r="G767" s="93"/>
      <c r="H767" s="93"/>
      <c r="I767" s="76"/>
      <c r="J767" s="75"/>
      <c r="K767" s="63"/>
      <c r="L767" s="75"/>
      <c r="M767" s="76"/>
      <c r="N767" s="76"/>
      <c r="O767" s="78"/>
      <c r="P767" s="78"/>
    </row>
    <row r="768" spans="1:16" ht="17.25" customHeight="1" x14ac:dyDescent="0.2">
      <c r="A768" s="75"/>
      <c r="B768" s="63"/>
      <c r="C768" s="63"/>
      <c r="D768" s="76"/>
      <c r="E768" s="75"/>
      <c r="F768" s="76"/>
      <c r="G768" s="93"/>
      <c r="H768" s="93"/>
      <c r="I768" s="76"/>
      <c r="J768" s="75"/>
      <c r="K768" s="63"/>
      <c r="L768" s="75"/>
      <c r="M768" s="76"/>
      <c r="N768" s="76"/>
      <c r="O768" s="78"/>
      <c r="P768" s="78"/>
    </row>
    <row r="769" spans="1:16" ht="17.25" customHeight="1" x14ac:dyDescent="0.2">
      <c r="A769" s="75"/>
      <c r="B769" s="63"/>
      <c r="C769" s="63"/>
      <c r="D769" s="76"/>
      <c r="E769" s="75"/>
      <c r="F769" s="76"/>
      <c r="G769" s="93"/>
      <c r="H769" s="93"/>
      <c r="I769" s="76"/>
      <c r="J769" s="75"/>
      <c r="K769" s="63"/>
      <c r="L769" s="75"/>
      <c r="M769" s="76"/>
      <c r="N769" s="76"/>
      <c r="O769" s="78"/>
      <c r="P769" s="78"/>
    </row>
    <row r="770" spans="1:16" ht="17.25" customHeight="1" x14ac:dyDescent="0.2">
      <c r="A770" s="75"/>
      <c r="B770" s="63"/>
      <c r="C770" s="63"/>
      <c r="D770" s="76"/>
      <c r="E770" s="75"/>
      <c r="F770" s="76"/>
      <c r="G770" s="93"/>
      <c r="H770" s="93"/>
      <c r="I770" s="76"/>
      <c r="J770" s="75"/>
      <c r="K770" s="63"/>
      <c r="L770" s="75"/>
      <c r="M770" s="76"/>
      <c r="N770" s="76"/>
      <c r="O770" s="78"/>
      <c r="P770" s="78"/>
    </row>
    <row r="771" spans="1:16" ht="17.25" customHeight="1" x14ac:dyDescent="0.2">
      <c r="A771" s="75"/>
      <c r="B771" s="63"/>
      <c r="C771" s="63"/>
      <c r="D771" s="76"/>
      <c r="E771" s="75"/>
      <c r="F771" s="76"/>
      <c r="G771" s="93"/>
      <c r="H771" s="93"/>
      <c r="I771" s="76"/>
      <c r="J771" s="75"/>
      <c r="K771" s="63"/>
      <c r="L771" s="75"/>
      <c r="M771" s="76"/>
      <c r="N771" s="76"/>
      <c r="O771" s="78"/>
      <c r="P771" s="78"/>
    </row>
    <row r="772" spans="1:16" ht="17.25" customHeight="1" x14ac:dyDescent="0.2">
      <c r="A772" s="75"/>
      <c r="B772" s="63"/>
      <c r="C772" s="63"/>
      <c r="D772" s="76"/>
      <c r="E772" s="75"/>
      <c r="F772" s="76"/>
      <c r="G772" s="93"/>
      <c r="H772" s="93"/>
      <c r="I772" s="76"/>
      <c r="J772" s="75"/>
      <c r="K772" s="63"/>
      <c r="L772" s="75"/>
      <c r="M772" s="76"/>
      <c r="N772" s="76"/>
      <c r="O772" s="78"/>
      <c r="P772" s="78"/>
    </row>
    <row r="773" spans="1:16" ht="17.25" customHeight="1" x14ac:dyDescent="0.2">
      <c r="A773" s="75"/>
      <c r="B773" s="63"/>
      <c r="C773" s="63"/>
      <c r="D773" s="76"/>
      <c r="E773" s="75"/>
      <c r="F773" s="76"/>
      <c r="G773" s="93"/>
      <c r="H773" s="93"/>
      <c r="I773" s="76"/>
      <c r="J773" s="75"/>
      <c r="K773" s="63"/>
      <c r="L773" s="75"/>
      <c r="M773" s="76"/>
      <c r="N773" s="76"/>
      <c r="O773" s="78"/>
      <c r="P773" s="78"/>
    </row>
    <row r="774" spans="1:16" ht="17.25" customHeight="1" x14ac:dyDescent="0.2">
      <c r="A774" s="75"/>
      <c r="B774" s="63"/>
      <c r="C774" s="63"/>
      <c r="D774" s="76"/>
      <c r="E774" s="75"/>
      <c r="F774" s="76"/>
      <c r="G774" s="93"/>
      <c r="H774" s="93"/>
      <c r="I774" s="76"/>
      <c r="J774" s="75"/>
      <c r="K774" s="63"/>
      <c r="L774" s="75"/>
      <c r="M774" s="76"/>
      <c r="N774" s="76"/>
      <c r="O774" s="78"/>
      <c r="P774" s="78"/>
    </row>
    <row r="775" spans="1:16" ht="17.25" customHeight="1" x14ac:dyDescent="0.2">
      <c r="A775" s="75"/>
      <c r="B775" s="63"/>
      <c r="C775" s="63"/>
      <c r="D775" s="76"/>
      <c r="E775" s="75"/>
      <c r="F775" s="76"/>
      <c r="G775" s="93"/>
      <c r="H775" s="93"/>
      <c r="I775" s="76"/>
      <c r="J775" s="75"/>
      <c r="K775" s="63"/>
      <c r="L775" s="75"/>
      <c r="M775" s="76"/>
      <c r="N775" s="76"/>
      <c r="O775" s="78"/>
      <c r="P775" s="78"/>
    </row>
    <row r="776" spans="1:16" ht="17.25" customHeight="1" x14ac:dyDescent="0.2">
      <c r="A776" s="75"/>
      <c r="B776" s="63"/>
      <c r="C776" s="63"/>
      <c r="D776" s="76"/>
      <c r="E776" s="75"/>
      <c r="F776" s="76"/>
      <c r="G776" s="93"/>
      <c r="H776" s="93"/>
      <c r="I776" s="76"/>
      <c r="J776" s="75"/>
      <c r="K776" s="63"/>
      <c r="L776" s="75"/>
      <c r="M776" s="76"/>
      <c r="N776" s="76"/>
      <c r="O776" s="78"/>
      <c r="P776" s="78"/>
    </row>
    <row r="777" spans="1:16" ht="17.25" customHeight="1" x14ac:dyDescent="0.2">
      <c r="A777" s="75"/>
      <c r="B777" s="63"/>
      <c r="C777" s="63"/>
      <c r="D777" s="76"/>
      <c r="E777" s="75"/>
      <c r="F777" s="76"/>
      <c r="G777" s="93"/>
      <c r="H777" s="93"/>
      <c r="I777" s="76"/>
      <c r="J777" s="75"/>
      <c r="K777" s="63"/>
      <c r="L777" s="75"/>
      <c r="M777" s="76"/>
      <c r="N777" s="76"/>
      <c r="O777" s="78"/>
      <c r="P777" s="78"/>
    </row>
    <row r="778" spans="1:16" ht="17.25" customHeight="1" x14ac:dyDescent="0.2">
      <c r="A778" s="75"/>
      <c r="B778" s="63"/>
      <c r="C778" s="63"/>
      <c r="D778" s="76"/>
      <c r="E778" s="75"/>
      <c r="F778" s="76"/>
      <c r="G778" s="93"/>
      <c r="H778" s="93"/>
      <c r="I778" s="76"/>
      <c r="J778" s="75"/>
      <c r="K778" s="63"/>
      <c r="L778" s="75"/>
      <c r="M778" s="76"/>
      <c r="N778" s="76"/>
      <c r="O778" s="78"/>
      <c r="P778" s="78"/>
    </row>
    <row r="779" spans="1:16" ht="17.25" customHeight="1" x14ac:dyDescent="0.2">
      <c r="A779" s="75"/>
      <c r="B779" s="63"/>
      <c r="C779" s="63"/>
      <c r="D779" s="76"/>
      <c r="E779" s="75"/>
      <c r="F779" s="76"/>
      <c r="G779" s="93"/>
      <c r="H779" s="93"/>
      <c r="I779" s="76"/>
      <c r="J779" s="75"/>
      <c r="K779" s="63"/>
      <c r="L779" s="75"/>
      <c r="M779" s="76"/>
      <c r="N779" s="76"/>
      <c r="O779" s="78"/>
      <c r="P779" s="78"/>
    </row>
    <row r="780" spans="1:16" ht="17.25" customHeight="1" x14ac:dyDescent="0.2">
      <c r="A780" s="75"/>
      <c r="B780" s="63"/>
      <c r="C780" s="63"/>
      <c r="D780" s="76"/>
      <c r="E780" s="75"/>
      <c r="F780" s="76"/>
      <c r="G780" s="93"/>
      <c r="H780" s="93"/>
      <c r="I780" s="76"/>
      <c r="J780" s="75"/>
      <c r="K780" s="63"/>
      <c r="L780" s="75"/>
      <c r="M780" s="76"/>
      <c r="N780" s="76"/>
      <c r="O780" s="78"/>
      <c r="P780" s="78"/>
    </row>
    <row r="781" spans="1:16" ht="17.25" customHeight="1" x14ac:dyDescent="0.2">
      <c r="A781" s="75"/>
      <c r="B781" s="63"/>
      <c r="C781" s="63"/>
      <c r="D781" s="76"/>
      <c r="E781" s="75"/>
      <c r="F781" s="76"/>
      <c r="G781" s="93"/>
      <c r="H781" s="93"/>
      <c r="I781" s="76"/>
      <c r="J781" s="75"/>
      <c r="K781" s="63"/>
      <c r="L781" s="75"/>
      <c r="M781" s="76"/>
      <c r="N781" s="76"/>
      <c r="O781" s="78"/>
      <c r="P781" s="78"/>
    </row>
    <row r="782" spans="1:16" ht="17.25" customHeight="1" x14ac:dyDescent="0.2">
      <c r="A782" s="75"/>
      <c r="B782" s="63"/>
      <c r="C782" s="63"/>
      <c r="D782" s="76"/>
      <c r="E782" s="75"/>
      <c r="F782" s="76"/>
      <c r="G782" s="93"/>
      <c r="H782" s="93"/>
      <c r="I782" s="76"/>
      <c r="J782" s="75"/>
      <c r="K782" s="63"/>
      <c r="L782" s="75"/>
      <c r="M782" s="76"/>
      <c r="N782" s="76"/>
      <c r="O782" s="78"/>
      <c r="P782" s="78"/>
    </row>
    <row r="783" spans="1:16" ht="17.25" customHeight="1" x14ac:dyDescent="0.2">
      <c r="A783" s="75"/>
      <c r="B783" s="63"/>
      <c r="C783" s="63"/>
      <c r="D783" s="76"/>
      <c r="E783" s="75"/>
      <c r="F783" s="76"/>
      <c r="G783" s="93"/>
      <c r="H783" s="93"/>
      <c r="I783" s="76"/>
      <c r="J783" s="75"/>
      <c r="K783" s="63"/>
      <c r="L783" s="75"/>
      <c r="M783" s="76"/>
      <c r="N783" s="76"/>
      <c r="O783" s="78"/>
      <c r="P783" s="78"/>
    </row>
    <row r="784" spans="1:16" ht="17.25" customHeight="1" x14ac:dyDescent="0.2">
      <c r="A784" s="75"/>
      <c r="B784" s="63"/>
      <c r="C784" s="63"/>
      <c r="D784" s="76"/>
      <c r="E784" s="75"/>
      <c r="F784" s="76"/>
      <c r="G784" s="93"/>
      <c r="H784" s="93"/>
      <c r="I784" s="76"/>
      <c r="J784" s="75"/>
      <c r="K784" s="63"/>
      <c r="L784" s="75"/>
      <c r="M784" s="76"/>
      <c r="N784" s="76"/>
      <c r="O784" s="78"/>
      <c r="P784" s="78"/>
    </row>
    <row r="785" spans="1:16" ht="17.25" customHeight="1" x14ac:dyDescent="0.2">
      <c r="A785" s="75"/>
      <c r="B785" s="63"/>
      <c r="C785" s="63"/>
      <c r="D785" s="76"/>
      <c r="E785" s="75"/>
      <c r="F785" s="76"/>
      <c r="G785" s="93"/>
      <c r="H785" s="93"/>
      <c r="I785" s="76"/>
      <c r="J785" s="75"/>
      <c r="K785" s="63"/>
      <c r="L785" s="75"/>
      <c r="M785" s="76"/>
      <c r="N785" s="76"/>
      <c r="O785" s="78"/>
      <c r="P785" s="78"/>
    </row>
    <row r="786" spans="1:16" ht="17.25" customHeight="1" x14ac:dyDescent="0.2">
      <c r="A786" s="75"/>
      <c r="B786" s="63"/>
      <c r="C786" s="63"/>
      <c r="D786" s="76"/>
      <c r="E786" s="75"/>
      <c r="F786" s="76"/>
      <c r="G786" s="93"/>
      <c r="H786" s="93"/>
      <c r="I786" s="76"/>
      <c r="J786" s="75"/>
      <c r="K786" s="63"/>
      <c r="L786" s="75"/>
      <c r="M786" s="76"/>
      <c r="N786" s="76"/>
      <c r="O786" s="78"/>
      <c r="P786" s="78"/>
    </row>
    <row r="787" spans="1:16" ht="17.25" customHeight="1" x14ac:dyDescent="0.2">
      <c r="A787" s="75"/>
      <c r="B787" s="63"/>
      <c r="C787" s="63"/>
      <c r="D787" s="76"/>
      <c r="E787" s="75"/>
      <c r="F787" s="76"/>
      <c r="G787" s="93"/>
      <c r="H787" s="93"/>
      <c r="I787" s="76"/>
      <c r="J787" s="75"/>
      <c r="K787" s="63"/>
      <c r="L787" s="75"/>
      <c r="M787" s="76"/>
      <c r="N787" s="76"/>
      <c r="O787" s="78"/>
      <c r="P787" s="78"/>
    </row>
    <row r="788" spans="1:16" ht="17.25" customHeight="1" x14ac:dyDescent="0.2">
      <c r="A788" s="75"/>
      <c r="B788" s="63"/>
      <c r="C788" s="63"/>
      <c r="D788" s="76"/>
      <c r="E788" s="75"/>
      <c r="F788" s="76"/>
      <c r="G788" s="93"/>
      <c r="H788" s="93"/>
      <c r="I788" s="76"/>
      <c r="J788" s="75"/>
      <c r="K788" s="63"/>
      <c r="L788" s="75"/>
      <c r="M788" s="76"/>
      <c r="N788" s="76"/>
      <c r="O788" s="78"/>
      <c r="P788" s="78"/>
    </row>
    <row r="789" spans="1:16" ht="17.25" customHeight="1" x14ac:dyDescent="0.2">
      <c r="A789" s="75"/>
      <c r="B789" s="63"/>
      <c r="C789" s="63"/>
      <c r="D789" s="76"/>
      <c r="E789" s="75"/>
      <c r="F789" s="76"/>
      <c r="G789" s="93"/>
      <c r="H789" s="93"/>
      <c r="I789" s="76"/>
      <c r="J789" s="75"/>
      <c r="K789" s="63"/>
      <c r="L789" s="75"/>
      <c r="M789" s="76"/>
      <c r="N789" s="76"/>
      <c r="O789" s="78"/>
      <c r="P789" s="78"/>
    </row>
    <row r="790" spans="1:16" ht="17.25" customHeight="1" x14ac:dyDescent="0.2">
      <c r="A790" s="75"/>
      <c r="B790" s="63"/>
      <c r="C790" s="63"/>
      <c r="D790" s="76"/>
      <c r="E790" s="75"/>
      <c r="F790" s="76"/>
      <c r="G790" s="93"/>
      <c r="H790" s="93"/>
      <c r="I790" s="76"/>
      <c r="J790" s="75"/>
      <c r="K790" s="63"/>
      <c r="L790" s="75"/>
      <c r="M790" s="76"/>
      <c r="N790" s="76"/>
      <c r="O790" s="78"/>
      <c r="P790" s="78"/>
    </row>
    <row r="791" spans="1:16" ht="17.25" customHeight="1" x14ac:dyDescent="0.2">
      <c r="A791" s="75"/>
      <c r="B791" s="63"/>
      <c r="C791" s="63"/>
      <c r="D791" s="76"/>
      <c r="E791" s="75"/>
      <c r="F791" s="76"/>
      <c r="G791" s="93"/>
      <c r="H791" s="93"/>
      <c r="I791" s="76"/>
      <c r="J791" s="75"/>
      <c r="K791" s="63"/>
      <c r="L791" s="75"/>
      <c r="M791" s="76"/>
      <c r="N791" s="76"/>
      <c r="O791" s="78"/>
      <c r="P791" s="78"/>
    </row>
    <row r="792" spans="1:16" ht="17.25" customHeight="1" x14ac:dyDescent="0.2">
      <c r="A792" s="75"/>
      <c r="B792" s="63"/>
      <c r="C792" s="63"/>
      <c r="D792" s="76"/>
      <c r="E792" s="75"/>
      <c r="F792" s="76"/>
      <c r="G792" s="93"/>
      <c r="H792" s="93"/>
      <c r="I792" s="76"/>
      <c r="J792" s="75"/>
      <c r="K792" s="63"/>
      <c r="L792" s="75"/>
      <c r="M792" s="76"/>
      <c r="N792" s="76"/>
      <c r="O792" s="78"/>
      <c r="P792" s="78"/>
    </row>
    <row r="793" spans="1:16" ht="17.25" customHeight="1" x14ac:dyDescent="0.2">
      <c r="A793" s="75"/>
      <c r="B793" s="63"/>
      <c r="C793" s="63"/>
      <c r="D793" s="76"/>
      <c r="E793" s="75"/>
      <c r="F793" s="76"/>
      <c r="G793" s="93"/>
      <c r="H793" s="93"/>
      <c r="I793" s="76"/>
      <c r="J793" s="75"/>
      <c r="K793" s="63"/>
      <c r="L793" s="75"/>
      <c r="M793" s="76"/>
      <c r="N793" s="76"/>
      <c r="O793" s="78"/>
      <c r="P793" s="78"/>
    </row>
    <row r="794" spans="1:16" ht="17.25" customHeight="1" x14ac:dyDescent="0.2">
      <c r="A794" s="75"/>
      <c r="B794" s="63"/>
      <c r="C794" s="63"/>
      <c r="D794" s="76"/>
      <c r="E794" s="75"/>
      <c r="F794" s="76"/>
      <c r="G794" s="93"/>
      <c r="H794" s="93"/>
      <c r="I794" s="76"/>
      <c r="J794" s="75"/>
      <c r="K794" s="63"/>
      <c r="L794" s="75"/>
      <c r="M794" s="76"/>
      <c r="N794" s="76"/>
      <c r="O794" s="78"/>
      <c r="P794" s="78"/>
    </row>
    <row r="795" spans="1:16" ht="17.25" customHeight="1" x14ac:dyDescent="0.2">
      <c r="A795" s="75"/>
      <c r="B795" s="63"/>
      <c r="C795" s="63"/>
      <c r="D795" s="76"/>
      <c r="E795" s="75"/>
      <c r="F795" s="76"/>
      <c r="G795" s="93"/>
      <c r="H795" s="93"/>
      <c r="I795" s="76"/>
      <c r="J795" s="75"/>
      <c r="K795" s="63"/>
      <c r="L795" s="75"/>
      <c r="M795" s="76"/>
      <c r="N795" s="76"/>
      <c r="O795" s="78"/>
      <c r="P795" s="78"/>
    </row>
    <row r="796" spans="1:16" ht="17.25" customHeight="1" x14ac:dyDescent="0.2">
      <c r="A796" s="75"/>
      <c r="B796" s="63"/>
      <c r="C796" s="63"/>
      <c r="D796" s="76"/>
      <c r="E796" s="75"/>
      <c r="F796" s="76"/>
      <c r="G796" s="93"/>
      <c r="H796" s="93"/>
      <c r="I796" s="76"/>
      <c r="J796" s="75"/>
      <c r="K796" s="63"/>
      <c r="L796" s="75"/>
      <c r="M796" s="76"/>
      <c r="N796" s="76"/>
      <c r="O796" s="78"/>
      <c r="P796" s="78"/>
    </row>
    <row r="797" spans="1:16" ht="17.25" customHeight="1" x14ac:dyDescent="0.2">
      <c r="A797" s="75"/>
      <c r="B797" s="63"/>
      <c r="C797" s="63"/>
      <c r="D797" s="76"/>
      <c r="E797" s="75"/>
      <c r="F797" s="76"/>
      <c r="G797" s="93"/>
      <c r="H797" s="93"/>
      <c r="I797" s="76"/>
      <c r="J797" s="75"/>
      <c r="K797" s="63"/>
      <c r="L797" s="75"/>
      <c r="M797" s="76"/>
      <c r="N797" s="76"/>
      <c r="O797" s="78"/>
      <c r="P797" s="78"/>
    </row>
    <row r="798" spans="1:16" ht="17.25" customHeight="1" x14ac:dyDescent="0.2">
      <c r="A798" s="75"/>
      <c r="B798" s="63"/>
      <c r="C798" s="63"/>
      <c r="D798" s="76"/>
      <c r="E798" s="75"/>
      <c r="F798" s="76"/>
      <c r="G798" s="93"/>
      <c r="H798" s="93"/>
      <c r="I798" s="76"/>
      <c r="J798" s="75"/>
      <c r="K798" s="63"/>
      <c r="L798" s="75"/>
      <c r="M798" s="76"/>
      <c r="N798" s="76"/>
      <c r="O798" s="78"/>
      <c r="P798" s="78"/>
    </row>
    <row r="799" spans="1:16" ht="17.25" customHeight="1" x14ac:dyDescent="0.2">
      <c r="A799" s="75"/>
      <c r="B799" s="63"/>
      <c r="C799" s="63"/>
      <c r="D799" s="76"/>
      <c r="E799" s="75"/>
      <c r="F799" s="76"/>
      <c r="G799" s="93"/>
      <c r="H799" s="93"/>
      <c r="I799" s="76"/>
      <c r="J799" s="75"/>
      <c r="K799" s="63"/>
      <c r="L799" s="75"/>
      <c r="M799" s="76"/>
      <c r="N799" s="76"/>
      <c r="O799" s="78"/>
      <c r="P799" s="78"/>
    </row>
    <row r="800" spans="1:16" ht="17.25" customHeight="1" x14ac:dyDescent="0.2">
      <c r="A800" s="75"/>
      <c r="B800" s="63"/>
      <c r="C800" s="63"/>
      <c r="D800" s="76"/>
      <c r="E800" s="75"/>
      <c r="F800" s="76"/>
      <c r="G800" s="93"/>
      <c r="H800" s="93"/>
      <c r="I800" s="76"/>
      <c r="J800" s="75"/>
      <c r="K800" s="63"/>
      <c r="L800" s="75"/>
      <c r="M800" s="76"/>
      <c r="N800" s="76"/>
      <c r="O800" s="78"/>
      <c r="P800" s="78"/>
    </row>
    <row r="801" spans="1:16" ht="17.25" customHeight="1" x14ac:dyDescent="0.2">
      <c r="A801" s="75"/>
      <c r="B801" s="63"/>
      <c r="C801" s="63"/>
      <c r="D801" s="76"/>
      <c r="E801" s="75"/>
      <c r="F801" s="76"/>
      <c r="G801" s="93"/>
      <c r="H801" s="93"/>
      <c r="I801" s="76"/>
      <c r="J801" s="75"/>
      <c r="K801" s="63"/>
      <c r="L801" s="75"/>
      <c r="M801" s="76"/>
      <c r="N801" s="76"/>
      <c r="O801" s="78"/>
      <c r="P801" s="78"/>
    </row>
    <row r="802" spans="1:16" ht="17.25" customHeight="1" x14ac:dyDescent="0.2">
      <c r="A802" s="75"/>
      <c r="B802" s="63"/>
      <c r="C802" s="63"/>
      <c r="D802" s="76"/>
      <c r="E802" s="75"/>
      <c r="F802" s="76"/>
      <c r="G802" s="93"/>
      <c r="H802" s="93"/>
      <c r="I802" s="76"/>
      <c r="J802" s="75"/>
      <c r="K802" s="63"/>
      <c r="L802" s="75"/>
      <c r="M802" s="76"/>
      <c r="N802" s="76"/>
      <c r="O802" s="78"/>
      <c r="P802" s="78"/>
    </row>
    <row r="803" spans="1:16" ht="17.25" customHeight="1" x14ac:dyDescent="0.2">
      <c r="A803" s="75"/>
      <c r="B803" s="63"/>
      <c r="C803" s="63"/>
      <c r="D803" s="76"/>
      <c r="E803" s="75"/>
      <c r="F803" s="76"/>
      <c r="G803" s="93"/>
      <c r="H803" s="93"/>
      <c r="I803" s="76"/>
      <c r="J803" s="75"/>
      <c r="K803" s="63"/>
      <c r="L803" s="75"/>
      <c r="M803" s="76"/>
      <c r="N803" s="76"/>
      <c r="O803" s="78"/>
      <c r="P803" s="78"/>
    </row>
    <row r="804" spans="1:16" ht="17.25" customHeight="1" x14ac:dyDescent="0.2">
      <c r="A804" s="75"/>
      <c r="B804" s="63"/>
      <c r="C804" s="63"/>
      <c r="D804" s="76"/>
      <c r="E804" s="75"/>
      <c r="F804" s="76"/>
      <c r="G804" s="93"/>
      <c r="H804" s="93"/>
      <c r="I804" s="76"/>
      <c r="J804" s="75"/>
      <c r="K804" s="63"/>
      <c r="L804" s="75"/>
      <c r="M804" s="76"/>
      <c r="N804" s="76"/>
      <c r="O804" s="78"/>
      <c r="P804" s="78"/>
    </row>
    <row r="805" spans="1:16" ht="17.25" customHeight="1" x14ac:dyDescent="0.2">
      <c r="A805" s="75"/>
      <c r="B805" s="63"/>
      <c r="C805" s="63"/>
      <c r="D805" s="76"/>
      <c r="E805" s="75"/>
      <c r="F805" s="76"/>
      <c r="G805" s="93"/>
      <c r="H805" s="93"/>
      <c r="I805" s="76"/>
      <c r="J805" s="75"/>
      <c r="K805" s="63"/>
      <c r="L805" s="75"/>
      <c r="M805" s="76"/>
      <c r="N805" s="76"/>
      <c r="O805" s="78"/>
      <c r="P805" s="78"/>
    </row>
    <row r="806" spans="1:16" ht="17.25" customHeight="1" x14ac:dyDescent="0.2">
      <c r="A806" s="75"/>
      <c r="B806" s="63"/>
      <c r="C806" s="63"/>
      <c r="D806" s="76"/>
      <c r="E806" s="75"/>
      <c r="F806" s="76"/>
      <c r="G806" s="93"/>
      <c r="H806" s="93"/>
      <c r="I806" s="76"/>
      <c r="J806" s="75"/>
      <c r="K806" s="63"/>
      <c r="L806" s="75"/>
      <c r="M806" s="76"/>
      <c r="N806" s="76"/>
      <c r="O806" s="78"/>
      <c r="P806" s="78"/>
    </row>
    <row r="807" spans="1:16" ht="17.25" customHeight="1" x14ac:dyDescent="0.2">
      <c r="A807" s="75"/>
      <c r="B807" s="63"/>
      <c r="C807" s="63"/>
      <c r="D807" s="76"/>
      <c r="E807" s="75"/>
      <c r="F807" s="76"/>
      <c r="G807" s="93"/>
      <c r="H807" s="93"/>
      <c r="I807" s="76"/>
      <c r="J807" s="75"/>
      <c r="K807" s="63"/>
      <c r="L807" s="75"/>
      <c r="M807" s="76"/>
      <c r="N807" s="76"/>
      <c r="O807" s="78"/>
      <c r="P807" s="78"/>
    </row>
    <row r="808" spans="1:16" ht="17.25" customHeight="1" x14ac:dyDescent="0.2">
      <c r="A808" s="75"/>
      <c r="B808" s="63"/>
      <c r="C808" s="63"/>
      <c r="D808" s="76"/>
      <c r="E808" s="75"/>
      <c r="F808" s="76"/>
      <c r="G808" s="93"/>
      <c r="H808" s="93"/>
      <c r="I808" s="76"/>
      <c r="J808" s="75"/>
      <c r="K808" s="63"/>
      <c r="L808" s="75"/>
      <c r="M808" s="76"/>
      <c r="N808" s="76"/>
      <c r="O808" s="78"/>
      <c r="P808" s="78"/>
    </row>
    <row r="809" spans="1:16" ht="17.25" customHeight="1" x14ac:dyDescent="0.2">
      <c r="A809" s="75"/>
      <c r="B809" s="63"/>
      <c r="C809" s="63"/>
      <c r="D809" s="76"/>
      <c r="E809" s="75"/>
      <c r="F809" s="76"/>
      <c r="G809" s="93"/>
      <c r="H809" s="93"/>
      <c r="I809" s="76"/>
      <c r="J809" s="75"/>
      <c r="K809" s="63"/>
      <c r="L809" s="75"/>
      <c r="M809" s="76"/>
      <c r="N809" s="76"/>
      <c r="O809" s="78"/>
      <c r="P809" s="78"/>
    </row>
    <row r="810" spans="1:16" ht="17.25" customHeight="1" x14ac:dyDescent="0.2">
      <c r="A810" s="75"/>
      <c r="B810" s="63"/>
      <c r="C810" s="63"/>
      <c r="D810" s="76"/>
      <c r="E810" s="75"/>
      <c r="F810" s="76"/>
      <c r="G810" s="93"/>
      <c r="H810" s="93"/>
      <c r="I810" s="76"/>
      <c r="J810" s="75"/>
      <c r="K810" s="63"/>
      <c r="L810" s="75"/>
      <c r="M810" s="76"/>
      <c r="N810" s="76"/>
      <c r="O810" s="78"/>
      <c r="P810" s="78"/>
    </row>
    <row r="811" spans="1:16" ht="17.25" customHeight="1" x14ac:dyDescent="0.2">
      <c r="A811" s="75"/>
      <c r="B811" s="63"/>
      <c r="C811" s="63"/>
      <c r="D811" s="76"/>
      <c r="E811" s="75"/>
      <c r="F811" s="76"/>
      <c r="G811" s="93"/>
      <c r="H811" s="93"/>
      <c r="I811" s="76"/>
      <c r="J811" s="75"/>
      <c r="K811" s="63"/>
      <c r="L811" s="75"/>
      <c r="M811" s="76"/>
      <c r="N811" s="76"/>
      <c r="O811" s="78"/>
      <c r="P811" s="78"/>
    </row>
    <row r="812" spans="1:16" ht="17.25" customHeight="1" x14ac:dyDescent="0.2">
      <c r="A812" s="75"/>
      <c r="B812" s="63"/>
      <c r="C812" s="63"/>
      <c r="D812" s="76"/>
      <c r="E812" s="75"/>
      <c r="F812" s="76"/>
      <c r="G812" s="93"/>
      <c r="H812" s="93"/>
      <c r="I812" s="76"/>
      <c r="J812" s="75"/>
      <c r="K812" s="63"/>
      <c r="L812" s="75"/>
      <c r="M812" s="76"/>
      <c r="N812" s="76"/>
      <c r="O812" s="78"/>
      <c r="P812" s="78"/>
    </row>
    <row r="813" spans="1:16" ht="17.25" customHeight="1" x14ac:dyDescent="0.2">
      <c r="A813" s="75"/>
      <c r="B813" s="63"/>
      <c r="C813" s="63"/>
      <c r="D813" s="76"/>
      <c r="E813" s="75"/>
      <c r="F813" s="76"/>
      <c r="G813" s="93"/>
      <c r="H813" s="93"/>
      <c r="I813" s="76"/>
      <c r="J813" s="75"/>
      <c r="K813" s="63"/>
      <c r="L813" s="75"/>
      <c r="M813" s="76"/>
      <c r="N813" s="76"/>
      <c r="O813" s="78"/>
      <c r="P813" s="78"/>
    </row>
    <row r="814" spans="1:16" ht="17.25" customHeight="1" x14ac:dyDescent="0.2">
      <c r="A814" s="75"/>
      <c r="B814" s="63"/>
      <c r="C814" s="63"/>
      <c r="D814" s="76"/>
      <c r="E814" s="75"/>
      <c r="F814" s="76"/>
      <c r="G814" s="93"/>
      <c r="H814" s="93"/>
      <c r="I814" s="76"/>
      <c r="J814" s="75"/>
      <c r="K814" s="63"/>
      <c r="L814" s="75"/>
      <c r="M814" s="76"/>
      <c r="N814" s="76"/>
      <c r="O814" s="78"/>
      <c r="P814" s="78"/>
    </row>
    <row r="815" spans="1:16" ht="17.25" customHeight="1" x14ac:dyDescent="0.2">
      <c r="A815" s="75"/>
      <c r="B815" s="63"/>
      <c r="C815" s="63"/>
      <c r="D815" s="76"/>
      <c r="E815" s="75"/>
      <c r="F815" s="76"/>
      <c r="G815" s="93"/>
      <c r="H815" s="93"/>
      <c r="I815" s="76"/>
      <c r="J815" s="75"/>
      <c r="K815" s="63"/>
      <c r="L815" s="75"/>
      <c r="M815" s="76"/>
      <c r="N815" s="76"/>
      <c r="O815" s="78"/>
      <c r="P815" s="78"/>
    </row>
    <row r="816" spans="1:16" ht="17.25" customHeight="1" x14ac:dyDescent="0.2">
      <c r="A816" s="75"/>
      <c r="B816" s="63"/>
      <c r="C816" s="63"/>
      <c r="D816" s="76"/>
      <c r="E816" s="75"/>
      <c r="F816" s="76"/>
      <c r="G816" s="93"/>
      <c r="H816" s="93"/>
      <c r="I816" s="76"/>
      <c r="J816" s="75"/>
      <c r="K816" s="63"/>
      <c r="L816" s="75"/>
      <c r="M816" s="76"/>
      <c r="N816" s="76"/>
      <c r="O816" s="78"/>
      <c r="P816" s="78"/>
    </row>
    <row r="817" spans="1:16" ht="17.25" customHeight="1" x14ac:dyDescent="0.2">
      <c r="A817" s="75"/>
      <c r="B817" s="63"/>
      <c r="C817" s="63"/>
      <c r="D817" s="76"/>
      <c r="E817" s="75"/>
      <c r="F817" s="76"/>
      <c r="G817" s="93"/>
      <c r="H817" s="93"/>
      <c r="I817" s="76"/>
      <c r="J817" s="75"/>
      <c r="K817" s="63"/>
      <c r="L817" s="75"/>
      <c r="M817" s="76"/>
      <c r="N817" s="76"/>
      <c r="O817" s="78"/>
      <c r="P817" s="78"/>
    </row>
    <row r="818" spans="1:16" ht="17.25" customHeight="1" x14ac:dyDescent="0.2">
      <c r="A818" s="75"/>
      <c r="B818" s="63"/>
      <c r="C818" s="63"/>
      <c r="D818" s="76"/>
      <c r="E818" s="75"/>
      <c r="F818" s="76"/>
      <c r="G818" s="93"/>
      <c r="H818" s="93"/>
      <c r="I818" s="76"/>
      <c r="J818" s="75"/>
      <c r="K818" s="63"/>
      <c r="L818" s="75"/>
      <c r="M818" s="76"/>
      <c r="N818" s="76"/>
      <c r="O818" s="78"/>
      <c r="P818" s="78"/>
    </row>
    <row r="819" spans="1:16" ht="17.25" customHeight="1" x14ac:dyDescent="0.2">
      <c r="A819" s="75"/>
      <c r="B819" s="63"/>
      <c r="C819" s="63"/>
      <c r="D819" s="76"/>
      <c r="E819" s="75"/>
      <c r="F819" s="76"/>
      <c r="G819" s="93"/>
      <c r="H819" s="93"/>
      <c r="I819" s="76"/>
      <c r="J819" s="75"/>
      <c r="K819" s="63"/>
      <c r="L819" s="75"/>
      <c r="M819" s="76"/>
      <c r="N819" s="76"/>
      <c r="O819" s="78"/>
      <c r="P819" s="78"/>
    </row>
    <row r="820" spans="1:16" ht="17.25" customHeight="1" x14ac:dyDescent="0.2">
      <c r="A820" s="75"/>
      <c r="B820" s="63"/>
      <c r="C820" s="63"/>
      <c r="D820" s="76"/>
      <c r="E820" s="75"/>
      <c r="F820" s="76"/>
      <c r="G820" s="93"/>
      <c r="H820" s="93"/>
      <c r="I820" s="76"/>
      <c r="J820" s="75"/>
      <c r="K820" s="63"/>
      <c r="L820" s="75"/>
      <c r="M820" s="76"/>
      <c r="N820" s="76"/>
      <c r="O820" s="78"/>
      <c r="P820" s="78"/>
    </row>
    <row r="821" spans="1:16" ht="17.25" customHeight="1" x14ac:dyDescent="0.2">
      <c r="A821" s="75"/>
      <c r="B821" s="63"/>
      <c r="C821" s="63"/>
      <c r="D821" s="76"/>
      <c r="E821" s="75"/>
      <c r="F821" s="76"/>
      <c r="G821" s="93"/>
      <c r="H821" s="93"/>
      <c r="I821" s="76"/>
      <c r="J821" s="75"/>
      <c r="K821" s="63"/>
      <c r="L821" s="75"/>
      <c r="M821" s="76"/>
      <c r="N821" s="76"/>
      <c r="O821" s="78"/>
      <c r="P821" s="78"/>
    </row>
    <row r="822" spans="1:16" ht="17.25" customHeight="1" x14ac:dyDescent="0.2">
      <c r="A822" s="75"/>
      <c r="B822" s="63"/>
      <c r="C822" s="63"/>
      <c r="D822" s="76"/>
      <c r="E822" s="75"/>
      <c r="F822" s="76"/>
      <c r="G822" s="93"/>
      <c r="H822" s="93"/>
      <c r="I822" s="76"/>
      <c r="J822" s="75"/>
      <c r="K822" s="63"/>
      <c r="L822" s="75"/>
      <c r="M822" s="76"/>
      <c r="N822" s="76"/>
      <c r="O822" s="78"/>
      <c r="P822" s="78"/>
    </row>
    <row r="823" spans="1:16" ht="17.25" customHeight="1" x14ac:dyDescent="0.2">
      <c r="A823" s="75"/>
      <c r="B823" s="63"/>
      <c r="C823" s="63"/>
      <c r="D823" s="76"/>
      <c r="E823" s="75"/>
      <c r="F823" s="76"/>
      <c r="G823" s="93"/>
      <c r="H823" s="93"/>
      <c r="I823" s="76"/>
      <c r="J823" s="75"/>
      <c r="K823" s="63"/>
      <c r="L823" s="75"/>
      <c r="M823" s="76"/>
      <c r="N823" s="76"/>
      <c r="O823" s="78"/>
      <c r="P823" s="78"/>
    </row>
    <row r="824" spans="1:16" ht="17.25" customHeight="1" x14ac:dyDescent="0.2">
      <c r="A824" s="75"/>
      <c r="B824" s="63"/>
      <c r="C824" s="63"/>
      <c r="D824" s="76"/>
      <c r="E824" s="75"/>
      <c r="F824" s="76"/>
      <c r="G824" s="93"/>
      <c r="H824" s="93"/>
      <c r="I824" s="76"/>
      <c r="J824" s="75"/>
      <c r="K824" s="63"/>
      <c r="L824" s="75"/>
      <c r="M824" s="76"/>
      <c r="N824" s="76"/>
      <c r="O824" s="78"/>
      <c r="P824" s="78"/>
    </row>
    <row r="825" spans="1:16" ht="17.25" customHeight="1" x14ac:dyDescent="0.2">
      <c r="A825" s="75"/>
      <c r="B825" s="63"/>
      <c r="C825" s="63"/>
      <c r="D825" s="76"/>
      <c r="E825" s="75"/>
      <c r="F825" s="76"/>
      <c r="G825" s="93"/>
      <c r="H825" s="93"/>
      <c r="I825" s="76"/>
      <c r="J825" s="75"/>
      <c r="K825" s="63"/>
      <c r="L825" s="75"/>
      <c r="M825" s="76"/>
      <c r="N825" s="76"/>
      <c r="O825" s="78"/>
      <c r="P825" s="78"/>
    </row>
    <row r="826" spans="1:16" ht="17.25" customHeight="1" x14ac:dyDescent="0.2">
      <c r="A826" s="75"/>
      <c r="B826" s="63"/>
      <c r="C826" s="63"/>
      <c r="D826" s="76"/>
      <c r="E826" s="75"/>
      <c r="F826" s="76"/>
      <c r="G826" s="93"/>
      <c r="H826" s="93"/>
      <c r="I826" s="76"/>
      <c r="J826" s="75"/>
      <c r="K826" s="63"/>
      <c r="L826" s="75"/>
      <c r="M826" s="76"/>
      <c r="N826" s="76"/>
      <c r="O826" s="78"/>
      <c r="P826" s="78"/>
    </row>
    <row r="827" spans="1:16" ht="17.25" customHeight="1" x14ac:dyDescent="0.2">
      <c r="A827" s="75"/>
      <c r="B827" s="63"/>
      <c r="C827" s="63"/>
      <c r="D827" s="76"/>
      <c r="E827" s="75"/>
      <c r="F827" s="76"/>
      <c r="G827" s="93"/>
      <c r="H827" s="93"/>
      <c r="I827" s="76"/>
      <c r="J827" s="75"/>
      <c r="K827" s="63"/>
      <c r="L827" s="75"/>
      <c r="M827" s="76"/>
      <c r="N827" s="76"/>
      <c r="O827" s="78"/>
      <c r="P827" s="78"/>
    </row>
    <row r="828" spans="1:16" ht="17.25" customHeight="1" x14ac:dyDescent="0.2">
      <c r="A828" s="75"/>
      <c r="B828" s="63"/>
      <c r="C828" s="63"/>
      <c r="D828" s="76"/>
      <c r="E828" s="75"/>
      <c r="F828" s="76"/>
      <c r="G828" s="93"/>
      <c r="H828" s="93"/>
      <c r="I828" s="76"/>
      <c r="J828" s="75"/>
      <c r="K828" s="63"/>
      <c r="L828" s="75"/>
      <c r="M828" s="76"/>
      <c r="N828" s="76"/>
      <c r="O828" s="78"/>
      <c r="P828" s="78"/>
    </row>
    <row r="829" spans="1:16" ht="17.25" customHeight="1" x14ac:dyDescent="0.2">
      <c r="A829" s="75"/>
      <c r="B829" s="63"/>
      <c r="C829" s="63"/>
      <c r="D829" s="76"/>
      <c r="E829" s="75"/>
      <c r="F829" s="76"/>
      <c r="G829" s="93"/>
      <c r="H829" s="93"/>
      <c r="I829" s="76"/>
      <c r="J829" s="75"/>
      <c r="K829" s="63"/>
      <c r="L829" s="75"/>
      <c r="M829" s="76"/>
      <c r="N829" s="76"/>
      <c r="O829" s="78"/>
      <c r="P829" s="78"/>
    </row>
    <row r="830" spans="1:16" ht="17.25" customHeight="1" x14ac:dyDescent="0.2">
      <c r="A830" s="75"/>
      <c r="B830" s="63"/>
      <c r="C830" s="63"/>
      <c r="D830" s="76"/>
      <c r="E830" s="75"/>
      <c r="F830" s="76"/>
      <c r="G830" s="93"/>
      <c r="H830" s="93"/>
      <c r="I830" s="76"/>
      <c r="J830" s="75"/>
      <c r="K830" s="63"/>
      <c r="L830" s="75"/>
      <c r="M830" s="76"/>
      <c r="N830" s="76"/>
      <c r="O830" s="78"/>
      <c r="P830" s="78"/>
    </row>
    <row r="831" spans="1:16" ht="17.25" customHeight="1" x14ac:dyDescent="0.2">
      <c r="A831" s="75"/>
      <c r="B831" s="63"/>
      <c r="C831" s="63"/>
      <c r="D831" s="76"/>
      <c r="E831" s="75"/>
      <c r="F831" s="76"/>
      <c r="G831" s="93"/>
      <c r="H831" s="93"/>
      <c r="I831" s="76"/>
      <c r="J831" s="75"/>
      <c r="K831" s="63"/>
      <c r="L831" s="75"/>
      <c r="M831" s="76"/>
      <c r="N831" s="76"/>
      <c r="O831" s="78"/>
      <c r="P831" s="78"/>
    </row>
    <row r="832" spans="1:16" ht="17.25" customHeight="1" x14ac:dyDescent="0.2">
      <c r="A832" s="75"/>
      <c r="B832" s="63"/>
      <c r="C832" s="63"/>
      <c r="D832" s="76"/>
      <c r="E832" s="75"/>
      <c r="F832" s="76"/>
      <c r="G832" s="93"/>
      <c r="H832" s="93"/>
      <c r="I832" s="76"/>
      <c r="J832" s="75"/>
      <c r="K832" s="63"/>
      <c r="L832" s="75"/>
      <c r="M832" s="76"/>
      <c r="N832" s="76"/>
      <c r="O832" s="78"/>
      <c r="P832" s="78"/>
    </row>
    <row r="833" spans="1:16" ht="17.25" customHeight="1" x14ac:dyDescent="0.2">
      <c r="A833" s="75"/>
      <c r="B833" s="63"/>
      <c r="C833" s="63"/>
      <c r="D833" s="76"/>
      <c r="E833" s="75"/>
      <c r="F833" s="76"/>
      <c r="G833" s="93"/>
      <c r="H833" s="93"/>
      <c r="I833" s="76"/>
      <c r="J833" s="75"/>
      <c r="K833" s="63"/>
      <c r="L833" s="75"/>
      <c r="M833" s="76"/>
      <c r="N833" s="76"/>
      <c r="O833" s="78"/>
      <c r="P833" s="78"/>
    </row>
    <row r="834" spans="1:16" ht="17.25" customHeight="1" x14ac:dyDescent="0.2">
      <c r="A834" s="75"/>
      <c r="B834" s="63"/>
      <c r="C834" s="63"/>
      <c r="D834" s="76"/>
      <c r="E834" s="75"/>
      <c r="F834" s="76"/>
      <c r="G834" s="93"/>
      <c r="H834" s="93"/>
      <c r="I834" s="76"/>
      <c r="J834" s="75"/>
      <c r="K834" s="63"/>
      <c r="L834" s="75"/>
      <c r="M834" s="76"/>
      <c r="N834" s="76"/>
      <c r="O834" s="78"/>
      <c r="P834" s="78"/>
    </row>
    <row r="835" spans="1:16" ht="17.25" customHeight="1" x14ac:dyDescent="0.2">
      <c r="A835" s="75"/>
      <c r="B835" s="63"/>
      <c r="C835" s="63"/>
      <c r="D835" s="76"/>
      <c r="E835" s="75"/>
      <c r="F835" s="76"/>
      <c r="G835" s="93"/>
      <c r="H835" s="93"/>
      <c r="I835" s="76"/>
      <c r="J835" s="75"/>
      <c r="K835" s="63"/>
      <c r="L835" s="75"/>
      <c r="M835" s="76"/>
      <c r="N835" s="76"/>
      <c r="O835" s="78"/>
      <c r="P835" s="78"/>
    </row>
    <row r="836" spans="1:16" ht="17.25" customHeight="1" x14ac:dyDescent="0.2">
      <c r="A836" s="75"/>
      <c r="B836" s="63"/>
      <c r="C836" s="63"/>
      <c r="D836" s="76"/>
      <c r="E836" s="75"/>
      <c r="F836" s="76"/>
      <c r="G836" s="93"/>
      <c r="H836" s="93"/>
      <c r="I836" s="76"/>
      <c r="J836" s="75"/>
      <c r="K836" s="63"/>
      <c r="L836" s="75"/>
      <c r="M836" s="76"/>
      <c r="N836" s="76"/>
      <c r="O836" s="78"/>
      <c r="P836" s="78"/>
    </row>
    <row r="837" spans="1:16" ht="17.25" customHeight="1" x14ac:dyDescent="0.2">
      <c r="A837" s="75"/>
      <c r="B837" s="63"/>
      <c r="C837" s="63"/>
      <c r="D837" s="76"/>
      <c r="E837" s="75"/>
      <c r="F837" s="76"/>
      <c r="G837" s="93"/>
      <c r="H837" s="93"/>
      <c r="I837" s="76"/>
      <c r="J837" s="75"/>
      <c r="K837" s="63"/>
      <c r="L837" s="75"/>
      <c r="M837" s="76"/>
      <c r="N837" s="76"/>
      <c r="O837" s="78"/>
      <c r="P837" s="78"/>
    </row>
    <row r="838" spans="1:16" ht="17.25" customHeight="1" x14ac:dyDescent="0.2">
      <c r="A838" s="75"/>
      <c r="B838" s="63"/>
      <c r="C838" s="63"/>
      <c r="D838" s="76"/>
      <c r="E838" s="75"/>
      <c r="F838" s="76"/>
      <c r="G838" s="93"/>
      <c r="H838" s="93"/>
      <c r="I838" s="76"/>
      <c r="J838" s="75"/>
      <c r="K838" s="63"/>
      <c r="L838" s="75"/>
      <c r="M838" s="76"/>
      <c r="N838" s="76"/>
      <c r="O838" s="78"/>
      <c r="P838" s="78"/>
    </row>
    <row r="839" spans="1:16" ht="17.25" customHeight="1" x14ac:dyDescent="0.2">
      <c r="A839" s="75"/>
      <c r="B839" s="63"/>
      <c r="C839" s="63"/>
      <c r="D839" s="76"/>
      <c r="E839" s="75"/>
      <c r="F839" s="76"/>
      <c r="G839" s="93"/>
      <c r="H839" s="93"/>
      <c r="I839" s="76"/>
      <c r="J839" s="75"/>
      <c r="K839" s="63"/>
      <c r="L839" s="75"/>
      <c r="M839" s="76"/>
      <c r="N839" s="76"/>
      <c r="O839" s="78"/>
      <c r="P839" s="78"/>
    </row>
    <row r="840" spans="1:16" ht="17.25" customHeight="1" x14ac:dyDescent="0.2">
      <c r="A840" s="75"/>
      <c r="B840" s="63"/>
      <c r="C840" s="63"/>
      <c r="D840" s="76"/>
      <c r="E840" s="75"/>
      <c r="F840" s="76"/>
      <c r="G840" s="93"/>
      <c r="H840" s="93"/>
      <c r="I840" s="76"/>
      <c r="J840" s="75"/>
      <c r="K840" s="63"/>
      <c r="L840" s="75"/>
      <c r="M840" s="76"/>
      <c r="N840" s="76"/>
      <c r="O840" s="78"/>
      <c r="P840" s="78"/>
    </row>
    <row r="841" spans="1:16" ht="17.25" customHeight="1" x14ac:dyDescent="0.2">
      <c r="A841" s="75"/>
      <c r="B841" s="63"/>
      <c r="C841" s="63"/>
      <c r="D841" s="76"/>
      <c r="E841" s="75"/>
      <c r="F841" s="76"/>
      <c r="G841" s="93"/>
      <c r="H841" s="93"/>
      <c r="I841" s="76"/>
      <c r="J841" s="75"/>
      <c r="K841" s="63"/>
      <c r="L841" s="75"/>
      <c r="M841" s="76"/>
      <c r="N841" s="76"/>
      <c r="O841" s="78"/>
      <c r="P841" s="78"/>
    </row>
    <row r="842" spans="1:16" ht="17.25" customHeight="1" x14ac:dyDescent="0.2">
      <c r="A842" s="75"/>
      <c r="B842" s="63"/>
      <c r="C842" s="63"/>
      <c r="D842" s="76"/>
      <c r="E842" s="75"/>
      <c r="F842" s="76"/>
      <c r="G842" s="93"/>
      <c r="H842" s="93"/>
      <c r="I842" s="76"/>
      <c r="J842" s="75"/>
      <c r="K842" s="63"/>
      <c r="L842" s="75"/>
      <c r="M842" s="76"/>
      <c r="N842" s="76"/>
      <c r="O842" s="78"/>
      <c r="P842" s="78"/>
    </row>
    <row r="843" spans="1:16" ht="17.25" customHeight="1" x14ac:dyDescent="0.2">
      <c r="A843" s="75"/>
      <c r="B843" s="63"/>
      <c r="C843" s="63"/>
      <c r="D843" s="76"/>
      <c r="E843" s="75"/>
      <c r="F843" s="76"/>
      <c r="G843" s="93"/>
      <c r="H843" s="93"/>
      <c r="I843" s="76"/>
      <c r="J843" s="75"/>
      <c r="K843" s="63"/>
      <c r="L843" s="75"/>
      <c r="M843" s="76"/>
      <c r="N843" s="76"/>
      <c r="O843" s="78"/>
      <c r="P843" s="78"/>
    </row>
    <row r="844" spans="1:16" ht="17.25" customHeight="1" x14ac:dyDescent="0.2">
      <c r="A844" s="75"/>
      <c r="B844" s="63"/>
      <c r="C844" s="63"/>
      <c r="D844" s="76"/>
      <c r="E844" s="75"/>
      <c r="F844" s="76"/>
      <c r="G844" s="93"/>
      <c r="H844" s="93"/>
      <c r="I844" s="76"/>
      <c r="J844" s="75"/>
      <c r="K844" s="63"/>
      <c r="L844" s="75"/>
      <c r="M844" s="76"/>
      <c r="N844" s="76"/>
      <c r="O844" s="78"/>
      <c r="P844" s="78"/>
    </row>
    <row r="845" spans="1:16" ht="17.25" customHeight="1" x14ac:dyDescent="0.2">
      <c r="A845" s="75"/>
      <c r="B845" s="63"/>
      <c r="C845" s="63"/>
      <c r="D845" s="76"/>
      <c r="E845" s="75"/>
      <c r="F845" s="76"/>
      <c r="G845" s="93"/>
      <c r="H845" s="93"/>
      <c r="I845" s="76"/>
      <c r="J845" s="75"/>
      <c r="K845" s="63"/>
      <c r="L845" s="75"/>
      <c r="M845" s="76"/>
      <c r="N845" s="76"/>
      <c r="O845" s="78"/>
      <c r="P845" s="78"/>
    </row>
    <row r="846" spans="1:16" ht="17.25" customHeight="1" x14ac:dyDescent="0.2">
      <c r="A846" s="75"/>
      <c r="B846" s="63"/>
      <c r="C846" s="63"/>
      <c r="D846" s="76"/>
      <c r="E846" s="75"/>
      <c r="F846" s="76"/>
      <c r="G846" s="93"/>
      <c r="H846" s="93"/>
      <c r="I846" s="76"/>
      <c r="J846" s="75"/>
      <c r="K846" s="63"/>
      <c r="L846" s="75"/>
      <c r="M846" s="76"/>
      <c r="N846" s="76"/>
      <c r="O846" s="78"/>
      <c r="P846" s="78"/>
    </row>
    <row r="847" spans="1:16" ht="17.25" customHeight="1" x14ac:dyDescent="0.2">
      <c r="A847" s="75"/>
      <c r="B847" s="63"/>
      <c r="C847" s="63"/>
      <c r="D847" s="76"/>
      <c r="E847" s="75"/>
      <c r="F847" s="76"/>
      <c r="G847" s="93"/>
      <c r="H847" s="93"/>
      <c r="I847" s="76"/>
      <c r="J847" s="75"/>
      <c r="K847" s="63"/>
      <c r="L847" s="75"/>
      <c r="M847" s="76"/>
      <c r="N847" s="76"/>
      <c r="O847" s="78"/>
      <c r="P847" s="78"/>
    </row>
    <row r="848" spans="1:16" ht="17.25" customHeight="1" x14ac:dyDescent="0.2">
      <c r="A848" s="75"/>
      <c r="B848" s="63"/>
      <c r="C848" s="63"/>
      <c r="D848" s="76"/>
      <c r="E848" s="75"/>
      <c r="F848" s="76"/>
      <c r="G848" s="93"/>
      <c r="H848" s="93"/>
      <c r="I848" s="76"/>
      <c r="J848" s="75"/>
      <c r="K848" s="63"/>
      <c r="L848" s="75"/>
      <c r="M848" s="76"/>
      <c r="N848" s="76"/>
      <c r="O848" s="78"/>
      <c r="P848" s="78"/>
    </row>
    <row r="849" spans="1:16" ht="17.25" customHeight="1" x14ac:dyDescent="0.2">
      <c r="A849" s="75"/>
      <c r="B849" s="63"/>
      <c r="C849" s="63"/>
      <c r="D849" s="76"/>
      <c r="E849" s="75"/>
      <c r="F849" s="76"/>
      <c r="G849" s="93"/>
      <c r="H849" s="93"/>
      <c r="I849" s="76"/>
      <c r="J849" s="75"/>
      <c r="K849" s="63"/>
      <c r="L849" s="75"/>
      <c r="M849" s="76"/>
      <c r="N849" s="76"/>
      <c r="O849" s="78"/>
      <c r="P849" s="78"/>
    </row>
    <row r="850" spans="1:16" ht="17.25" customHeight="1" x14ac:dyDescent="0.2">
      <c r="A850" s="75"/>
      <c r="B850" s="63"/>
      <c r="C850" s="63"/>
      <c r="D850" s="76"/>
      <c r="E850" s="75"/>
      <c r="F850" s="76"/>
      <c r="G850" s="93"/>
      <c r="H850" s="93"/>
      <c r="I850" s="76"/>
      <c r="J850" s="75"/>
      <c r="K850" s="63"/>
      <c r="L850" s="75"/>
      <c r="M850" s="76"/>
      <c r="N850" s="76"/>
      <c r="O850" s="78"/>
      <c r="P850" s="78"/>
    </row>
    <row r="851" spans="1:16" ht="17.25" customHeight="1" x14ac:dyDescent="0.2">
      <c r="A851" s="75"/>
      <c r="B851" s="63"/>
      <c r="C851" s="63"/>
      <c r="D851" s="76"/>
      <c r="E851" s="75"/>
      <c r="F851" s="76"/>
      <c r="G851" s="93"/>
      <c r="H851" s="93"/>
      <c r="I851" s="76"/>
      <c r="J851" s="75"/>
      <c r="K851" s="63"/>
      <c r="L851" s="75"/>
      <c r="M851" s="76"/>
      <c r="N851" s="76"/>
      <c r="O851" s="78"/>
      <c r="P851" s="78"/>
    </row>
    <row r="852" spans="1:16" ht="17.25" customHeight="1" x14ac:dyDescent="0.2">
      <c r="A852" s="75"/>
      <c r="B852" s="63"/>
      <c r="C852" s="63"/>
      <c r="D852" s="76"/>
      <c r="E852" s="75"/>
      <c r="F852" s="76"/>
      <c r="G852" s="93"/>
      <c r="H852" s="93"/>
      <c r="I852" s="76"/>
      <c r="J852" s="75"/>
      <c r="K852" s="63"/>
      <c r="L852" s="75"/>
      <c r="M852" s="76"/>
      <c r="N852" s="76"/>
      <c r="O852" s="78"/>
      <c r="P852" s="78"/>
    </row>
    <row r="853" spans="1:16" ht="17.25" customHeight="1" x14ac:dyDescent="0.2">
      <c r="A853" s="75"/>
      <c r="B853" s="63"/>
      <c r="C853" s="63"/>
      <c r="D853" s="76"/>
      <c r="E853" s="75"/>
      <c r="F853" s="76"/>
      <c r="G853" s="93"/>
      <c r="H853" s="93"/>
      <c r="I853" s="76"/>
      <c r="J853" s="75"/>
      <c r="K853" s="63"/>
      <c r="L853" s="75"/>
      <c r="M853" s="76"/>
      <c r="N853" s="76"/>
      <c r="O853" s="78"/>
      <c r="P853" s="78"/>
    </row>
    <row r="854" spans="1:16" ht="17.25" customHeight="1" x14ac:dyDescent="0.2">
      <c r="A854" s="75"/>
      <c r="B854" s="63"/>
      <c r="C854" s="63"/>
      <c r="D854" s="76"/>
      <c r="E854" s="75"/>
      <c r="F854" s="76"/>
      <c r="G854" s="93"/>
      <c r="H854" s="93"/>
      <c r="I854" s="76"/>
      <c r="J854" s="75"/>
      <c r="K854" s="63"/>
      <c r="L854" s="75"/>
      <c r="M854" s="76"/>
      <c r="N854" s="76"/>
      <c r="O854" s="78"/>
      <c r="P854" s="78"/>
    </row>
    <row r="855" spans="1:16" ht="17.25" customHeight="1" x14ac:dyDescent="0.2">
      <c r="A855" s="75"/>
      <c r="B855" s="63"/>
      <c r="C855" s="63"/>
      <c r="D855" s="76"/>
      <c r="E855" s="75"/>
      <c r="F855" s="76"/>
      <c r="G855" s="93"/>
      <c r="H855" s="93"/>
      <c r="I855" s="76"/>
      <c r="J855" s="75"/>
      <c r="K855" s="63"/>
      <c r="L855" s="75"/>
      <c r="M855" s="76"/>
      <c r="N855" s="76"/>
      <c r="O855" s="78"/>
      <c r="P855" s="78"/>
    </row>
    <row r="856" spans="1:16" ht="17.25" customHeight="1" x14ac:dyDescent="0.2">
      <c r="A856" s="75"/>
      <c r="B856" s="63"/>
      <c r="C856" s="63"/>
      <c r="D856" s="76"/>
      <c r="E856" s="75"/>
      <c r="F856" s="76"/>
      <c r="G856" s="93"/>
      <c r="H856" s="93"/>
      <c r="I856" s="76"/>
      <c r="J856" s="75"/>
      <c r="K856" s="63"/>
      <c r="L856" s="75"/>
      <c r="M856" s="76"/>
      <c r="N856" s="76"/>
      <c r="O856" s="78"/>
      <c r="P856" s="78"/>
    </row>
    <row r="857" spans="1:16" ht="17.25" customHeight="1" x14ac:dyDescent="0.2">
      <c r="A857" s="75"/>
      <c r="B857" s="63"/>
      <c r="C857" s="63"/>
      <c r="D857" s="76"/>
      <c r="E857" s="75"/>
      <c r="F857" s="76"/>
      <c r="G857" s="93"/>
      <c r="H857" s="93"/>
      <c r="I857" s="76"/>
      <c r="J857" s="75"/>
      <c r="K857" s="63"/>
      <c r="L857" s="75"/>
      <c r="M857" s="76"/>
      <c r="N857" s="76"/>
      <c r="O857" s="78"/>
      <c r="P857" s="78"/>
    </row>
    <row r="858" spans="1:16" ht="17.25" customHeight="1" x14ac:dyDescent="0.2">
      <c r="A858" s="75"/>
      <c r="B858" s="63"/>
      <c r="C858" s="63"/>
      <c r="D858" s="76"/>
      <c r="E858" s="75"/>
      <c r="F858" s="76"/>
      <c r="G858" s="93"/>
      <c r="H858" s="93"/>
      <c r="I858" s="76"/>
      <c r="J858" s="75"/>
      <c r="K858" s="63"/>
      <c r="L858" s="75"/>
      <c r="M858" s="76"/>
      <c r="N858" s="76"/>
      <c r="O858" s="78"/>
      <c r="P858" s="78"/>
    </row>
    <row r="859" spans="1:16" ht="17.25" customHeight="1" x14ac:dyDescent="0.2">
      <c r="A859" s="75"/>
      <c r="B859" s="63"/>
      <c r="C859" s="63"/>
      <c r="D859" s="76"/>
      <c r="E859" s="75"/>
      <c r="F859" s="76"/>
      <c r="G859" s="93"/>
      <c r="H859" s="93"/>
      <c r="I859" s="76"/>
      <c r="J859" s="75"/>
      <c r="K859" s="63"/>
      <c r="L859" s="75"/>
      <c r="M859" s="76"/>
      <c r="N859" s="76"/>
      <c r="O859" s="78"/>
      <c r="P859" s="78"/>
    </row>
    <row r="860" spans="1:16" ht="17.25" customHeight="1" x14ac:dyDescent="0.2">
      <c r="A860" s="75"/>
      <c r="B860" s="63"/>
      <c r="C860" s="63"/>
      <c r="D860" s="76"/>
      <c r="E860" s="75"/>
      <c r="F860" s="76"/>
      <c r="G860" s="93"/>
      <c r="H860" s="93"/>
      <c r="I860" s="76"/>
      <c r="J860" s="75"/>
      <c r="K860" s="63"/>
      <c r="L860" s="75"/>
      <c r="M860" s="76"/>
      <c r="N860" s="76"/>
      <c r="O860" s="78"/>
      <c r="P860" s="78"/>
    </row>
    <row r="861" spans="1:16" ht="17.25" customHeight="1" x14ac:dyDescent="0.2">
      <c r="A861" s="75"/>
      <c r="B861" s="63"/>
      <c r="C861" s="63"/>
      <c r="D861" s="76"/>
      <c r="E861" s="75"/>
      <c r="F861" s="76"/>
      <c r="G861" s="93"/>
      <c r="H861" s="93"/>
      <c r="I861" s="76"/>
      <c r="J861" s="75"/>
      <c r="K861" s="63"/>
      <c r="L861" s="75"/>
      <c r="M861" s="76"/>
      <c r="N861" s="76"/>
      <c r="O861" s="78"/>
      <c r="P861" s="78"/>
    </row>
    <row r="862" spans="1:16" ht="17.25" customHeight="1" x14ac:dyDescent="0.2">
      <c r="A862" s="75"/>
      <c r="B862" s="63"/>
      <c r="C862" s="63"/>
      <c r="D862" s="76"/>
      <c r="E862" s="75"/>
      <c r="F862" s="76"/>
      <c r="G862" s="93"/>
      <c r="H862" s="93"/>
      <c r="I862" s="76"/>
      <c r="J862" s="75"/>
      <c r="K862" s="63"/>
      <c r="L862" s="75"/>
      <c r="M862" s="76"/>
      <c r="N862" s="76"/>
      <c r="O862" s="78"/>
      <c r="P862" s="78"/>
    </row>
    <row r="863" spans="1:16" ht="17.25" customHeight="1" x14ac:dyDescent="0.2">
      <c r="A863" s="75"/>
      <c r="B863" s="63"/>
      <c r="C863" s="63"/>
      <c r="D863" s="76"/>
      <c r="E863" s="75"/>
      <c r="F863" s="76"/>
      <c r="G863" s="93"/>
      <c r="H863" s="93"/>
      <c r="I863" s="76"/>
      <c r="J863" s="75"/>
      <c r="K863" s="63"/>
      <c r="L863" s="75"/>
      <c r="M863" s="76"/>
      <c r="N863" s="76"/>
      <c r="O863" s="78"/>
      <c r="P863" s="78"/>
    </row>
    <row r="864" spans="1:16" ht="17.25" customHeight="1" x14ac:dyDescent="0.2">
      <c r="A864" s="75"/>
      <c r="B864" s="63"/>
      <c r="C864" s="63"/>
      <c r="D864" s="76"/>
      <c r="E864" s="75"/>
      <c r="F864" s="76"/>
      <c r="G864" s="93"/>
      <c r="H864" s="93"/>
      <c r="I864" s="76"/>
      <c r="J864" s="75"/>
      <c r="K864" s="63"/>
      <c r="L864" s="75"/>
      <c r="M864" s="76"/>
      <c r="N864" s="76"/>
      <c r="O864" s="78"/>
      <c r="P864" s="78"/>
    </row>
    <row r="865" spans="1:16" ht="17.25" customHeight="1" x14ac:dyDescent="0.2">
      <c r="A865" s="75"/>
      <c r="B865" s="63"/>
      <c r="C865" s="63"/>
      <c r="D865" s="76"/>
      <c r="E865" s="75"/>
      <c r="F865" s="76"/>
      <c r="G865" s="93"/>
      <c r="H865" s="93"/>
      <c r="I865" s="76"/>
      <c r="J865" s="75"/>
      <c r="K865" s="63"/>
      <c r="L865" s="75"/>
      <c r="M865" s="76"/>
      <c r="N865" s="76"/>
      <c r="O865" s="78"/>
      <c r="P865" s="78"/>
    </row>
    <row r="866" spans="1:16" ht="17.25" customHeight="1" x14ac:dyDescent="0.2">
      <c r="A866" s="75"/>
      <c r="B866" s="63"/>
      <c r="C866" s="63"/>
      <c r="D866" s="76"/>
      <c r="E866" s="75"/>
      <c r="F866" s="76"/>
      <c r="G866" s="93"/>
      <c r="H866" s="93"/>
      <c r="I866" s="76"/>
      <c r="J866" s="75"/>
      <c r="K866" s="63"/>
      <c r="L866" s="75"/>
      <c r="M866" s="76"/>
      <c r="N866" s="76"/>
      <c r="O866" s="78"/>
      <c r="P866" s="78"/>
    </row>
    <row r="867" spans="1:16" ht="17.25" customHeight="1" x14ac:dyDescent="0.2">
      <c r="A867" s="75"/>
      <c r="B867" s="63"/>
      <c r="C867" s="63"/>
      <c r="D867" s="76"/>
      <c r="E867" s="75"/>
      <c r="F867" s="76"/>
      <c r="G867" s="93"/>
      <c r="H867" s="93"/>
      <c r="I867" s="76"/>
      <c r="J867" s="75"/>
      <c r="K867" s="63"/>
      <c r="L867" s="75"/>
      <c r="M867" s="76"/>
      <c r="N867" s="76"/>
      <c r="O867" s="78"/>
      <c r="P867" s="78"/>
    </row>
    <row r="868" spans="1:16" ht="17.25" customHeight="1" x14ac:dyDescent="0.2">
      <c r="A868" s="75"/>
      <c r="B868" s="63"/>
      <c r="C868" s="63"/>
      <c r="D868" s="76"/>
      <c r="E868" s="75"/>
      <c r="F868" s="76"/>
      <c r="G868" s="93"/>
      <c r="H868" s="93"/>
      <c r="I868" s="76"/>
      <c r="J868" s="75"/>
      <c r="K868" s="63"/>
      <c r="L868" s="75"/>
      <c r="M868" s="76"/>
      <c r="N868" s="76"/>
      <c r="O868" s="78"/>
      <c r="P868" s="78"/>
    </row>
    <row r="869" spans="1:16" ht="17.25" customHeight="1" x14ac:dyDescent="0.2">
      <c r="A869" s="75"/>
      <c r="B869" s="63"/>
      <c r="C869" s="63"/>
      <c r="D869" s="76"/>
      <c r="E869" s="75"/>
      <c r="F869" s="76"/>
      <c r="G869" s="93"/>
      <c r="H869" s="93"/>
      <c r="I869" s="76"/>
      <c r="J869" s="75"/>
      <c r="K869" s="63"/>
      <c r="L869" s="75"/>
      <c r="M869" s="76"/>
      <c r="N869" s="76"/>
      <c r="O869" s="78"/>
      <c r="P869" s="78"/>
    </row>
    <row r="870" spans="1:16" ht="17.25" customHeight="1" x14ac:dyDescent="0.2">
      <c r="A870" s="75"/>
      <c r="B870" s="63"/>
      <c r="C870" s="63"/>
      <c r="D870" s="76"/>
      <c r="E870" s="75"/>
      <c r="F870" s="76"/>
      <c r="G870" s="93"/>
      <c r="H870" s="93"/>
      <c r="I870" s="76"/>
      <c r="J870" s="75"/>
      <c r="K870" s="63"/>
      <c r="L870" s="75"/>
      <c r="M870" s="76"/>
      <c r="N870" s="76"/>
      <c r="O870" s="78"/>
      <c r="P870" s="78"/>
    </row>
    <row r="871" spans="1:16" ht="17.25" customHeight="1" x14ac:dyDescent="0.2">
      <c r="A871" s="75"/>
      <c r="B871" s="63"/>
      <c r="C871" s="63"/>
      <c r="D871" s="76"/>
      <c r="E871" s="75"/>
      <c r="F871" s="76"/>
      <c r="G871" s="93"/>
      <c r="H871" s="93"/>
      <c r="I871" s="76"/>
      <c r="J871" s="75"/>
      <c r="K871" s="63"/>
      <c r="L871" s="75"/>
      <c r="M871" s="76"/>
      <c r="N871" s="76"/>
      <c r="O871" s="78"/>
      <c r="P871" s="78"/>
    </row>
    <row r="872" spans="1:16" ht="17.25" customHeight="1" x14ac:dyDescent="0.2">
      <c r="A872" s="75"/>
      <c r="B872" s="63"/>
      <c r="C872" s="63"/>
      <c r="D872" s="76"/>
      <c r="E872" s="75"/>
      <c r="F872" s="76"/>
      <c r="G872" s="93"/>
      <c r="H872" s="93"/>
      <c r="I872" s="76"/>
      <c r="J872" s="75"/>
      <c r="K872" s="63"/>
      <c r="L872" s="75"/>
      <c r="M872" s="76"/>
      <c r="N872" s="76"/>
      <c r="O872" s="78"/>
      <c r="P872" s="78"/>
    </row>
    <row r="873" spans="1:16" ht="17.25" customHeight="1" x14ac:dyDescent="0.2">
      <c r="A873" s="75"/>
      <c r="B873" s="63"/>
      <c r="C873" s="63"/>
      <c r="D873" s="76"/>
      <c r="E873" s="75"/>
      <c r="F873" s="76"/>
      <c r="G873" s="93"/>
      <c r="H873" s="93"/>
      <c r="I873" s="76"/>
      <c r="J873" s="75"/>
      <c r="K873" s="63"/>
      <c r="L873" s="75"/>
      <c r="M873" s="76"/>
      <c r="N873" s="76"/>
      <c r="O873" s="78"/>
      <c r="P873" s="78"/>
    </row>
    <row r="874" spans="1:16" ht="17.25" customHeight="1" x14ac:dyDescent="0.2">
      <c r="A874" s="75"/>
      <c r="B874" s="63"/>
      <c r="C874" s="63"/>
      <c r="D874" s="76"/>
      <c r="E874" s="75"/>
      <c r="F874" s="76"/>
      <c r="G874" s="93"/>
      <c r="H874" s="93"/>
      <c r="I874" s="76"/>
      <c r="J874" s="75"/>
      <c r="K874" s="63"/>
      <c r="L874" s="75"/>
      <c r="M874" s="76"/>
      <c r="N874" s="76"/>
      <c r="O874" s="78"/>
      <c r="P874" s="78"/>
    </row>
    <row r="875" spans="1:16" ht="17.25" customHeight="1" x14ac:dyDescent="0.2">
      <c r="A875" s="75"/>
      <c r="B875" s="63"/>
      <c r="C875" s="63"/>
      <c r="D875" s="76"/>
      <c r="E875" s="75"/>
      <c r="F875" s="76"/>
      <c r="G875" s="93"/>
      <c r="H875" s="93"/>
      <c r="I875" s="76"/>
      <c r="J875" s="75"/>
      <c r="K875" s="63"/>
      <c r="L875" s="75"/>
      <c r="M875" s="76"/>
      <c r="N875" s="76"/>
      <c r="O875" s="78"/>
      <c r="P875" s="78"/>
    </row>
    <row r="876" spans="1:16" ht="17.25" customHeight="1" x14ac:dyDescent="0.2">
      <c r="A876" s="75"/>
      <c r="B876" s="63"/>
      <c r="C876" s="63"/>
      <c r="D876" s="76"/>
      <c r="E876" s="75"/>
      <c r="F876" s="76"/>
      <c r="G876" s="93"/>
      <c r="H876" s="93"/>
      <c r="I876" s="76"/>
      <c r="J876" s="75"/>
      <c r="K876" s="63"/>
      <c r="L876" s="75"/>
      <c r="M876" s="76"/>
      <c r="N876" s="76"/>
      <c r="O876" s="78"/>
      <c r="P876" s="78"/>
    </row>
    <row r="877" spans="1:16" ht="17.25" customHeight="1" x14ac:dyDescent="0.2">
      <c r="A877" s="75"/>
      <c r="B877" s="63"/>
      <c r="C877" s="63"/>
      <c r="D877" s="76"/>
      <c r="E877" s="75"/>
      <c r="F877" s="76"/>
      <c r="G877" s="93"/>
      <c r="H877" s="93"/>
      <c r="I877" s="76"/>
      <c r="J877" s="75"/>
      <c r="K877" s="63"/>
      <c r="L877" s="75"/>
      <c r="M877" s="76"/>
      <c r="N877" s="76"/>
      <c r="O877" s="78"/>
      <c r="P877" s="78"/>
    </row>
    <row r="878" spans="1:16" ht="17.25" customHeight="1" x14ac:dyDescent="0.2">
      <c r="A878" s="75"/>
      <c r="B878" s="63"/>
      <c r="C878" s="63"/>
      <c r="D878" s="76"/>
      <c r="E878" s="75"/>
      <c r="F878" s="76"/>
      <c r="G878" s="93"/>
      <c r="H878" s="93"/>
      <c r="I878" s="76"/>
      <c r="J878" s="75"/>
      <c r="K878" s="63"/>
      <c r="L878" s="75"/>
      <c r="M878" s="76"/>
      <c r="N878" s="76"/>
      <c r="O878" s="78"/>
      <c r="P878" s="78"/>
    </row>
    <row r="879" spans="1:16" ht="17.25" customHeight="1" x14ac:dyDescent="0.2">
      <c r="A879" s="75"/>
      <c r="B879" s="63"/>
      <c r="C879" s="63"/>
      <c r="D879" s="76"/>
      <c r="E879" s="75"/>
      <c r="F879" s="76"/>
      <c r="G879" s="93"/>
      <c r="H879" s="93"/>
      <c r="I879" s="76"/>
      <c r="J879" s="75"/>
      <c r="K879" s="63"/>
      <c r="L879" s="75"/>
      <c r="M879" s="76"/>
      <c r="N879" s="76"/>
      <c r="O879" s="78"/>
      <c r="P879" s="78"/>
    </row>
    <row r="880" spans="1:16" ht="17.25" customHeight="1" x14ac:dyDescent="0.2">
      <c r="A880" s="75"/>
      <c r="B880" s="63"/>
      <c r="C880" s="63"/>
      <c r="D880" s="76"/>
      <c r="E880" s="75"/>
      <c r="F880" s="76"/>
      <c r="G880" s="93"/>
      <c r="H880" s="93"/>
      <c r="I880" s="76"/>
      <c r="J880" s="75"/>
      <c r="K880" s="63"/>
      <c r="L880" s="75"/>
      <c r="M880" s="76"/>
      <c r="N880" s="76"/>
      <c r="O880" s="78"/>
      <c r="P880" s="78"/>
    </row>
    <row r="881" spans="1:16" ht="17.25" customHeight="1" x14ac:dyDescent="0.2">
      <c r="A881" s="75"/>
      <c r="B881" s="63"/>
      <c r="C881" s="63"/>
      <c r="D881" s="76"/>
      <c r="E881" s="75"/>
      <c r="F881" s="76"/>
      <c r="G881" s="93"/>
      <c r="H881" s="93"/>
      <c r="I881" s="76"/>
      <c r="J881" s="75"/>
      <c r="K881" s="63"/>
      <c r="L881" s="75"/>
      <c r="M881" s="76"/>
      <c r="N881" s="76"/>
      <c r="O881" s="78"/>
      <c r="P881" s="78"/>
    </row>
    <row r="882" spans="1:16" ht="17.25" customHeight="1" x14ac:dyDescent="0.2">
      <c r="A882" s="75"/>
      <c r="B882" s="63"/>
      <c r="C882" s="63"/>
      <c r="D882" s="76"/>
      <c r="E882" s="75"/>
      <c r="F882" s="76"/>
      <c r="G882" s="93"/>
      <c r="H882" s="93"/>
      <c r="I882" s="76"/>
      <c r="J882" s="75"/>
      <c r="K882" s="63"/>
      <c r="L882" s="75"/>
      <c r="M882" s="76"/>
      <c r="N882" s="76"/>
      <c r="O882" s="78"/>
      <c r="P882" s="78"/>
    </row>
    <row r="883" spans="1:16" ht="17.25" customHeight="1" x14ac:dyDescent="0.2">
      <c r="A883" s="75"/>
      <c r="B883" s="63"/>
      <c r="C883" s="63"/>
      <c r="D883" s="76"/>
      <c r="E883" s="75"/>
      <c r="F883" s="76"/>
      <c r="G883" s="93"/>
      <c r="H883" s="93"/>
      <c r="I883" s="76"/>
      <c r="J883" s="75"/>
      <c r="K883" s="63"/>
      <c r="L883" s="75"/>
      <c r="M883" s="76"/>
      <c r="N883" s="76"/>
      <c r="O883" s="78"/>
      <c r="P883" s="78"/>
    </row>
    <row r="884" spans="1:16" ht="17.25" customHeight="1" x14ac:dyDescent="0.2">
      <c r="A884" s="75"/>
      <c r="B884" s="63"/>
      <c r="C884" s="63"/>
      <c r="D884" s="76"/>
      <c r="E884" s="75"/>
      <c r="F884" s="76"/>
      <c r="G884" s="93"/>
      <c r="H884" s="93"/>
      <c r="I884" s="76"/>
      <c r="J884" s="75"/>
      <c r="K884" s="63"/>
      <c r="L884" s="75"/>
      <c r="M884" s="76"/>
      <c r="N884" s="76"/>
      <c r="O884" s="78"/>
      <c r="P884" s="78"/>
    </row>
    <row r="885" spans="1:16" ht="17.25" customHeight="1" x14ac:dyDescent="0.2">
      <c r="A885" s="75"/>
      <c r="B885" s="63"/>
      <c r="C885" s="63"/>
      <c r="D885" s="76"/>
      <c r="E885" s="75"/>
      <c r="F885" s="76"/>
      <c r="G885" s="93"/>
      <c r="H885" s="93"/>
      <c r="I885" s="76"/>
      <c r="J885" s="75"/>
      <c r="K885" s="63"/>
      <c r="L885" s="75"/>
      <c r="M885" s="76"/>
      <c r="N885" s="76"/>
      <c r="O885" s="78"/>
      <c r="P885" s="78"/>
    </row>
    <row r="886" spans="1:16" ht="17.25" customHeight="1" x14ac:dyDescent="0.2">
      <c r="A886" s="75"/>
      <c r="B886" s="63"/>
      <c r="C886" s="63"/>
      <c r="D886" s="76"/>
      <c r="E886" s="75"/>
      <c r="F886" s="76"/>
      <c r="G886" s="93"/>
      <c r="H886" s="93"/>
      <c r="I886" s="76"/>
      <c r="J886" s="75"/>
      <c r="K886" s="63"/>
      <c r="L886" s="75"/>
      <c r="M886" s="76"/>
      <c r="N886" s="76"/>
      <c r="O886" s="78"/>
      <c r="P886" s="78"/>
    </row>
    <row r="887" spans="1:16" ht="17.25" customHeight="1" x14ac:dyDescent="0.2">
      <c r="A887" s="75"/>
      <c r="B887" s="63"/>
      <c r="C887" s="63"/>
      <c r="D887" s="76"/>
      <c r="E887" s="75"/>
      <c r="F887" s="76"/>
      <c r="G887" s="93"/>
      <c r="H887" s="93"/>
      <c r="I887" s="76"/>
      <c r="J887" s="75"/>
      <c r="K887" s="63"/>
      <c r="L887" s="75"/>
      <c r="M887" s="76"/>
      <c r="N887" s="76"/>
      <c r="O887" s="78"/>
      <c r="P887" s="78"/>
    </row>
    <row r="888" spans="1:16" ht="17.25" customHeight="1" x14ac:dyDescent="0.2">
      <c r="A888" s="75"/>
      <c r="B888" s="63"/>
      <c r="C888" s="63"/>
      <c r="D888" s="76"/>
      <c r="E888" s="75"/>
      <c r="F888" s="76"/>
      <c r="G888" s="93"/>
      <c r="H888" s="93"/>
      <c r="I888" s="76"/>
      <c r="J888" s="75"/>
      <c r="K888" s="63"/>
      <c r="L888" s="75"/>
      <c r="M888" s="76"/>
      <c r="N888" s="76"/>
      <c r="O888" s="78"/>
      <c r="P888" s="78"/>
    </row>
    <row r="889" spans="1:16" ht="17.25" customHeight="1" x14ac:dyDescent="0.2">
      <c r="A889" s="75"/>
      <c r="B889" s="63"/>
      <c r="C889" s="63"/>
      <c r="D889" s="76"/>
      <c r="E889" s="75"/>
      <c r="F889" s="76"/>
      <c r="G889" s="93"/>
      <c r="H889" s="93"/>
      <c r="I889" s="76"/>
      <c r="J889" s="75"/>
      <c r="K889" s="63"/>
      <c r="L889" s="75"/>
      <c r="M889" s="76"/>
      <c r="N889" s="76"/>
      <c r="O889" s="78"/>
      <c r="P889" s="78"/>
    </row>
    <row r="890" spans="1:16" ht="17.25" customHeight="1" x14ac:dyDescent="0.2">
      <c r="A890" s="75"/>
      <c r="B890" s="63"/>
      <c r="C890" s="63"/>
      <c r="D890" s="76"/>
      <c r="E890" s="75"/>
      <c r="F890" s="76"/>
      <c r="G890" s="93"/>
      <c r="H890" s="93"/>
      <c r="I890" s="76"/>
      <c r="J890" s="75"/>
      <c r="K890" s="63"/>
      <c r="L890" s="75"/>
      <c r="M890" s="76"/>
      <c r="N890" s="76"/>
      <c r="O890" s="78"/>
      <c r="P890" s="78"/>
    </row>
    <row r="891" spans="1:16" ht="17.25" customHeight="1" x14ac:dyDescent="0.2">
      <c r="A891" s="75"/>
      <c r="B891" s="63"/>
      <c r="C891" s="63"/>
      <c r="D891" s="76"/>
      <c r="E891" s="75"/>
      <c r="F891" s="76"/>
      <c r="G891" s="93"/>
      <c r="H891" s="93"/>
      <c r="I891" s="76"/>
      <c r="J891" s="75"/>
      <c r="K891" s="63"/>
      <c r="L891" s="75"/>
      <c r="M891" s="76"/>
      <c r="N891" s="76"/>
      <c r="O891" s="78"/>
      <c r="P891" s="78"/>
    </row>
    <row r="892" spans="1:16" ht="17.25" customHeight="1" x14ac:dyDescent="0.2">
      <c r="A892" s="75"/>
      <c r="B892" s="63"/>
      <c r="C892" s="63"/>
      <c r="D892" s="76"/>
      <c r="E892" s="75"/>
      <c r="F892" s="76"/>
      <c r="G892" s="93"/>
      <c r="H892" s="93"/>
      <c r="I892" s="76"/>
      <c r="J892" s="75"/>
      <c r="K892" s="63"/>
      <c r="L892" s="75"/>
      <c r="M892" s="76"/>
      <c r="N892" s="76"/>
      <c r="O892" s="78"/>
      <c r="P892" s="78"/>
    </row>
    <row r="893" spans="1:16" ht="17.25" customHeight="1" x14ac:dyDescent="0.2">
      <c r="A893" s="75"/>
      <c r="B893" s="63"/>
      <c r="C893" s="63"/>
      <c r="D893" s="76"/>
      <c r="E893" s="75"/>
      <c r="F893" s="76"/>
      <c r="G893" s="93"/>
      <c r="H893" s="93"/>
      <c r="I893" s="76"/>
      <c r="J893" s="75"/>
      <c r="K893" s="63"/>
      <c r="L893" s="75"/>
      <c r="M893" s="76"/>
      <c r="N893" s="76"/>
      <c r="O893" s="78"/>
      <c r="P893" s="78"/>
    </row>
    <row r="894" spans="1:16" ht="17.25" customHeight="1" x14ac:dyDescent="0.2">
      <c r="A894" s="75"/>
      <c r="B894" s="63"/>
      <c r="C894" s="63"/>
      <c r="D894" s="76"/>
      <c r="E894" s="75"/>
      <c r="F894" s="76"/>
      <c r="G894" s="93"/>
      <c r="H894" s="93"/>
      <c r="I894" s="76"/>
      <c r="J894" s="75"/>
      <c r="K894" s="63"/>
      <c r="L894" s="75"/>
      <c r="M894" s="76"/>
      <c r="N894" s="76"/>
      <c r="O894" s="78"/>
      <c r="P894" s="78"/>
    </row>
    <row r="895" spans="1:16" ht="17.25" customHeight="1" x14ac:dyDescent="0.2">
      <c r="A895" s="75"/>
      <c r="B895" s="63"/>
      <c r="C895" s="63"/>
      <c r="D895" s="76"/>
      <c r="E895" s="75"/>
      <c r="F895" s="76"/>
      <c r="G895" s="93"/>
      <c r="H895" s="93"/>
      <c r="I895" s="76"/>
      <c r="J895" s="75"/>
      <c r="K895" s="63"/>
      <c r="L895" s="75"/>
      <c r="M895" s="76"/>
      <c r="N895" s="76"/>
      <c r="O895" s="78"/>
      <c r="P895" s="78"/>
    </row>
    <row r="896" spans="1:16" ht="17.25" customHeight="1" x14ac:dyDescent="0.2">
      <c r="A896" s="75"/>
      <c r="B896" s="63"/>
      <c r="C896" s="63"/>
      <c r="D896" s="76"/>
      <c r="E896" s="75"/>
      <c r="F896" s="76"/>
      <c r="G896" s="93"/>
      <c r="H896" s="93"/>
      <c r="I896" s="76"/>
      <c r="J896" s="75"/>
      <c r="K896" s="63"/>
      <c r="L896" s="75"/>
      <c r="M896" s="76"/>
      <c r="N896" s="76"/>
      <c r="O896" s="78"/>
      <c r="P896" s="78"/>
    </row>
    <row r="897" spans="1:16" ht="17.25" customHeight="1" x14ac:dyDescent="0.2">
      <c r="A897" s="75"/>
      <c r="B897" s="63"/>
      <c r="C897" s="63"/>
      <c r="D897" s="76"/>
      <c r="E897" s="75"/>
      <c r="F897" s="76"/>
      <c r="G897" s="93"/>
      <c r="H897" s="93"/>
      <c r="I897" s="76"/>
      <c r="J897" s="75"/>
      <c r="K897" s="63"/>
      <c r="L897" s="75"/>
      <c r="M897" s="76"/>
      <c r="N897" s="76"/>
      <c r="O897" s="78"/>
      <c r="P897" s="78"/>
    </row>
    <row r="898" spans="1:16" ht="17.25" customHeight="1" x14ac:dyDescent="0.2">
      <c r="A898" s="75"/>
      <c r="B898" s="63"/>
      <c r="C898" s="63"/>
      <c r="D898" s="76"/>
      <c r="E898" s="75"/>
      <c r="F898" s="76"/>
      <c r="G898" s="93"/>
      <c r="H898" s="93"/>
      <c r="I898" s="76"/>
      <c r="J898" s="75"/>
      <c r="K898" s="63"/>
      <c r="L898" s="75"/>
      <c r="M898" s="76"/>
      <c r="N898" s="76"/>
      <c r="O898" s="78"/>
      <c r="P898" s="78"/>
    </row>
    <row r="899" spans="1:16" ht="17.25" customHeight="1" x14ac:dyDescent="0.2">
      <c r="A899" s="75"/>
      <c r="B899" s="63"/>
      <c r="C899" s="63"/>
      <c r="D899" s="76"/>
      <c r="E899" s="75"/>
      <c r="F899" s="76"/>
      <c r="G899" s="93"/>
      <c r="H899" s="93"/>
      <c r="I899" s="76"/>
      <c r="J899" s="75"/>
      <c r="K899" s="63"/>
      <c r="L899" s="75"/>
      <c r="M899" s="76"/>
      <c r="N899" s="76"/>
      <c r="O899" s="78"/>
      <c r="P899" s="78"/>
    </row>
    <row r="900" spans="1:16" ht="17.25" customHeight="1" x14ac:dyDescent="0.2">
      <c r="A900" s="75"/>
      <c r="B900" s="63"/>
      <c r="C900" s="63"/>
      <c r="D900" s="76"/>
      <c r="E900" s="75"/>
      <c r="F900" s="76"/>
      <c r="G900" s="93"/>
      <c r="H900" s="93"/>
      <c r="I900" s="76"/>
      <c r="J900" s="75"/>
      <c r="K900" s="63"/>
      <c r="L900" s="75"/>
      <c r="M900" s="76"/>
      <c r="N900" s="76"/>
      <c r="O900" s="78"/>
      <c r="P900" s="78"/>
    </row>
    <row r="901" spans="1:16" ht="17.25" customHeight="1" x14ac:dyDescent="0.2">
      <c r="A901" s="75"/>
      <c r="B901" s="63"/>
      <c r="C901" s="63"/>
      <c r="D901" s="76"/>
      <c r="E901" s="75"/>
      <c r="F901" s="76"/>
      <c r="G901" s="93"/>
      <c r="H901" s="93"/>
      <c r="I901" s="76"/>
      <c r="J901" s="75"/>
      <c r="K901" s="63"/>
      <c r="L901" s="75"/>
      <c r="M901" s="76"/>
      <c r="N901" s="76"/>
      <c r="O901" s="78"/>
      <c r="P901" s="78"/>
    </row>
    <row r="902" spans="1:16" ht="17.25" customHeight="1" x14ac:dyDescent="0.2">
      <c r="A902" s="75"/>
      <c r="B902" s="63"/>
      <c r="C902" s="63"/>
      <c r="D902" s="76"/>
      <c r="E902" s="75"/>
      <c r="F902" s="76"/>
      <c r="G902" s="93"/>
      <c r="H902" s="93"/>
      <c r="I902" s="76"/>
      <c r="J902" s="75"/>
      <c r="K902" s="63"/>
      <c r="L902" s="75"/>
      <c r="M902" s="76"/>
      <c r="N902" s="76"/>
      <c r="O902" s="78"/>
      <c r="P902" s="78"/>
    </row>
    <row r="903" spans="1:16" ht="17.25" customHeight="1" x14ac:dyDescent="0.2">
      <c r="A903" s="75"/>
      <c r="B903" s="63"/>
      <c r="C903" s="63"/>
      <c r="D903" s="76"/>
      <c r="E903" s="75"/>
      <c r="F903" s="76"/>
      <c r="G903" s="93"/>
      <c r="H903" s="93"/>
      <c r="I903" s="76"/>
      <c r="J903" s="75"/>
      <c r="K903" s="63"/>
      <c r="L903" s="75"/>
      <c r="M903" s="76"/>
      <c r="N903" s="76"/>
      <c r="O903" s="78"/>
      <c r="P903" s="78"/>
    </row>
    <row r="904" spans="1:16" ht="17.25" customHeight="1" x14ac:dyDescent="0.2">
      <c r="A904" s="75"/>
      <c r="B904" s="63"/>
      <c r="C904" s="63"/>
      <c r="D904" s="76"/>
      <c r="E904" s="75"/>
      <c r="F904" s="76"/>
      <c r="G904" s="93"/>
      <c r="H904" s="93"/>
      <c r="I904" s="76"/>
      <c r="J904" s="75"/>
      <c r="K904" s="63"/>
      <c r="L904" s="75"/>
      <c r="M904" s="76"/>
      <c r="N904" s="76"/>
      <c r="O904" s="78"/>
      <c r="P904" s="78"/>
    </row>
    <row r="905" spans="1:16" ht="17.25" customHeight="1" x14ac:dyDescent="0.2">
      <c r="A905" s="75"/>
      <c r="B905" s="63"/>
      <c r="C905" s="63"/>
      <c r="D905" s="76"/>
      <c r="E905" s="75"/>
      <c r="F905" s="76"/>
      <c r="G905" s="93"/>
      <c r="H905" s="93"/>
      <c r="I905" s="76"/>
      <c r="J905" s="75"/>
      <c r="K905" s="63"/>
      <c r="L905" s="75"/>
      <c r="M905" s="76"/>
      <c r="N905" s="76"/>
      <c r="O905" s="78"/>
      <c r="P905" s="78"/>
    </row>
    <row r="906" spans="1:16" ht="17.25" customHeight="1" x14ac:dyDescent="0.2">
      <c r="A906" s="75"/>
      <c r="B906" s="63"/>
      <c r="C906" s="63"/>
      <c r="D906" s="76"/>
      <c r="E906" s="75"/>
      <c r="F906" s="76"/>
      <c r="G906" s="93"/>
      <c r="H906" s="93"/>
      <c r="I906" s="76"/>
      <c r="J906" s="75"/>
      <c r="K906" s="63"/>
      <c r="L906" s="75"/>
      <c r="M906" s="76"/>
      <c r="N906" s="76"/>
      <c r="O906" s="78"/>
      <c r="P906" s="78"/>
    </row>
    <row r="907" spans="1:16" ht="17.25" customHeight="1" x14ac:dyDescent="0.2">
      <c r="A907" s="75"/>
      <c r="B907" s="63"/>
      <c r="C907" s="63"/>
      <c r="D907" s="76"/>
      <c r="E907" s="75"/>
      <c r="F907" s="76"/>
      <c r="G907" s="93"/>
      <c r="H907" s="93"/>
      <c r="I907" s="76"/>
      <c r="J907" s="75"/>
      <c r="K907" s="63"/>
      <c r="L907" s="75"/>
      <c r="M907" s="76"/>
      <c r="N907" s="76"/>
      <c r="O907" s="78"/>
      <c r="P907" s="78"/>
    </row>
    <row r="908" spans="1:16" ht="17.25" customHeight="1" x14ac:dyDescent="0.2">
      <c r="A908" s="75"/>
      <c r="B908" s="63"/>
      <c r="C908" s="63"/>
      <c r="D908" s="76"/>
      <c r="E908" s="75"/>
      <c r="F908" s="76"/>
      <c r="G908" s="93"/>
      <c r="H908" s="93"/>
      <c r="I908" s="76"/>
      <c r="J908" s="75"/>
      <c r="K908" s="63"/>
      <c r="L908" s="75"/>
      <c r="M908" s="76"/>
      <c r="N908" s="76"/>
      <c r="O908" s="78"/>
      <c r="P908" s="78"/>
    </row>
    <row r="909" spans="1:16" ht="17.25" customHeight="1" x14ac:dyDescent="0.2">
      <c r="A909" s="75"/>
      <c r="B909" s="63"/>
      <c r="C909" s="63"/>
      <c r="D909" s="76"/>
      <c r="E909" s="75"/>
      <c r="F909" s="76"/>
      <c r="G909" s="93"/>
      <c r="H909" s="93"/>
      <c r="I909" s="76"/>
      <c r="J909" s="75"/>
      <c r="K909" s="63"/>
      <c r="L909" s="75"/>
      <c r="M909" s="76"/>
      <c r="N909" s="76"/>
      <c r="O909" s="78"/>
      <c r="P909" s="78"/>
    </row>
    <row r="910" spans="1:16" ht="17.25" customHeight="1" x14ac:dyDescent="0.2">
      <c r="A910" s="75"/>
      <c r="B910" s="63"/>
      <c r="C910" s="63"/>
      <c r="D910" s="76"/>
      <c r="E910" s="75"/>
      <c r="F910" s="76"/>
      <c r="G910" s="93"/>
      <c r="H910" s="93"/>
      <c r="I910" s="76"/>
      <c r="J910" s="75"/>
      <c r="K910" s="63"/>
      <c r="L910" s="75"/>
      <c r="M910" s="76"/>
      <c r="N910" s="76"/>
      <c r="O910" s="78"/>
      <c r="P910" s="78"/>
    </row>
    <row r="911" spans="1:16" ht="17.25" customHeight="1" x14ac:dyDescent="0.2">
      <c r="A911" s="75"/>
      <c r="B911" s="63"/>
      <c r="C911" s="63"/>
      <c r="D911" s="76"/>
      <c r="E911" s="75"/>
      <c r="F911" s="76"/>
      <c r="G911" s="93"/>
      <c r="H911" s="93"/>
      <c r="I911" s="76"/>
      <c r="J911" s="75"/>
      <c r="K911" s="63"/>
      <c r="L911" s="75"/>
      <c r="M911" s="76"/>
      <c r="N911" s="76"/>
      <c r="O911" s="78"/>
      <c r="P911" s="78"/>
    </row>
    <row r="912" spans="1:16" ht="17.25" customHeight="1" x14ac:dyDescent="0.2">
      <c r="A912" s="75"/>
      <c r="B912" s="63"/>
      <c r="C912" s="63"/>
      <c r="D912" s="76"/>
      <c r="E912" s="75"/>
      <c r="F912" s="76"/>
      <c r="G912" s="93"/>
      <c r="H912" s="93"/>
      <c r="I912" s="76"/>
      <c r="J912" s="75"/>
      <c r="K912" s="63"/>
      <c r="L912" s="75"/>
      <c r="M912" s="76"/>
      <c r="N912" s="76"/>
      <c r="O912" s="78"/>
      <c r="P912" s="78"/>
    </row>
    <row r="913" spans="1:16" ht="17.25" customHeight="1" x14ac:dyDescent="0.2">
      <c r="A913" s="75"/>
      <c r="B913" s="63"/>
      <c r="C913" s="63"/>
      <c r="D913" s="76"/>
      <c r="E913" s="75"/>
      <c r="F913" s="76"/>
      <c r="G913" s="93"/>
      <c r="H913" s="93"/>
      <c r="I913" s="76"/>
      <c r="J913" s="75"/>
      <c r="K913" s="63"/>
      <c r="L913" s="75"/>
      <c r="M913" s="76"/>
      <c r="N913" s="76"/>
      <c r="O913" s="78"/>
      <c r="P913" s="78"/>
    </row>
    <row r="914" spans="1:16" ht="17.25" customHeight="1" x14ac:dyDescent="0.2">
      <c r="A914" s="75"/>
      <c r="B914" s="63"/>
      <c r="C914" s="63"/>
      <c r="D914" s="76"/>
      <c r="E914" s="75"/>
      <c r="F914" s="76"/>
      <c r="G914" s="93"/>
      <c r="H914" s="93"/>
      <c r="I914" s="76"/>
      <c r="J914" s="75"/>
      <c r="K914" s="63"/>
      <c r="L914" s="75"/>
      <c r="M914" s="76"/>
      <c r="N914" s="76"/>
      <c r="O914" s="78"/>
      <c r="P914" s="78"/>
    </row>
    <row r="915" spans="1:16" ht="17.25" customHeight="1" x14ac:dyDescent="0.2">
      <c r="A915" s="75"/>
      <c r="B915" s="63"/>
      <c r="C915" s="63"/>
      <c r="D915" s="76"/>
      <c r="E915" s="75"/>
      <c r="F915" s="76"/>
      <c r="G915" s="93"/>
      <c r="H915" s="93"/>
      <c r="I915" s="76"/>
      <c r="J915" s="75"/>
      <c r="K915" s="63"/>
      <c r="L915" s="75"/>
      <c r="M915" s="76"/>
      <c r="N915" s="76"/>
      <c r="O915" s="78"/>
      <c r="P915" s="78"/>
    </row>
    <row r="916" spans="1:16" ht="17.25" customHeight="1" x14ac:dyDescent="0.2">
      <c r="A916" s="75"/>
      <c r="B916" s="63"/>
      <c r="C916" s="63"/>
      <c r="D916" s="76"/>
      <c r="E916" s="75"/>
      <c r="F916" s="76"/>
      <c r="G916" s="93"/>
      <c r="H916" s="93"/>
      <c r="I916" s="76"/>
      <c r="J916" s="75"/>
      <c r="K916" s="63"/>
      <c r="L916" s="75"/>
      <c r="M916" s="76"/>
      <c r="N916" s="76"/>
      <c r="O916" s="78"/>
      <c r="P916" s="78"/>
    </row>
    <row r="917" spans="1:16" ht="17.25" customHeight="1" x14ac:dyDescent="0.2">
      <c r="A917" s="75"/>
      <c r="B917" s="63"/>
      <c r="C917" s="63"/>
      <c r="D917" s="76"/>
      <c r="E917" s="75"/>
      <c r="F917" s="76"/>
      <c r="G917" s="93"/>
      <c r="H917" s="93"/>
      <c r="I917" s="76"/>
      <c r="J917" s="75"/>
      <c r="K917" s="63"/>
      <c r="L917" s="75"/>
      <c r="M917" s="76"/>
      <c r="N917" s="76"/>
      <c r="O917" s="78"/>
      <c r="P917" s="78"/>
    </row>
    <row r="918" spans="1:16" ht="17.25" customHeight="1" x14ac:dyDescent="0.2">
      <c r="A918" s="75"/>
      <c r="B918" s="63"/>
      <c r="C918" s="63"/>
      <c r="D918" s="76"/>
      <c r="E918" s="75"/>
      <c r="F918" s="76"/>
      <c r="G918" s="93"/>
      <c r="H918" s="93"/>
      <c r="I918" s="76"/>
      <c r="J918" s="75"/>
      <c r="K918" s="63"/>
      <c r="L918" s="75"/>
      <c r="M918" s="76"/>
      <c r="N918" s="76"/>
      <c r="O918" s="78"/>
      <c r="P918" s="78"/>
    </row>
    <row r="919" spans="1:16" ht="17.25" customHeight="1" x14ac:dyDescent="0.2">
      <c r="A919" s="75"/>
      <c r="B919" s="63"/>
      <c r="C919" s="63"/>
      <c r="D919" s="76"/>
      <c r="E919" s="75"/>
      <c r="F919" s="76"/>
      <c r="G919" s="93"/>
      <c r="H919" s="93"/>
      <c r="I919" s="76"/>
      <c r="J919" s="75"/>
      <c r="K919" s="63"/>
      <c r="L919" s="75"/>
      <c r="M919" s="76"/>
      <c r="N919" s="76"/>
      <c r="O919" s="78"/>
      <c r="P919" s="78"/>
    </row>
    <row r="920" spans="1:16" ht="17.25" customHeight="1" x14ac:dyDescent="0.2">
      <c r="A920" s="75"/>
      <c r="B920" s="63"/>
      <c r="C920" s="63"/>
      <c r="D920" s="76"/>
      <c r="E920" s="75"/>
      <c r="F920" s="76"/>
      <c r="G920" s="93"/>
      <c r="H920" s="93"/>
      <c r="I920" s="76"/>
      <c r="J920" s="75"/>
      <c r="K920" s="63"/>
      <c r="L920" s="75"/>
      <c r="M920" s="76"/>
      <c r="N920" s="76"/>
      <c r="O920" s="78"/>
      <c r="P920" s="78"/>
    </row>
    <row r="921" spans="1:16" ht="17.25" customHeight="1" x14ac:dyDescent="0.2">
      <c r="A921" s="75"/>
      <c r="B921" s="63"/>
      <c r="C921" s="63"/>
      <c r="D921" s="76"/>
      <c r="E921" s="75"/>
      <c r="F921" s="76"/>
      <c r="G921" s="93"/>
      <c r="H921" s="93"/>
      <c r="I921" s="76"/>
      <c r="J921" s="75"/>
      <c r="K921" s="63"/>
      <c r="L921" s="75"/>
      <c r="M921" s="76"/>
      <c r="N921" s="76"/>
      <c r="O921" s="78"/>
      <c r="P921" s="78"/>
    </row>
    <row r="922" spans="1:16" ht="17.25" customHeight="1" x14ac:dyDescent="0.2">
      <c r="A922" s="75"/>
      <c r="B922" s="63"/>
      <c r="C922" s="63"/>
      <c r="D922" s="76"/>
      <c r="E922" s="75"/>
      <c r="F922" s="76"/>
      <c r="G922" s="93"/>
      <c r="H922" s="93"/>
      <c r="I922" s="76"/>
      <c r="J922" s="75"/>
      <c r="K922" s="63"/>
      <c r="L922" s="75"/>
      <c r="M922" s="76"/>
      <c r="N922" s="76"/>
      <c r="O922" s="78"/>
      <c r="P922" s="78"/>
    </row>
    <row r="923" spans="1:16" ht="17.25" customHeight="1" x14ac:dyDescent="0.2">
      <c r="A923" s="75"/>
      <c r="B923" s="63"/>
      <c r="C923" s="63"/>
      <c r="D923" s="76"/>
      <c r="E923" s="75"/>
      <c r="F923" s="76"/>
      <c r="G923" s="93"/>
      <c r="H923" s="93"/>
      <c r="I923" s="76"/>
      <c r="J923" s="75"/>
      <c r="K923" s="63"/>
      <c r="L923" s="75"/>
      <c r="M923" s="76"/>
      <c r="N923" s="76"/>
      <c r="O923" s="78"/>
      <c r="P923" s="78"/>
    </row>
    <row r="924" spans="1:16" ht="17.25" customHeight="1" x14ac:dyDescent="0.2">
      <c r="A924" s="75"/>
      <c r="B924" s="63"/>
      <c r="C924" s="63"/>
      <c r="D924" s="76"/>
      <c r="E924" s="75"/>
      <c r="F924" s="76"/>
      <c r="G924" s="93"/>
      <c r="H924" s="93"/>
      <c r="I924" s="76"/>
      <c r="J924" s="75"/>
      <c r="K924" s="63"/>
      <c r="L924" s="75"/>
      <c r="M924" s="76"/>
      <c r="N924" s="76"/>
      <c r="O924" s="78"/>
      <c r="P924" s="78"/>
    </row>
    <row r="925" spans="1:16" ht="17.25" customHeight="1" x14ac:dyDescent="0.2">
      <c r="A925" s="75"/>
      <c r="B925" s="63"/>
      <c r="C925" s="63"/>
      <c r="D925" s="76"/>
      <c r="E925" s="75"/>
      <c r="F925" s="76"/>
      <c r="G925" s="93"/>
      <c r="H925" s="93"/>
      <c r="I925" s="76"/>
      <c r="J925" s="75"/>
      <c r="K925" s="63"/>
      <c r="L925" s="75"/>
      <c r="M925" s="76"/>
      <c r="N925" s="76"/>
      <c r="O925" s="78"/>
      <c r="P925" s="78"/>
    </row>
    <row r="926" spans="1:16" ht="17.25" customHeight="1" x14ac:dyDescent="0.2">
      <c r="A926" s="75"/>
      <c r="B926" s="63"/>
      <c r="C926" s="63"/>
      <c r="D926" s="76"/>
      <c r="E926" s="75"/>
      <c r="F926" s="76"/>
      <c r="G926" s="93"/>
      <c r="H926" s="93"/>
      <c r="I926" s="76"/>
      <c r="J926" s="75"/>
      <c r="K926" s="63"/>
      <c r="L926" s="75"/>
      <c r="M926" s="76"/>
      <c r="N926" s="76"/>
      <c r="O926" s="78"/>
      <c r="P926" s="78"/>
    </row>
    <row r="927" spans="1:16" ht="17.25" customHeight="1" x14ac:dyDescent="0.2">
      <c r="A927" s="75"/>
      <c r="B927" s="63"/>
      <c r="C927" s="63"/>
      <c r="D927" s="76"/>
      <c r="E927" s="75"/>
      <c r="F927" s="76"/>
      <c r="G927" s="93"/>
      <c r="H927" s="93"/>
      <c r="I927" s="76"/>
      <c r="J927" s="75"/>
      <c r="K927" s="63"/>
      <c r="L927" s="75"/>
      <c r="M927" s="76"/>
      <c r="N927" s="76"/>
      <c r="O927" s="78"/>
      <c r="P927" s="78"/>
    </row>
    <row r="928" spans="1:16" ht="17.25" customHeight="1" x14ac:dyDescent="0.2">
      <c r="A928" s="75"/>
      <c r="B928" s="63"/>
      <c r="C928" s="63"/>
      <c r="D928" s="76"/>
      <c r="E928" s="75"/>
      <c r="F928" s="76"/>
      <c r="G928" s="93"/>
      <c r="H928" s="93"/>
      <c r="I928" s="76"/>
      <c r="J928" s="75"/>
      <c r="K928" s="63"/>
      <c r="L928" s="75"/>
      <c r="M928" s="76"/>
      <c r="N928" s="76"/>
      <c r="O928" s="78"/>
      <c r="P928" s="78"/>
    </row>
    <row r="929" spans="1:16" ht="17.25" customHeight="1" x14ac:dyDescent="0.2">
      <c r="A929" s="75"/>
      <c r="B929" s="63"/>
      <c r="C929" s="63"/>
      <c r="D929" s="76"/>
      <c r="E929" s="75"/>
      <c r="F929" s="76"/>
      <c r="G929" s="93"/>
      <c r="H929" s="93"/>
      <c r="I929" s="76"/>
      <c r="J929" s="75"/>
      <c r="K929" s="63"/>
      <c r="L929" s="75"/>
      <c r="M929" s="76"/>
      <c r="N929" s="76"/>
      <c r="O929" s="78"/>
      <c r="P929" s="78"/>
    </row>
    <row r="930" spans="1:16" ht="17.25" customHeight="1" x14ac:dyDescent="0.2">
      <c r="A930" s="75"/>
      <c r="B930" s="63"/>
      <c r="C930" s="63"/>
      <c r="D930" s="76"/>
      <c r="E930" s="75"/>
      <c r="F930" s="76"/>
      <c r="G930" s="93"/>
      <c r="H930" s="93"/>
      <c r="I930" s="76"/>
      <c r="J930" s="75"/>
      <c r="K930" s="63"/>
      <c r="L930" s="75"/>
      <c r="M930" s="76"/>
      <c r="N930" s="76"/>
      <c r="O930" s="78"/>
      <c r="P930" s="78"/>
    </row>
    <row r="931" spans="1:16" ht="17.25" customHeight="1" x14ac:dyDescent="0.2">
      <c r="A931" s="75"/>
      <c r="B931" s="63"/>
      <c r="C931" s="63"/>
      <c r="D931" s="76"/>
      <c r="E931" s="75"/>
      <c r="F931" s="76"/>
      <c r="G931" s="93"/>
      <c r="H931" s="93"/>
      <c r="I931" s="76"/>
      <c r="J931" s="75"/>
      <c r="K931" s="63"/>
      <c r="L931" s="75"/>
      <c r="M931" s="76"/>
      <c r="N931" s="76"/>
      <c r="O931" s="78"/>
      <c r="P931" s="78"/>
    </row>
    <row r="932" spans="1:16" ht="17.25" customHeight="1" x14ac:dyDescent="0.2">
      <c r="A932" s="75"/>
      <c r="B932" s="63"/>
      <c r="C932" s="63"/>
      <c r="D932" s="76"/>
      <c r="E932" s="75"/>
      <c r="F932" s="76"/>
      <c r="G932" s="93"/>
      <c r="H932" s="93"/>
      <c r="I932" s="76"/>
      <c r="J932" s="75"/>
      <c r="K932" s="63"/>
      <c r="L932" s="75"/>
      <c r="M932" s="76"/>
      <c r="N932" s="76"/>
      <c r="O932" s="78"/>
      <c r="P932" s="78"/>
    </row>
    <row r="933" spans="1:16" ht="17.25" customHeight="1" x14ac:dyDescent="0.2">
      <c r="A933" s="75"/>
      <c r="B933" s="63"/>
      <c r="C933" s="63"/>
      <c r="D933" s="76"/>
      <c r="E933" s="75"/>
      <c r="F933" s="76"/>
      <c r="G933" s="93"/>
      <c r="H933" s="93"/>
      <c r="I933" s="76"/>
      <c r="J933" s="75"/>
      <c r="K933" s="63"/>
      <c r="L933" s="75"/>
      <c r="M933" s="76"/>
      <c r="N933" s="76"/>
      <c r="O933" s="78"/>
      <c r="P933" s="78"/>
    </row>
    <row r="934" spans="1:16" ht="17.25" customHeight="1" x14ac:dyDescent="0.2">
      <c r="A934" s="75"/>
      <c r="B934" s="63"/>
      <c r="C934" s="63"/>
      <c r="D934" s="76"/>
      <c r="E934" s="75"/>
      <c r="F934" s="76"/>
      <c r="G934" s="93"/>
      <c r="H934" s="93"/>
      <c r="I934" s="76"/>
      <c r="J934" s="75"/>
      <c r="K934" s="63"/>
      <c r="L934" s="75"/>
      <c r="M934" s="76"/>
      <c r="N934" s="76"/>
      <c r="O934" s="78"/>
      <c r="P934" s="78"/>
    </row>
    <row r="935" spans="1:16" ht="17.25" customHeight="1" x14ac:dyDescent="0.2">
      <c r="A935" s="75"/>
      <c r="B935" s="63"/>
      <c r="C935" s="63"/>
      <c r="D935" s="76"/>
      <c r="E935" s="75"/>
      <c r="F935" s="76"/>
      <c r="G935" s="93"/>
      <c r="H935" s="93"/>
      <c r="I935" s="76"/>
      <c r="J935" s="75"/>
      <c r="K935" s="63"/>
      <c r="L935" s="75"/>
      <c r="M935" s="76"/>
      <c r="N935" s="76"/>
      <c r="O935" s="78"/>
      <c r="P935" s="78"/>
    </row>
    <row r="936" spans="1:16" ht="17.25" customHeight="1" x14ac:dyDescent="0.2">
      <c r="A936" s="75"/>
      <c r="B936" s="63"/>
      <c r="C936" s="63"/>
      <c r="D936" s="76"/>
      <c r="E936" s="75"/>
      <c r="F936" s="76"/>
      <c r="G936" s="93"/>
      <c r="H936" s="93"/>
      <c r="I936" s="76"/>
      <c r="J936" s="75"/>
      <c r="K936" s="63"/>
      <c r="L936" s="75"/>
      <c r="M936" s="76"/>
      <c r="N936" s="76"/>
      <c r="O936" s="78"/>
      <c r="P936" s="78"/>
    </row>
    <row r="937" spans="1:16" ht="17.25" customHeight="1" x14ac:dyDescent="0.2">
      <c r="A937" s="75"/>
      <c r="B937" s="63"/>
      <c r="C937" s="63"/>
      <c r="D937" s="76"/>
      <c r="E937" s="75"/>
      <c r="F937" s="76"/>
      <c r="G937" s="93"/>
      <c r="H937" s="93"/>
      <c r="I937" s="76"/>
      <c r="J937" s="75"/>
      <c r="K937" s="63"/>
      <c r="L937" s="75"/>
      <c r="M937" s="76"/>
      <c r="N937" s="76"/>
      <c r="O937" s="78"/>
      <c r="P937" s="78"/>
    </row>
    <row r="938" spans="1:16" ht="17.25" customHeight="1" x14ac:dyDescent="0.2">
      <c r="A938" s="75"/>
      <c r="B938" s="63"/>
      <c r="C938" s="63"/>
      <c r="D938" s="76"/>
      <c r="E938" s="75"/>
      <c r="F938" s="76"/>
      <c r="G938" s="93"/>
      <c r="H938" s="93"/>
      <c r="I938" s="76"/>
      <c r="J938" s="75"/>
      <c r="K938" s="63"/>
      <c r="L938" s="75"/>
      <c r="M938" s="76"/>
      <c r="N938" s="76"/>
      <c r="O938" s="78"/>
      <c r="P938" s="78"/>
    </row>
    <row r="939" spans="1:16" ht="17.25" customHeight="1" x14ac:dyDescent="0.2">
      <c r="A939" s="75"/>
      <c r="B939" s="63"/>
      <c r="C939" s="63"/>
      <c r="D939" s="76"/>
      <c r="E939" s="75"/>
      <c r="F939" s="76"/>
      <c r="G939" s="93"/>
      <c r="H939" s="93"/>
      <c r="I939" s="76"/>
      <c r="J939" s="75"/>
      <c r="K939" s="63"/>
      <c r="L939" s="75"/>
      <c r="M939" s="76"/>
      <c r="N939" s="76"/>
      <c r="O939" s="78"/>
      <c r="P939" s="78"/>
    </row>
    <row r="940" spans="1:16" ht="17.25" customHeight="1" x14ac:dyDescent="0.2">
      <c r="A940" s="75"/>
      <c r="B940" s="63"/>
      <c r="C940" s="63"/>
      <c r="D940" s="76"/>
      <c r="E940" s="75"/>
      <c r="F940" s="76"/>
      <c r="G940" s="93"/>
      <c r="H940" s="93"/>
      <c r="I940" s="76"/>
      <c r="J940" s="75"/>
      <c r="K940" s="63"/>
      <c r="L940" s="75"/>
      <c r="M940" s="76"/>
      <c r="N940" s="76"/>
      <c r="O940" s="78"/>
      <c r="P940" s="78"/>
    </row>
    <row r="941" spans="1:16" ht="17.25" customHeight="1" x14ac:dyDescent="0.2">
      <c r="A941" s="75"/>
      <c r="B941" s="63"/>
      <c r="C941" s="63"/>
      <c r="D941" s="76"/>
      <c r="E941" s="75"/>
      <c r="F941" s="76"/>
      <c r="G941" s="93"/>
      <c r="H941" s="93"/>
      <c r="I941" s="76"/>
      <c r="J941" s="75"/>
      <c r="K941" s="63"/>
      <c r="L941" s="75"/>
      <c r="M941" s="76"/>
      <c r="N941" s="76"/>
      <c r="O941" s="78"/>
      <c r="P941" s="78"/>
    </row>
    <row r="942" spans="1:16" ht="17.25" customHeight="1" x14ac:dyDescent="0.2">
      <c r="A942" s="75"/>
      <c r="B942" s="63"/>
      <c r="C942" s="63"/>
      <c r="D942" s="76"/>
      <c r="E942" s="75"/>
      <c r="F942" s="76"/>
      <c r="G942" s="93"/>
      <c r="H942" s="93"/>
      <c r="I942" s="76"/>
      <c r="J942" s="75"/>
      <c r="K942" s="63"/>
      <c r="L942" s="75"/>
      <c r="M942" s="76"/>
      <c r="N942" s="76"/>
      <c r="O942" s="78"/>
      <c r="P942" s="78"/>
    </row>
    <row r="943" spans="1:16" ht="17.25" customHeight="1" x14ac:dyDescent="0.2">
      <c r="A943" s="75"/>
      <c r="B943" s="63"/>
      <c r="C943" s="63"/>
      <c r="D943" s="76"/>
      <c r="E943" s="75"/>
      <c r="F943" s="76"/>
      <c r="G943" s="93"/>
      <c r="H943" s="93"/>
      <c r="I943" s="76"/>
      <c r="J943" s="75"/>
      <c r="K943" s="63"/>
      <c r="L943" s="75"/>
      <c r="M943" s="76"/>
      <c r="N943" s="76"/>
      <c r="O943" s="78"/>
      <c r="P943" s="78"/>
    </row>
    <row r="944" spans="1:16" ht="17.25" customHeight="1" x14ac:dyDescent="0.2">
      <c r="A944" s="75"/>
      <c r="B944" s="63"/>
      <c r="C944" s="63"/>
      <c r="D944" s="76"/>
      <c r="E944" s="75"/>
      <c r="F944" s="76"/>
      <c r="G944" s="93"/>
      <c r="H944" s="93"/>
      <c r="I944" s="76"/>
      <c r="J944" s="75"/>
      <c r="K944" s="63"/>
      <c r="L944" s="75"/>
      <c r="M944" s="76"/>
      <c r="N944" s="76"/>
      <c r="O944" s="78"/>
      <c r="P944" s="78"/>
    </row>
    <row r="945" spans="1:16" ht="17.25" customHeight="1" x14ac:dyDescent="0.2">
      <c r="A945" s="75"/>
      <c r="B945" s="63"/>
      <c r="C945" s="63"/>
      <c r="D945" s="76"/>
      <c r="E945" s="75"/>
      <c r="F945" s="76"/>
      <c r="G945" s="93"/>
      <c r="H945" s="93"/>
      <c r="I945" s="76"/>
      <c r="J945" s="75"/>
      <c r="K945" s="63"/>
      <c r="L945" s="75"/>
      <c r="M945" s="76"/>
      <c r="N945" s="76"/>
      <c r="O945" s="78"/>
      <c r="P945" s="78"/>
    </row>
    <row r="946" spans="1:16" ht="17.25" customHeight="1" x14ac:dyDescent="0.2">
      <c r="A946" s="75"/>
      <c r="B946" s="63"/>
      <c r="C946" s="63"/>
      <c r="D946" s="76"/>
      <c r="E946" s="75"/>
      <c r="F946" s="76"/>
      <c r="G946" s="93"/>
      <c r="H946" s="93"/>
      <c r="I946" s="76"/>
      <c r="J946" s="75"/>
      <c r="K946" s="63"/>
      <c r="L946" s="75"/>
      <c r="M946" s="76"/>
      <c r="N946" s="76"/>
      <c r="O946" s="78"/>
      <c r="P946" s="78"/>
    </row>
    <row r="947" spans="1:16" ht="17.25" customHeight="1" x14ac:dyDescent="0.2">
      <c r="A947" s="75"/>
      <c r="B947" s="63"/>
      <c r="C947" s="63"/>
      <c r="D947" s="76"/>
      <c r="E947" s="75"/>
      <c r="F947" s="76"/>
      <c r="G947" s="93"/>
      <c r="H947" s="93"/>
      <c r="I947" s="76"/>
      <c r="J947" s="75"/>
      <c r="K947" s="63"/>
      <c r="L947" s="75"/>
      <c r="M947" s="76"/>
      <c r="N947" s="76"/>
      <c r="O947" s="78"/>
      <c r="P947" s="78"/>
    </row>
    <row r="948" spans="1:16" ht="17.25" customHeight="1" x14ac:dyDescent="0.2">
      <c r="A948" s="75"/>
      <c r="B948" s="63"/>
      <c r="C948" s="63"/>
      <c r="D948" s="76"/>
      <c r="E948" s="75"/>
      <c r="F948" s="76"/>
      <c r="G948" s="93"/>
      <c r="H948" s="93"/>
      <c r="I948" s="76"/>
      <c r="J948" s="75"/>
      <c r="K948" s="63"/>
      <c r="L948" s="75"/>
      <c r="M948" s="76"/>
      <c r="N948" s="76"/>
      <c r="O948" s="78"/>
      <c r="P948" s="78"/>
    </row>
    <row r="949" spans="1:16" ht="17.25" customHeight="1" x14ac:dyDescent="0.2">
      <c r="A949" s="75"/>
      <c r="B949" s="63"/>
      <c r="C949" s="63"/>
      <c r="D949" s="76"/>
      <c r="E949" s="75"/>
      <c r="F949" s="76"/>
      <c r="G949" s="93"/>
      <c r="H949" s="93"/>
      <c r="I949" s="76"/>
      <c r="J949" s="75"/>
      <c r="K949" s="63"/>
      <c r="L949" s="75"/>
      <c r="M949" s="76"/>
      <c r="N949" s="76"/>
      <c r="O949" s="78"/>
      <c r="P949" s="78"/>
    </row>
    <row r="950" spans="1:16" ht="17.25" customHeight="1" x14ac:dyDescent="0.2">
      <c r="A950" s="75"/>
      <c r="B950" s="63"/>
      <c r="C950" s="63"/>
      <c r="D950" s="76"/>
      <c r="E950" s="75"/>
      <c r="F950" s="76"/>
      <c r="G950" s="93"/>
      <c r="H950" s="93"/>
      <c r="I950" s="76"/>
      <c r="J950" s="75"/>
      <c r="K950" s="63"/>
      <c r="L950" s="75"/>
      <c r="M950" s="76"/>
      <c r="N950" s="76"/>
      <c r="O950" s="78"/>
      <c r="P950" s="78"/>
    </row>
    <row r="951" spans="1:16" ht="17.25" customHeight="1" x14ac:dyDescent="0.2">
      <c r="A951" s="75"/>
      <c r="B951" s="63"/>
      <c r="C951" s="63"/>
      <c r="D951" s="76"/>
      <c r="E951" s="75"/>
      <c r="F951" s="76"/>
      <c r="G951" s="93"/>
      <c r="H951" s="93"/>
      <c r="I951" s="76"/>
      <c r="J951" s="75"/>
      <c r="K951" s="63"/>
      <c r="L951" s="75"/>
      <c r="M951" s="76"/>
      <c r="N951" s="76"/>
      <c r="O951" s="78"/>
      <c r="P951" s="78"/>
    </row>
    <row r="952" spans="1:16" ht="17.25" customHeight="1" x14ac:dyDescent="0.2">
      <c r="A952" s="75"/>
      <c r="B952" s="63"/>
      <c r="C952" s="63"/>
      <c r="D952" s="76"/>
      <c r="E952" s="75"/>
      <c r="F952" s="76"/>
      <c r="G952" s="93"/>
      <c r="H952" s="93"/>
      <c r="I952" s="76"/>
      <c r="J952" s="75"/>
      <c r="K952" s="63"/>
      <c r="L952" s="75"/>
      <c r="M952" s="76"/>
      <c r="N952" s="76"/>
      <c r="O952" s="78"/>
      <c r="P952" s="78"/>
    </row>
    <row r="953" spans="1:16" ht="17.25" customHeight="1" x14ac:dyDescent="0.2">
      <c r="A953" s="75"/>
      <c r="B953" s="63"/>
      <c r="C953" s="63"/>
      <c r="D953" s="76"/>
      <c r="E953" s="75"/>
      <c r="F953" s="76"/>
      <c r="G953" s="93"/>
      <c r="H953" s="93"/>
      <c r="I953" s="76"/>
      <c r="J953" s="75"/>
      <c r="K953" s="63"/>
      <c r="L953" s="75"/>
      <c r="M953" s="76"/>
      <c r="N953" s="76"/>
      <c r="O953" s="78"/>
      <c r="P953" s="78"/>
    </row>
    <row r="954" spans="1:16" ht="17.25" customHeight="1" x14ac:dyDescent="0.2">
      <c r="A954" s="75"/>
      <c r="B954" s="63"/>
      <c r="C954" s="63"/>
      <c r="D954" s="76"/>
      <c r="E954" s="75"/>
      <c r="F954" s="76"/>
      <c r="G954" s="93"/>
      <c r="H954" s="93"/>
      <c r="I954" s="76"/>
      <c r="J954" s="75"/>
      <c r="K954" s="63"/>
      <c r="L954" s="75"/>
      <c r="M954" s="76"/>
      <c r="N954" s="76"/>
      <c r="O954" s="78"/>
      <c r="P954" s="78"/>
    </row>
    <row r="955" spans="1:16" ht="17.25" customHeight="1" x14ac:dyDescent="0.2">
      <c r="A955" s="75"/>
      <c r="B955" s="63"/>
      <c r="C955" s="63"/>
      <c r="D955" s="76"/>
      <c r="E955" s="75"/>
      <c r="F955" s="76"/>
      <c r="G955" s="93"/>
      <c r="H955" s="93"/>
      <c r="I955" s="76"/>
      <c r="J955" s="75"/>
      <c r="K955" s="63"/>
      <c r="L955" s="75"/>
      <c r="M955" s="76"/>
      <c r="N955" s="76"/>
      <c r="O955" s="78"/>
      <c r="P955" s="78"/>
    </row>
    <row r="956" spans="1:16" ht="17.25" customHeight="1" x14ac:dyDescent="0.2">
      <c r="A956" s="75"/>
      <c r="B956" s="63"/>
      <c r="C956" s="63"/>
      <c r="D956" s="76"/>
      <c r="E956" s="75"/>
      <c r="F956" s="76"/>
      <c r="G956" s="93"/>
      <c r="H956" s="93"/>
      <c r="I956" s="76"/>
      <c r="J956" s="75"/>
      <c r="K956" s="63"/>
      <c r="L956" s="75"/>
      <c r="M956" s="76"/>
      <c r="N956" s="76"/>
      <c r="O956" s="78"/>
      <c r="P956" s="78"/>
    </row>
    <row r="957" spans="1:16" ht="17.25" customHeight="1" x14ac:dyDescent="0.2">
      <c r="A957" s="75"/>
      <c r="B957" s="63"/>
      <c r="C957" s="63"/>
      <c r="D957" s="76"/>
      <c r="E957" s="75"/>
      <c r="F957" s="76"/>
      <c r="G957" s="93"/>
      <c r="H957" s="93"/>
      <c r="I957" s="76"/>
      <c r="J957" s="75"/>
      <c r="K957" s="63"/>
      <c r="L957" s="75"/>
      <c r="M957" s="76"/>
      <c r="N957" s="76"/>
      <c r="O957" s="78"/>
      <c r="P957" s="78"/>
    </row>
    <row r="958" spans="1:16" ht="17.25" customHeight="1" x14ac:dyDescent="0.2">
      <c r="A958" s="75"/>
      <c r="B958" s="63"/>
      <c r="C958" s="63"/>
      <c r="D958" s="76"/>
      <c r="E958" s="75"/>
      <c r="F958" s="76"/>
      <c r="G958" s="93"/>
      <c r="H958" s="93"/>
      <c r="I958" s="76"/>
      <c r="J958" s="75"/>
      <c r="K958" s="63"/>
      <c r="L958" s="75"/>
      <c r="M958" s="76"/>
      <c r="N958" s="76"/>
      <c r="O958" s="78"/>
      <c r="P958" s="78"/>
    </row>
    <row r="959" spans="1:16" ht="17.25" customHeight="1" x14ac:dyDescent="0.2">
      <c r="A959" s="75"/>
      <c r="B959" s="63"/>
      <c r="C959" s="63"/>
      <c r="D959" s="76"/>
      <c r="E959" s="75"/>
      <c r="F959" s="76"/>
      <c r="G959" s="93"/>
      <c r="H959" s="93"/>
      <c r="I959" s="76"/>
      <c r="J959" s="75"/>
      <c r="K959" s="63"/>
      <c r="L959" s="75"/>
      <c r="M959" s="76"/>
      <c r="N959" s="76"/>
      <c r="O959" s="78"/>
      <c r="P959" s="78"/>
    </row>
    <row r="960" spans="1:16" ht="17.25" customHeight="1" x14ac:dyDescent="0.2">
      <c r="A960" s="75"/>
      <c r="B960" s="63"/>
      <c r="C960" s="63"/>
      <c r="D960" s="76"/>
      <c r="E960" s="75"/>
      <c r="F960" s="76"/>
      <c r="G960" s="93"/>
      <c r="H960" s="93"/>
      <c r="I960" s="76"/>
      <c r="J960" s="75"/>
      <c r="K960" s="63"/>
      <c r="L960" s="75"/>
      <c r="M960" s="76"/>
      <c r="N960" s="76"/>
      <c r="O960" s="78"/>
      <c r="P960" s="78"/>
    </row>
    <row r="961" spans="1:16" ht="17.25" customHeight="1" x14ac:dyDescent="0.2">
      <c r="A961" s="75"/>
      <c r="B961" s="63"/>
      <c r="C961" s="63"/>
      <c r="D961" s="76"/>
      <c r="E961" s="75"/>
      <c r="F961" s="76"/>
      <c r="G961" s="93"/>
      <c r="H961" s="93"/>
      <c r="I961" s="76"/>
      <c r="J961" s="75"/>
      <c r="K961" s="63"/>
      <c r="L961" s="75"/>
      <c r="M961" s="76"/>
      <c r="N961" s="76"/>
      <c r="O961" s="78"/>
      <c r="P961" s="78"/>
    </row>
    <row r="962" spans="1:16" ht="17.25" customHeight="1" x14ac:dyDescent="0.2">
      <c r="A962" s="75"/>
      <c r="B962" s="63"/>
      <c r="C962" s="63"/>
      <c r="D962" s="76"/>
      <c r="E962" s="75"/>
      <c r="F962" s="76"/>
      <c r="G962" s="93"/>
      <c r="H962" s="93"/>
      <c r="I962" s="76"/>
      <c r="J962" s="75"/>
      <c r="K962" s="63"/>
      <c r="L962" s="75"/>
      <c r="M962" s="76"/>
      <c r="N962" s="76"/>
      <c r="O962" s="78"/>
      <c r="P962" s="78"/>
    </row>
    <row r="963" spans="1:16" ht="17.25" customHeight="1" x14ac:dyDescent="0.2">
      <c r="A963" s="75"/>
      <c r="B963" s="63"/>
      <c r="C963" s="63"/>
      <c r="D963" s="76"/>
      <c r="E963" s="75"/>
      <c r="F963" s="76"/>
      <c r="G963" s="93"/>
      <c r="H963" s="93"/>
      <c r="I963" s="76"/>
      <c r="J963" s="75"/>
      <c r="K963" s="63"/>
      <c r="L963" s="75"/>
      <c r="M963" s="76"/>
      <c r="N963" s="76"/>
      <c r="O963" s="78"/>
      <c r="P963" s="78"/>
    </row>
    <row r="964" spans="1:16" ht="17.25" customHeight="1" x14ac:dyDescent="0.2">
      <c r="A964" s="75"/>
      <c r="B964" s="63"/>
      <c r="C964" s="63"/>
      <c r="D964" s="76"/>
      <c r="E964" s="75"/>
      <c r="F964" s="76"/>
      <c r="G964" s="93"/>
      <c r="H964" s="93"/>
      <c r="I964" s="76"/>
      <c r="J964" s="75"/>
      <c r="K964" s="63"/>
      <c r="L964" s="75"/>
      <c r="M964" s="76"/>
      <c r="N964" s="76"/>
      <c r="O964" s="78"/>
      <c r="P964" s="78"/>
    </row>
    <row r="965" spans="1:16" ht="17.25" customHeight="1" x14ac:dyDescent="0.2">
      <c r="A965" s="75"/>
      <c r="B965" s="63"/>
      <c r="C965" s="63"/>
      <c r="D965" s="76"/>
      <c r="E965" s="75"/>
      <c r="F965" s="76"/>
      <c r="G965" s="93"/>
      <c r="H965" s="93"/>
      <c r="I965" s="76"/>
      <c r="J965" s="75"/>
      <c r="K965" s="63"/>
      <c r="L965" s="75"/>
      <c r="M965" s="76"/>
      <c r="N965" s="76"/>
      <c r="O965" s="78"/>
      <c r="P965" s="78"/>
    </row>
    <row r="966" spans="1:16" ht="17.25" customHeight="1" x14ac:dyDescent="0.2">
      <c r="A966" s="75"/>
      <c r="B966" s="63"/>
      <c r="C966" s="63"/>
      <c r="D966" s="76"/>
      <c r="E966" s="75"/>
      <c r="F966" s="76"/>
      <c r="G966" s="93"/>
      <c r="H966" s="93"/>
      <c r="I966" s="76"/>
      <c r="J966" s="75"/>
      <c r="K966" s="63"/>
      <c r="L966" s="75"/>
      <c r="M966" s="76"/>
      <c r="N966" s="76"/>
      <c r="O966" s="78"/>
      <c r="P966" s="78"/>
    </row>
    <row r="967" spans="1:16" ht="17.25" customHeight="1" x14ac:dyDescent="0.2">
      <c r="A967" s="75"/>
      <c r="B967" s="63"/>
      <c r="C967" s="63"/>
      <c r="D967" s="76"/>
      <c r="E967" s="75"/>
      <c r="F967" s="76"/>
      <c r="G967" s="93"/>
      <c r="H967" s="93"/>
      <c r="I967" s="76"/>
      <c r="J967" s="75"/>
      <c r="K967" s="63"/>
      <c r="L967" s="75"/>
      <c r="M967" s="76"/>
      <c r="N967" s="76"/>
      <c r="O967" s="78"/>
      <c r="P967" s="78"/>
    </row>
    <row r="968" spans="1:16" ht="17.25" customHeight="1" x14ac:dyDescent="0.2">
      <c r="A968" s="75"/>
      <c r="B968" s="63"/>
      <c r="C968" s="63"/>
      <c r="D968" s="76"/>
      <c r="E968" s="75"/>
      <c r="F968" s="76"/>
      <c r="G968" s="93"/>
      <c r="H968" s="93"/>
      <c r="I968" s="76"/>
      <c r="J968" s="75"/>
      <c r="K968" s="63"/>
      <c r="L968" s="75"/>
      <c r="M968" s="76"/>
      <c r="N968" s="76"/>
      <c r="O968" s="78"/>
      <c r="P968" s="78"/>
    </row>
    <row r="969" spans="1:16" ht="17.25" customHeight="1" x14ac:dyDescent="0.2">
      <c r="A969" s="75"/>
      <c r="B969" s="63"/>
      <c r="C969" s="63"/>
      <c r="D969" s="76"/>
      <c r="E969" s="75"/>
      <c r="F969" s="76"/>
      <c r="G969" s="93"/>
      <c r="H969" s="93"/>
      <c r="I969" s="76"/>
      <c r="J969" s="75"/>
      <c r="K969" s="63"/>
      <c r="L969" s="75"/>
      <c r="M969" s="76"/>
      <c r="N969" s="76"/>
      <c r="O969" s="78"/>
      <c r="P969" s="78"/>
    </row>
    <row r="970" spans="1:16" ht="17.25" customHeight="1" x14ac:dyDescent="0.2">
      <c r="A970" s="75"/>
      <c r="B970" s="63"/>
      <c r="C970" s="63"/>
      <c r="D970" s="76"/>
      <c r="E970" s="75"/>
      <c r="F970" s="76"/>
      <c r="G970" s="93"/>
      <c r="H970" s="93"/>
      <c r="I970" s="76"/>
      <c r="J970" s="75"/>
      <c r="K970" s="63"/>
      <c r="L970" s="75"/>
      <c r="M970" s="76"/>
      <c r="N970" s="76"/>
      <c r="O970" s="78"/>
      <c r="P970" s="78"/>
    </row>
    <row r="971" spans="1:16" ht="17.25" customHeight="1" x14ac:dyDescent="0.2">
      <c r="A971" s="75"/>
      <c r="B971" s="63"/>
      <c r="C971" s="63"/>
      <c r="D971" s="76"/>
      <c r="E971" s="75"/>
      <c r="F971" s="76"/>
      <c r="G971" s="93"/>
      <c r="H971" s="93"/>
      <c r="I971" s="76"/>
      <c r="J971" s="75"/>
      <c r="K971" s="63"/>
      <c r="L971" s="75"/>
      <c r="M971" s="76"/>
      <c r="N971" s="76"/>
      <c r="O971" s="78"/>
      <c r="P971" s="78"/>
    </row>
    <row r="972" spans="1:16" ht="17.25" customHeight="1" x14ac:dyDescent="0.2">
      <c r="A972" s="75"/>
      <c r="B972" s="63"/>
      <c r="C972" s="63"/>
      <c r="D972" s="76"/>
      <c r="E972" s="75"/>
      <c r="F972" s="76"/>
      <c r="G972" s="93"/>
      <c r="H972" s="93"/>
      <c r="I972" s="76"/>
      <c r="J972" s="75"/>
      <c r="K972" s="63"/>
      <c r="L972" s="75"/>
      <c r="M972" s="76"/>
      <c r="N972" s="76"/>
      <c r="O972" s="78"/>
      <c r="P972" s="78"/>
    </row>
    <row r="973" spans="1:16" ht="17.25" customHeight="1" x14ac:dyDescent="0.2">
      <c r="A973" s="75"/>
      <c r="B973" s="63"/>
      <c r="C973" s="63"/>
      <c r="D973" s="76"/>
      <c r="E973" s="75"/>
      <c r="F973" s="76"/>
      <c r="G973" s="93"/>
      <c r="H973" s="93"/>
      <c r="I973" s="76"/>
      <c r="J973" s="75"/>
      <c r="K973" s="63"/>
      <c r="L973" s="75"/>
      <c r="M973" s="76"/>
      <c r="N973" s="76"/>
      <c r="O973" s="78"/>
      <c r="P973" s="78"/>
    </row>
    <row r="974" spans="1:16" ht="17.25" customHeight="1" x14ac:dyDescent="0.2">
      <c r="A974" s="75"/>
      <c r="B974" s="63"/>
      <c r="C974" s="63"/>
      <c r="D974" s="76"/>
      <c r="E974" s="75"/>
      <c r="F974" s="76"/>
      <c r="G974" s="93"/>
      <c r="H974" s="93"/>
      <c r="I974" s="76"/>
      <c r="J974" s="75"/>
      <c r="K974" s="63"/>
      <c r="L974" s="75"/>
      <c r="M974" s="76"/>
      <c r="N974" s="76"/>
      <c r="O974" s="78"/>
      <c r="P974" s="78"/>
    </row>
    <row r="975" spans="1:16" ht="17.25" customHeight="1" x14ac:dyDescent="0.2">
      <c r="A975" s="75"/>
      <c r="B975" s="63"/>
      <c r="C975" s="63"/>
      <c r="D975" s="76"/>
      <c r="E975" s="75"/>
      <c r="F975" s="76"/>
      <c r="G975" s="93"/>
      <c r="H975" s="93"/>
      <c r="I975" s="76"/>
      <c r="J975" s="75"/>
      <c r="K975" s="63"/>
      <c r="L975" s="75"/>
      <c r="M975" s="76"/>
      <c r="N975" s="76"/>
      <c r="O975" s="78"/>
      <c r="P975" s="78"/>
    </row>
    <row r="976" spans="1:16" ht="17.25" customHeight="1" x14ac:dyDescent="0.2">
      <c r="A976" s="75"/>
      <c r="B976" s="63"/>
      <c r="C976" s="63"/>
      <c r="D976" s="76"/>
      <c r="E976" s="75"/>
      <c r="F976" s="76"/>
      <c r="G976" s="93"/>
      <c r="H976" s="93"/>
      <c r="I976" s="76"/>
      <c r="J976" s="75"/>
      <c r="K976" s="63"/>
      <c r="L976" s="75"/>
      <c r="M976" s="76"/>
      <c r="N976" s="76"/>
      <c r="O976" s="78"/>
      <c r="P976" s="78"/>
    </row>
    <row r="977" spans="1:16" ht="17.25" customHeight="1" x14ac:dyDescent="0.2">
      <c r="A977" s="75"/>
      <c r="B977" s="63"/>
      <c r="C977" s="63"/>
      <c r="D977" s="76"/>
      <c r="E977" s="75"/>
      <c r="F977" s="76"/>
      <c r="G977" s="93"/>
      <c r="H977" s="93"/>
      <c r="I977" s="76"/>
      <c r="J977" s="75"/>
      <c r="K977" s="63"/>
      <c r="L977" s="75"/>
      <c r="M977" s="76"/>
      <c r="N977" s="76"/>
      <c r="O977" s="78"/>
      <c r="P977" s="78"/>
    </row>
    <row r="978" spans="1:16" ht="17.25" customHeight="1" x14ac:dyDescent="0.2">
      <c r="A978" s="75"/>
      <c r="B978" s="63"/>
      <c r="C978" s="63"/>
      <c r="D978" s="76"/>
      <c r="E978" s="75"/>
      <c r="F978" s="76"/>
      <c r="G978" s="93"/>
      <c r="H978" s="93"/>
      <c r="I978" s="76"/>
      <c r="J978" s="75"/>
      <c r="K978" s="63"/>
      <c r="L978" s="75"/>
      <c r="M978" s="76"/>
      <c r="N978" s="76"/>
      <c r="O978" s="78"/>
      <c r="P978" s="78"/>
    </row>
    <row r="979" spans="1:16" ht="17.25" customHeight="1" x14ac:dyDescent="0.2">
      <c r="A979" s="75"/>
      <c r="B979" s="63"/>
      <c r="C979" s="63"/>
      <c r="D979" s="76"/>
      <c r="E979" s="75"/>
      <c r="F979" s="76"/>
      <c r="G979" s="93"/>
      <c r="H979" s="93"/>
      <c r="I979" s="76"/>
      <c r="J979" s="75"/>
      <c r="K979" s="63"/>
      <c r="L979" s="75"/>
      <c r="M979" s="76"/>
      <c r="N979" s="76"/>
      <c r="O979" s="78"/>
      <c r="P979" s="78"/>
    </row>
  </sheetData>
  <mergeCells count="2">
    <mergeCell ref="Q246:Q251"/>
    <mergeCell ref="Q275:Q27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Q989"/>
  <sheetViews>
    <sheetView workbookViewId="0">
      <selection activeCell="D24" sqref="A1:Q666"/>
    </sheetView>
  </sheetViews>
  <sheetFormatPr baseColWidth="10" defaultColWidth="8.83203125" defaultRowHeight="15" x14ac:dyDescent="0.2"/>
  <cols>
    <col min="1" max="1" width="14" style="42" bestFit="1" customWidth="1"/>
    <col min="2" max="2" width="16.5" style="14" bestFit="1" customWidth="1"/>
    <col min="3" max="3" width="24.33203125" style="14" bestFit="1" customWidth="1"/>
    <col min="4" max="4" width="8.5" style="81" bestFit="1" customWidth="1"/>
    <col min="5" max="5" width="8.6640625" style="42" bestFit="1" customWidth="1"/>
    <col min="6" max="6" width="8.5" style="81" bestFit="1" customWidth="1"/>
    <col min="7" max="7" width="17.5" style="82" bestFit="1" customWidth="1"/>
    <col min="8" max="8" width="18.6640625" style="82" bestFit="1" customWidth="1"/>
    <col min="9" max="9" width="12.5" style="42" bestFit="1" customWidth="1"/>
    <col min="10" max="10" width="10.33203125" style="14" bestFit="1" customWidth="1"/>
    <col min="11" max="11" width="13" style="46" bestFit="1" customWidth="1"/>
    <col min="12" max="12" width="20.5" style="83" bestFit="1" customWidth="1"/>
    <col min="13" max="13" width="14.5" style="81" bestFit="1" customWidth="1"/>
    <col min="14" max="14" width="12.5" style="81" bestFit="1" customWidth="1"/>
    <col min="15" max="15" width="11" style="84" bestFit="1" customWidth="1"/>
    <col min="16" max="16" width="12" style="84" bestFit="1" customWidth="1"/>
    <col min="17" max="17" width="70.83203125" style="14" bestFit="1" customWidth="1"/>
  </cols>
  <sheetData>
    <row r="1" spans="1:17" ht="17.25" customHeight="1" x14ac:dyDescent="0.2">
      <c r="A1" s="47" t="s">
        <v>0</v>
      </c>
      <c r="B1" s="48" t="s">
        <v>108</v>
      </c>
      <c r="C1" s="48" t="s">
        <v>1</v>
      </c>
      <c r="D1" s="49" t="s">
        <v>109</v>
      </c>
      <c r="E1" s="47" t="s">
        <v>110</v>
      </c>
      <c r="F1" s="49" t="s">
        <v>3</v>
      </c>
      <c r="G1" s="50" t="s">
        <v>111</v>
      </c>
      <c r="H1" s="50" t="s">
        <v>112</v>
      </c>
      <c r="I1" s="47" t="s">
        <v>113</v>
      </c>
      <c r="J1" s="48" t="s">
        <v>114</v>
      </c>
      <c r="K1" s="48" t="s">
        <v>115</v>
      </c>
      <c r="L1" s="47" t="s">
        <v>116</v>
      </c>
      <c r="M1" s="49" t="s">
        <v>117</v>
      </c>
      <c r="N1" s="49" t="s">
        <v>4</v>
      </c>
      <c r="O1" s="51" t="s">
        <v>7</v>
      </c>
      <c r="P1" s="51" t="s">
        <v>118</v>
      </c>
      <c r="Q1" s="48" t="s">
        <v>119</v>
      </c>
    </row>
    <row r="2" spans="1:17" ht="17.25" customHeight="1" x14ac:dyDescent="0.2">
      <c r="A2" s="52">
        <v>2121</v>
      </c>
      <c r="B2" s="53" t="s">
        <v>120</v>
      </c>
      <c r="C2" s="53" t="s">
        <v>62</v>
      </c>
      <c r="D2" s="54"/>
      <c r="E2" s="55"/>
      <c r="F2" s="54"/>
      <c r="G2" s="56" t="s">
        <v>121</v>
      </c>
      <c r="H2" s="56" t="s">
        <v>122</v>
      </c>
      <c r="I2" s="55"/>
      <c r="J2" s="53"/>
      <c r="K2" s="57"/>
      <c r="L2" s="52"/>
      <c r="M2" s="58"/>
      <c r="N2" s="59"/>
      <c r="O2" s="60"/>
      <c r="P2" s="60"/>
      <c r="Q2" s="61"/>
    </row>
    <row r="3" spans="1:17" ht="17.25" customHeight="1" x14ac:dyDescent="0.2">
      <c r="A3" s="52">
        <v>2122</v>
      </c>
      <c r="B3" s="53" t="s">
        <v>123</v>
      </c>
      <c r="C3" s="53" t="s">
        <v>57</v>
      </c>
      <c r="D3" s="54"/>
      <c r="E3" s="55"/>
      <c r="F3" s="54"/>
      <c r="G3" s="56" t="s">
        <v>124</v>
      </c>
      <c r="H3" s="56" t="s">
        <v>125</v>
      </c>
      <c r="I3" s="55"/>
      <c r="J3" s="53"/>
      <c r="K3" s="57"/>
      <c r="L3" s="52"/>
      <c r="M3" s="58"/>
      <c r="N3" s="59"/>
      <c r="O3" s="60"/>
      <c r="P3" s="60"/>
      <c r="Q3" s="61" t="s">
        <v>126</v>
      </c>
    </row>
    <row r="4" spans="1:17" ht="17.25" customHeight="1" x14ac:dyDescent="0.2">
      <c r="A4" s="52">
        <v>2123</v>
      </c>
      <c r="B4" s="53" t="s">
        <v>123</v>
      </c>
      <c r="C4" s="53" t="s">
        <v>60</v>
      </c>
      <c r="D4" s="54"/>
      <c r="E4" s="55"/>
      <c r="F4" s="54"/>
      <c r="G4" s="56" t="s">
        <v>127</v>
      </c>
      <c r="H4" s="56" t="s">
        <v>128</v>
      </c>
      <c r="I4" s="55"/>
      <c r="J4" s="53"/>
      <c r="K4" s="57"/>
      <c r="L4" s="52"/>
      <c r="M4" s="58"/>
      <c r="N4" s="59"/>
      <c r="O4" s="60"/>
      <c r="P4" s="60"/>
      <c r="Q4" s="61" t="s">
        <v>126</v>
      </c>
    </row>
    <row r="5" spans="1:17" ht="17.25" customHeight="1" x14ac:dyDescent="0.2">
      <c r="A5" s="52">
        <v>2124</v>
      </c>
      <c r="B5" s="53" t="s">
        <v>9</v>
      </c>
      <c r="C5" s="53" t="s">
        <v>129</v>
      </c>
      <c r="D5" s="54">
        <v>149.31899999999999</v>
      </c>
      <c r="E5" s="62">
        <v>2041</v>
      </c>
      <c r="F5" s="54">
        <f t="shared" ref="F5:F43" si="0">0.9933*(D5 + E5/1000)-0.41</f>
        <v>149.93588799999998</v>
      </c>
      <c r="G5" s="56" t="s">
        <v>130</v>
      </c>
      <c r="H5" s="56" t="s">
        <v>131</v>
      </c>
      <c r="I5" s="62">
        <v>217</v>
      </c>
      <c r="J5" s="53"/>
      <c r="K5" s="57" t="s">
        <v>132</v>
      </c>
      <c r="L5" s="52">
        <v>125</v>
      </c>
      <c r="M5" s="58">
        <f t="shared" ref="M5:M18" si="1">SQRT(L5)</f>
        <v>11.180339887498949</v>
      </c>
      <c r="N5" s="58">
        <v>64747.66</v>
      </c>
      <c r="O5" s="60">
        <f t="shared" ref="O5:O18" si="2">L5/N5</f>
        <v>1.9305716994251221E-3</v>
      </c>
      <c r="P5" s="60">
        <f t="shared" ref="P5:P18" si="3">M5/N5</f>
        <v>1.726755822140746E-4</v>
      </c>
      <c r="Q5" s="63"/>
    </row>
    <row r="6" spans="1:17" ht="17.25" customHeight="1" x14ac:dyDescent="0.2">
      <c r="A6" s="52">
        <v>2125</v>
      </c>
      <c r="B6" s="53" t="s">
        <v>9</v>
      </c>
      <c r="C6" s="53" t="s">
        <v>129</v>
      </c>
      <c r="D6" s="54">
        <v>150.36600000000001</v>
      </c>
      <c r="E6" s="62">
        <v>2041</v>
      </c>
      <c r="F6" s="54">
        <f t="shared" si="0"/>
        <v>150.9758731</v>
      </c>
      <c r="G6" s="56" t="s">
        <v>133</v>
      </c>
      <c r="H6" s="56" t="s">
        <v>134</v>
      </c>
      <c r="I6" s="62">
        <v>213</v>
      </c>
      <c r="J6" s="53"/>
      <c r="K6" s="57" t="s">
        <v>132</v>
      </c>
      <c r="L6" s="52">
        <v>115</v>
      </c>
      <c r="M6" s="58">
        <f t="shared" si="1"/>
        <v>10.723805294763608</v>
      </c>
      <c r="N6" s="58">
        <v>20510.189999999999</v>
      </c>
      <c r="O6" s="60">
        <f t="shared" si="2"/>
        <v>5.6069690236901755E-3</v>
      </c>
      <c r="P6" s="60">
        <f t="shared" si="3"/>
        <v>5.2285255742455863E-4</v>
      </c>
      <c r="Q6" s="63"/>
    </row>
    <row r="7" spans="1:17" ht="17.25" customHeight="1" x14ac:dyDescent="0.2">
      <c r="A7" s="52">
        <v>2126</v>
      </c>
      <c r="B7" s="53" t="s">
        <v>9</v>
      </c>
      <c r="C7" s="53" t="s">
        <v>129</v>
      </c>
      <c r="D7" s="54">
        <v>151.346</v>
      </c>
      <c r="E7" s="62">
        <v>2041</v>
      </c>
      <c r="F7" s="54">
        <f t="shared" si="0"/>
        <v>151.9493071</v>
      </c>
      <c r="G7" s="56" t="s">
        <v>135</v>
      </c>
      <c r="H7" s="56" t="s">
        <v>136</v>
      </c>
      <c r="I7" s="62">
        <v>212</v>
      </c>
      <c r="J7" s="53"/>
      <c r="K7" s="57" t="s">
        <v>132</v>
      </c>
      <c r="L7" s="52">
        <v>1732</v>
      </c>
      <c r="M7" s="58">
        <f t="shared" si="1"/>
        <v>41.617304093369626</v>
      </c>
      <c r="N7" s="58">
        <v>39282.92</v>
      </c>
      <c r="O7" s="60">
        <f t="shared" si="2"/>
        <v>4.4090408757801104E-2</v>
      </c>
      <c r="P7" s="60">
        <f t="shared" si="3"/>
        <v>1.0594249127450206E-3</v>
      </c>
      <c r="Q7" s="63"/>
    </row>
    <row r="8" spans="1:17" ht="17.25" customHeight="1" x14ac:dyDescent="0.2">
      <c r="A8" s="52">
        <v>2127</v>
      </c>
      <c r="B8" s="53" t="s">
        <v>9</v>
      </c>
      <c r="C8" s="53" t="s">
        <v>129</v>
      </c>
      <c r="D8" s="54">
        <v>153.36699999999999</v>
      </c>
      <c r="E8" s="62">
        <v>2041</v>
      </c>
      <c r="F8" s="54">
        <f t="shared" si="0"/>
        <v>153.95676639999999</v>
      </c>
      <c r="G8" s="56" t="s">
        <v>137</v>
      </c>
      <c r="H8" s="56" t="s">
        <v>138</v>
      </c>
      <c r="I8" s="62">
        <v>213</v>
      </c>
      <c r="J8" s="53"/>
      <c r="K8" s="57" t="s">
        <v>132</v>
      </c>
      <c r="L8" s="52">
        <v>2548</v>
      </c>
      <c r="M8" s="58">
        <f t="shared" si="1"/>
        <v>50.47771785649585</v>
      </c>
      <c r="N8" s="58">
        <v>52768.73</v>
      </c>
      <c r="O8" s="60">
        <f t="shared" si="2"/>
        <v>4.8286172511637096E-2</v>
      </c>
      <c r="P8" s="60">
        <f t="shared" si="3"/>
        <v>9.5658390597037012E-4</v>
      </c>
      <c r="Q8" s="63"/>
    </row>
    <row r="9" spans="1:17" ht="17.25" customHeight="1" x14ac:dyDescent="0.2">
      <c r="A9" s="52">
        <v>2128</v>
      </c>
      <c r="B9" s="53" t="s">
        <v>9</v>
      </c>
      <c r="C9" s="53" t="s">
        <v>129</v>
      </c>
      <c r="D9" s="54">
        <v>156.36799999999999</v>
      </c>
      <c r="E9" s="62">
        <v>2041</v>
      </c>
      <c r="F9" s="54">
        <f t="shared" si="0"/>
        <v>156.93765969999998</v>
      </c>
      <c r="G9" s="56" t="s">
        <v>139</v>
      </c>
      <c r="H9" s="56" t="s">
        <v>140</v>
      </c>
      <c r="I9" s="62">
        <v>225</v>
      </c>
      <c r="J9" s="53"/>
      <c r="K9" s="57" t="s">
        <v>132</v>
      </c>
      <c r="L9" s="52">
        <v>2548</v>
      </c>
      <c r="M9" s="58">
        <f t="shared" si="1"/>
        <v>50.47771785649585</v>
      </c>
      <c r="N9" s="58">
        <v>49459.26</v>
      </c>
      <c r="O9" s="60">
        <f t="shared" si="2"/>
        <v>5.151714764838778E-2</v>
      </c>
      <c r="P9" s="60">
        <f t="shared" si="3"/>
        <v>1.0205918539116002E-3</v>
      </c>
      <c r="Q9" s="63"/>
    </row>
    <row r="10" spans="1:17" ht="17.25" customHeight="1" x14ac:dyDescent="0.2">
      <c r="A10" s="52">
        <v>2129</v>
      </c>
      <c r="B10" s="53" t="s">
        <v>9</v>
      </c>
      <c r="C10" s="53" t="s">
        <v>129</v>
      </c>
      <c r="D10" s="54">
        <v>159.376</v>
      </c>
      <c r="E10" s="62">
        <v>2041</v>
      </c>
      <c r="F10" s="54">
        <f t="shared" si="0"/>
        <v>159.92550610000001</v>
      </c>
      <c r="G10" s="56" t="s">
        <v>141</v>
      </c>
      <c r="H10" s="56" t="s">
        <v>142</v>
      </c>
      <c r="I10" s="62">
        <v>216</v>
      </c>
      <c r="J10" s="53"/>
      <c r="K10" s="57" t="s">
        <v>132</v>
      </c>
      <c r="L10" s="52">
        <v>1900</v>
      </c>
      <c r="M10" s="58">
        <f t="shared" si="1"/>
        <v>43.588989435406738</v>
      </c>
      <c r="N10" s="58">
        <v>35778.69</v>
      </c>
      <c r="O10" s="60">
        <f t="shared" si="2"/>
        <v>5.3104236069012024E-2</v>
      </c>
      <c r="P10" s="60">
        <f t="shared" si="3"/>
        <v>1.2182947289407951E-3</v>
      </c>
      <c r="Q10" s="63"/>
    </row>
    <row r="11" spans="1:17" ht="17.25" customHeight="1" x14ac:dyDescent="0.2">
      <c r="A11" s="52">
        <v>2130</v>
      </c>
      <c r="B11" s="53" t="s">
        <v>9</v>
      </c>
      <c r="C11" s="53" t="s">
        <v>129</v>
      </c>
      <c r="D11" s="54">
        <v>162.39699999999999</v>
      </c>
      <c r="E11" s="62">
        <v>2041</v>
      </c>
      <c r="F11" s="54">
        <f t="shared" si="0"/>
        <v>162.92626539999998</v>
      </c>
      <c r="G11" s="56" t="s">
        <v>143</v>
      </c>
      <c r="H11" s="56" t="s">
        <v>144</v>
      </c>
      <c r="I11" s="62">
        <v>217</v>
      </c>
      <c r="J11" s="53"/>
      <c r="K11" s="57" t="s">
        <v>132</v>
      </c>
      <c r="L11" s="52">
        <v>2068</v>
      </c>
      <c r="M11" s="58">
        <f t="shared" si="1"/>
        <v>45.475268003608292</v>
      </c>
      <c r="N11" s="58">
        <v>38536.629999999997</v>
      </c>
      <c r="O11" s="60">
        <f t="shared" si="2"/>
        <v>5.3663228984994281E-2</v>
      </c>
      <c r="P11" s="60">
        <f t="shared" si="3"/>
        <v>1.1800530561081313E-3</v>
      </c>
      <c r="Q11" s="63"/>
    </row>
    <row r="12" spans="1:17" ht="17.25" customHeight="1" x14ac:dyDescent="0.2">
      <c r="A12" s="52">
        <v>2131</v>
      </c>
      <c r="B12" s="53" t="s">
        <v>9</v>
      </c>
      <c r="C12" s="53" t="s">
        <v>129</v>
      </c>
      <c r="D12" s="54">
        <v>164.398</v>
      </c>
      <c r="E12" s="62">
        <v>2041</v>
      </c>
      <c r="F12" s="54">
        <f t="shared" si="0"/>
        <v>164.91385869999999</v>
      </c>
      <c r="G12" s="56" t="s">
        <v>145</v>
      </c>
      <c r="H12" s="56" t="s">
        <v>146</v>
      </c>
      <c r="I12" s="62">
        <v>214</v>
      </c>
      <c r="J12" s="53"/>
      <c r="K12" s="57" t="s">
        <v>132</v>
      </c>
      <c r="L12" s="52">
        <v>2038</v>
      </c>
      <c r="M12" s="58">
        <f t="shared" si="1"/>
        <v>45.14421336118285</v>
      </c>
      <c r="N12" s="58">
        <v>51474.35</v>
      </c>
      <c r="O12" s="60">
        <f t="shared" si="2"/>
        <v>3.9592534922733361E-2</v>
      </c>
      <c r="P12" s="60">
        <f t="shared" si="3"/>
        <v>8.7702347598722185E-4</v>
      </c>
      <c r="Q12" s="63"/>
    </row>
    <row r="13" spans="1:17" ht="17.25" customHeight="1" x14ac:dyDescent="0.2">
      <c r="A13" s="52">
        <v>2132</v>
      </c>
      <c r="B13" s="53" t="s">
        <v>9</v>
      </c>
      <c r="C13" s="53" t="s">
        <v>129</v>
      </c>
      <c r="D13" s="54">
        <v>166.90299999999999</v>
      </c>
      <c r="E13" s="62">
        <v>2041</v>
      </c>
      <c r="F13" s="54">
        <f t="shared" si="0"/>
        <v>167.40207519999998</v>
      </c>
      <c r="G13" s="56" t="s">
        <v>147</v>
      </c>
      <c r="H13" s="56" t="s">
        <v>148</v>
      </c>
      <c r="I13" s="62">
        <v>209</v>
      </c>
      <c r="J13" s="53"/>
      <c r="K13" s="57" t="s">
        <v>132</v>
      </c>
      <c r="L13" s="52">
        <v>894</v>
      </c>
      <c r="M13" s="58">
        <f t="shared" si="1"/>
        <v>29.899832775452108</v>
      </c>
      <c r="N13" s="58">
        <v>29244.6</v>
      </c>
      <c r="O13" s="60">
        <f t="shared" si="2"/>
        <v>3.0569746209556638E-2</v>
      </c>
      <c r="P13" s="60">
        <f t="shared" si="3"/>
        <v>1.0224052568833942E-3</v>
      </c>
      <c r="Q13" s="63"/>
    </row>
    <row r="14" spans="1:17" ht="17.25" customHeight="1" x14ac:dyDescent="0.2">
      <c r="A14" s="52">
        <v>2133</v>
      </c>
      <c r="B14" s="53" t="s">
        <v>9</v>
      </c>
      <c r="C14" s="53" t="s">
        <v>129</v>
      </c>
      <c r="D14" s="54">
        <v>169.917</v>
      </c>
      <c r="E14" s="62">
        <v>2041</v>
      </c>
      <c r="F14" s="54">
        <f t="shared" si="0"/>
        <v>170.39588140000001</v>
      </c>
      <c r="G14" s="56" t="s">
        <v>149</v>
      </c>
      <c r="H14" s="56" t="s">
        <v>150</v>
      </c>
      <c r="I14" s="62">
        <v>205</v>
      </c>
      <c r="J14" s="53"/>
      <c r="K14" s="57" t="s">
        <v>132</v>
      </c>
      <c r="L14" s="52">
        <v>778</v>
      </c>
      <c r="M14" s="58">
        <f t="shared" si="1"/>
        <v>27.892651361962706</v>
      </c>
      <c r="N14" s="58">
        <v>32875.82</v>
      </c>
      <c r="O14" s="60">
        <f t="shared" si="2"/>
        <v>2.3664808969023433E-2</v>
      </c>
      <c r="P14" s="60">
        <f t="shared" si="3"/>
        <v>8.4842450658151509E-4</v>
      </c>
      <c r="Q14" s="63"/>
    </row>
    <row r="15" spans="1:17" ht="17.25" customHeight="1" x14ac:dyDescent="0.2">
      <c r="A15" s="52">
        <v>2134</v>
      </c>
      <c r="B15" s="53" t="s">
        <v>9</v>
      </c>
      <c r="C15" s="53" t="s">
        <v>129</v>
      </c>
      <c r="D15" s="54">
        <v>150.93100000000001</v>
      </c>
      <c r="E15" s="62">
        <v>2041</v>
      </c>
      <c r="F15" s="54">
        <f t="shared" si="0"/>
        <v>151.53708760000001</v>
      </c>
      <c r="G15" s="56" t="s">
        <v>151</v>
      </c>
      <c r="H15" s="56" t="s">
        <v>152</v>
      </c>
      <c r="I15" s="62">
        <v>217</v>
      </c>
      <c r="J15" s="53"/>
      <c r="K15" s="57" t="s">
        <v>132</v>
      </c>
      <c r="L15" s="52">
        <v>1062</v>
      </c>
      <c r="M15" s="58">
        <f t="shared" si="1"/>
        <v>32.58834147360065</v>
      </c>
      <c r="N15" s="58">
        <v>29348.32</v>
      </c>
      <c r="O15" s="60">
        <f t="shared" si="2"/>
        <v>3.6186057668718345E-2</v>
      </c>
      <c r="P15" s="60">
        <f t="shared" si="3"/>
        <v>1.110398873720903E-3</v>
      </c>
      <c r="Q15" s="63"/>
    </row>
    <row r="16" spans="1:17" ht="17.25" customHeight="1" x14ac:dyDescent="0.2">
      <c r="A16" s="52">
        <v>2135</v>
      </c>
      <c r="B16" s="53" t="s">
        <v>9</v>
      </c>
      <c r="C16" s="53" t="s">
        <v>129</v>
      </c>
      <c r="D16" s="54">
        <v>172.91200000000001</v>
      </c>
      <c r="E16" s="62">
        <v>2041</v>
      </c>
      <c r="F16" s="54">
        <f t="shared" si="0"/>
        <v>173.3708149</v>
      </c>
      <c r="G16" s="56" t="s">
        <v>153</v>
      </c>
      <c r="H16" s="56" t="s">
        <v>154</v>
      </c>
      <c r="I16" s="62">
        <v>215</v>
      </c>
      <c r="J16" s="53"/>
      <c r="K16" s="57" t="s">
        <v>132</v>
      </c>
      <c r="L16" s="52">
        <v>682</v>
      </c>
      <c r="M16" s="58">
        <f t="shared" si="1"/>
        <v>26.115129714401192</v>
      </c>
      <c r="N16" s="58">
        <v>35196.83</v>
      </c>
      <c r="O16" s="60">
        <f t="shared" si="2"/>
        <v>1.9376745008002141E-2</v>
      </c>
      <c r="P16" s="60">
        <f t="shared" si="3"/>
        <v>7.4197391396899071E-4</v>
      </c>
      <c r="Q16" s="63"/>
    </row>
    <row r="17" spans="1:17" ht="17.25" customHeight="1" x14ac:dyDescent="0.2">
      <c r="A17" s="52">
        <v>2136</v>
      </c>
      <c r="B17" s="53" t="s">
        <v>9</v>
      </c>
      <c r="C17" s="53" t="s">
        <v>129</v>
      </c>
      <c r="D17" s="54">
        <v>150.601</v>
      </c>
      <c r="E17" s="62">
        <v>2041</v>
      </c>
      <c r="F17" s="54">
        <f t="shared" si="0"/>
        <v>151.20929859999998</v>
      </c>
      <c r="G17" s="56" t="s">
        <v>155</v>
      </c>
      <c r="H17" s="56" t="s">
        <v>156</v>
      </c>
      <c r="I17" s="62">
        <v>200</v>
      </c>
      <c r="J17" s="53"/>
      <c r="K17" s="57" t="s">
        <v>132</v>
      </c>
      <c r="L17" s="52">
        <v>790</v>
      </c>
      <c r="M17" s="58">
        <f t="shared" si="1"/>
        <v>28.106938645110393</v>
      </c>
      <c r="N17" s="58">
        <v>38042.79</v>
      </c>
      <c r="O17" s="60">
        <f t="shared" si="2"/>
        <v>2.0766089973947757E-2</v>
      </c>
      <c r="P17" s="60">
        <f t="shared" si="3"/>
        <v>7.3882432505897682E-4</v>
      </c>
      <c r="Q17" s="63"/>
    </row>
    <row r="18" spans="1:17" ht="17.25" customHeight="1" x14ac:dyDescent="0.2">
      <c r="A18" s="52">
        <v>2137</v>
      </c>
      <c r="B18" s="53" t="s">
        <v>157</v>
      </c>
      <c r="C18" s="53" t="s">
        <v>129</v>
      </c>
      <c r="D18" s="54">
        <v>156.36199999999999</v>
      </c>
      <c r="E18" s="62">
        <v>2041</v>
      </c>
      <c r="F18" s="54">
        <f t="shared" si="0"/>
        <v>156.93169989999998</v>
      </c>
      <c r="G18" s="56" t="s">
        <v>158</v>
      </c>
      <c r="H18" s="56" t="s">
        <v>159</v>
      </c>
      <c r="I18" s="62">
        <v>214</v>
      </c>
      <c r="J18" s="53"/>
      <c r="K18" s="57" t="s">
        <v>132</v>
      </c>
      <c r="L18" s="52">
        <v>85061</v>
      </c>
      <c r="M18" s="58">
        <f t="shared" si="1"/>
        <v>291.65219011692676</v>
      </c>
      <c r="N18" s="58">
        <v>1606927.94</v>
      </c>
      <c r="O18" s="60">
        <f t="shared" si="2"/>
        <v>5.2933923098007742E-2</v>
      </c>
      <c r="P18" s="60">
        <f t="shared" si="3"/>
        <v>1.8149674472454986E-4</v>
      </c>
      <c r="Q18" s="63"/>
    </row>
    <row r="19" spans="1:17" ht="17.25" customHeight="1" x14ac:dyDescent="0.2">
      <c r="A19" s="52">
        <v>2138</v>
      </c>
      <c r="B19" s="53" t="s">
        <v>157</v>
      </c>
      <c r="C19" s="53" t="s">
        <v>129</v>
      </c>
      <c r="D19" s="54">
        <v>250.06100000000001</v>
      </c>
      <c r="E19" s="62">
        <v>2041</v>
      </c>
      <c r="F19" s="54">
        <f t="shared" si="0"/>
        <v>250.00291659999999</v>
      </c>
      <c r="G19" s="56" t="s">
        <v>160</v>
      </c>
      <c r="H19" s="56" t="s">
        <v>161</v>
      </c>
      <c r="I19" s="62">
        <v>135</v>
      </c>
      <c r="J19" s="53"/>
      <c r="K19" s="57"/>
      <c r="L19" s="52"/>
      <c r="M19" s="58"/>
      <c r="N19" s="59"/>
      <c r="O19" s="60"/>
      <c r="P19" s="60"/>
      <c r="Q19" s="63"/>
    </row>
    <row r="20" spans="1:17" ht="17.25" customHeight="1" x14ac:dyDescent="0.2">
      <c r="A20" s="52">
        <v>2139</v>
      </c>
      <c r="B20" s="53" t="s">
        <v>9</v>
      </c>
      <c r="C20" s="53" t="s">
        <v>162</v>
      </c>
      <c r="D20" s="54">
        <v>279.20999999999998</v>
      </c>
      <c r="E20" s="62">
        <v>1071</v>
      </c>
      <c r="F20" s="54">
        <f t="shared" si="0"/>
        <v>277.99311729999999</v>
      </c>
      <c r="G20" s="56" t="s">
        <v>163</v>
      </c>
      <c r="H20" s="56" t="s">
        <v>164</v>
      </c>
      <c r="I20" s="62">
        <v>70</v>
      </c>
      <c r="J20" s="53"/>
      <c r="K20" s="57" t="s">
        <v>165</v>
      </c>
      <c r="L20" s="52">
        <v>23557</v>
      </c>
      <c r="M20" s="58">
        <f t="shared" ref="M20:M42" si="4">SQRT(L20)</f>
        <v>153.48289807011074</v>
      </c>
      <c r="N20" s="58">
        <v>8226.0300000000007</v>
      </c>
      <c r="O20" s="60">
        <f>L20/$N$20</f>
        <v>2.8637143312144495</v>
      </c>
      <c r="P20" s="60">
        <f t="shared" ref="P20:P42" si="5">M20/N20</f>
        <v>1.8658198191607703E-2</v>
      </c>
      <c r="Q20" s="63"/>
    </row>
    <row r="21" spans="1:17" ht="17.25" customHeight="1" x14ac:dyDescent="0.2">
      <c r="A21" s="52">
        <v>2140</v>
      </c>
      <c r="B21" s="53" t="s">
        <v>9</v>
      </c>
      <c r="C21" s="53" t="s">
        <v>162</v>
      </c>
      <c r="D21" s="54">
        <v>278.18</v>
      </c>
      <c r="E21" s="62">
        <v>1071</v>
      </c>
      <c r="F21" s="54">
        <f t="shared" si="0"/>
        <v>276.97001829999999</v>
      </c>
      <c r="G21" s="56" t="s">
        <v>166</v>
      </c>
      <c r="H21" s="56" t="s">
        <v>167</v>
      </c>
      <c r="I21" s="62">
        <v>58</v>
      </c>
      <c r="J21" s="53"/>
      <c r="K21" s="57" t="s">
        <v>165</v>
      </c>
      <c r="L21" s="52">
        <v>9290</v>
      </c>
      <c r="M21" s="58">
        <f t="shared" si="4"/>
        <v>96.384646080171919</v>
      </c>
      <c r="N21" s="58">
        <v>10812.19</v>
      </c>
      <c r="O21" s="60">
        <f>L21/$N$21</f>
        <v>0.85921538559718236</v>
      </c>
      <c r="P21" s="60">
        <f t="shared" si="5"/>
        <v>8.9144425024136574E-3</v>
      </c>
      <c r="Q21" s="63"/>
    </row>
    <row r="22" spans="1:17" ht="17.25" customHeight="1" x14ac:dyDescent="0.2">
      <c r="A22" s="52">
        <v>2141</v>
      </c>
      <c r="B22" s="53" t="s">
        <v>9</v>
      </c>
      <c r="C22" s="53" t="s">
        <v>162</v>
      </c>
      <c r="D22" s="54">
        <v>277.18</v>
      </c>
      <c r="E22" s="62">
        <v>1071</v>
      </c>
      <c r="F22" s="54">
        <f t="shared" si="0"/>
        <v>275.97671830000002</v>
      </c>
      <c r="G22" s="56" t="s">
        <v>168</v>
      </c>
      <c r="H22" s="56" t="s">
        <v>169</v>
      </c>
      <c r="I22" s="62">
        <v>59</v>
      </c>
      <c r="J22" s="53"/>
      <c r="K22" s="57" t="s">
        <v>165</v>
      </c>
      <c r="L22" s="52">
        <v>2917</v>
      </c>
      <c r="M22" s="58">
        <f t="shared" si="4"/>
        <v>54.009258465563107</v>
      </c>
      <c r="N22" s="58">
        <v>7416.25</v>
      </c>
      <c r="O22" s="60">
        <f>L22/$N$22</f>
        <v>0.39332546772290577</v>
      </c>
      <c r="P22" s="60">
        <f t="shared" si="5"/>
        <v>7.2825563412186895E-3</v>
      </c>
      <c r="Q22" s="63"/>
    </row>
    <row r="23" spans="1:17" ht="17.25" customHeight="1" x14ac:dyDescent="0.2">
      <c r="A23" s="52">
        <v>2142</v>
      </c>
      <c r="B23" s="53" t="s">
        <v>9</v>
      </c>
      <c r="C23" s="53" t="s">
        <v>162</v>
      </c>
      <c r="D23" s="54">
        <v>276.17</v>
      </c>
      <c r="E23" s="62">
        <v>1071</v>
      </c>
      <c r="F23" s="54">
        <f t="shared" si="0"/>
        <v>274.97348529999999</v>
      </c>
      <c r="G23" s="56" t="s">
        <v>170</v>
      </c>
      <c r="H23" s="56" t="s">
        <v>171</v>
      </c>
      <c r="I23" s="62">
        <v>58</v>
      </c>
      <c r="J23" s="53"/>
      <c r="K23" s="57" t="s">
        <v>165</v>
      </c>
      <c r="L23" s="52">
        <v>2829</v>
      </c>
      <c r="M23" s="58">
        <f t="shared" si="4"/>
        <v>53.1883445878888</v>
      </c>
      <c r="N23" s="58">
        <v>11820.26</v>
      </c>
      <c r="O23" s="60">
        <f>L23/$N$23</f>
        <v>0.23933483696636115</v>
      </c>
      <c r="P23" s="60">
        <f t="shared" si="5"/>
        <v>4.4997609687002487E-3</v>
      </c>
      <c r="Q23" s="63"/>
    </row>
    <row r="24" spans="1:17" ht="17.25" customHeight="1" x14ac:dyDescent="0.2">
      <c r="A24" s="52">
        <v>2143</v>
      </c>
      <c r="B24" s="53" t="s">
        <v>9</v>
      </c>
      <c r="C24" s="53" t="s">
        <v>162</v>
      </c>
      <c r="D24" s="54">
        <v>280.2</v>
      </c>
      <c r="E24" s="62">
        <v>1071</v>
      </c>
      <c r="F24" s="54">
        <f t="shared" si="0"/>
        <v>278.97648429999998</v>
      </c>
      <c r="G24" s="56" t="s">
        <v>172</v>
      </c>
      <c r="H24" s="56" t="s">
        <v>173</v>
      </c>
      <c r="I24" s="62">
        <v>58</v>
      </c>
      <c r="J24" s="53"/>
      <c r="K24" s="57" t="s">
        <v>165</v>
      </c>
      <c r="L24" s="52">
        <v>18462</v>
      </c>
      <c r="M24" s="58">
        <f t="shared" si="4"/>
        <v>135.87494250228775</v>
      </c>
      <c r="N24" s="58">
        <v>4249.46</v>
      </c>
      <c r="O24" s="60">
        <f>L24/$N$24</f>
        <v>4.3445520136676192</v>
      </c>
      <c r="P24" s="60">
        <f t="shared" si="5"/>
        <v>3.1974637366227181E-2</v>
      </c>
      <c r="Q24" s="63"/>
    </row>
    <row r="25" spans="1:17" ht="17.25" customHeight="1" x14ac:dyDescent="0.2">
      <c r="A25" s="52">
        <v>2144</v>
      </c>
      <c r="B25" s="53" t="s">
        <v>9</v>
      </c>
      <c r="C25" s="53" t="s">
        <v>162</v>
      </c>
      <c r="D25" s="54">
        <v>281.2</v>
      </c>
      <c r="E25" s="62">
        <v>1071</v>
      </c>
      <c r="F25" s="54">
        <f t="shared" si="0"/>
        <v>279.96978429999996</v>
      </c>
      <c r="G25" s="56" t="s">
        <v>174</v>
      </c>
      <c r="H25" s="56" t="s">
        <v>175</v>
      </c>
      <c r="I25" s="62">
        <v>63</v>
      </c>
      <c r="J25" s="53"/>
      <c r="K25" s="57" t="s">
        <v>165</v>
      </c>
      <c r="L25" s="52">
        <v>13771</v>
      </c>
      <c r="M25" s="58">
        <f t="shared" si="4"/>
        <v>117.3499041328965</v>
      </c>
      <c r="N25" s="58">
        <v>2809.27</v>
      </c>
      <c r="O25" s="60">
        <f>L25/$N$25</f>
        <v>4.90198521324045</v>
      </c>
      <c r="P25" s="60">
        <f t="shared" si="5"/>
        <v>4.1772383620263094E-2</v>
      </c>
      <c r="Q25" s="63"/>
    </row>
    <row r="26" spans="1:17" ht="17.25" customHeight="1" x14ac:dyDescent="0.2">
      <c r="A26" s="52">
        <v>2145</v>
      </c>
      <c r="B26" s="53" t="s">
        <v>9</v>
      </c>
      <c r="C26" s="53" t="s">
        <v>162</v>
      </c>
      <c r="D26" s="54">
        <v>282.20999999999998</v>
      </c>
      <c r="E26" s="62">
        <v>1071</v>
      </c>
      <c r="F26" s="54">
        <f t="shared" si="0"/>
        <v>280.97301729999998</v>
      </c>
      <c r="G26" s="56" t="s">
        <v>176</v>
      </c>
      <c r="H26" s="56" t="s">
        <v>177</v>
      </c>
      <c r="I26" s="62">
        <v>64</v>
      </c>
      <c r="J26" s="53"/>
      <c r="K26" s="57" t="s">
        <v>165</v>
      </c>
      <c r="L26" s="52">
        <v>20477</v>
      </c>
      <c r="M26" s="58">
        <f t="shared" si="4"/>
        <v>143.09786860746738</v>
      </c>
      <c r="N26" s="58">
        <v>4150.04</v>
      </c>
      <c r="O26" s="60">
        <f>L26/$N$26</f>
        <v>4.9341693092114776</v>
      </c>
      <c r="P26" s="60">
        <f t="shared" si="5"/>
        <v>3.4481081774505158E-2</v>
      </c>
      <c r="Q26" s="63"/>
    </row>
    <row r="27" spans="1:17" ht="17.25" customHeight="1" x14ac:dyDescent="0.2">
      <c r="A27" s="52">
        <v>2146</v>
      </c>
      <c r="B27" s="53" t="s">
        <v>9</v>
      </c>
      <c r="C27" s="53" t="s">
        <v>162</v>
      </c>
      <c r="D27" s="54">
        <v>283.22000000000003</v>
      </c>
      <c r="E27" s="62">
        <v>1071</v>
      </c>
      <c r="F27" s="54">
        <f t="shared" si="0"/>
        <v>281.9762503</v>
      </c>
      <c r="G27" s="56" t="s">
        <v>178</v>
      </c>
      <c r="H27" s="56" t="s">
        <v>179</v>
      </c>
      <c r="I27" s="62">
        <v>64</v>
      </c>
      <c r="J27" s="53"/>
      <c r="K27" s="57" t="s">
        <v>165</v>
      </c>
      <c r="L27" s="52">
        <v>27121</v>
      </c>
      <c r="M27" s="58">
        <f t="shared" si="4"/>
        <v>164.68454693747074</v>
      </c>
      <c r="N27" s="58">
        <v>5483.11</v>
      </c>
      <c r="O27" s="60">
        <f>L27/$N$27</f>
        <v>4.9462804868040218</v>
      </c>
      <c r="P27" s="60">
        <f t="shared" si="5"/>
        <v>3.0034879281552029E-2</v>
      </c>
      <c r="Q27" s="63"/>
    </row>
    <row r="28" spans="1:17" ht="17.25" customHeight="1" x14ac:dyDescent="0.2">
      <c r="A28" s="52">
        <v>2147</v>
      </c>
      <c r="B28" s="53" t="s">
        <v>9</v>
      </c>
      <c r="C28" s="53" t="s">
        <v>162</v>
      </c>
      <c r="D28" s="54">
        <v>285.23</v>
      </c>
      <c r="E28" s="62">
        <v>1071</v>
      </c>
      <c r="F28" s="54">
        <f t="shared" si="0"/>
        <v>283.9727833</v>
      </c>
      <c r="G28" s="56" t="s">
        <v>180</v>
      </c>
      <c r="H28" s="56" t="s">
        <v>181</v>
      </c>
      <c r="I28" s="62">
        <v>65</v>
      </c>
      <c r="J28" s="53"/>
      <c r="K28" s="57" t="s">
        <v>165</v>
      </c>
      <c r="L28" s="52">
        <v>26398</v>
      </c>
      <c r="M28" s="58">
        <f t="shared" si="4"/>
        <v>162.47461340160191</v>
      </c>
      <c r="N28" s="58">
        <v>5224.3599999999997</v>
      </c>
      <c r="O28" s="60">
        <f>L28/$N$28</f>
        <v>5.0528677196824114</v>
      </c>
      <c r="P28" s="60">
        <f t="shared" si="5"/>
        <v>3.1099429097842017E-2</v>
      </c>
      <c r="Q28" s="63"/>
    </row>
    <row r="29" spans="1:17" ht="17.25" customHeight="1" x14ac:dyDescent="0.2">
      <c r="A29" s="52">
        <v>2148</v>
      </c>
      <c r="B29" s="53" t="s">
        <v>9</v>
      </c>
      <c r="C29" s="53" t="s">
        <v>162</v>
      </c>
      <c r="D29" s="54">
        <v>287.24</v>
      </c>
      <c r="E29" s="62">
        <v>1071</v>
      </c>
      <c r="F29" s="54">
        <f t="shared" si="0"/>
        <v>285.9693163</v>
      </c>
      <c r="G29" s="56" t="s">
        <v>182</v>
      </c>
      <c r="H29" s="56" t="s">
        <v>183</v>
      </c>
      <c r="I29" s="62">
        <v>65</v>
      </c>
      <c r="J29" s="53"/>
      <c r="K29" s="57" t="s">
        <v>165</v>
      </c>
      <c r="L29" s="52">
        <v>19153</v>
      </c>
      <c r="M29" s="58">
        <f t="shared" si="4"/>
        <v>138.39436404709551</v>
      </c>
      <c r="N29" s="58">
        <v>3832.24</v>
      </c>
      <c r="O29" s="60">
        <f>L29/$N$29</f>
        <v>4.9978602592739501</v>
      </c>
      <c r="P29" s="60">
        <f t="shared" si="5"/>
        <v>3.6113177683833875E-2</v>
      </c>
      <c r="Q29" s="63"/>
    </row>
    <row r="30" spans="1:17" ht="17.25" customHeight="1" x14ac:dyDescent="0.2">
      <c r="A30" s="52">
        <v>2149</v>
      </c>
      <c r="B30" s="53" t="s">
        <v>9</v>
      </c>
      <c r="C30" s="53" t="s">
        <v>162</v>
      </c>
      <c r="D30" s="54">
        <v>279.69</v>
      </c>
      <c r="E30" s="62">
        <v>1071</v>
      </c>
      <c r="F30" s="54">
        <f t="shared" si="0"/>
        <v>278.4699013</v>
      </c>
      <c r="G30" s="56" t="s">
        <v>184</v>
      </c>
      <c r="H30" s="56" t="s">
        <v>185</v>
      </c>
      <c r="I30" s="62">
        <v>66</v>
      </c>
      <c r="J30" s="53"/>
      <c r="K30" s="57" t="s">
        <v>165</v>
      </c>
      <c r="L30" s="52">
        <v>30425</v>
      </c>
      <c r="M30" s="58">
        <f t="shared" si="4"/>
        <v>174.42763542512407</v>
      </c>
      <c r="N30" s="58">
        <v>7942.16</v>
      </c>
      <c r="O30" s="60">
        <f>L30/$N$30</f>
        <v>3.8308218419170603</v>
      </c>
      <c r="P30" s="60">
        <f t="shared" si="5"/>
        <v>2.1962241433706203E-2</v>
      </c>
      <c r="Q30" s="63"/>
    </row>
    <row r="31" spans="1:17" ht="17.25" customHeight="1" x14ac:dyDescent="0.2">
      <c r="A31" s="52">
        <v>2150</v>
      </c>
      <c r="B31" s="53" t="s">
        <v>9</v>
      </c>
      <c r="C31" s="53" t="s">
        <v>162</v>
      </c>
      <c r="D31" s="54">
        <v>278.83999999999997</v>
      </c>
      <c r="E31" s="62">
        <v>1071</v>
      </c>
      <c r="F31" s="54">
        <f t="shared" si="0"/>
        <v>277.62559629999998</v>
      </c>
      <c r="G31" s="56" t="s">
        <v>186</v>
      </c>
      <c r="H31" s="56" t="s">
        <v>187</v>
      </c>
      <c r="I31" s="62">
        <v>66</v>
      </c>
      <c r="J31" s="53"/>
      <c r="K31" s="57" t="s">
        <v>165</v>
      </c>
      <c r="L31" s="52">
        <v>8136</v>
      </c>
      <c r="M31" s="58">
        <f t="shared" si="4"/>
        <v>90.199778270237445</v>
      </c>
      <c r="N31" s="58">
        <v>4435.45</v>
      </c>
      <c r="O31" s="60">
        <f>L31/$N$31</f>
        <v>1.834312189293082</v>
      </c>
      <c r="P31" s="60">
        <f t="shared" si="5"/>
        <v>2.0336105303912218E-2</v>
      </c>
      <c r="Q31" s="63"/>
    </row>
    <row r="32" spans="1:17" ht="17.25" customHeight="1" x14ac:dyDescent="0.2">
      <c r="A32" s="52">
        <v>2151</v>
      </c>
      <c r="B32" s="53" t="s">
        <v>9</v>
      </c>
      <c r="C32" s="53" t="s">
        <v>162</v>
      </c>
      <c r="D32" s="54">
        <v>278.54000000000002</v>
      </c>
      <c r="E32" s="62">
        <v>1071</v>
      </c>
      <c r="F32" s="54">
        <f t="shared" si="0"/>
        <v>277.32760630000001</v>
      </c>
      <c r="G32" s="56" t="s">
        <v>188</v>
      </c>
      <c r="H32" s="56" t="s">
        <v>189</v>
      </c>
      <c r="I32" s="62">
        <v>66</v>
      </c>
      <c r="J32" s="53"/>
      <c r="K32" s="57" t="s">
        <v>165</v>
      </c>
      <c r="L32" s="52">
        <v>10193</v>
      </c>
      <c r="M32" s="58">
        <f t="shared" si="4"/>
        <v>100.96038827183659</v>
      </c>
      <c r="N32" s="58">
        <v>8153.26</v>
      </c>
      <c r="O32" s="60">
        <f>L32/$N$32</f>
        <v>1.2501747767150808</v>
      </c>
      <c r="P32" s="60">
        <f t="shared" si="5"/>
        <v>1.2382824572236944E-2</v>
      </c>
      <c r="Q32" s="63"/>
    </row>
    <row r="33" spans="1:17" ht="17.25" customHeight="1" x14ac:dyDescent="0.2">
      <c r="A33" s="52">
        <v>2152</v>
      </c>
      <c r="B33" s="53" t="s">
        <v>9</v>
      </c>
      <c r="C33" s="53" t="s">
        <v>162</v>
      </c>
      <c r="D33" s="54">
        <v>275.16000000000003</v>
      </c>
      <c r="E33" s="62">
        <v>1071</v>
      </c>
      <c r="F33" s="54">
        <f t="shared" si="0"/>
        <v>273.97025230000003</v>
      </c>
      <c r="G33" s="56" t="s">
        <v>190</v>
      </c>
      <c r="H33" s="56" t="s">
        <v>191</v>
      </c>
      <c r="I33" s="62">
        <v>67</v>
      </c>
      <c r="J33" s="53"/>
      <c r="K33" s="57" t="s">
        <v>165</v>
      </c>
      <c r="L33" s="52">
        <v>919</v>
      </c>
      <c r="M33" s="58">
        <f t="shared" si="4"/>
        <v>30.315012782448235</v>
      </c>
      <c r="N33" s="58">
        <v>5490.35</v>
      </c>
      <c r="O33" s="60">
        <f>L33/$N$33</f>
        <v>0.16738459296766142</v>
      </c>
      <c r="P33" s="60">
        <f t="shared" si="5"/>
        <v>5.5215082430898274E-3</v>
      </c>
      <c r="Q33" s="63"/>
    </row>
    <row r="34" spans="1:17" ht="17.25" customHeight="1" x14ac:dyDescent="0.2">
      <c r="A34" s="52">
        <v>2153</v>
      </c>
      <c r="B34" s="53" t="s">
        <v>9</v>
      </c>
      <c r="C34" s="53" t="s">
        <v>162</v>
      </c>
      <c r="D34" s="54">
        <v>273.14999999999998</v>
      </c>
      <c r="E34" s="62">
        <v>1071</v>
      </c>
      <c r="F34" s="54">
        <f t="shared" si="0"/>
        <v>271.97371929999997</v>
      </c>
      <c r="G34" s="56" t="s">
        <v>192</v>
      </c>
      <c r="H34" s="56" t="s">
        <v>193</v>
      </c>
      <c r="I34" s="62">
        <v>67</v>
      </c>
      <c r="J34" s="53"/>
      <c r="K34" s="57" t="s">
        <v>165</v>
      </c>
      <c r="L34" s="52">
        <v>434</v>
      </c>
      <c r="M34" s="58">
        <f t="shared" si="4"/>
        <v>20.83266665599966</v>
      </c>
      <c r="N34" s="58">
        <v>4548.25</v>
      </c>
      <c r="O34" s="60">
        <f>L34/$N$34</f>
        <v>9.5421315890727207E-2</v>
      </c>
      <c r="P34" s="60">
        <f t="shared" si="5"/>
        <v>4.5803697369317118E-3</v>
      </c>
      <c r="Q34" s="63"/>
    </row>
    <row r="35" spans="1:17" ht="17.25" customHeight="1" x14ac:dyDescent="0.2">
      <c r="A35" s="52">
        <v>2154</v>
      </c>
      <c r="B35" s="53" t="s">
        <v>9</v>
      </c>
      <c r="C35" s="53" t="s">
        <v>162</v>
      </c>
      <c r="D35" s="54">
        <v>271.14</v>
      </c>
      <c r="E35" s="62">
        <v>1071</v>
      </c>
      <c r="F35" s="54">
        <f t="shared" si="0"/>
        <v>269.97718629999997</v>
      </c>
      <c r="G35" s="56" t="s">
        <v>194</v>
      </c>
      <c r="H35" s="56" t="s">
        <v>195</v>
      </c>
      <c r="I35" s="62">
        <v>67</v>
      </c>
      <c r="J35" s="53"/>
      <c r="K35" s="57" t="s">
        <v>165</v>
      </c>
      <c r="L35" s="52">
        <v>1033</v>
      </c>
      <c r="M35" s="58">
        <f t="shared" si="4"/>
        <v>32.140317359976393</v>
      </c>
      <c r="N35" s="58">
        <v>16256.11</v>
      </c>
      <c r="O35" s="60">
        <f>L35/$N$35</f>
        <v>6.35453377222472E-2</v>
      </c>
      <c r="P35" s="60">
        <f t="shared" si="5"/>
        <v>1.9771222857114276E-3</v>
      </c>
      <c r="Q35" s="63"/>
    </row>
    <row r="36" spans="1:17" ht="17.25" customHeight="1" x14ac:dyDescent="0.2">
      <c r="A36" s="52">
        <v>2155</v>
      </c>
      <c r="B36" s="53" t="s">
        <v>9</v>
      </c>
      <c r="C36" s="53" t="s">
        <v>162</v>
      </c>
      <c r="D36" s="54">
        <v>284.2</v>
      </c>
      <c r="E36" s="62">
        <v>1071</v>
      </c>
      <c r="F36" s="54">
        <f t="shared" si="0"/>
        <v>282.9496843</v>
      </c>
      <c r="G36" s="56" t="s">
        <v>196</v>
      </c>
      <c r="H36" s="56" t="s">
        <v>196</v>
      </c>
      <c r="I36" s="62">
        <v>65</v>
      </c>
      <c r="J36" s="53"/>
      <c r="K36" s="57" t="s">
        <v>165</v>
      </c>
      <c r="L36" s="52">
        <v>20915</v>
      </c>
      <c r="M36" s="58">
        <f t="shared" si="4"/>
        <v>144.62019222777985</v>
      </c>
      <c r="N36" s="58">
        <v>4144.55</v>
      </c>
      <c r="O36" s="60">
        <f>L36/$N$36</f>
        <v>5.0463862180453845</v>
      </c>
      <c r="P36" s="60">
        <f t="shared" si="5"/>
        <v>3.4894063825452667E-2</v>
      </c>
      <c r="Q36" s="63"/>
    </row>
    <row r="37" spans="1:17" ht="17.25" customHeight="1" x14ac:dyDescent="0.2">
      <c r="A37" s="52">
        <v>2156</v>
      </c>
      <c r="B37" s="53" t="s">
        <v>9</v>
      </c>
      <c r="C37" s="53" t="s">
        <v>162</v>
      </c>
      <c r="D37" s="54">
        <v>289.26</v>
      </c>
      <c r="E37" s="62">
        <v>1071</v>
      </c>
      <c r="F37" s="54">
        <f t="shared" si="0"/>
        <v>287.97578229999999</v>
      </c>
      <c r="G37" s="56" t="s">
        <v>197</v>
      </c>
      <c r="H37" s="56" t="s">
        <v>198</v>
      </c>
      <c r="I37" s="62">
        <v>67</v>
      </c>
      <c r="J37" s="53"/>
      <c r="K37" s="57" t="s">
        <v>165</v>
      </c>
      <c r="L37" s="52">
        <v>11675</v>
      </c>
      <c r="M37" s="58">
        <f t="shared" si="4"/>
        <v>108.05091392487155</v>
      </c>
      <c r="N37" s="58">
        <v>2376.27</v>
      </c>
      <c r="O37" s="60">
        <f>L37/$N$37</f>
        <v>4.9131622248313533</v>
      </c>
      <c r="P37" s="60">
        <f t="shared" si="5"/>
        <v>4.5470806736974984E-2</v>
      </c>
      <c r="Q37" s="63"/>
    </row>
    <row r="38" spans="1:17" ht="17.25" customHeight="1" x14ac:dyDescent="0.2">
      <c r="A38" s="52">
        <v>2157</v>
      </c>
      <c r="B38" s="53" t="s">
        <v>9</v>
      </c>
      <c r="C38" s="53" t="s">
        <v>162</v>
      </c>
      <c r="D38" s="54">
        <v>291.27</v>
      </c>
      <c r="E38" s="62">
        <v>1071</v>
      </c>
      <c r="F38" s="54">
        <f t="shared" si="0"/>
        <v>289.97231529999999</v>
      </c>
      <c r="G38" s="56" t="s">
        <v>199</v>
      </c>
      <c r="H38" s="56" t="s">
        <v>199</v>
      </c>
      <c r="I38" s="62">
        <v>67</v>
      </c>
      <c r="J38" s="53"/>
      <c r="K38" s="57" t="s">
        <v>165</v>
      </c>
      <c r="L38" s="52">
        <v>12658</v>
      </c>
      <c r="M38" s="58">
        <f t="shared" si="4"/>
        <v>112.50777750893491</v>
      </c>
      <c r="N38" s="58">
        <v>2766.34</v>
      </c>
      <c r="O38" s="60">
        <f>L38/$N$38</f>
        <v>4.5757209887432486</v>
      </c>
      <c r="P38" s="60">
        <f t="shared" si="5"/>
        <v>4.0670263781362702E-2</v>
      </c>
      <c r="Q38" s="63"/>
    </row>
    <row r="39" spans="1:17" ht="17.25" customHeight="1" x14ac:dyDescent="0.2">
      <c r="A39" s="52">
        <v>2158</v>
      </c>
      <c r="B39" s="53" t="s">
        <v>9</v>
      </c>
      <c r="C39" s="53" t="s">
        <v>162</v>
      </c>
      <c r="D39" s="54">
        <v>293.29000000000002</v>
      </c>
      <c r="E39" s="62">
        <v>1071</v>
      </c>
      <c r="F39" s="54">
        <f t="shared" si="0"/>
        <v>291.97878130000004</v>
      </c>
      <c r="G39" s="56" t="s">
        <v>200</v>
      </c>
      <c r="H39" s="56" t="s">
        <v>201</v>
      </c>
      <c r="I39" s="62">
        <v>67</v>
      </c>
      <c r="J39" s="53"/>
      <c r="K39" s="57" t="s">
        <v>165</v>
      </c>
      <c r="L39" s="52">
        <v>10898</v>
      </c>
      <c r="M39" s="58">
        <f t="shared" si="4"/>
        <v>104.39348638684312</v>
      </c>
      <c r="N39" s="58">
        <v>3436.27</v>
      </c>
      <c r="O39" s="60">
        <f>L39/$N$39</f>
        <v>3.1714620795222728</v>
      </c>
      <c r="P39" s="60">
        <f t="shared" si="5"/>
        <v>3.0379884696733122E-2</v>
      </c>
      <c r="Q39" s="63"/>
    </row>
    <row r="40" spans="1:17" ht="17.25" customHeight="1" x14ac:dyDescent="0.2">
      <c r="A40" s="52">
        <v>2159</v>
      </c>
      <c r="B40" s="53" t="s">
        <v>9</v>
      </c>
      <c r="C40" s="53" t="s">
        <v>162</v>
      </c>
      <c r="D40" s="54">
        <v>295.3</v>
      </c>
      <c r="E40" s="62">
        <v>1071</v>
      </c>
      <c r="F40" s="54">
        <f t="shared" si="0"/>
        <v>293.97531429999998</v>
      </c>
      <c r="G40" s="56" t="s">
        <v>202</v>
      </c>
      <c r="H40" s="56" t="s">
        <v>203</v>
      </c>
      <c r="I40" s="62">
        <v>66</v>
      </c>
      <c r="J40" s="53"/>
      <c r="K40" s="57" t="s">
        <v>165</v>
      </c>
      <c r="L40" s="52">
        <v>4644</v>
      </c>
      <c r="M40" s="58">
        <f t="shared" si="4"/>
        <v>68.146900149603283</v>
      </c>
      <c r="N40" s="58">
        <v>3501.52</v>
      </c>
      <c r="O40" s="60">
        <f>L40/$N$40</f>
        <v>1.3262811578971418</v>
      </c>
      <c r="P40" s="60">
        <f t="shared" si="5"/>
        <v>1.9462090791885604E-2</v>
      </c>
      <c r="Q40" s="63"/>
    </row>
    <row r="41" spans="1:17" ht="17.25" customHeight="1" x14ac:dyDescent="0.2">
      <c r="A41" s="52">
        <v>2160</v>
      </c>
      <c r="B41" s="53" t="s">
        <v>9</v>
      </c>
      <c r="C41" s="53" t="s">
        <v>162</v>
      </c>
      <c r="D41" s="54">
        <v>297.3</v>
      </c>
      <c r="E41" s="62">
        <v>1071</v>
      </c>
      <c r="F41" s="54">
        <f t="shared" si="0"/>
        <v>295.96191429999999</v>
      </c>
      <c r="G41" s="56" t="s">
        <v>204</v>
      </c>
      <c r="H41" s="56" t="s">
        <v>205</v>
      </c>
      <c r="I41" s="62">
        <v>66</v>
      </c>
      <c r="J41" s="53"/>
      <c r="K41" s="57" t="s">
        <v>165</v>
      </c>
      <c r="L41" s="52">
        <v>4108</v>
      </c>
      <c r="M41" s="58">
        <f t="shared" si="4"/>
        <v>64.093681435848268</v>
      </c>
      <c r="N41" s="62">
        <v>8646</v>
      </c>
      <c r="O41" s="60">
        <f>L41/$N$41</f>
        <v>0.47513300948415454</v>
      </c>
      <c r="P41" s="60">
        <f t="shared" si="5"/>
        <v>7.4131021785621403E-3</v>
      </c>
      <c r="Q41" s="63"/>
    </row>
    <row r="42" spans="1:17" ht="17.25" customHeight="1" x14ac:dyDescent="0.2">
      <c r="A42" s="52">
        <v>2161</v>
      </c>
      <c r="B42" s="53" t="s">
        <v>9</v>
      </c>
      <c r="C42" s="53" t="s">
        <v>162</v>
      </c>
      <c r="D42" s="54">
        <v>299.3</v>
      </c>
      <c r="E42" s="62">
        <v>1071</v>
      </c>
      <c r="F42" s="54">
        <f t="shared" si="0"/>
        <v>297.9485143</v>
      </c>
      <c r="G42" s="56" t="s">
        <v>205</v>
      </c>
      <c r="H42" s="56" t="s">
        <v>206</v>
      </c>
      <c r="I42" s="62">
        <v>66</v>
      </c>
      <c r="J42" s="53"/>
      <c r="K42" s="57" t="s">
        <v>165</v>
      </c>
      <c r="L42" s="52">
        <v>2162</v>
      </c>
      <c r="M42" s="58">
        <f t="shared" si="4"/>
        <v>46.497311750250681</v>
      </c>
      <c r="N42" s="58">
        <v>9187.83</v>
      </c>
      <c r="O42" s="60">
        <f>L42/$N$35</f>
        <v>0.13299614729477099</v>
      </c>
      <c r="P42" s="60">
        <f t="shared" si="5"/>
        <v>5.0607501173019834E-3</v>
      </c>
      <c r="Q42" s="63"/>
    </row>
    <row r="43" spans="1:17" ht="17.25" customHeight="1" x14ac:dyDescent="0.2">
      <c r="A43" s="52">
        <v>2155</v>
      </c>
      <c r="B43" s="53" t="s">
        <v>157</v>
      </c>
      <c r="C43" s="53" t="s">
        <v>162</v>
      </c>
      <c r="D43" s="54">
        <v>284.22000000000003</v>
      </c>
      <c r="E43" s="62">
        <v>1097</v>
      </c>
      <c r="F43" s="54">
        <f t="shared" si="0"/>
        <v>282.99537609999999</v>
      </c>
      <c r="G43" s="56" t="s">
        <v>207</v>
      </c>
      <c r="H43" s="56" t="s">
        <v>208</v>
      </c>
      <c r="I43" s="55"/>
      <c r="J43" s="53"/>
      <c r="K43" s="57"/>
      <c r="L43" s="52"/>
      <c r="M43" s="58"/>
      <c r="N43" s="59"/>
      <c r="O43" s="60"/>
      <c r="P43" s="60"/>
      <c r="Q43" s="63"/>
    </row>
    <row r="44" spans="1:17" ht="17.25" customHeight="1" x14ac:dyDescent="0.2">
      <c r="A44" s="52">
        <v>2163</v>
      </c>
      <c r="B44" s="53" t="s">
        <v>209</v>
      </c>
      <c r="C44" s="53" t="s">
        <v>57</v>
      </c>
      <c r="D44" s="54"/>
      <c r="E44" s="55"/>
      <c r="F44" s="54"/>
      <c r="G44" s="56" t="s">
        <v>210</v>
      </c>
      <c r="H44" s="56" t="s">
        <v>211</v>
      </c>
      <c r="I44" s="55"/>
      <c r="J44" s="53"/>
      <c r="K44" s="57"/>
      <c r="L44" s="52"/>
      <c r="M44" s="58">
        <f>SQRT(L44)</f>
        <v>0</v>
      </c>
      <c r="N44" s="59"/>
      <c r="O44" s="60">
        <f>L44/$N$35</f>
        <v>0</v>
      </c>
      <c r="P44" s="60" t="e">
        <f>M44/N44</f>
        <v>#DIV/0!</v>
      </c>
      <c r="Q44" s="64" t="s">
        <v>212</v>
      </c>
    </row>
    <row r="45" spans="1:17" ht="17.25" customHeight="1" x14ac:dyDescent="0.2">
      <c r="A45" s="52">
        <v>2164</v>
      </c>
      <c r="B45" s="53" t="s">
        <v>209</v>
      </c>
      <c r="C45" s="53" t="s">
        <v>57</v>
      </c>
      <c r="D45" s="54"/>
      <c r="E45" s="55"/>
      <c r="F45" s="54"/>
      <c r="G45" s="56" t="s">
        <v>213</v>
      </c>
      <c r="H45" s="56" t="s">
        <v>214</v>
      </c>
      <c r="I45" s="55"/>
      <c r="J45" s="53"/>
      <c r="K45" s="57"/>
      <c r="L45" s="52"/>
      <c r="M45" s="58">
        <f>SQRT(L45)</f>
        <v>0</v>
      </c>
      <c r="N45" s="59"/>
      <c r="O45" s="60">
        <f>L45/$N$35</f>
        <v>0</v>
      </c>
      <c r="P45" s="60" t="e">
        <f>M45/N45</f>
        <v>#DIV/0!</v>
      </c>
      <c r="Q45" s="63"/>
    </row>
    <row r="46" spans="1:17" ht="17.25" customHeight="1" x14ac:dyDescent="0.2">
      <c r="A46" s="52">
        <v>2165</v>
      </c>
      <c r="B46" s="53" t="s">
        <v>209</v>
      </c>
      <c r="C46" s="53" t="s">
        <v>60</v>
      </c>
      <c r="D46" s="54"/>
      <c r="E46" s="55"/>
      <c r="F46" s="54"/>
      <c r="G46" s="56" t="s">
        <v>215</v>
      </c>
      <c r="H46" s="56" t="s">
        <v>216</v>
      </c>
      <c r="I46" s="55"/>
      <c r="J46" s="53"/>
      <c r="K46" s="57"/>
      <c r="L46" s="52"/>
      <c r="M46" s="58"/>
      <c r="N46" s="59"/>
      <c r="O46" s="60"/>
      <c r="P46" s="60"/>
      <c r="Q46" s="63"/>
    </row>
    <row r="47" spans="1:17" ht="17.25" customHeight="1" x14ac:dyDescent="0.2">
      <c r="A47" s="52">
        <v>2166</v>
      </c>
      <c r="B47" s="53" t="s">
        <v>120</v>
      </c>
      <c r="C47" s="53" t="s">
        <v>217</v>
      </c>
      <c r="D47" s="54"/>
      <c r="E47" s="55"/>
      <c r="F47" s="54"/>
      <c r="G47" s="56" t="s">
        <v>218</v>
      </c>
      <c r="H47" s="56" t="s">
        <v>219</v>
      </c>
      <c r="I47" s="55"/>
      <c r="J47" s="53"/>
      <c r="K47" s="57"/>
      <c r="L47" s="52"/>
      <c r="M47" s="58"/>
      <c r="N47" s="59"/>
      <c r="O47" s="60"/>
      <c r="P47" s="60"/>
      <c r="Q47" s="63"/>
    </row>
    <row r="48" spans="1:17" ht="17.25" customHeight="1" x14ac:dyDescent="0.2">
      <c r="A48" s="52">
        <v>2167</v>
      </c>
      <c r="B48" s="53" t="s">
        <v>29</v>
      </c>
      <c r="C48" s="53" t="s">
        <v>217</v>
      </c>
      <c r="D48" s="54">
        <v>365.233</v>
      </c>
      <c r="E48" s="62">
        <v>936</v>
      </c>
      <c r="F48" s="54">
        <f t="shared" ref="F48:F73" si="6">0.9933*(D48 + E48/1000)-0.41</f>
        <v>363.30566769999996</v>
      </c>
      <c r="G48" s="56" t="s">
        <v>220</v>
      </c>
      <c r="H48" s="56" t="s">
        <v>221</v>
      </c>
      <c r="I48" s="62">
        <v>30</v>
      </c>
      <c r="J48" s="53"/>
      <c r="K48" s="57" t="s">
        <v>222</v>
      </c>
      <c r="L48" s="52">
        <v>16801</v>
      </c>
      <c r="M48" s="58">
        <f t="shared" ref="M48:M73" si="7">SQRT(L48)</f>
        <v>129.61867149450345</v>
      </c>
      <c r="N48" s="58">
        <v>3184.61</v>
      </c>
      <c r="O48" s="60">
        <f t="shared" ref="O48:O73" si="8">L48/N48</f>
        <v>5.2756852487431738</v>
      </c>
      <c r="P48" s="60">
        <f t="shared" ref="P48:P73" si="9">M48/N48</f>
        <v>4.0701584022691459E-2</v>
      </c>
      <c r="Q48" s="63"/>
    </row>
    <row r="49" spans="1:17" ht="17.25" customHeight="1" x14ac:dyDescent="0.2">
      <c r="A49" s="52">
        <v>2168</v>
      </c>
      <c r="B49" s="53" t="s">
        <v>29</v>
      </c>
      <c r="C49" s="53" t="s">
        <v>217</v>
      </c>
      <c r="D49" s="54">
        <v>363.226</v>
      </c>
      <c r="E49" s="62">
        <v>936</v>
      </c>
      <c r="F49" s="54">
        <f t="shared" si="6"/>
        <v>361.31211459999992</v>
      </c>
      <c r="G49" s="56" t="s">
        <v>223</v>
      </c>
      <c r="H49" s="56" t="s">
        <v>224</v>
      </c>
      <c r="I49" s="62">
        <v>30</v>
      </c>
      <c r="J49" s="53"/>
      <c r="K49" s="57" t="s">
        <v>222</v>
      </c>
      <c r="L49" s="52">
        <v>14933</v>
      </c>
      <c r="M49" s="58">
        <f t="shared" si="7"/>
        <v>122.20065466273084</v>
      </c>
      <c r="N49" s="62">
        <v>2185</v>
      </c>
      <c r="O49" s="60">
        <f t="shared" si="8"/>
        <v>6.8343249427917616</v>
      </c>
      <c r="P49" s="60">
        <f t="shared" si="9"/>
        <v>5.5927073072188027E-2</v>
      </c>
      <c r="Q49" s="63"/>
    </row>
    <row r="50" spans="1:17" ht="17.25" customHeight="1" x14ac:dyDescent="0.2">
      <c r="A50" s="52">
        <v>2169</v>
      </c>
      <c r="B50" s="53" t="s">
        <v>29</v>
      </c>
      <c r="C50" s="53" t="s">
        <v>217</v>
      </c>
      <c r="D50" s="54">
        <v>361.22500000000002</v>
      </c>
      <c r="E50" s="62">
        <v>936</v>
      </c>
      <c r="F50" s="54">
        <f t="shared" si="6"/>
        <v>359.32452129999996</v>
      </c>
      <c r="G50" s="56" t="s">
        <v>225</v>
      </c>
      <c r="H50" s="56" t="s">
        <v>226</v>
      </c>
      <c r="I50" s="62">
        <v>30</v>
      </c>
      <c r="J50" s="53"/>
      <c r="K50" s="57" t="s">
        <v>222</v>
      </c>
      <c r="L50" s="52">
        <v>18595</v>
      </c>
      <c r="M50" s="58">
        <f t="shared" si="7"/>
        <v>136.36348484840067</v>
      </c>
      <c r="N50" s="58">
        <v>2112.3200000000002</v>
      </c>
      <c r="O50" s="60">
        <f t="shared" si="8"/>
        <v>8.803116951976973</v>
      </c>
      <c r="P50" s="60">
        <f t="shared" si="9"/>
        <v>6.4556262710385101E-2</v>
      </c>
      <c r="Q50" s="63"/>
    </row>
    <row r="51" spans="1:17" ht="17.25" customHeight="1" x14ac:dyDescent="0.2">
      <c r="A51" s="52">
        <v>2170</v>
      </c>
      <c r="B51" s="53" t="s">
        <v>29</v>
      </c>
      <c r="C51" s="53" t="s">
        <v>217</v>
      </c>
      <c r="D51" s="54">
        <v>359.22399999999999</v>
      </c>
      <c r="E51" s="62">
        <v>936</v>
      </c>
      <c r="F51" s="54">
        <f t="shared" si="6"/>
        <v>357.33692799999994</v>
      </c>
      <c r="G51" s="56" t="s">
        <v>227</v>
      </c>
      <c r="H51" s="56" t="s">
        <v>228</v>
      </c>
      <c r="I51" s="62">
        <v>29</v>
      </c>
      <c r="J51" s="53"/>
      <c r="K51" s="57" t="s">
        <v>222</v>
      </c>
      <c r="L51" s="52">
        <v>16914</v>
      </c>
      <c r="M51" s="58">
        <f t="shared" si="7"/>
        <v>130.05383500689243</v>
      </c>
      <c r="N51" s="58">
        <v>1326.42</v>
      </c>
      <c r="O51" s="60">
        <f t="shared" si="8"/>
        <v>12.751617134844166</v>
      </c>
      <c r="P51" s="60">
        <f t="shared" si="9"/>
        <v>9.8048759070952202E-2</v>
      </c>
      <c r="Q51" s="63"/>
    </row>
    <row r="52" spans="1:17" ht="17.25" customHeight="1" x14ac:dyDescent="0.2">
      <c r="A52" s="52">
        <v>2171</v>
      </c>
      <c r="B52" s="53" t="s">
        <v>29</v>
      </c>
      <c r="C52" s="53" t="s">
        <v>217</v>
      </c>
      <c r="D52" s="54">
        <v>357.21</v>
      </c>
      <c r="E52" s="62">
        <v>936</v>
      </c>
      <c r="F52" s="54">
        <f t="shared" si="6"/>
        <v>355.33642179999993</v>
      </c>
      <c r="G52" s="56" t="s">
        <v>228</v>
      </c>
      <c r="H52" s="56" t="s">
        <v>229</v>
      </c>
      <c r="I52" s="62">
        <v>26</v>
      </c>
      <c r="J52" s="53"/>
      <c r="K52" s="57" t="s">
        <v>222</v>
      </c>
      <c r="L52" s="52">
        <v>19389</v>
      </c>
      <c r="M52" s="58">
        <f t="shared" si="7"/>
        <v>139.24438947404667</v>
      </c>
      <c r="N52" s="58">
        <v>1088.97</v>
      </c>
      <c r="O52" s="60">
        <f t="shared" si="8"/>
        <v>17.804898206562164</v>
      </c>
      <c r="P52" s="60">
        <f t="shared" si="9"/>
        <v>0.12786797567797706</v>
      </c>
      <c r="Q52" s="63"/>
    </row>
    <row r="53" spans="1:17" ht="17.25" customHeight="1" x14ac:dyDescent="0.2">
      <c r="A53" s="52">
        <v>2172</v>
      </c>
      <c r="B53" s="53" t="s">
        <v>29</v>
      </c>
      <c r="C53" s="53" t="s">
        <v>217</v>
      </c>
      <c r="D53" s="54">
        <v>355.209</v>
      </c>
      <c r="E53" s="62">
        <v>936</v>
      </c>
      <c r="F53" s="54">
        <f t="shared" si="6"/>
        <v>353.34882849999997</v>
      </c>
      <c r="G53" s="56" t="s">
        <v>230</v>
      </c>
      <c r="H53" s="56" t="s">
        <v>231</v>
      </c>
      <c r="I53" s="62">
        <v>29</v>
      </c>
      <c r="J53" s="53"/>
      <c r="K53" s="57" t="s">
        <v>222</v>
      </c>
      <c r="L53" s="52">
        <v>19982</v>
      </c>
      <c r="M53" s="58">
        <f t="shared" si="7"/>
        <v>141.35770230164326</v>
      </c>
      <c r="N53" s="58">
        <v>824.15</v>
      </c>
      <c r="O53" s="60">
        <f t="shared" si="8"/>
        <v>24.245586361706</v>
      </c>
      <c r="P53" s="60">
        <f t="shared" si="9"/>
        <v>0.17151938640010103</v>
      </c>
      <c r="Q53" s="63"/>
    </row>
    <row r="54" spans="1:17" ht="17.25" customHeight="1" x14ac:dyDescent="0.2">
      <c r="A54" s="52">
        <v>2173</v>
      </c>
      <c r="B54" s="53" t="s">
        <v>29</v>
      </c>
      <c r="C54" s="53" t="s">
        <v>217</v>
      </c>
      <c r="D54" s="54">
        <v>353.20800000000003</v>
      </c>
      <c r="E54" s="62">
        <v>936</v>
      </c>
      <c r="F54" s="54">
        <f t="shared" si="6"/>
        <v>351.36123519999995</v>
      </c>
      <c r="G54" s="56" t="s">
        <v>232</v>
      </c>
      <c r="H54" s="56" t="s">
        <v>233</v>
      </c>
      <c r="I54" s="62">
        <v>28</v>
      </c>
      <c r="J54" s="53"/>
      <c r="K54" s="57" t="s">
        <v>222</v>
      </c>
      <c r="L54" s="52">
        <v>31883</v>
      </c>
      <c r="M54" s="58">
        <f t="shared" si="7"/>
        <v>178.55811378932071</v>
      </c>
      <c r="N54" s="58">
        <v>916.91</v>
      </c>
      <c r="O54" s="60">
        <f t="shared" si="8"/>
        <v>34.772224100511501</v>
      </c>
      <c r="P54" s="60">
        <f t="shared" si="9"/>
        <v>0.19473897524219469</v>
      </c>
      <c r="Q54" s="63"/>
    </row>
    <row r="55" spans="1:17" ht="17.25" customHeight="1" x14ac:dyDescent="0.2">
      <c r="A55" s="52">
        <v>2174</v>
      </c>
      <c r="B55" s="53" t="s">
        <v>29</v>
      </c>
      <c r="C55" s="53" t="s">
        <v>217</v>
      </c>
      <c r="D55" s="54">
        <v>352.21499999999997</v>
      </c>
      <c r="E55" s="62">
        <v>936</v>
      </c>
      <c r="F55" s="54">
        <f t="shared" si="6"/>
        <v>350.3748882999999</v>
      </c>
      <c r="G55" s="56" t="s">
        <v>234</v>
      </c>
      <c r="H55" s="56" t="s">
        <v>235</v>
      </c>
      <c r="I55" s="62">
        <v>28</v>
      </c>
      <c r="J55" s="53"/>
      <c r="K55" s="57" t="s">
        <v>222</v>
      </c>
      <c r="L55" s="52">
        <v>32855</v>
      </c>
      <c r="M55" s="58">
        <f t="shared" si="7"/>
        <v>181.25948251057102</v>
      </c>
      <c r="N55" s="58">
        <v>794.68</v>
      </c>
      <c r="O55" s="60">
        <f t="shared" si="8"/>
        <v>41.343685508632412</v>
      </c>
      <c r="P55" s="60">
        <f t="shared" si="9"/>
        <v>0.22809115934787716</v>
      </c>
      <c r="Q55" s="63"/>
    </row>
    <row r="56" spans="1:17" ht="17.25" customHeight="1" x14ac:dyDescent="0.2">
      <c r="A56" s="52">
        <v>2175</v>
      </c>
      <c r="B56" s="53" t="s">
        <v>29</v>
      </c>
      <c r="C56" s="53" t="s">
        <v>217</v>
      </c>
      <c r="D56" s="54">
        <v>351.214</v>
      </c>
      <c r="E56" s="62">
        <v>936</v>
      </c>
      <c r="F56" s="54">
        <f t="shared" si="6"/>
        <v>349.38059499999991</v>
      </c>
      <c r="G56" s="56" t="s">
        <v>236</v>
      </c>
      <c r="H56" s="56" t="s">
        <v>236</v>
      </c>
      <c r="I56" s="62">
        <v>29</v>
      </c>
      <c r="J56" s="53"/>
      <c r="K56" s="57" t="s">
        <v>222</v>
      </c>
      <c r="L56" s="52">
        <v>34528</v>
      </c>
      <c r="M56" s="58">
        <f t="shared" si="7"/>
        <v>185.81711438939095</v>
      </c>
      <c r="N56" s="58">
        <v>729.76</v>
      </c>
      <c r="O56" s="60">
        <f t="shared" si="8"/>
        <v>47.314185485639115</v>
      </c>
      <c r="P56" s="60">
        <f t="shared" si="9"/>
        <v>0.25462770553249142</v>
      </c>
      <c r="Q56" s="63"/>
    </row>
    <row r="57" spans="1:17" ht="17.25" customHeight="1" x14ac:dyDescent="0.2">
      <c r="A57" s="52">
        <v>2176</v>
      </c>
      <c r="B57" s="53" t="s">
        <v>29</v>
      </c>
      <c r="C57" s="53" t="s">
        <v>217</v>
      </c>
      <c r="D57" s="54">
        <v>350.20699999999999</v>
      </c>
      <c r="E57" s="62">
        <v>936</v>
      </c>
      <c r="F57" s="54">
        <f t="shared" si="6"/>
        <v>348.38034189999991</v>
      </c>
      <c r="G57" s="56" t="s">
        <v>237</v>
      </c>
      <c r="H57" s="56" t="s">
        <v>237</v>
      </c>
      <c r="I57" s="62">
        <v>29</v>
      </c>
      <c r="J57" s="53"/>
      <c r="K57" s="57" t="s">
        <v>222</v>
      </c>
      <c r="L57" s="52">
        <v>48473</v>
      </c>
      <c r="M57" s="58">
        <f t="shared" si="7"/>
        <v>220.16584657934573</v>
      </c>
      <c r="N57" s="58">
        <v>882.4</v>
      </c>
      <c r="O57" s="60">
        <f t="shared" si="8"/>
        <v>54.933136899365365</v>
      </c>
      <c r="P57" s="60">
        <f t="shared" si="9"/>
        <v>0.24950798569735463</v>
      </c>
      <c r="Q57" s="63"/>
    </row>
    <row r="58" spans="1:17" ht="17.25" customHeight="1" x14ac:dyDescent="0.2">
      <c r="A58" s="52">
        <v>2177</v>
      </c>
      <c r="B58" s="53" t="s">
        <v>29</v>
      </c>
      <c r="C58" s="53" t="s">
        <v>217</v>
      </c>
      <c r="D58" s="54">
        <v>349.20699999999999</v>
      </c>
      <c r="E58" s="62">
        <v>936</v>
      </c>
      <c r="F58" s="54">
        <f t="shared" si="6"/>
        <v>347.38704189999993</v>
      </c>
      <c r="G58" s="56" t="s">
        <v>238</v>
      </c>
      <c r="H58" s="56" t="s">
        <v>238</v>
      </c>
      <c r="I58" s="62">
        <v>29</v>
      </c>
      <c r="J58" s="53"/>
      <c r="K58" s="57" t="s">
        <v>222</v>
      </c>
      <c r="L58" s="52">
        <v>61801</v>
      </c>
      <c r="M58" s="58">
        <f t="shared" si="7"/>
        <v>248.59806917995161</v>
      </c>
      <c r="N58" s="58">
        <v>986.08</v>
      </c>
      <c r="O58" s="60">
        <f t="shared" si="8"/>
        <v>62.67341392179133</v>
      </c>
      <c r="P58" s="60">
        <f t="shared" si="9"/>
        <v>0.25210740424707084</v>
      </c>
      <c r="Q58" s="63"/>
    </row>
    <row r="59" spans="1:17" ht="17.25" customHeight="1" x14ac:dyDescent="0.2">
      <c r="A59" s="52">
        <v>2178</v>
      </c>
      <c r="B59" s="53" t="s">
        <v>9</v>
      </c>
      <c r="C59" s="53" t="s">
        <v>217</v>
      </c>
      <c r="D59" s="54">
        <v>347.20699999999999</v>
      </c>
      <c r="E59" s="62">
        <v>936</v>
      </c>
      <c r="F59" s="54">
        <f t="shared" si="6"/>
        <v>345.40044189999992</v>
      </c>
      <c r="G59" s="56" t="s">
        <v>239</v>
      </c>
      <c r="H59" s="56" t="s">
        <v>240</v>
      </c>
      <c r="I59" s="62">
        <v>29</v>
      </c>
      <c r="J59" s="53"/>
      <c r="K59" s="57" t="s">
        <v>222</v>
      </c>
      <c r="L59" s="52">
        <v>122395</v>
      </c>
      <c r="M59" s="58">
        <f t="shared" si="7"/>
        <v>349.84996784335999</v>
      </c>
      <c r="N59" s="62">
        <v>1757</v>
      </c>
      <c r="O59" s="60">
        <f t="shared" si="8"/>
        <v>69.661354581673308</v>
      </c>
      <c r="P59" s="60">
        <f t="shared" si="9"/>
        <v>0.19911779615444508</v>
      </c>
      <c r="Q59" s="63" t="s">
        <v>241</v>
      </c>
    </row>
    <row r="60" spans="1:17" ht="17.25" customHeight="1" x14ac:dyDescent="0.2">
      <c r="A60" s="52">
        <v>2179</v>
      </c>
      <c r="B60" s="53" t="s">
        <v>29</v>
      </c>
      <c r="C60" s="53" t="s">
        <v>217</v>
      </c>
      <c r="D60" s="54">
        <v>348.20600000000002</v>
      </c>
      <c r="E60" s="62">
        <v>936</v>
      </c>
      <c r="F60" s="54">
        <f t="shared" si="6"/>
        <v>346.39274859999995</v>
      </c>
      <c r="G60" s="56" t="s">
        <v>242</v>
      </c>
      <c r="H60" s="56" t="s">
        <v>243</v>
      </c>
      <c r="I60" s="62">
        <v>29</v>
      </c>
      <c r="J60" s="53"/>
      <c r="K60" s="57" t="s">
        <v>222</v>
      </c>
      <c r="L60" s="52">
        <v>46365</v>
      </c>
      <c r="M60" s="58">
        <f t="shared" si="7"/>
        <v>215.32533524878116</v>
      </c>
      <c r="N60" s="58">
        <v>692.09</v>
      </c>
      <c r="O60" s="60">
        <f t="shared" si="8"/>
        <v>66.992732159112251</v>
      </c>
      <c r="P60" s="60">
        <f t="shared" si="9"/>
        <v>0.31112331524625575</v>
      </c>
      <c r="Q60" s="63"/>
    </row>
    <row r="61" spans="1:17" ht="17.25" customHeight="1" x14ac:dyDescent="0.2">
      <c r="A61" s="52">
        <v>2180</v>
      </c>
      <c r="B61" s="53" t="s">
        <v>9</v>
      </c>
      <c r="C61" s="53" t="s">
        <v>217</v>
      </c>
      <c r="D61" s="54">
        <v>347.19900000000001</v>
      </c>
      <c r="E61" s="62">
        <v>936</v>
      </c>
      <c r="F61" s="54">
        <f t="shared" si="6"/>
        <v>345.39249549999994</v>
      </c>
      <c r="G61" s="56" t="s">
        <v>244</v>
      </c>
      <c r="H61" s="56" t="s">
        <v>244</v>
      </c>
      <c r="I61" s="62">
        <v>29</v>
      </c>
      <c r="J61" s="53"/>
      <c r="K61" s="57" t="s">
        <v>222</v>
      </c>
      <c r="L61" s="52">
        <v>122395</v>
      </c>
      <c r="M61" s="58">
        <f t="shared" si="7"/>
        <v>349.84996784335999</v>
      </c>
      <c r="N61" s="62">
        <v>1757</v>
      </c>
      <c r="O61" s="60">
        <f t="shared" si="8"/>
        <v>69.661354581673308</v>
      </c>
      <c r="P61" s="60">
        <f t="shared" si="9"/>
        <v>0.19911779615444508</v>
      </c>
      <c r="Q61" s="63" t="s">
        <v>241</v>
      </c>
    </row>
    <row r="62" spans="1:17" ht="17.25" customHeight="1" x14ac:dyDescent="0.2">
      <c r="A62" s="52">
        <v>2181</v>
      </c>
      <c r="B62" s="53" t="s">
        <v>29</v>
      </c>
      <c r="C62" s="53" t="s">
        <v>217</v>
      </c>
      <c r="D62" s="54">
        <v>346.19900000000001</v>
      </c>
      <c r="E62" s="62">
        <v>936</v>
      </c>
      <c r="F62" s="54">
        <f t="shared" si="6"/>
        <v>344.39919549999996</v>
      </c>
      <c r="G62" s="56" t="s">
        <v>245</v>
      </c>
      <c r="H62" s="56" t="s">
        <v>246</v>
      </c>
      <c r="I62" s="62">
        <v>29</v>
      </c>
      <c r="J62" s="53"/>
      <c r="K62" s="57" t="s">
        <v>222</v>
      </c>
      <c r="L62" s="52">
        <v>93556</v>
      </c>
      <c r="M62" s="58">
        <f t="shared" si="7"/>
        <v>305.86925311315616</v>
      </c>
      <c r="N62" s="58">
        <v>1325.5</v>
      </c>
      <c r="O62" s="60">
        <f t="shared" si="8"/>
        <v>70.581667295360248</v>
      </c>
      <c r="P62" s="60">
        <f t="shared" si="9"/>
        <v>0.23075764097559875</v>
      </c>
      <c r="Q62" s="63"/>
    </row>
    <row r="63" spans="1:17" ht="17.25" customHeight="1" x14ac:dyDescent="0.2">
      <c r="A63" s="52">
        <v>2182</v>
      </c>
      <c r="B63" s="53" t="s">
        <v>29</v>
      </c>
      <c r="C63" s="53" t="s">
        <v>217</v>
      </c>
      <c r="D63" s="54">
        <v>345.21199999999999</v>
      </c>
      <c r="E63" s="62">
        <v>936</v>
      </c>
      <c r="F63" s="54">
        <f t="shared" si="6"/>
        <v>343.41880839999993</v>
      </c>
      <c r="G63" s="56" t="s">
        <v>246</v>
      </c>
      <c r="H63" s="56" t="s">
        <v>247</v>
      </c>
      <c r="I63" s="62">
        <v>29</v>
      </c>
      <c r="J63" s="53"/>
      <c r="K63" s="57" t="s">
        <v>222</v>
      </c>
      <c r="L63" s="52">
        <v>59888</v>
      </c>
      <c r="M63" s="58">
        <f t="shared" si="7"/>
        <v>244.72024844707886</v>
      </c>
      <c r="N63" s="58">
        <v>893.63</v>
      </c>
      <c r="O63" s="60">
        <f t="shared" si="8"/>
        <v>67.016550473909788</v>
      </c>
      <c r="P63" s="60">
        <f t="shared" si="9"/>
        <v>0.27384963401752277</v>
      </c>
      <c r="Q63" s="63"/>
    </row>
    <row r="64" spans="1:17" ht="17.25" customHeight="1" x14ac:dyDescent="0.2">
      <c r="A64" s="52">
        <v>2183</v>
      </c>
      <c r="B64" s="53" t="s">
        <v>29</v>
      </c>
      <c r="C64" s="53" t="s">
        <v>217</v>
      </c>
      <c r="D64" s="54">
        <v>344.19200000000001</v>
      </c>
      <c r="E64" s="62">
        <v>936</v>
      </c>
      <c r="F64" s="54">
        <f t="shared" si="6"/>
        <v>342.40564239999992</v>
      </c>
      <c r="G64" s="56" t="s">
        <v>248</v>
      </c>
      <c r="H64" s="56" t="s">
        <v>249</v>
      </c>
      <c r="I64" s="62">
        <v>29</v>
      </c>
      <c r="J64" s="53"/>
      <c r="K64" s="57" t="s">
        <v>222</v>
      </c>
      <c r="L64" s="52">
        <v>47039</v>
      </c>
      <c r="M64" s="58">
        <f t="shared" si="7"/>
        <v>216.88476202813328</v>
      </c>
      <c r="N64" s="58">
        <v>782.5</v>
      </c>
      <c r="O64" s="60">
        <f t="shared" si="8"/>
        <v>60.113738019169332</v>
      </c>
      <c r="P64" s="60">
        <f t="shared" si="9"/>
        <v>0.27716902495608087</v>
      </c>
      <c r="Q64" s="63"/>
    </row>
    <row r="65" spans="1:17" ht="17.25" customHeight="1" x14ac:dyDescent="0.2">
      <c r="A65" s="52">
        <v>2184</v>
      </c>
      <c r="B65" s="53" t="s">
        <v>29</v>
      </c>
      <c r="C65" s="53" t="s">
        <v>217</v>
      </c>
      <c r="D65" s="54">
        <v>343.19799999999998</v>
      </c>
      <c r="E65" s="62">
        <v>936</v>
      </c>
      <c r="F65" s="54">
        <f t="shared" si="6"/>
        <v>341.41830219999991</v>
      </c>
      <c r="G65" s="56" t="s">
        <v>249</v>
      </c>
      <c r="H65" s="56" t="s">
        <v>250</v>
      </c>
      <c r="I65" s="62">
        <v>29</v>
      </c>
      <c r="J65" s="53"/>
      <c r="K65" s="57" t="s">
        <v>222</v>
      </c>
      <c r="L65" s="52">
        <v>49361</v>
      </c>
      <c r="M65" s="58">
        <f t="shared" si="7"/>
        <v>222.17335573826128</v>
      </c>
      <c r="N65" s="58">
        <v>1076.1600000000001</v>
      </c>
      <c r="O65" s="60">
        <f t="shared" si="8"/>
        <v>45.867714837942309</v>
      </c>
      <c r="P65" s="60">
        <f t="shared" si="9"/>
        <v>0.20645011498128649</v>
      </c>
      <c r="Q65" s="63"/>
    </row>
    <row r="66" spans="1:17" ht="17.25" customHeight="1" x14ac:dyDescent="0.2">
      <c r="A66" s="52">
        <v>2185</v>
      </c>
      <c r="B66" s="53" t="s">
        <v>29</v>
      </c>
      <c r="C66" s="53" t="s">
        <v>217</v>
      </c>
      <c r="D66" s="54">
        <v>342.19799999999998</v>
      </c>
      <c r="E66" s="62">
        <v>936</v>
      </c>
      <c r="F66" s="54">
        <f t="shared" si="6"/>
        <v>340.42500219999994</v>
      </c>
      <c r="G66" s="56" t="s">
        <v>250</v>
      </c>
      <c r="H66" s="56" t="s">
        <v>251</v>
      </c>
      <c r="I66" s="62">
        <v>30</v>
      </c>
      <c r="J66" s="53"/>
      <c r="K66" s="57" t="s">
        <v>222</v>
      </c>
      <c r="L66" s="52">
        <v>28478</v>
      </c>
      <c r="M66" s="58">
        <f t="shared" si="7"/>
        <v>168.75425920550865</v>
      </c>
      <c r="N66" s="58">
        <v>945.47</v>
      </c>
      <c r="O66" s="60">
        <f t="shared" si="8"/>
        <v>30.120469184638328</v>
      </c>
      <c r="P66" s="60">
        <f t="shared" si="9"/>
        <v>0.17848716427333353</v>
      </c>
      <c r="Q66" s="63"/>
    </row>
    <row r="67" spans="1:17" ht="17.25" customHeight="1" x14ac:dyDescent="0.2">
      <c r="A67" s="52">
        <v>2186</v>
      </c>
      <c r="B67" s="53" t="s">
        <v>29</v>
      </c>
      <c r="C67" s="53" t="s">
        <v>217</v>
      </c>
      <c r="D67" s="54">
        <v>341.18400000000003</v>
      </c>
      <c r="E67" s="62">
        <v>936</v>
      </c>
      <c r="F67" s="54">
        <f t="shared" si="6"/>
        <v>339.41779599999995</v>
      </c>
      <c r="G67" s="56" t="s">
        <v>252</v>
      </c>
      <c r="H67" s="56" t="s">
        <v>253</v>
      </c>
      <c r="I67" s="62">
        <v>30</v>
      </c>
      <c r="J67" s="53"/>
      <c r="K67" s="57" t="s">
        <v>222</v>
      </c>
      <c r="L67" s="52">
        <v>14050</v>
      </c>
      <c r="M67" s="58">
        <f t="shared" si="7"/>
        <v>118.53269591129698</v>
      </c>
      <c r="N67" s="58">
        <v>891.81</v>
      </c>
      <c r="O67" s="60">
        <f t="shared" si="8"/>
        <v>15.754476850450208</v>
      </c>
      <c r="P67" s="60">
        <f t="shared" si="9"/>
        <v>0.13291249919971404</v>
      </c>
      <c r="Q67" s="63"/>
    </row>
    <row r="68" spans="1:17" ht="17.25" customHeight="1" x14ac:dyDescent="0.2">
      <c r="A68" s="52">
        <v>2187</v>
      </c>
      <c r="B68" s="53" t="s">
        <v>29</v>
      </c>
      <c r="C68" s="53" t="s">
        <v>217</v>
      </c>
      <c r="D68" s="54">
        <v>340.19</v>
      </c>
      <c r="E68" s="62">
        <v>936</v>
      </c>
      <c r="F68" s="54">
        <f t="shared" si="6"/>
        <v>338.43045579999995</v>
      </c>
      <c r="G68" s="56" t="s">
        <v>253</v>
      </c>
      <c r="H68" s="56" t="s">
        <v>254</v>
      </c>
      <c r="I68" s="62">
        <v>30</v>
      </c>
      <c r="J68" s="53"/>
      <c r="K68" s="57" t="s">
        <v>222</v>
      </c>
      <c r="L68" s="52">
        <v>7109</v>
      </c>
      <c r="M68" s="58">
        <f t="shared" si="7"/>
        <v>84.314885992925355</v>
      </c>
      <c r="N68" s="62">
        <v>932</v>
      </c>
      <c r="O68" s="60">
        <f t="shared" si="8"/>
        <v>7.627682403433476</v>
      </c>
      <c r="P68" s="60">
        <f t="shared" si="9"/>
        <v>9.0466615872237505E-2</v>
      </c>
      <c r="Q68" s="63"/>
    </row>
    <row r="69" spans="1:17" ht="17.25" customHeight="1" x14ac:dyDescent="0.2">
      <c r="A69" s="52">
        <v>2188</v>
      </c>
      <c r="B69" s="53" t="s">
        <v>29</v>
      </c>
      <c r="C69" s="53" t="s">
        <v>217</v>
      </c>
      <c r="D69" s="54">
        <v>338.19600000000003</v>
      </c>
      <c r="E69" s="62">
        <v>936</v>
      </c>
      <c r="F69" s="54">
        <f t="shared" si="6"/>
        <v>336.44981559999997</v>
      </c>
      <c r="G69" s="56" t="s">
        <v>255</v>
      </c>
      <c r="H69" s="56" t="s">
        <v>256</v>
      </c>
      <c r="I69" s="62">
        <v>33</v>
      </c>
      <c r="J69" s="53"/>
      <c r="K69" s="57" t="s">
        <v>222</v>
      </c>
      <c r="L69" s="52">
        <v>9429</v>
      </c>
      <c r="M69" s="58">
        <f t="shared" si="7"/>
        <v>97.103038057519086</v>
      </c>
      <c r="N69" s="58">
        <v>2218.71</v>
      </c>
      <c r="O69" s="60">
        <f t="shared" si="8"/>
        <v>4.249766756358424</v>
      </c>
      <c r="P69" s="60">
        <f t="shared" si="9"/>
        <v>4.3765538559577002E-2</v>
      </c>
      <c r="Q69" s="63"/>
    </row>
    <row r="70" spans="1:17" ht="17.25" customHeight="1" x14ac:dyDescent="0.2">
      <c r="A70" s="52">
        <v>2189</v>
      </c>
      <c r="B70" s="53" t="s">
        <v>29</v>
      </c>
      <c r="C70" s="53" t="s">
        <v>217</v>
      </c>
      <c r="D70" s="54">
        <v>336.18900000000002</v>
      </c>
      <c r="E70" s="62">
        <v>936</v>
      </c>
      <c r="F70" s="54">
        <f t="shared" si="6"/>
        <v>334.45626249999998</v>
      </c>
      <c r="G70" s="56" t="s">
        <v>257</v>
      </c>
      <c r="H70" s="56" t="s">
        <v>257</v>
      </c>
      <c r="I70" s="62">
        <v>34</v>
      </c>
      <c r="J70" s="53"/>
      <c r="K70" s="57" t="s">
        <v>222</v>
      </c>
      <c r="L70" s="52">
        <v>3154</v>
      </c>
      <c r="M70" s="58">
        <f t="shared" si="7"/>
        <v>56.160484328395889</v>
      </c>
      <c r="N70" s="58">
        <v>1251.69</v>
      </c>
      <c r="O70" s="60">
        <f t="shared" si="8"/>
        <v>2.5197932395401414</v>
      </c>
      <c r="P70" s="60">
        <f t="shared" si="9"/>
        <v>4.4867726296763485E-2</v>
      </c>
      <c r="Q70" s="63"/>
    </row>
    <row r="71" spans="1:17" ht="17.25" customHeight="1" x14ac:dyDescent="0.2">
      <c r="A71" s="52">
        <v>2190</v>
      </c>
      <c r="B71" s="53" t="s">
        <v>29</v>
      </c>
      <c r="C71" s="53" t="s">
        <v>217</v>
      </c>
      <c r="D71" s="54">
        <v>334.18099999999998</v>
      </c>
      <c r="E71" s="62">
        <v>936</v>
      </c>
      <c r="F71" s="54">
        <f t="shared" si="6"/>
        <v>332.46171609999993</v>
      </c>
      <c r="G71" s="56" t="s">
        <v>258</v>
      </c>
      <c r="H71" s="56" t="s">
        <v>259</v>
      </c>
      <c r="I71" s="62">
        <v>33</v>
      </c>
      <c r="J71" s="53"/>
      <c r="K71" s="57" t="s">
        <v>222</v>
      </c>
      <c r="L71" s="52">
        <v>3234</v>
      </c>
      <c r="M71" s="58">
        <f t="shared" si="7"/>
        <v>56.868268832451726</v>
      </c>
      <c r="N71" s="62">
        <v>1906</v>
      </c>
      <c r="O71" s="60">
        <f t="shared" si="8"/>
        <v>1.6967471143756558</v>
      </c>
      <c r="P71" s="60">
        <f t="shared" si="9"/>
        <v>2.9836447446197126E-2</v>
      </c>
      <c r="Q71" s="63"/>
    </row>
    <row r="72" spans="1:17" ht="17.25" customHeight="1" x14ac:dyDescent="0.2">
      <c r="A72" s="52">
        <v>2191</v>
      </c>
      <c r="B72" s="53" t="s">
        <v>29</v>
      </c>
      <c r="C72" s="53" t="s">
        <v>217</v>
      </c>
      <c r="D72" s="54">
        <v>332.18</v>
      </c>
      <c r="E72" s="62">
        <v>936</v>
      </c>
      <c r="F72" s="54">
        <f t="shared" si="6"/>
        <v>330.47412279999998</v>
      </c>
      <c r="G72" s="56" t="s">
        <v>260</v>
      </c>
      <c r="H72" s="56" t="s">
        <v>261</v>
      </c>
      <c r="I72" s="62">
        <v>33</v>
      </c>
      <c r="J72" s="53"/>
      <c r="K72" s="57" t="s">
        <v>222</v>
      </c>
      <c r="L72" s="52">
        <v>3164</v>
      </c>
      <c r="M72" s="58">
        <f t="shared" si="7"/>
        <v>56.24944444170093</v>
      </c>
      <c r="N72" s="62">
        <v>2651</v>
      </c>
      <c r="O72" s="60">
        <f t="shared" si="8"/>
        <v>1.1935118823085629</v>
      </c>
      <c r="P72" s="60">
        <f t="shared" si="9"/>
        <v>2.1218198582308914E-2</v>
      </c>
      <c r="Q72" s="63"/>
    </row>
    <row r="73" spans="1:17" ht="17.25" customHeight="1" x14ac:dyDescent="0.2">
      <c r="A73" s="52">
        <v>2192</v>
      </c>
      <c r="B73" s="53" t="s">
        <v>29</v>
      </c>
      <c r="C73" s="53" t="s">
        <v>217</v>
      </c>
      <c r="D73" s="54">
        <v>347.19900000000001</v>
      </c>
      <c r="E73" s="62">
        <v>936</v>
      </c>
      <c r="F73" s="54">
        <f t="shared" si="6"/>
        <v>345.39249549999994</v>
      </c>
      <c r="G73" s="56" t="s">
        <v>262</v>
      </c>
      <c r="H73" s="56" t="s">
        <v>262</v>
      </c>
      <c r="I73" s="62">
        <v>33</v>
      </c>
      <c r="J73" s="53"/>
      <c r="K73" s="57" t="s">
        <v>222</v>
      </c>
      <c r="L73" s="52">
        <v>122395</v>
      </c>
      <c r="M73" s="58">
        <f t="shared" si="7"/>
        <v>349.84996784335999</v>
      </c>
      <c r="N73" s="62">
        <v>1757</v>
      </c>
      <c r="O73" s="60">
        <f t="shared" si="8"/>
        <v>69.661354581673308</v>
      </c>
      <c r="P73" s="60">
        <f t="shared" si="9"/>
        <v>0.19911779615444508</v>
      </c>
      <c r="Q73" s="63"/>
    </row>
    <row r="74" spans="1:17" ht="17.25" customHeight="1" x14ac:dyDescent="0.2">
      <c r="A74" s="52">
        <v>2193</v>
      </c>
      <c r="B74" s="53" t="s">
        <v>123</v>
      </c>
      <c r="C74" s="53" t="s">
        <v>57</v>
      </c>
      <c r="D74" s="54"/>
      <c r="E74" s="55"/>
      <c r="F74" s="54"/>
      <c r="G74" s="56" t="s">
        <v>263</v>
      </c>
      <c r="H74" s="56" t="s">
        <v>264</v>
      </c>
      <c r="I74" s="55"/>
      <c r="J74" s="53"/>
      <c r="K74" s="57"/>
      <c r="L74" s="52"/>
      <c r="M74" s="58"/>
      <c r="N74" s="59"/>
      <c r="O74" s="60"/>
      <c r="P74" s="60"/>
      <c r="Q74" s="63" t="s">
        <v>265</v>
      </c>
    </row>
    <row r="75" spans="1:17" ht="17.25" customHeight="1" x14ac:dyDescent="0.2">
      <c r="A75" s="52">
        <v>2194</v>
      </c>
      <c r="B75" s="53" t="s">
        <v>123</v>
      </c>
      <c r="C75" s="53" t="s">
        <v>60</v>
      </c>
      <c r="D75" s="54"/>
      <c r="E75" s="55"/>
      <c r="F75" s="54"/>
      <c r="G75" s="56" t="s">
        <v>266</v>
      </c>
      <c r="H75" s="56" t="s">
        <v>267</v>
      </c>
      <c r="I75" s="55"/>
      <c r="J75" s="53"/>
      <c r="K75" s="57"/>
      <c r="L75" s="52"/>
      <c r="M75" s="58"/>
      <c r="N75" s="59"/>
      <c r="O75" s="60"/>
      <c r="P75" s="60"/>
      <c r="Q75" s="63" t="s">
        <v>268</v>
      </c>
    </row>
    <row r="76" spans="1:17" ht="17.25" customHeight="1" x14ac:dyDescent="0.2">
      <c r="A76" s="52">
        <v>2195</v>
      </c>
      <c r="B76" s="53" t="s">
        <v>157</v>
      </c>
      <c r="C76" s="53" t="s">
        <v>217</v>
      </c>
      <c r="D76" s="54">
        <v>381.04500000000002</v>
      </c>
      <c r="E76" s="62">
        <v>2052</v>
      </c>
      <c r="F76" s="54">
        <f t="shared" ref="F76:F139" si="10">0.9933*(D76 + E76/1000)-0.41</f>
        <v>380.12025010000002</v>
      </c>
      <c r="G76" s="56" t="s">
        <v>269</v>
      </c>
      <c r="H76" s="56" t="s">
        <v>270</v>
      </c>
      <c r="I76" s="62">
        <v>134</v>
      </c>
      <c r="J76" s="53"/>
      <c r="K76" s="57"/>
      <c r="L76" s="52"/>
      <c r="M76" s="58"/>
      <c r="N76" s="65">
        <v>25569.041962604166</v>
      </c>
      <c r="O76" s="60"/>
      <c r="P76" s="60"/>
      <c r="Q76" s="63"/>
    </row>
    <row r="77" spans="1:17" ht="17.25" customHeight="1" x14ac:dyDescent="0.2">
      <c r="A77" s="52">
        <v>2196</v>
      </c>
      <c r="B77" s="53" t="s">
        <v>30</v>
      </c>
      <c r="C77" s="53" t="s">
        <v>217</v>
      </c>
      <c r="D77" s="54">
        <v>365.233</v>
      </c>
      <c r="E77" s="62">
        <v>937</v>
      </c>
      <c r="F77" s="54">
        <f t="shared" si="10"/>
        <v>363.30666099999996</v>
      </c>
      <c r="G77" s="56" t="s">
        <v>271</v>
      </c>
      <c r="H77" s="56" t="s">
        <v>272</v>
      </c>
      <c r="I77" s="62">
        <v>31</v>
      </c>
      <c r="J77" s="53"/>
      <c r="K77" s="57" t="s">
        <v>222</v>
      </c>
      <c r="L77" s="52">
        <v>11433</v>
      </c>
      <c r="M77" s="58">
        <f t="shared" ref="M77:M140" si="11">SQRT(L77)</f>
        <v>106.92520750505935</v>
      </c>
      <c r="N77" s="58">
        <v>1519.47</v>
      </c>
      <c r="O77" s="60">
        <f t="shared" ref="O77:O140" si="12">L77/N77</f>
        <v>7.5243341428261168</v>
      </c>
      <c r="P77" s="60">
        <f t="shared" ref="P77:P140" si="13">M77/N77</f>
        <v>7.0370068184998288E-2</v>
      </c>
      <c r="Q77" s="63"/>
    </row>
    <row r="78" spans="1:17" ht="17.25" customHeight="1" x14ac:dyDescent="0.2">
      <c r="A78" s="52">
        <v>2197</v>
      </c>
      <c r="B78" s="53" t="s">
        <v>30</v>
      </c>
      <c r="C78" s="53" t="s">
        <v>217</v>
      </c>
      <c r="D78" s="54">
        <v>363.226</v>
      </c>
      <c r="E78" s="62">
        <v>937</v>
      </c>
      <c r="F78" s="54">
        <f t="shared" si="10"/>
        <v>361.31310789999998</v>
      </c>
      <c r="G78" s="56" t="s">
        <v>273</v>
      </c>
      <c r="H78" s="56" t="s">
        <v>274</v>
      </c>
      <c r="I78" s="62">
        <v>31</v>
      </c>
      <c r="J78" s="53"/>
      <c r="K78" s="57" t="s">
        <v>222</v>
      </c>
      <c r="L78" s="52">
        <v>12959</v>
      </c>
      <c r="M78" s="58">
        <f t="shared" si="11"/>
        <v>113.83760362902936</v>
      </c>
      <c r="N78" s="58">
        <v>1428.99</v>
      </c>
      <c r="O78" s="60">
        <f t="shared" si="12"/>
        <v>9.0686428876339225</v>
      </c>
      <c r="P78" s="60">
        <f t="shared" si="13"/>
        <v>7.9662981286803519E-2</v>
      </c>
      <c r="Q78" s="63"/>
    </row>
    <row r="79" spans="1:17" ht="17.25" customHeight="1" x14ac:dyDescent="0.2">
      <c r="A79" s="52">
        <v>2198</v>
      </c>
      <c r="B79" s="53" t="s">
        <v>30</v>
      </c>
      <c r="C79" s="53" t="s">
        <v>217</v>
      </c>
      <c r="D79" s="54">
        <v>361.22500000000002</v>
      </c>
      <c r="E79" s="62">
        <v>937</v>
      </c>
      <c r="F79" s="54">
        <f t="shared" si="10"/>
        <v>359.32551460000002</v>
      </c>
      <c r="G79" s="56" t="s">
        <v>275</v>
      </c>
      <c r="H79" s="56" t="s">
        <v>276</v>
      </c>
      <c r="I79" s="62">
        <v>31</v>
      </c>
      <c r="J79" s="53"/>
      <c r="K79" s="57" t="s">
        <v>222</v>
      </c>
      <c r="L79" s="52">
        <v>14931</v>
      </c>
      <c r="M79" s="58">
        <f t="shared" si="11"/>
        <v>122.19247112649781</v>
      </c>
      <c r="N79" s="58">
        <v>1294.3</v>
      </c>
      <c r="O79" s="60">
        <f t="shared" si="12"/>
        <v>11.535965386695512</v>
      </c>
      <c r="P79" s="60">
        <f t="shared" si="13"/>
        <v>9.4408151994512718E-2</v>
      </c>
      <c r="Q79" s="63"/>
    </row>
    <row r="80" spans="1:17" ht="17.25" customHeight="1" x14ac:dyDescent="0.2">
      <c r="A80" s="52">
        <v>2199</v>
      </c>
      <c r="B80" s="53" t="s">
        <v>30</v>
      </c>
      <c r="C80" s="53" t="s">
        <v>217</v>
      </c>
      <c r="D80" s="54">
        <v>359.22399999999999</v>
      </c>
      <c r="E80" s="62">
        <v>937</v>
      </c>
      <c r="F80" s="54">
        <f t="shared" si="10"/>
        <v>357.33792129999995</v>
      </c>
      <c r="G80" s="56" t="s">
        <v>277</v>
      </c>
      <c r="H80" s="56" t="s">
        <v>277</v>
      </c>
      <c r="I80" s="62">
        <v>31</v>
      </c>
      <c r="J80" s="53"/>
      <c r="K80" s="57" t="s">
        <v>222</v>
      </c>
      <c r="L80" s="52">
        <v>14267</v>
      </c>
      <c r="M80" s="58">
        <f t="shared" si="11"/>
        <v>119.44454780357285</v>
      </c>
      <c r="N80" s="58">
        <v>913.61</v>
      </c>
      <c r="O80" s="60">
        <f t="shared" si="12"/>
        <v>15.616072503584681</v>
      </c>
      <c r="P80" s="60">
        <f t="shared" si="13"/>
        <v>0.13073909852516155</v>
      </c>
      <c r="Q80" s="63"/>
    </row>
    <row r="81" spans="1:17" ht="17.25" customHeight="1" x14ac:dyDescent="0.2">
      <c r="A81" s="52">
        <v>2200</v>
      </c>
      <c r="B81" s="53" t="s">
        <v>30</v>
      </c>
      <c r="C81" s="53" t="s">
        <v>217</v>
      </c>
      <c r="D81" s="54">
        <v>357.221</v>
      </c>
      <c r="E81" s="62">
        <v>937</v>
      </c>
      <c r="F81" s="54">
        <f t="shared" si="10"/>
        <v>355.34834139999998</v>
      </c>
      <c r="G81" s="56" t="s">
        <v>278</v>
      </c>
      <c r="H81" s="56" t="s">
        <v>278</v>
      </c>
      <c r="I81" s="62">
        <v>31</v>
      </c>
      <c r="J81" s="53"/>
      <c r="K81" s="57" t="s">
        <v>222</v>
      </c>
      <c r="L81" s="52">
        <v>19333</v>
      </c>
      <c r="M81" s="58">
        <f t="shared" si="11"/>
        <v>139.04315876734103</v>
      </c>
      <c r="N81" s="58">
        <v>913.16</v>
      </c>
      <c r="O81" s="60">
        <f t="shared" si="12"/>
        <v>21.171536203951117</v>
      </c>
      <c r="P81" s="60">
        <f t="shared" si="13"/>
        <v>0.15226593233096175</v>
      </c>
      <c r="Q81" s="63"/>
    </row>
    <row r="82" spans="1:17" ht="17.25" customHeight="1" x14ac:dyDescent="0.2">
      <c r="A82" s="52">
        <v>2201</v>
      </c>
      <c r="B82" s="53" t="s">
        <v>30</v>
      </c>
      <c r="C82" s="53" t="s">
        <v>217</v>
      </c>
      <c r="D82" s="54">
        <v>355.209</v>
      </c>
      <c r="E82" s="62">
        <v>937</v>
      </c>
      <c r="F82" s="54">
        <f t="shared" si="10"/>
        <v>353.34982179999997</v>
      </c>
      <c r="G82" s="56" t="s">
        <v>279</v>
      </c>
      <c r="H82" s="56" t="s">
        <v>280</v>
      </c>
      <c r="I82" s="62">
        <v>31</v>
      </c>
      <c r="J82" s="53"/>
      <c r="K82" s="57" t="s">
        <v>222</v>
      </c>
      <c r="L82" s="52">
        <v>41496</v>
      </c>
      <c r="M82" s="58">
        <f t="shared" si="11"/>
        <v>203.70567002417974</v>
      </c>
      <c r="N82" s="58">
        <v>1366.95</v>
      </c>
      <c r="O82" s="60">
        <f t="shared" si="12"/>
        <v>30.35663338088445</v>
      </c>
      <c r="P82" s="60">
        <f t="shared" si="13"/>
        <v>0.14902203447396009</v>
      </c>
      <c r="Q82" s="63"/>
    </row>
    <row r="83" spans="1:17" ht="17.25" customHeight="1" x14ac:dyDescent="0.2">
      <c r="A83" s="52">
        <v>2202</v>
      </c>
      <c r="B83" s="53" t="s">
        <v>30</v>
      </c>
      <c r="C83" s="53" t="s">
        <v>217</v>
      </c>
      <c r="D83" s="54">
        <v>353.20800000000003</v>
      </c>
      <c r="E83" s="62">
        <v>937</v>
      </c>
      <c r="F83" s="54">
        <f t="shared" si="10"/>
        <v>351.36222850000001</v>
      </c>
      <c r="G83" s="56" t="s">
        <v>280</v>
      </c>
      <c r="H83" s="56" t="s">
        <v>281</v>
      </c>
      <c r="I83" s="62">
        <v>31</v>
      </c>
      <c r="J83" s="53"/>
      <c r="K83" s="57" t="s">
        <v>222</v>
      </c>
      <c r="L83" s="52">
        <v>47664</v>
      </c>
      <c r="M83" s="58">
        <f t="shared" si="11"/>
        <v>218.32086478392301</v>
      </c>
      <c r="N83" s="58">
        <v>1140.26</v>
      </c>
      <c r="O83" s="60">
        <f t="shared" si="12"/>
        <v>41.800992756038099</v>
      </c>
      <c r="P83" s="60">
        <f t="shared" si="13"/>
        <v>0.19146586285928036</v>
      </c>
      <c r="Q83" s="63"/>
    </row>
    <row r="84" spans="1:17" ht="17.25" customHeight="1" x14ac:dyDescent="0.2">
      <c r="A84" s="52">
        <v>2203</v>
      </c>
      <c r="B84" s="53" t="s">
        <v>30</v>
      </c>
      <c r="C84" s="53" t="s">
        <v>217</v>
      </c>
      <c r="D84" s="54">
        <v>352.21499999999997</v>
      </c>
      <c r="E84" s="62">
        <v>937</v>
      </c>
      <c r="F84" s="54">
        <f t="shared" si="10"/>
        <v>350.37588159999996</v>
      </c>
      <c r="G84" s="56" t="s">
        <v>282</v>
      </c>
      <c r="H84" s="56" t="s">
        <v>282</v>
      </c>
      <c r="I84" s="62">
        <v>31</v>
      </c>
      <c r="J84" s="53"/>
      <c r="K84" s="57" t="s">
        <v>222</v>
      </c>
      <c r="L84" s="52">
        <v>51248</v>
      </c>
      <c r="M84" s="58">
        <f t="shared" si="11"/>
        <v>226.38021114929634</v>
      </c>
      <c r="N84" s="58">
        <v>1053.01</v>
      </c>
      <c r="O84" s="60">
        <f t="shared" si="12"/>
        <v>48.668103816677906</v>
      </c>
      <c r="P84" s="60">
        <f t="shared" si="13"/>
        <v>0.21498391387479354</v>
      </c>
      <c r="Q84" s="63"/>
    </row>
    <row r="85" spans="1:17" ht="17.25" customHeight="1" x14ac:dyDescent="0.2">
      <c r="A85" s="52">
        <v>2204</v>
      </c>
      <c r="B85" s="53" t="s">
        <v>30</v>
      </c>
      <c r="C85" s="53" t="s">
        <v>217</v>
      </c>
      <c r="D85" s="54">
        <v>351.214</v>
      </c>
      <c r="E85" s="62">
        <v>937</v>
      </c>
      <c r="F85" s="54">
        <f t="shared" si="10"/>
        <v>349.38158829999998</v>
      </c>
      <c r="G85" s="56" t="s">
        <v>283</v>
      </c>
      <c r="H85" s="56" t="s">
        <v>284</v>
      </c>
      <c r="I85" s="62">
        <v>31</v>
      </c>
      <c r="J85" s="53"/>
      <c r="K85" s="57" t="s">
        <v>222</v>
      </c>
      <c r="L85" s="52">
        <v>82843</v>
      </c>
      <c r="M85" s="58">
        <f t="shared" si="11"/>
        <v>287.82459936565533</v>
      </c>
      <c r="N85" s="58">
        <v>1469.76</v>
      </c>
      <c r="O85" s="60">
        <f t="shared" si="12"/>
        <v>56.364984759416501</v>
      </c>
      <c r="P85" s="60">
        <f t="shared" si="13"/>
        <v>0.19583101959888372</v>
      </c>
      <c r="Q85" s="63"/>
    </row>
    <row r="86" spans="1:17" ht="17.25" customHeight="1" x14ac:dyDescent="0.2">
      <c r="A86" s="52">
        <v>2205</v>
      </c>
      <c r="B86" s="53" t="s">
        <v>30</v>
      </c>
      <c r="C86" s="53" t="s">
        <v>217</v>
      </c>
      <c r="D86" s="54">
        <v>350.20699999999999</v>
      </c>
      <c r="E86" s="62">
        <v>937</v>
      </c>
      <c r="F86" s="54">
        <f t="shared" si="10"/>
        <v>348.38133519999997</v>
      </c>
      <c r="G86" s="56" t="s">
        <v>284</v>
      </c>
      <c r="H86" s="56" t="s">
        <v>285</v>
      </c>
      <c r="I86" s="62">
        <v>31</v>
      </c>
      <c r="J86" s="53"/>
      <c r="K86" s="57" t="s">
        <v>222</v>
      </c>
      <c r="L86" s="52">
        <v>63253</v>
      </c>
      <c r="M86" s="58">
        <f t="shared" si="11"/>
        <v>251.50149104925799</v>
      </c>
      <c r="N86" s="58">
        <v>1012.82</v>
      </c>
      <c r="O86" s="60">
        <f t="shared" si="12"/>
        <v>62.452360735372523</v>
      </c>
      <c r="P86" s="60">
        <f t="shared" si="13"/>
        <v>0.24831805360207931</v>
      </c>
      <c r="Q86" s="63"/>
    </row>
    <row r="87" spans="1:17" ht="17.25" customHeight="1" x14ac:dyDescent="0.2">
      <c r="A87" s="52">
        <v>2206</v>
      </c>
      <c r="B87" s="53" t="s">
        <v>30</v>
      </c>
      <c r="C87" s="53" t="s">
        <v>217</v>
      </c>
      <c r="D87" s="54">
        <v>349.20699999999999</v>
      </c>
      <c r="E87" s="62">
        <v>937</v>
      </c>
      <c r="F87" s="54">
        <f t="shared" si="10"/>
        <v>347.38803519999999</v>
      </c>
      <c r="G87" s="56" t="s">
        <v>286</v>
      </c>
      <c r="H87" s="56" t="s">
        <v>286</v>
      </c>
      <c r="I87" s="62">
        <v>31</v>
      </c>
      <c r="J87" s="53"/>
      <c r="K87" s="57" t="s">
        <v>222</v>
      </c>
      <c r="L87" s="52">
        <v>63703</v>
      </c>
      <c r="M87" s="58">
        <f t="shared" si="11"/>
        <v>252.39453242889394</v>
      </c>
      <c r="N87" s="58">
        <v>925.16</v>
      </c>
      <c r="O87" s="60">
        <f t="shared" si="12"/>
        <v>68.856197846858919</v>
      </c>
      <c r="P87" s="60">
        <f t="shared" si="13"/>
        <v>0.27281176491514325</v>
      </c>
      <c r="Q87" s="63"/>
    </row>
    <row r="88" spans="1:17" ht="17.25" customHeight="1" x14ac:dyDescent="0.2">
      <c r="A88" s="52">
        <v>2207</v>
      </c>
      <c r="B88" s="53" t="s">
        <v>30</v>
      </c>
      <c r="C88" s="53" t="s">
        <v>217</v>
      </c>
      <c r="D88" s="54">
        <v>348.20600000000002</v>
      </c>
      <c r="E88" s="62">
        <v>937</v>
      </c>
      <c r="F88" s="54">
        <f t="shared" si="10"/>
        <v>346.39374190000001</v>
      </c>
      <c r="G88" s="56" t="s">
        <v>287</v>
      </c>
      <c r="H88" s="56" t="s">
        <v>287</v>
      </c>
      <c r="I88" s="62">
        <v>31</v>
      </c>
      <c r="J88" s="53"/>
      <c r="K88" s="57" t="s">
        <v>222</v>
      </c>
      <c r="L88" s="52">
        <v>68785</v>
      </c>
      <c r="M88" s="58">
        <f t="shared" si="11"/>
        <v>262.26894593146176</v>
      </c>
      <c r="N88" s="58">
        <v>916.48</v>
      </c>
      <c r="O88" s="60">
        <f t="shared" si="12"/>
        <v>75.053465432960891</v>
      </c>
      <c r="P88" s="60">
        <f t="shared" si="13"/>
        <v>0.28616985196781353</v>
      </c>
      <c r="Q88" s="63"/>
    </row>
    <row r="89" spans="1:17" ht="17.25" customHeight="1" x14ac:dyDescent="0.2">
      <c r="A89" s="52">
        <v>2208</v>
      </c>
      <c r="B89" s="53" t="s">
        <v>30</v>
      </c>
      <c r="C89" s="53" t="s">
        <v>217</v>
      </c>
      <c r="D89" s="54">
        <v>347.19900000000001</v>
      </c>
      <c r="E89" s="62">
        <v>937</v>
      </c>
      <c r="F89" s="54">
        <f t="shared" si="10"/>
        <v>345.3934888</v>
      </c>
      <c r="G89" s="56" t="s">
        <v>288</v>
      </c>
      <c r="H89" s="56" t="s">
        <v>289</v>
      </c>
      <c r="I89" s="62">
        <v>31</v>
      </c>
      <c r="J89" s="53"/>
      <c r="K89" s="57" t="s">
        <v>222</v>
      </c>
      <c r="L89" s="52">
        <v>77052</v>
      </c>
      <c r="M89" s="58">
        <f t="shared" si="11"/>
        <v>277.58242019263395</v>
      </c>
      <c r="N89" s="58">
        <v>985.12</v>
      </c>
      <c r="O89" s="60">
        <f t="shared" si="12"/>
        <v>78.2158518759136</v>
      </c>
      <c r="P89" s="60">
        <f t="shared" si="13"/>
        <v>0.28177523569984769</v>
      </c>
      <c r="Q89" s="63"/>
    </row>
    <row r="90" spans="1:17" ht="17.25" customHeight="1" x14ac:dyDescent="0.2">
      <c r="A90" s="52">
        <v>2209</v>
      </c>
      <c r="B90" s="53" t="s">
        <v>30</v>
      </c>
      <c r="C90" s="53" t="s">
        <v>217</v>
      </c>
      <c r="D90" s="54">
        <v>346.19900000000001</v>
      </c>
      <c r="E90" s="62">
        <v>937</v>
      </c>
      <c r="F90" s="54">
        <f t="shared" si="10"/>
        <v>344.40018879999997</v>
      </c>
      <c r="G90" s="56" t="s">
        <v>290</v>
      </c>
      <c r="H90" s="56" t="s">
        <v>291</v>
      </c>
      <c r="I90" s="62">
        <v>31</v>
      </c>
      <c r="J90" s="53"/>
      <c r="K90" s="57" t="s">
        <v>222</v>
      </c>
      <c r="L90" s="52">
        <v>90372</v>
      </c>
      <c r="M90" s="58">
        <f t="shared" si="11"/>
        <v>300.61936065396719</v>
      </c>
      <c r="N90" s="58">
        <v>1170.25</v>
      </c>
      <c r="O90" s="60">
        <f t="shared" si="12"/>
        <v>77.224524674214905</v>
      </c>
      <c r="P90" s="60">
        <f t="shared" si="13"/>
        <v>0.25688473459001682</v>
      </c>
      <c r="Q90" s="63"/>
    </row>
    <row r="91" spans="1:17" ht="17.25" customHeight="1" x14ac:dyDescent="0.2">
      <c r="A91" s="52">
        <v>2210</v>
      </c>
      <c r="B91" s="53" t="s">
        <v>30</v>
      </c>
      <c r="C91" s="53" t="s">
        <v>217</v>
      </c>
      <c r="D91" s="54">
        <v>345.21199999999999</v>
      </c>
      <c r="E91" s="62">
        <v>937</v>
      </c>
      <c r="F91" s="54">
        <f t="shared" si="10"/>
        <v>343.41980169999994</v>
      </c>
      <c r="G91" s="56" t="s">
        <v>292</v>
      </c>
      <c r="H91" s="56" t="s">
        <v>293</v>
      </c>
      <c r="I91" s="62">
        <v>33</v>
      </c>
      <c r="J91" s="53"/>
      <c r="K91" s="57" t="s">
        <v>222</v>
      </c>
      <c r="L91" s="52">
        <v>98059</v>
      </c>
      <c r="M91" s="58">
        <f t="shared" si="11"/>
        <v>313.14373696435314</v>
      </c>
      <c r="N91" s="58">
        <v>1350.51</v>
      </c>
      <c r="O91" s="60">
        <f t="shared" si="12"/>
        <v>72.608866280146017</v>
      </c>
      <c r="P91" s="60">
        <f t="shared" si="13"/>
        <v>0.23187072806891704</v>
      </c>
      <c r="Q91" s="63"/>
    </row>
    <row r="92" spans="1:17" ht="17.25" customHeight="1" x14ac:dyDescent="0.2">
      <c r="A92" s="52">
        <v>2211</v>
      </c>
      <c r="B92" s="53" t="s">
        <v>30</v>
      </c>
      <c r="C92" s="53" t="s">
        <v>217</v>
      </c>
      <c r="D92" s="54">
        <v>344.19200000000001</v>
      </c>
      <c r="E92" s="62">
        <v>937</v>
      </c>
      <c r="F92" s="54">
        <f t="shared" si="10"/>
        <v>342.40663569999998</v>
      </c>
      <c r="G92" s="56" t="s">
        <v>293</v>
      </c>
      <c r="H92" s="56" t="s">
        <v>294</v>
      </c>
      <c r="I92" s="62">
        <v>33</v>
      </c>
      <c r="J92" s="53"/>
      <c r="K92" s="57" t="s">
        <v>222</v>
      </c>
      <c r="L92" s="52">
        <v>67933</v>
      </c>
      <c r="M92" s="58">
        <f t="shared" si="11"/>
        <v>260.63959791251983</v>
      </c>
      <c r="N92" s="58">
        <v>1048.29</v>
      </c>
      <c r="O92" s="60">
        <f t="shared" si="12"/>
        <v>64.803632582586886</v>
      </c>
      <c r="P92" s="60">
        <f t="shared" si="13"/>
        <v>0.2486331052595368</v>
      </c>
      <c r="Q92" s="63"/>
    </row>
    <row r="93" spans="1:17" ht="17.25" customHeight="1" x14ac:dyDescent="0.2">
      <c r="A93" s="52">
        <v>2212</v>
      </c>
      <c r="B93" s="53" t="s">
        <v>30</v>
      </c>
      <c r="C93" s="53" t="s">
        <v>217</v>
      </c>
      <c r="D93" s="54">
        <v>343.19799999999998</v>
      </c>
      <c r="E93" s="62">
        <v>937</v>
      </c>
      <c r="F93" s="54">
        <f t="shared" si="10"/>
        <v>341.41929549999998</v>
      </c>
      <c r="G93" s="56" t="s">
        <v>294</v>
      </c>
      <c r="H93" s="56" t="s">
        <v>295</v>
      </c>
      <c r="I93" s="62">
        <v>33</v>
      </c>
      <c r="J93" s="53"/>
      <c r="K93" s="57" t="s">
        <v>222</v>
      </c>
      <c r="L93" s="52">
        <v>145607</v>
      </c>
      <c r="M93" s="58">
        <f t="shared" si="11"/>
        <v>381.58485294885594</v>
      </c>
      <c r="N93" s="58">
        <v>2783.95</v>
      </c>
      <c r="O93" s="60">
        <f t="shared" si="12"/>
        <v>52.302304279890087</v>
      </c>
      <c r="P93" s="60">
        <f t="shared" si="13"/>
        <v>0.1370659864397191</v>
      </c>
      <c r="Q93" s="63"/>
    </row>
    <row r="94" spans="1:17" ht="17.25" customHeight="1" x14ac:dyDescent="0.2">
      <c r="A94" s="52">
        <v>2213</v>
      </c>
      <c r="B94" s="53" t="s">
        <v>30</v>
      </c>
      <c r="C94" s="53" t="s">
        <v>217</v>
      </c>
      <c r="D94" s="54">
        <v>342.19799999999998</v>
      </c>
      <c r="E94" s="62">
        <v>937</v>
      </c>
      <c r="F94" s="54">
        <f t="shared" si="10"/>
        <v>340.42599549999994</v>
      </c>
      <c r="G94" s="56" t="s">
        <v>296</v>
      </c>
      <c r="H94" s="56" t="s">
        <v>297</v>
      </c>
      <c r="I94" s="62">
        <v>34</v>
      </c>
      <c r="J94" s="53"/>
      <c r="K94" s="57" t="s">
        <v>222</v>
      </c>
      <c r="L94" s="52">
        <v>44038</v>
      </c>
      <c r="M94" s="58">
        <f t="shared" si="11"/>
        <v>209.8523290316312</v>
      </c>
      <c r="N94" s="58">
        <v>1325.78</v>
      </c>
      <c r="O94" s="60">
        <f t="shared" si="12"/>
        <v>33.216672449426</v>
      </c>
      <c r="P94" s="60">
        <f t="shared" si="13"/>
        <v>0.1582859366045884</v>
      </c>
      <c r="Q94" s="63"/>
    </row>
    <row r="95" spans="1:17" ht="17.25" customHeight="1" x14ac:dyDescent="0.2">
      <c r="A95" s="52">
        <v>2214</v>
      </c>
      <c r="B95" s="53" t="s">
        <v>30</v>
      </c>
      <c r="C95" s="53" t="s">
        <v>217</v>
      </c>
      <c r="D95" s="54">
        <v>341.18400000000003</v>
      </c>
      <c r="E95" s="62">
        <v>937</v>
      </c>
      <c r="F95" s="54">
        <f t="shared" si="10"/>
        <v>339.41878930000001</v>
      </c>
      <c r="G95" s="56" t="s">
        <v>297</v>
      </c>
      <c r="H95" s="56" t="s">
        <v>298</v>
      </c>
      <c r="I95" s="62">
        <v>33</v>
      </c>
      <c r="J95" s="53"/>
      <c r="K95" s="57" t="s">
        <v>222</v>
      </c>
      <c r="L95" s="52">
        <v>16707</v>
      </c>
      <c r="M95" s="58">
        <f t="shared" si="11"/>
        <v>129.25556080881009</v>
      </c>
      <c r="N95" s="58">
        <v>969.56</v>
      </c>
      <c r="O95" s="60">
        <f t="shared" si="12"/>
        <v>17.231527703288091</v>
      </c>
      <c r="P95" s="60">
        <f t="shared" si="13"/>
        <v>0.13331362763398871</v>
      </c>
      <c r="Q95" s="63"/>
    </row>
    <row r="96" spans="1:17" ht="17.25" customHeight="1" x14ac:dyDescent="0.2">
      <c r="A96" s="52">
        <v>2215</v>
      </c>
      <c r="B96" s="53" t="s">
        <v>30</v>
      </c>
      <c r="C96" s="53" t="s">
        <v>217</v>
      </c>
      <c r="D96" s="54">
        <v>340.19</v>
      </c>
      <c r="E96" s="62">
        <v>937</v>
      </c>
      <c r="F96" s="54">
        <f t="shared" si="10"/>
        <v>338.43144909999995</v>
      </c>
      <c r="G96" s="56" t="s">
        <v>298</v>
      </c>
      <c r="H96" s="56" t="s">
        <v>299</v>
      </c>
      <c r="I96" s="62">
        <v>33</v>
      </c>
      <c r="J96" s="53"/>
      <c r="K96" s="57" t="s">
        <v>222</v>
      </c>
      <c r="L96" s="52">
        <v>10672</v>
      </c>
      <c r="M96" s="58">
        <f t="shared" si="11"/>
        <v>103.30537256115966</v>
      </c>
      <c r="N96" s="58">
        <v>1082.9100000000001</v>
      </c>
      <c r="O96" s="60">
        <f t="shared" si="12"/>
        <v>9.8549279256817268</v>
      </c>
      <c r="P96" s="60">
        <f t="shared" si="13"/>
        <v>9.5396083295158099E-2</v>
      </c>
      <c r="Q96" s="63"/>
    </row>
    <row r="97" spans="1:17" ht="17.25" customHeight="1" x14ac:dyDescent="0.2">
      <c r="A97" s="52">
        <v>2216</v>
      </c>
      <c r="B97" s="53" t="s">
        <v>30</v>
      </c>
      <c r="C97" s="53" t="s">
        <v>217</v>
      </c>
      <c r="D97" s="54">
        <v>338.19600000000003</v>
      </c>
      <c r="E97" s="62">
        <v>937</v>
      </c>
      <c r="F97" s="54">
        <f t="shared" si="10"/>
        <v>336.45080890000003</v>
      </c>
      <c r="G97" s="56" t="s">
        <v>300</v>
      </c>
      <c r="H97" s="56" t="s">
        <v>300</v>
      </c>
      <c r="I97" s="62">
        <v>33</v>
      </c>
      <c r="J97" s="53"/>
      <c r="K97" s="57" t="s">
        <v>222</v>
      </c>
      <c r="L97" s="52">
        <v>5426</v>
      </c>
      <c r="M97" s="58">
        <f t="shared" si="11"/>
        <v>73.661387442811588</v>
      </c>
      <c r="N97" s="58">
        <v>1233.6500000000001</v>
      </c>
      <c r="O97" s="60">
        <f t="shared" si="12"/>
        <v>4.3983301584728238</v>
      </c>
      <c r="P97" s="60">
        <f t="shared" si="13"/>
        <v>5.9710118301634647E-2</v>
      </c>
      <c r="Q97" s="63"/>
    </row>
    <row r="98" spans="1:17" ht="17.25" customHeight="1" x14ac:dyDescent="0.2">
      <c r="A98" s="52">
        <v>2217</v>
      </c>
      <c r="B98" s="53" t="s">
        <v>30</v>
      </c>
      <c r="C98" s="53" t="s">
        <v>217</v>
      </c>
      <c r="D98" s="54">
        <v>336.18900000000002</v>
      </c>
      <c r="E98" s="62">
        <v>937</v>
      </c>
      <c r="F98" s="54">
        <f t="shared" si="10"/>
        <v>334.45725579999998</v>
      </c>
      <c r="G98" s="56" t="s">
        <v>301</v>
      </c>
      <c r="H98" s="56" t="s">
        <v>302</v>
      </c>
      <c r="I98" s="62">
        <v>33</v>
      </c>
      <c r="J98" s="53"/>
      <c r="K98" s="57" t="s">
        <v>222</v>
      </c>
      <c r="L98" s="52">
        <v>2929</v>
      </c>
      <c r="M98" s="58">
        <f t="shared" si="11"/>
        <v>54.120236510939236</v>
      </c>
      <c r="N98" s="58">
        <v>1122.43</v>
      </c>
      <c r="O98" s="60">
        <f t="shared" si="12"/>
        <v>2.6095168518304037</v>
      </c>
      <c r="P98" s="60">
        <f t="shared" si="13"/>
        <v>4.8217026015822131E-2</v>
      </c>
      <c r="Q98" s="63"/>
    </row>
    <row r="99" spans="1:17" ht="17.25" customHeight="1" x14ac:dyDescent="0.2">
      <c r="A99" s="52">
        <v>2218</v>
      </c>
      <c r="B99" s="53" t="s">
        <v>30</v>
      </c>
      <c r="C99" s="53" t="s">
        <v>217</v>
      </c>
      <c r="D99" s="54">
        <v>334.18099999999998</v>
      </c>
      <c r="E99" s="62">
        <v>937</v>
      </c>
      <c r="F99" s="54">
        <f t="shared" si="10"/>
        <v>332.46270939999994</v>
      </c>
      <c r="G99" s="56" t="s">
        <v>302</v>
      </c>
      <c r="H99" s="56" t="s">
        <v>303</v>
      </c>
      <c r="I99" s="62">
        <v>33</v>
      </c>
      <c r="J99" s="53"/>
      <c r="K99" s="57" t="s">
        <v>222</v>
      </c>
      <c r="L99" s="52">
        <v>1727</v>
      </c>
      <c r="M99" s="58">
        <f t="shared" si="11"/>
        <v>41.557189510360296</v>
      </c>
      <c r="N99" s="58">
        <v>1030.05</v>
      </c>
      <c r="O99" s="60">
        <f t="shared" si="12"/>
        <v>1.6766176399203923</v>
      </c>
      <c r="P99" s="60">
        <f t="shared" si="13"/>
        <v>4.034482744561943E-2</v>
      </c>
      <c r="Q99" s="63"/>
    </row>
    <row r="100" spans="1:17" ht="17.25" customHeight="1" x14ac:dyDescent="0.2">
      <c r="A100" s="52">
        <v>2219</v>
      </c>
      <c r="B100" s="53" t="s">
        <v>30</v>
      </c>
      <c r="C100" s="53" t="s">
        <v>217</v>
      </c>
      <c r="D100" s="54">
        <v>332.18</v>
      </c>
      <c r="E100" s="62">
        <v>937</v>
      </c>
      <c r="F100" s="54">
        <f t="shared" si="10"/>
        <v>330.47511609999998</v>
      </c>
      <c r="G100" s="56" t="s">
        <v>303</v>
      </c>
      <c r="H100" s="56" t="s">
        <v>304</v>
      </c>
      <c r="I100" s="62">
        <v>33</v>
      </c>
      <c r="J100" s="53"/>
      <c r="K100" s="57" t="s">
        <v>222</v>
      </c>
      <c r="L100" s="52">
        <v>1854</v>
      </c>
      <c r="M100" s="58">
        <f t="shared" si="11"/>
        <v>43.058100283221968</v>
      </c>
      <c r="N100" s="58">
        <v>1600.43</v>
      </c>
      <c r="O100" s="60">
        <f t="shared" si="12"/>
        <v>1.1584386696075428</v>
      </c>
      <c r="P100" s="60">
        <f t="shared" si="13"/>
        <v>2.6904082204921156E-2</v>
      </c>
      <c r="Q100" s="63"/>
    </row>
    <row r="101" spans="1:17" ht="17.25" customHeight="1" x14ac:dyDescent="0.2">
      <c r="A101" s="52">
        <v>2220</v>
      </c>
      <c r="B101" s="53" t="s">
        <v>157</v>
      </c>
      <c r="C101" s="53" t="s">
        <v>217</v>
      </c>
      <c r="D101" s="54">
        <v>347.2</v>
      </c>
      <c r="E101" s="62">
        <v>842</v>
      </c>
      <c r="F101" s="54">
        <f t="shared" si="10"/>
        <v>345.30011859999996</v>
      </c>
      <c r="G101" s="56" t="s">
        <v>305</v>
      </c>
      <c r="H101" s="56" t="s">
        <v>306</v>
      </c>
      <c r="I101" s="62">
        <v>25</v>
      </c>
      <c r="J101" s="53"/>
      <c r="K101" s="57" t="s">
        <v>222</v>
      </c>
      <c r="L101" s="52"/>
      <c r="M101" s="58">
        <f t="shared" si="11"/>
        <v>0</v>
      </c>
      <c r="N101" s="58">
        <v>1600.43</v>
      </c>
      <c r="O101" s="60">
        <f t="shared" si="12"/>
        <v>0</v>
      </c>
      <c r="P101" s="60">
        <f t="shared" si="13"/>
        <v>0</v>
      </c>
      <c r="Q101" s="63"/>
    </row>
    <row r="102" spans="1:17" ht="17.25" customHeight="1" x14ac:dyDescent="0.2">
      <c r="A102" s="52">
        <v>2221</v>
      </c>
      <c r="B102" s="53" t="s">
        <v>31</v>
      </c>
      <c r="C102" s="53" t="s">
        <v>217</v>
      </c>
      <c r="D102" s="54">
        <v>365.233</v>
      </c>
      <c r="E102" s="62">
        <v>840</v>
      </c>
      <c r="F102" s="54">
        <f t="shared" si="10"/>
        <v>363.21031089999997</v>
      </c>
      <c r="G102" s="56" t="s">
        <v>307</v>
      </c>
      <c r="H102" s="56" t="s">
        <v>308</v>
      </c>
      <c r="I102" s="62">
        <v>27</v>
      </c>
      <c r="J102" s="53"/>
      <c r="K102" s="57" t="s">
        <v>222</v>
      </c>
      <c r="L102" s="52">
        <v>11644</v>
      </c>
      <c r="M102" s="58">
        <f t="shared" si="11"/>
        <v>107.90736768172968</v>
      </c>
      <c r="N102" s="58">
        <v>2035.97</v>
      </c>
      <c r="O102" s="60">
        <f t="shared" si="12"/>
        <v>5.7191412447138221</v>
      </c>
      <c r="P102" s="60">
        <f t="shared" si="13"/>
        <v>5.3000470381061447E-2</v>
      </c>
      <c r="Q102" s="63"/>
    </row>
    <row r="103" spans="1:17" ht="17.25" customHeight="1" x14ac:dyDescent="0.2">
      <c r="A103" s="52">
        <v>2222</v>
      </c>
      <c r="B103" s="53" t="s">
        <v>31</v>
      </c>
      <c r="C103" s="53" t="s">
        <v>217</v>
      </c>
      <c r="D103" s="54">
        <v>363.226</v>
      </c>
      <c r="E103" s="62">
        <v>840</v>
      </c>
      <c r="F103" s="54">
        <f t="shared" si="10"/>
        <v>361.21675779999993</v>
      </c>
      <c r="G103" s="56" t="s">
        <v>309</v>
      </c>
      <c r="H103" s="66">
        <v>25569.041962604166</v>
      </c>
      <c r="I103" s="62">
        <v>28</v>
      </c>
      <c r="J103" s="53"/>
      <c r="K103" s="57" t="s">
        <v>222</v>
      </c>
      <c r="L103" s="52">
        <v>9397</v>
      </c>
      <c r="M103" s="58">
        <f t="shared" si="11"/>
        <v>96.938124595021947</v>
      </c>
      <c r="N103" s="58">
        <v>1279.43</v>
      </c>
      <c r="O103" s="60">
        <f t="shared" si="12"/>
        <v>7.3446769264438068</v>
      </c>
      <c r="P103" s="60">
        <f t="shared" si="13"/>
        <v>7.5766649676044753E-2</v>
      </c>
      <c r="Q103" s="63"/>
    </row>
    <row r="104" spans="1:17" ht="17.25" customHeight="1" x14ac:dyDescent="0.2">
      <c r="A104" s="52">
        <v>2223</v>
      </c>
      <c r="B104" s="53" t="s">
        <v>31</v>
      </c>
      <c r="C104" s="53" t="s">
        <v>217</v>
      </c>
      <c r="D104" s="54">
        <v>361.22500000000002</v>
      </c>
      <c r="E104" s="62">
        <v>840</v>
      </c>
      <c r="F104" s="54">
        <f t="shared" si="10"/>
        <v>359.22916449999997</v>
      </c>
      <c r="G104" s="66">
        <v>25569.041962604166</v>
      </c>
      <c r="H104" s="66">
        <v>25569.041962604166</v>
      </c>
      <c r="I104" s="62">
        <v>28</v>
      </c>
      <c r="J104" s="53"/>
      <c r="K104" s="57" t="s">
        <v>222</v>
      </c>
      <c r="L104" s="52">
        <v>8232</v>
      </c>
      <c r="M104" s="58">
        <f t="shared" si="11"/>
        <v>90.730369777710038</v>
      </c>
      <c r="N104" s="58">
        <v>894.57</v>
      </c>
      <c r="O104" s="60">
        <f t="shared" si="12"/>
        <v>9.202186525369731</v>
      </c>
      <c r="P104" s="60">
        <f t="shared" si="13"/>
        <v>0.10142344341718371</v>
      </c>
      <c r="Q104" s="63"/>
    </row>
    <row r="105" spans="1:17" ht="17.25" customHeight="1" x14ac:dyDescent="0.2">
      <c r="A105" s="52">
        <v>2224</v>
      </c>
      <c r="B105" s="53" t="s">
        <v>31</v>
      </c>
      <c r="C105" s="53" t="s">
        <v>217</v>
      </c>
      <c r="D105" s="54">
        <v>359.22399999999999</v>
      </c>
      <c r="E105" s="62">
        <v>840</v>
      </c>
      <c r="F105" s="54">
        <f t="shared" si="10"/>
        <v>357.24157119999995</v>
      </c>
      <c r="G105" s="66">
        <v>25569.041962604166</v>
      </c>
      <c r="H105" s="66">
        <v>25569.041962604166</v>
      </c>
      <c r="I105" s="58">
        <v>28.4</v>
      </c>
      <c r="J105" s="53"/>
      <c r="K105" s="57" t="s">
        <v>222</v>
      </c>
      <c r="L105" s="52">
        <v>21609</v>
      </c>
      <c r="M105" s="58">
        <f t="shared" si="11"/>
        <v>147</v>
      </c>
      <c r="N105" s="58">
        <v>1614.98</v>
      </c>
      <c r="O105" s="60">
        <f t="shared" si="12"/>
        <v>13.380351459460798</v>
      </c>
      <c r="P105" s="60">
        <f t="shared" si="13"/>
        <v>9.1022799043951011E-2</v>
      </c>
      <c r="Q105" s="63"/>
    </row>
    <row r="106" spans="1:17" ht="17.25" customHeight="1" x14ac:dyDescent="0.2">
      <c r="A106" s="52">
        <v>2225</v>
      </c>
      <c r="B106" s="53" t="s">
        <v>31</v>
      </c>
      <c r="C106" s="53" t="s">
        <v>217</v>
      </c>
      <c r="D106" s="54">
        <v>357.21699999999998</v>
      </c>
      <c r="E106" s="62">
        <v>840</v>
      </c>
      <c r="F106" s="54">
        <f t="shared" si="10"/>
        <v>355.24801809999991</v>
      </c>
      <c r="G106" s="66">
        <v>25569.041962604166</v>
      </c>
      <c r="H106" s="66">
        <v>25569.041962604166</v>
      </c>
      <c r="I106" s="58">
        <v>28.5</v>
      </c>
      <c r="J106" s="53"/>
      <c r="K106" s="57" t="s">
        <v>222</v>
      </c>
      <c r="L106" s="52">
        <v>14771</v>
      </c>
      <c r="M106" s="58">
        <f t="shared" si="11"/>
        <v>121.53600289626115</v>
      </c>
      <c r="N106" s="58">
        <v>808.52</v>
      </c>
      <c r="O106" s="60">
        <f t="shared" si="12"/>
        <v>18.26918319893138</v>
      </c>
      <c r="P106" s="60">
        <f t="shared" si="13"/>
        <v>0.15031910515047389</v>
      </c>
      <c r="Q106" s="63"/>
    </row>
    <row r="107" spans="1:17" ht="17.25" customHeight="1" x14ac:dyDescent="0.2">
      <c r="A107" s="52">
        <v>2226</v>
      </c>
      <c r="B107" s="53" t="s">
        <v>31</v>
      </c>
      <c r="C107" s="53" t="s">
        <v>217</v>
      </c>
      <c r="D107" s="54">
        <v>355.209</v>
      </c>
      <c r="E107" s="62">
        <v>840</v>
      </c>
      <c r="F107" s="54">
        <f t="shared" si="10"/>
        <v>353.25347169999992</v>
      </c>
      <c r="G107" s="66">
        <v>25569.041962604166</v>
      </c>
      <c r="H107" s="66">
        <v>25569.041962604166</v>
      </c>
      <c r="I107" s="58">
        <v>28.5</v>
      </c>
      <c r="J107" s="53"/>
      <c r="K107" s="57" t="s">
        <v>222</v>
      </c>
      <c r="L107" s="52">
        <v>21688</v>
      </c>
      <c r="M107" s="58">
        <f t="shared" si="11"/>
        <v>147.26846234004074</v>
      </c>
      <c r="N107" s="58">
        <v>840.69</v>
      </c>
      <c r="O107" s="60">
        <f t="shared" si="12"/>
        <v>25.797856522618325</v>
      </c>
      <c r="P107" s="60">
        <f t="shared" si="13"/>
        <v>0.17517570369582217</v>
      </c>
      <c r="Q107" s="63"/>
    </row>
    <row r="108" spans="1:17" ht="17.25" customHeight="1" x14ac:dyDescent="0.2">
      <c r="A108" s="52">
        <v>2227</v>
      </c>
      <c r="B108" s="53" t="s">
        <v>31</v>
      </c>
      <c r="C108" s="53" t="s">
        <v>217</v>
      </c>
      <c r="D108" s="54">
        <v>353.20800000000003</v>
      </c>
      <c r="E108" s="62">
        <v>840</v>
      </c>
      <c r="F108" s="54">
        <f t="shared" si="10"/>
        <v>351.26587839999996</v>
      </c>
      <c r="G108" s="66">
        <v>25569.041962604166</v>
      </c>
      <c r="H108" s="66">
        <v>25569.041962604166</v>
      </c>
      <c r="I108" s="58">
        <v>28.5</v>
      </c>
      <c r="J108" s="53"/>
      <c r="K108" s="57" t="s">
        <v>222</v>
      </c>
      <c r="L108" s="52">
        <v>64988</v>
      </c>
      <c r="M108" s="58">
        <f t="shared" si="11"/>
        <v>254.92744065714072</v>
      </c>
      <c r="N108" s="62">
        <v>1817</v>
      </c>
      <c r="O108" s="60">
        <f t="shared" si="12"/>
        <v>35.766648321408915</v>
      </c>
      <c r="P108" s="60">
        <f t="shared" si="13"/>
        <v>0.14030128819875659</v>
      </c>
      <c r="Q108" s="63"/>
    </row>
    <row r="109" spans="1:17" ht="17.25" customHeight="1" x14ac:dyDescent="0.2">
      <c r="A109" s="52">
        <v>2228</v>
      </c>
      <c r="B109" s="53" t="s">
        <v>31</v>
      </c>
      <c r="C109" s="53" t="s">
        <v>217</v>
      </c>
      <c r="D109" s="54">
        <v>352.20800000000003</v>
      </c>
      <c r="E109" s="62">
        <v>840</v>
      </c>
      <c r="F109" s="54">
        <f t="shared" si="10"/>
        <v>350.27257839999999</v>
      </c>
      <c r="G109" s="66">
        <v>25569.041962604166</v>
      </c>
      <c r="H109" s="66">
        <v>25569.041962604166</v>
      </c>
      <c r="I109" s="58">
        <v>28.2</v>
      </c>
      <c r="J109" s="53"/>
      <c r="K109" s="57" t="s">
        <v>222</v>
      </c>
      <c r="L109" s="52">
        <v>78164</v>
      </c>
      <c r="M109" s="58">
        <f t="shared" si="11"/>
        <v>279.57825380383218</v>
      </c>
      <c r="N109" s="58">
        <v>1834.08</v>
      </c>
      <c r="O109" s="60">
        <f t="shared" si="12"/>
        <v>42.617552124225774</v>
      </c>
      <c r="P109" s="60">
        <f t="shared" si="13"/>
        <v>0.15243514666962849</v>
      </c>
      <c r="Q109" s="63"/>
    </row>
    <row r="110" spans="1:17" ht="17.25" customHeight="1" x14ac:dyDescent="0.2">
      <c r="A110" s="52">
        <v>2229</v>
      </c>
      <c r="B110" s="53" t="s">
        <v>31</v>
      </c>
      <c r="C110" s="53" t="s">
        <v>217</v>
      </c>
      <c r="D110" s="54">
        <v>351.20800000000003</v>
      </c>
      <c r="E110" s="62">
        <v>840</v>
      </c>
      <c r="F110" s="54">
        <f t="shared" si="10"/>
        <v>349.27927839999995</v>
      </c>
      <c r="G110" s="66">
        <v>25569.041962604166</v>
      </c>
      <c r="H110" s="66">
        <v>25569.041962604166</v>
      </c>
      <c r="I110" s="58">
        <v>28.7</v>
      </c>
      <c r="J110" s="53"/>
      <c r="K110" s="57" t="s">
        <v>222</v>
      </c>
      <c r="L110" s="52">
        <v>40568</v>
      </c>
      <c r="M110" s="58">
        <f t="shared" si="11"/>
        <v>201.41499447657813</v>
      </c>
      <c r="N110" s="58">
        <v>853.91</v>
      </c>
      <c r="O110" s="60">
        <f t="shared" si="12"/>
        <v>47.508519633216615</v>
      </c>
      <c r="P110" s="60">
        <f t="shared" si="13"/>
        <v>0.23587379756248097</v>
      </c>
      <c r="Q110" s="63"/>
    </row>
    <row r="111" spans="1:17" ht="17.25" customHeight="1" x14ac:dyDescent="0.2">
      <c r="A111" s="52">
        <v>2230</v>
      </c>
      <c r="B111" s="53" t="s">
        <v>31</v>
      </c>
      <c r="C111" s="53" t="s">
        <v>217</v>
      </c>
      <c r="D111" s="54">
        <v>350.20699999999999</v>
      </c>
      <c r="E111" s="62">
        <v>840</v>
      </c>
      <c r="F111" s="54">
        <f t="shared" si="10"/>
        <v>348.28498509999991</v>
      </c>
      <c r="G111" s="66">
        <v>25569.041962604166</v>
      </c>
      <c r="H111" s="66">
        <v>25569.041962604166</v>
      </c>
      <c r="I111" s="58">
        <v>28.6</v>
      </c>
      <c r="J111" s="53"/>
      <c r="K111" s="57" t="s">
        <v>222</v>
      </c>
      <c r="L111" s="52">
        <v>53489</v>
      </c>
      <c r="M111" s="58">
        <f t="shared" si="11"/>
        <v>231.27689032845456</v>
      </c>
      <c r="N111" s="58">
        <v>1004.8</v>
      </c>
      <c r="O111" s="60">
        <f t="shared" si="12"/>
        <v>53.233479299363061</v>
      </c>
      <c r="P111" s="60">
        <f t="shared" si="13"/>
        <v>0.23017206441924221</v>
      </c>
      <c r="Q111" s="63"/>
    </row>
    <row r="112" spans="1:17" ht="17.25" customHeight="1" x14ac:dyDescent="0.2">
      <c r="A112" s="52">
        <v>2231</v>
      </c>
      <c r="B112" s="53" t="s">
        <v>31</v>
      </c>
      <c r="C112" s="53" t="s">
        <v>217</v>
      </c>
      <c r="D112" s="54">
        <v>349.20699999999999</v>
      </c>
      <c r="E112" s="62">
        <v>840</v>
      </c>
      <c r="F112" s="54">
        <f t="shared" si="10"/>
        <v>347.29168509999994</v>
      </c>
      <c r="G112" s="66">
        <v>25569.041962604166</v>
      </c>
      <c r="H112" s="66">
        <v>25569.041962604166</v>
      </c>
      <c r="I112" s="58">
        <v>28.7</v>
      </c>
      <c r="J112" s="53"/>
      <c r="K112" s="57" t="s">
        <v>222</v>
      </c>
      <c r="L112" s="52">
        <v>50361</v>
      </c>
      <c r="M112" s="58">
        <f t="shared" si="11"/>
        <v>224.41256649305538</v>
      </c>
      <c r="N112" s="62">
        <v>838</v>
      </c>
      <c r="O112" s="60">
        <f t="shared" si="12"/>
        <v>60.096658711217181</v>
      </c>
      <c r="P112" s="60">
        <f t="shared" si="13"/>
        <v>0.26779542540937396</v>
      </c>
      <c r="Q112" s="63"/>
    </row>
    <row r="113" spans="1:17" ht="17.25" customHeight="1" x14ac:dyDescent="0.2">
      <c r="A113" s="52">
        <v>2232</v>
      </c>
      <c r="B113" s="53" t="s">
        <v>31</v>
      </c>
      <c r="C113" s="53" t="s">
        <v>217</v>
      </c>
      <c r="D113" s="54">
        <v>348.20600000000002</v>
      </c>
      <c r="E113" s="62">
        <v>840</v>
      </c>
      <c r="F113" s="54">
        <f t="shared" si="10"/>
        <v>346.29739179999996</v>
      </c>
      <c r="G113" s="66">
        <v>25569.041962604166</v>
      </c>
      <c r="H113" s="66">
        <v>25569.041962604166</v>
      </c>
      <c r="I113" s="58">
        <v>28.4</v>
      </c>
      <c r="J113" s="53"/>
      <c r="K113" s="57" t="s">
        <v>222</v>
      </c>
      <c r="L113" s="52">
        <v>58607</v>
      </c>
      <c r="M113" s="58">
        <f t="shared" si="11"/>
        <v>242.08882667318622</v>
      </c>
      <c r="N113" s="58">
        <v>918.19</v>
      </c>
      <c r="O113" s="60">
        <f t="shared" si="12"/>
        <v>63.828837168777703</v>
      </c>
      <c r="P113" s="60">
        <f t="shared" si="13"/>
        <v>0.26365874892253915</v>
      </c>
      <c r="Q113" s="63"/>
    </row>
    <row r="114" spans="1:17" ht="17.25" customHeight="1" x14ac:dyDescent="0.2">
      <c r="A114" s="52">
        <v>2233</v>
      </c>
      <c r="B114" s="53" t="s">
        <v>31</v>
      </c>
      <c r="C114" s="53" t="s">
        <v>217</v>
      </c>
      <c r="D114" s="54">
        <v>347.19900000000001</v>
      </c>
      <c r="E114" s="62">
        <v>840</v>
      </c>
      <c r="F114" s="54">
        <f t="shared" si="10"/>
        <v>345.29713869999995</v>
      </c>
      <c r="G114" s="66">
        <v>25569.041962604166</v>
      </c>
      <c r="H114" s="66">
        <v>25569.041962604166</v>
      </c>
      <c r="I114" s="58">
        <v>28.4</v>
      </c>
      <c r="J114" s="53"/>
      <c r="K114" s="57" t="s">
        <v>222</v>
      </c>
      <c r="L114" s="52">
        <v>64881</v>
      </c>
      <c r="M114" s="58">
        <f t="shared" si="11"/>
        <v>254.71749056552829</v>
      </c>
      <c r="N114" s="58">
        <v>974.88</v>
      </c>
      <c r="O114" s="60">
        <f t="shared" si="12"/>
        <v>66.55280649926145</v>
      </c>
      <c r="P114" s="60">
        <f t="shared" si="13"/>
        <v>0.26128086591737271</v>
      </c>
      <c r="Q114" s="63"/>
    </row>
    <row r="115" spans="1:17" ht="17.25" customHeight="1" x14ac:dyDescent="0.2">
      <c r="A115" s="52">
        <v>2234</v>
      </c>
      <c r="B115" s="53" t="s">
        <v>31</v>
      </c>
      <c r="C115" s="53" t="s">
        <v>217</v>
      </c>
      <c r="D115" s="54">
        <v>346.19900000000001</v>
      </c>
      <c r="E115" s="62">
        <v>840</v>
      </c>
      <c r="F115" s="54">
        <f t="shared" si="10"/>
        <v>344.30383869999997</v>
      </c>
      <c r="G115" s="66">
        <v>25569.041962604166</v>
      </c>
      <c r="H115" s="66">
        <v>25569.041962604166</v>
      </c>
      <c r="I115" s="58">
        <v>28.65</v>
      </c>
      <c r="J115" s="53"/>
      <c r="K115" s="57" t="s">
        <v>222</v>
      </c>
      <c r="L115" s="52">
        <v>71512</v>
      </c>
      <c r="M115" s="58">
        <f t="shared" si="11"/>
        <v>267.41727692877288</v>
      </c>
      <c r="N115" s="58">
        <v>1088.73</v>
      </c>
      <c r="O115" s="60">
        <f t="shared" si="12"/>
        <v>65.683870197385943</v>
      </c>
      <c r="P115" s="60">
        <f t="shared" si="13"/>
        <v>0.2456231360656663</v>
      </c>
      <c r="Q115" s="63"/>
    </row>
    <row r="116" spans="1:17" ht="17.25" customHeight="1" x14ac:dyDescent="0.2">
      <c r="A116" s="52">
        <v>2235</v>
      </c>
      <c r="B116" s="53" t="s">
        <v>31</v>
      </c>
      <c r="C116" s="53" t="s">
        <v>217</v>
      </c>
      <c r="D116" s="54">
        <v>345.21199999999999</v>
      </c>
      <c r="E116" s="62">
        <v>840</v>
      </c>
      <c r="F116" s="54">
        <f t="shared" si="10"/>
        <v>343.32345159999994</v>
      </c>
      <c r="G116" s="66">
        <v>25569.041962604166</v>
      </c>
      <c r="H116" s="66">
        <v>25569.041962604166</v>
      </c>
      <c r="I116" s="58">
        <v>29.12</v>
      </c>
      <c r="J116" s="53"/>
      <c r="K116" s="57" t="s">
        <v>222</v>
      </c>
      <c r="L116" s="52">
        <v>50089</v>
      </c>
      <c r="M116" s="58">
        <f t="shared" si="11"/>
        <v>223.80571931923456</v>
      </c>
      <c r="N116" s="58">
        <v>836.75</v>
      </c>
      <c r="O116" s="60">
        <f t="shared" si="12"/>
        <v>59.861368389602632</v>
      </c>
      <c r="P116" s="60">
        <f t="shared" si="13"/>
        <v>0.26747023521868485</v>
      </c>
      <c r="Q116" s="63"/>
    </row>
    <row r="117" spans="1:17" ht="17.25" customHeight="1" x14ac:dyDescent="0.2">
      <c r="A117" s="52">
        <v>2236</v>
      </c>
      <c r="B117" s="53" t="s">
        <v>31</v>
      </c>
      <c r="C117" s="53" t="s">
        <v>217</v>
      </c>
      <c r="D117" s="54">
        <v>344.19200000000001</v>
      </c>
      <c r="E117" s="62">
        <v>840</v>
      </c>
      <c r="F117" s="54">
        <f t="shared" si="10"/>
        <v>342.31028559999993</v>
      </c>
      <c r="G117" s="66">
        <v>25569.041962604166</v>
      </c>
      <c r="H117" s="66">
        <v>25569.041962604166</v>
      </c>
      <c r="I117" s="58">
        <v>29.37</v>
      </c>
      <c r="J117" s="53"/>
      <c r="K117" s="57" t="s">
        <v>222</v>
      </c>
      <c r="L117" s="52">
        <v>56937</v>
      </c>
      <c r="M117" s="58">
        <f t="shared" si="11"/>
        <v>238.6147522681697</v>
      </c>
      <c r="N117" s="58">
        <v>1102.94</v>
      </c>
      <c r="O117" s="60">
        <f t="shared" si="12"/>
        <v>51.622935064464066</v>
      </c>
      <c r="P117" s="60">
        <f t="shared" si="13"/>
        <v>0.2163442728236982</v>
      </c>
      <c r="Q117" s="63"/>
    </row>
    <row r="118" spans="1:17" ht="17.25" customHeight="1" x14ac:dyDescent="0.25">
      <c r="A118" s="52">
        <v>2237</v>
      </c>
      <c r="B118" s="53" t="s">
        <v>31</v>
      </c>
      <c r="C118" s="53" t="s">
        <v>217</v>
      </c>
      <c r="D118" s="54">
        <v>343.19799999999998</v>
      </c>
      <c r="E118" s="62">
        <v>840</v>
      </c>
      <c r="F118" s="54">
        <f t="shared" si="10"/>
        <v>341.32294539999992</v>
      </c>
      <c r="G118" s="66">
        <v>25569.041962604166</v>
      </c>
      <c r="H118" s="66">
        <v>25569.041962604166</v>
      </c>
      <c r="I118" s="58">
        <v>29.44</v>
      </c>
      <c r="J118" s="53"/>
      <c r="K118" s="57" t="s">
        <v>222</v>
      </c>
      <c r="L118" s="52">
        <v>35099</v>
      </c>
      <c r="M118" s="58">
        <f t="shared" si="11"/>
        <v>187.34727113037968</v>
      </c>
      <c r="N118" s="58">
        <v>868.53</v>
      </c>
      <c r="O118" s="60">
        <f t="shared" si="12"/>
        <v>40.411960438902511</v>
      </c>
      <c r="P118" s="60">
        <f t="shared" si="13"/>
        <v>0.21570615998339687</v>
      </c>
      <c r="Q118" s="67"/>
    </row>
    <row r="119" spans="1:17" ht="17.25" customHeight="1" x14ac:dyDescent="0.2">
      <c r="A119" s="52">
        <v>2238</v>
      </c>
      <c r="B119" s="53" t="s">
        <v>31</v>
      </c>
      <c r="C119" s="53" t="s">
        <v>217</v>
      </c>
      <c r="D119" s="54">
        <v>342.19799999999998</v>
      </c>
      <c r="E119" s="62">
        <v>840</v>
      </c>
      <c r="F119" s="54">
        <f t="shared" si="10"/>
        <v>340.32964539999989</v>
      </c>
      <c r="G119" s="66">
        <v>25569.041962604166</v>
      </c>
      <c r="H119" s="66">
        <v>25569.041962604166</v>
      </c>
      <c r="I119" s="58">
        <v>28.4</v>
      </c>
      <c r="J119" s="53"/>
      <c r="K119" s="57" t="s">
        <v>222</v>
      </c>
      <c r="L119" s="52">
        <v>27357</v>
      </c>
      <c r="M119" s="58">
        <f t="shared" si="11"/>
        <v>165.39951632335567</v>
      </c>
      <c r="N119" s="58">
        <v>1119.44</v>
      </c>
      <c r="O119" s="60">
        <f t="shared" si="12"/>
        <v>24.438111913099405</v>
      </c>
      <c r="P119" s="60">
        <f t="shared" si="13"/>
        <v>0.14775201558221582</v>
      </c>
      <c r="Q119" s="63"/>
    </row>
    <row r="120" spans="1:17" ht="17.25" customHeight="1" x14ac:dyDescent="0.2">
      <c r="A120" s="52">
        <v>2239</v>
      </c>
      <c r="B120" s="53" t="s">
        <v>31</v>
      </c>
      <c r="C120" s="53" t="s">
        <v>217</v>
      </c>
      <c r="D120" s="54">
        <v>341.18400000000003</v>
      </c>
      <c r="E120" s="62">
        <v>840</v>
      </c>
      <c r="F120" s="54">
        <f t="shared" si="10"/>
        <v>339.32243919999996</v>
      </c>
      <c r="G120" s="66">
        <v>25569.041962604166</v>
      </c>
      <c r="H120" s="66">
        <v>25569.041962604166</v>
      </c>
      <c r="I120" s="62">
        <v>28</v>
      </c>
      <c r="J120" s="53"/>
      <c r="K120" s="57" t="s">
        <v>222</v>
      </c>
      <c r="L120" s="52">
        <v>13177</v>
      </c>
      <c r="M120" s="58">
        <f t="shared" si="11"/>
        <v>114.79111463872106</v>
      </c>
      <c r="N120" s="58">
        <v>1034.82</v>
      </c>
      <c r="O120" s="60">
        <f t="shared" si="12"/>
        <v>12.733615508011056</v>
      </c>
      <c r="P120" s="60">
        <f t="shared" si="13"/>
        <v>0.11092858143321646</v>
      </c>
      <c r="Q120" s="63"/>
    </row>
    <row r="121" spans="1:17" ht="17.25" customHeight="1" x14ac:dyDescent="0.2">
      <c r="A121" s="52">
        <v>2240</v>
      </c>
      <c r="B121" s="53" t="s">
        <v>31</v>
      </c>
      <c r="C121" s="53" t="s">
        <v>217</v>
      </c>
      <c r="D121" s="54">
        <v>340.19</v>
      </c>
      <c r="E121" s="62">
        <v>840</v>
      </c>
      <c r="F121" s="54">
        <f t="shared" si="10"/>
        <v>338.33509899999996</v>
      </c>
      <c r="G121" s="66">
        <v>25569.041962604166</v>
      </c>
      <c r="H121" s="68">
        <v>25569.041962604166</v>
      </c>
      <c r="I121" s="58">
        <v>28.4</v>
      </c>
      <c r="J121" s="53"/>
      <c r="K121" s="57" t="s">
        <v>222</v>
      </c>
      <c r="L121" s="52">
        <v>21103</v>
      </c>
      <c r="M121" s="58">
        <f t="shared" si="11"/>
        <v>145.26871652217486</v>
      </c>
      <c r="N121" s="58">
        <v>2730.45</v>
      </c>
      <c r="O121" s="60">
        <f t="shared" si="12"/>
        <v>7.7287626581698996</v>
      </c>
      <c r="P121" s="60">
        <f t="shared" si="13"/>
        <v>5.3203214313455607E-2</v>
      </c>
      <c r="Q121" s="63"/>
    </row>
    <row r="122" spans="1:17" ht="17.25" customHeight="1" x14ac:dyDescent="0.2">
      <c r="A122" s="52">
        <v>2241</v>
      </c>
      <c r="B122" s="53" t="s">
        <v>31</v>
      </c>
      <c r="C122" s="53" t="s">
        <v>217</v>
      </c>
      <c r="D122" s="54">
        <v>338.19600000000003</v>
      </c>
      <c r="E122" s="62">
        <v>840</v>
      </c>
      <c r="F122" s="54">
        <f t="shared" si="10"/>
        <v>336.35445879999997</v>
      </c>
      <c r="G122" s="66">
        <v>25569.041962604166</v>
      </c>
      <c r="H122" s="66">
        <v>25569.041962604166</v>
      </c>
      <c r="I122" s="58">
        <v>28.6</v>
      </c>
      <c r="J122" s="53"/>
      <c r="K122" s="57" t="s">
        <v>222</v>
      </c>
      <c r="L122" s="52">
        <v>12100</v>
      </c>
      <c r="M122" s="58">
        <f t="shared" si="11"/>
        <v>110</v>
      </c>
      <c r="N122" s="58">
        <v>3181.85</v>
      </c>
      <c r="O122" s="60">
        <f t="shared" si="12"/>
        <v>3.8028191146659962</v>
      </c>
      <c r="P122" s="60">
        <f t="shared" si="13"/>
        <v>3.4571082860599969E-2</v>
      </c>
      <c r="Q122" s="63"/>
    </row>
    <row r="123" spans="1:17" ht="17.25" customHeight="1" x14ac:dyDescent="0.2">
      <c r="A123" s="52">
        <v>2242</v>
      </c>
      <c r="B123" s="53" t="s">
        <v>31</v>
      </c>
      <c r="C123" s="53" t="s">
        <v>217</v>
      </c>
      <c r="D123" s="54">
        <v>336.18900000000002</v>
      </c>
      <c r="E123" s="62">
        <v>840</v>
      </c>
      <c r="F123" s="54">
        <f t="shared" si="10"/>
        <v>334.36090569999993</v>
      </c>
      <c r="G123" s="66">
        <v>25569.041962604166</v>
      </c>
      <c r="H123" s="66">
        <v>25569.041962604166</v>
      </c>
      <c r="I123" s="58">
        <v>28.4</v>
      </c>
      <c r="J123" s="53"/>
      <c r="K123" s="57" t="s">
        <v>222</v>
      </c>
      <c r="L123" s="52">
        <v>6753</v>
      </c>
      <c r="M123" s="58">
        <f t="shared" si="11"/>
        <v>82.176639016207034</v>
      </c>
      <c r="N123" s="58">
        <v>2942.51</v>
      </c>
      <c r="O123" s="60">
        <f t="shared" si="12"/>
        <v>2.2949794563145067</v>
      </c>
      <c r="P123" s="60">
        <f t="shared" si="13"/>
        <v>2.7927394984624362E-2</v>
      </c>
      <c r="Q123" s="63"/>
    </row>
    <row r="124" spans="1:17" ht="17.25" customHeight="1" x14ac:dyDescent="0.2">
      <c r="A124" s="52">
        <v>2243</v>
      </c>
      <c r="B124" s="53" t="s">
        <v>31</v>
      </c>
      <c r="C124" s="53" t="s">
        <v>217</v>
      </c>
      <c r="D124" s="54">
        <v>334.18099999999998</v>
      </c>
      <c r="E124" s="62">
        <v>840</v>
      </c>
      <c r="F124" s="54">
        <f t="shared" si="10"/>
        <v>332.36635929999994</v>
      </c>
      <c r="G124" s="66">
        <v>25569.041962604166</v>
      </c>
      <c r="H124" s="66">
        <v>25569.041962604166</v>
      </c>
      <c r="I124" s="58">
        <v>27.46</v>
      </c>
      <c r="J124" s="53"/>
      <c r="K124" s="57" t="s">
        <v>222</v>
      </c>
      <c r="L124" s="52">
        <v>4005</v>
      </c>
      <c r="M124" s="58">
        <f t="shared" si="11"/>
        <v>63.28506932918696</v>
      </c>
      <c r="N124" s="58">
        <v>2561.19</v>
      </c>
      <c r="O124" s="60">
        <f t="shared" si="12"/>
        <v>1.5637262366321905</v>
      </c>
      <c r="P124" s="60">
        <f t="shared" si="13"/>
        <v>2.4709244268948011E-2</v>
      </c>
      <c r="Q124" s="63"/>
    </row>
    <row r="125" spans="1:17" ht="17.25" customHeight="1" x14ac:dyDescent="0.2">
      <c r="A125" s="52">
        <v>2244</v>
      </c>
      <c r="B125" s="53" t="s">
        <v>31</v>
      </c>
      <c r="C125" s="53" t="s">
        <v>217</v>
      </c>
      <c r="D125" s="54">
        <v>332.18</v>
      </c>
      <c r="E125" s="62">
        <v>840</v>
      </c>
      <c r="F125" s="54">
        <f t="shared" si="10"/>
        <v>330.37876599999993</v>
      </c>
      <c r="G125" s="66">
        <v>25569.041962604166</v>
      </c>
      <c r="H125" s="66">
        <v>25569.041962604166</v>
      </c>
      <c r="I125" s="58">
        <v>26.4</v>
      </c>
      <c r="J125" s="53"/>
      <c r="K125" s="57" t="s">
        <v>222</v>
      </c>
      <c r="L125" s="52">
        <v>4050</v>
      </c>
      <c r="M125" s="58">
        <f t="shared" si="11"/>
        <v>63.63961030678928</v>
      </c>
      <c r="N125" s="58">
        <v>3529.88</v>
      </c>
      <c r="O125" s="60">
        <f t="shared" si="12"/>
        <v>1.147347785193831</v>
      </c>
      <c r="P125" s="60">
        <f t="shared" si="13"/>
        <v>1.8028831095331647E-2</v>
      </c>
      <c r="Q125" s="63"/>
    </row>
    <row r="126" spans="1:17" ht="17.25" customHeight="1" x14ac:dyDescent="0.2">
      <c r="A126" s="52">
        <v>2245</v>
      </c>
      <c r="B126" s="53" t="s">
        <v>310</v>
      </c>
      <c r="C126" s="53" t="s">
        <v>217</v>
      </c>
      <c r="D126" s="54">
        <v>347.2</v>
      </c>
      <c r="E126" s="62">
        <v>840</v>
      </c>
      <c r="F126" s="54">
        <f t="shared" si="10"/>
        <v>345.29813199999995</v>
      </c>
      <c r="G126" s="66">
        <v>25569.041962604166</v>
      </c>
      <c r="H126" s="66">
        <v>25569.041962604166</v>
      </c>
      <c r="I126" s="58">
        <v>17.8</v>
      </c>
      <c r="J126" s="53"/>
      <c r="K126" s="57" t="s">
        <v>222</v>
      </c>
      <c r="L126" s="52">
        <v>33801</v>
      </c>
      <c r="M126" s="58">
        <f t="shared" si="11"/>
        <v>183.85048272985307</v>
      </c>
      <c r="N126" s="58">
        <v>694.25</v>
      </c>
      <c r="O126" s="60">
        <f t="shared" si="12"/>
        <v>48.687072380266471</v>
      </c>
      <c r="P126" s="60">
        <f t="shared" si="13"/>
        <v>0.26481884440742248</v>
      </c>
      <c r="Q126" s="63" t="s">
        <v>311</v>
      </c>
    </row>
    <row r="127" spans="1:17" ht="17.25" customHeight="1" x14ac:dyDescent="0.2">
      <c r="A127" s="52">
        <v>2246</v>
      </c>
      <c r="B127" s="53" t="s">
        <v>310</v>
      </c>
      <c r="C127" s="53" t="s">
        <v>217</v>
      </c>
      <c r="D127" s="54">
        <v>347.2</v>
      </c>
      <c r="E127" s="62">
        <v>840</v>
      </c>
      <c r="F127" s="54">
        <f t="shared" si="10"/>
        <v>345.29813199999995</v>
      </c>
      <c r="G127" s="66">
        <v>25569.041962604166</v>
      </c>
      <c r="H127" s="66">
        <v>25569.041962604166</v>
      </c>
      <c r="I127" s="58">
        <v>19.600000000000001</v>
      </c>
      <c r="J127" s="53"/>
      <c r="K127" s="57" t="s">
        <v>222</v>
      </c>
      <c r="L127" s="52">
        <v>32547</v>
      </c>
      <c r="M127" s="58">
        <f t="shared" si="11"/>
        <v>180.40787122517688</v>
      </c>
      <c r="N127" s="58">
        <v>659.74</v>
      </c>
      <c r="O127" s="60">
        <f t="shared" si="12"/>
        <v>49.333070603571102</v>
      </c>
      <c r="P127" s="60">
        <f t="shared" si="13"/>
        <v>0.27345298333461193</v>
      </c>
      <c r="Q127" s="63" t="s">
        <v>312</v>
      </c>
    </row>
    <row r="128" spans="1:17" ht="17.25" customHeight="1" x14ac:dyDescent="0.2">
      <c r="A128" s="52">
        <v>2247</v>
      </c>
      <c r="B128" s="53" t="s">
        <v>310</v>
      </c>
      <c r="C128" s="53" t="s">
        <v>217</v>
      </c>
      <c r="D128" s="54">
        <v>347.2</v>
      </c>
      <c r="E128" s="62">
        <v>840</v>
      </c>
      <c r="F128" s="54">
        <f t="shared" si="10"/>
        <v>345.29813199999995</v>
      </c>
      <c r="G128" s="66">
        <v>25569.041962604166</v>
      </c>
      <c r="H128" s="66">
        <v>25569.041962604166</v>
      </c>
      <c r="I128" s="58">
        <v>21.25</v>
      </c>
      <c r="J128" s="53"/>
      <c r="K128" s="57" t="s">
        <v>222</v>
      </c>
      <c r="L128" s="52">
        <v>92576</v>
      </c>
      <c r="M128" s="58">
        <f t="shared" si="11"/>
        <v>304.26304409178584</v>
      </c>
      <c r="N128" s="58">
        <v>1564.12</v>
      </c>
      <c r="O128" s="60">
        <f t="shared" si="12"/>
        <v>59.187274633659825</v>
      </c>
      <c r="P128" s="60">
        <f t="shared" si="13"/>
        <v>0.19452666297457091</v>
      </c>
      <c r="Q128" s="63" t="s">
        <v>313</v>
      </c>
    </row>
    <row r="129" spans="1:17" ht="17.25" customHeight="1" x14ac:dyDescent="0.2">
      <c r="A129" s="52">
        <v>2248</v>
      </c>
      <c r="B129" s="53" t="s">
        <v>310</v>
      </c>
      <c r="C129" s="53" t="s">
        <v>217</v>
      </c>
      <c r="D129" s="54">
        <v>347.2</v>
      </c>
      <c r="E129" s="62">
        <v>840</v>
      </c>
      <c r="F129" s="54">
        <f t="shared" si="10"/>
        <v>345.29813199999995</v>
      </c>
      <c r="G129" s="66">
        <v>25569.041962604166</v>
      </c>
      <c r="H129" s="66">
        <v>25569.041962604166</v>
      </c>
      <c r="I129" s="58">
        <v>22.5</v>
      </c>
      <c r="J129" s="53"/>
      <c r="K129" s="57" t="s">
        <v>222</v>
      </c>
      <c r="L129" s="52">
        <v>88379</v>
      </c>
      <c r="M129" s="58">
        <f t="shared" si="11"/>
        <v>297.28605752708955</v>
      </c>
      <c r="N129" s="58">
        <v>1371.68</v>
      </c>
      <c r="O129" s="60">
        <f t="shared" si="12"/>
        <v>64.431208445118386</v>
      </c>
      <c r="P129" s="60">
        <f t="shared" si="13"/>
        <v>0.21673134953275511</v>
      </c>
      <c r="Q129" s="63" t="s">
        <v>314</v>
      </c>
    </row>
    <row r="130" spans="1:17" ht="17.25" customHeight="1" x14ac:dyDescent="0.2">
      <c r="A130" s="52">
        <v>2249</v>
      </c>
      <c r="B130" s="53" t="s">
        <v>310</v>
      </c>
      <c r="C130" s="53" t="s">
        <v>217</v>
      </c>
      <c r="D130" s="54">
        <v>347.2</v>
      </c>
      <c r="E130" s="62">
        <v>840</v>
      </c>
      <c r="F130" s="54">
        <f t="shared" si="10"/>
        <v>345.29813199999995</v>
      </c>
      <c r="G130" s="66">
        <v>25569.041962604166</v>
      </c>
      <c r="H130" s="68">
        <v>25569.041962604166</v>
      </c>
      <c r="I130" s="58">
        <v>23.6</v>
      </c>
      <c r="J130" s="53"/>
      <c r="K130" s="57" t="s">
        <v>222</v>
      </c>
      <c r="L130" s="52">
        <v>106433</v>
      </c>
      <c r="M130" s="58">
        <f t="shared" si="11"/>
        <v>326.24070867995613</v>
      </c>
      <c r="N130" s="58">
        <v>1517.8</v>
      </c>
      <c r="O130" s="60">
        <f t="shared" si="12"/>
        <v>70.123204638292265</v>
      </c>
      <c r="P130" s="60">
        <f t="shared" si="13"/>
        <v>0.21494314710762691</v>
      </c>
      <c r="Q130" s="63" t="s">
        <v>315</v>
      </c>
    </row>
    <row r="131" spans="1:17" ht="17.25" customHeight="1" x14ac:dyDescent="0.2">
      <c r="A131" s="52">
        <v>2250</v>
      </c>
      <c r="B131" s="53" t="s">
        <v>310</v>
      </c>
      <c r="C131" s="53" t="s">
        <v>217</v>
      </c>
      <c r="D131" s="54">
        <v>347.2</v>
      </c>
      <c r="E131" s="62">
        <v>840</v>
      </c>
      <c r="F131" s="54">
        <f t="shared" si="10"/>
        <v>345.29813199999995</v>
      </c>
      <c r="G131" s="66">
        <v>25569.041962604166</v>
      </c>
      <c r="H131" s="66">
        <v>25569.041962604166</v>
      </c>
      <c r="I131" s="62">
        <v>25</v>
      </c>
      <c r="J131" s="53"/>
      <c r="K131" s="57" t="s">
        <v>222</v>
      </c>
      <c r="L131" s="52">
        <v>79060</v>
      </c>
      <c r="M131" s="58">
        <f t="shared" si="11"/>
        <v>281.17610140266191</v>
      </c>
      <c r="N131" s="58">
        <v>1062.3699999999999</v>
      </c>
      <c r="O131" s="60">
        <f t="shared" si="12"/>
        <v>74.418517089149745</v>
      </c>
      <c r="P131" s="60">
        <f t="shared" si="13"/>
        <v>0.26466871372747908</v>
      </c>
      <c r="Q131" s="63" t="s">
        <v>316</v>
      </c>
    </row>
    <row r="132" spans="1:17" ht="17.25" customHeight="1" x14ac:dyDescent="0.2">
      <c r="A132" s="52">
        <v>2251</v>
      </c>
      <c r="B132" s="53" t="s">
        <v>310</v>
      </c>
      <c r="C132" s="53" t="s">
        <v>217</v>
      </c>
      <c r="D132" s="54">
        <v>347.2</v>
      </c>
      <c r="E132" s="62">
        <v>840</v>
      </c>
      <c r="F132" s="54">
        <f t="shared" si="10"/>
        <v>345.29813199999995</v>
      </c>
      <c r="G132" s="68">
        <v>25569.041962604166</v>
      </c>
      <c r="H132" s="66">
        <v>25569.041962604166</v>
      </c>
      <c r="I132" s="58">
        <v>24.6</v>
      </c>
      <c r="J132" s="53"/>
      <c r="K132" s="57" t="s">
        <v>222</v>
      </c>
      <c r="L132" s="52">
        <v>86939</v>
      </c>
      <c r="M132" s="58">
        <f t="shared" si="11"/>
        <v>294.85420125885946</v>
      </c>
      <c r="N132" s="58">
        <v>1134.8599999999999</v>
      </c>
      <c r="O132" s="60">
        <f t="shared" si="12"/>
        <v>76.607687291824547</v>
      </c>
      <c r="P132" s="60">
        <f t="shared" si="13"/>
        <v>0.25981548495749213</v>
      </c>
      <c r="Q132" s="63" t="s">
        <v>317</v>
      </c>
    </row>
    <row r="133" spans="1:17" ht="17.25" customHeight="1" x14ac:dyDescent="0.2">
      <c r="A133" s="52">
        <v>2252</v>
      </c>
      <c r="B133" s="53" t="s">
        <v>310</v>
      </c>
      <c r="C133" s="53" t="s">
        <v>217</v>
      </c>
      <c r="D133" s="54">
        <v>347.2</v>
      </c>
      <c r="E133" s="62">
        <v>840</v>
      </c>
      <c r="F133" s="54">
        <f t="shared" si="10"/>
        <v>345.29813199999995</v>
      </c>
      <c r="G133" s="66">
        <v>25569.041962604166</v>
      </c>
      <c r="H133" s="66">
        <v>25569.041962604166</v>
      </c>
      <c r="I133" s="62">
        <v>26</v>
      </c>
      <c r="J133" s="53"/>
      <c r="K133" s="57" t="s">
        <v>222</v>
      </c>
      <c r="L133" s="52">
        <v>58897</v>
      </c>
      <c r="M133" s="58">
        <f t="shared" si="11"/>
        <v>242.68704126920332</v>
      </c>
      <c r="N133" s="58">
        <v>789.13</v>
      </c>
      <c r="O133" s="60">
        <f t="shared" si="12"/>
        <v>74.635357925817033</v>
      </c>
      <c r="P133" s="60">
        <f t="shared" si="13"/>
        <v>0.30753746691825595</v>
      </c>
      <c r="Q133" s="63" t="s">
        <v>318</v>
      </c>
    </row>
    <row r="134" spans="1:17" ht="17.25" customHeight="1" x14ac:dyDescent="0.2">
      <c r="A134" s="52">
        <v>2253</v>
      </c>
      <c r="B134" s="53" t="s">
        <v>310</v>
      </c>
      <c r="C134" s="53" t="s">
        <v>217</v>
      </c>
      <c r="D134" s="54">
        <v>347.2</v>
      </c>
      <c r="E134" s="62">
        <v>840</v>
      </c>
      <c r="F134" s="54">
        <f t="shared" si="10"/>
        <v>345.29813199999995</v>
      </c>
      <c r="G134" s="66">
        <v>25569.041962604166</v>
      </c>
      <c r="H134" s="66">
        <v>25569.041962604166</v>
      </c>
      <c r="I134" s="62">
        <v>26</v>
      </c>
      <c r="J134" s="53"/>
      <c r="K134" s="57" t="s">
        <v>222</v>
      </c>
      <c r="L134" s="52">
        <v>103588</v>
      </c>
      <c r="M134" s="58">
        <f t="shared" si="11"/>
        <v>321.85089715581034</v>
      </c>
      <c r="N134" s="58">
        <v>1405.21</v>
      </c>
      <c r="O134" s="60">
        <f t="shared" si="12"/>
        <v>73.717095665416551</v>
      </c>
      <c r="P134" s="60">
        <f t="shared" si="13"/>
        <v>0.22904113773443852</v>
      </c>
      <c r="Q134" s="63" t="s">
        <v>319</v>
      </c>
    </row>
    <row r="135" spans="1:17" ht="17.25" customHeight="1" x14ac:dyDescent="0.2">
      <c r="A135" s="52">
        <v>2254</v>
      </c>
      <c r="B135" s="53" t="s">
        <v>310</v>
      </c>
      <c r="C135" s="53" t="s">
        <v>217</v>
      </c>
      <c r="D135" s="54">
        <v>347.2</v>
      </c>
      <c r="E135" s="62">
        <v>840</v>
      </c>
      <c r="F135" s="54">
        <f t="shared" si="10"/>
        <v>345.29813199999995</v>
      </c>
      <c r="G135" s="66">
        <v>25569.041962604166</v>
      </c>
      <c r="H135" s="66">
        <v>25569.041962604166</v>
      </c>
      <c r="I135" s="62">
        <v>25</v>
      </c>
      <c r="J135" s="53"/>
      <c r="K135" s="57" t="s">
        <v>222</v>
      </c>
      <c r="L135" s="52">
        <v>105336</v>
      </c>
      <c r="M135" s="58">
        <f t="shared" si="11"/>
        <v>324.55508007116453</v>
      </c>
      <c r="N135" s="58">
        <v>1414.1</v>
      </c>
      <c r="O135" s="60">
        <f t="shared" si="12"/>
        <v>74.489781486457829</v>
      </c>
      <c r="P135" s="60">
        <f t="shared" si="13"/>
        <v>0.2295135280893604</v>
      </c>
      <c r="Q135" s="63" t="s">
        <v>320</v>
      </c>
    </row>
    <row r="136" spans="1:17" ht="17.25" customHeight="1" x14ac:dyDescent="0.2">
      <c r="A136" s="52">
        <v>2255</v>
      </c>
      <c r="B136" s="53" t="s">
        <v>310</v>
      </c>
      <c r="C136" s="53" t="s">
        <v>217</v>
      </c>
      <c r="D136" s="54">
        <v>347.2</v>
      </c>
      <c r="E136" s="62">
        <v>840</v>
      </c>
      <c r="F136" s="54">
        <f t="shared" si="10"/>
        <v>345.29813199999995</v>
      </c>
      <c r="G136" s="66">
        <v>25569.041962604166</v>
      </c>
      <c r="H136" s="66">
        <v>25569.041962604166</v>
      </c>
      <c r="I136" s="62">
        <v>23</v>
      </c>
      <c r="J136" s="53"/>
      <c r="K136" s="57" t="s">
        <v>222</v>
      </c>
      <c r="L136" s="52">
        <v>97993</v>
      </c>
      <c r="M136" s="58">
        <f t="shared" si="11"/>
        <v>313.03833631042698</v>
      </c>
      <c r="N136" s="58">
        <v>1319.49</v>
      </c>
      <c r="O136" s="60">
        <f t="shared" si="12"/>
        <v>74.265814822393494</v>
      </c>
      <c r="P136" s="60">
        <f t="shared" si="13"/>
        <v>0.23724191643015632</v>
      </c>
      <c r="Q136" s="63" t="s">
        <v>321</v>
      </c>
    </row>
    <row r="137" spans="1:17" ht="17.25" customHeight="1" x14ac:dyDescent="0.2">
      <c r="A137" s="52">
        <v>2256</v>
      </c>
      <c r="B137" s="53" t="s">
        <v>310</v>
      </c>
      <c r="C137" s="53" t="s">
        <v>217</v>
      </c>
      <c r="D137" s="54">
        <v>347.2</v>
      </c>
      <c r="E137" s="62">
        <v>840</v>
      </c>
      <c r="F137" s="54">
        <f t="shared" si="10"/>
        <v>345.29813199999995</v>
      </c>
      <c r="G137" s="66">
        <v>25569.041962604166</v>
      </c>
      <c r="H137" s="66">
        <v>25569.041962604166</v>
      </c>
      <c r="I137" s="62">
        <v>22</v>
      </c>
      <c r="J137" s="53"/>
      <c r="K137" s="57" t="s">
        <v>222</v>
      </c>
      <c r="L137" s="52">
        <v>65734</v>
      </c>
      <c r="M137" s="58">
        <f t="shared" si="11"/>
        <v>256.38642709784773</v>
      </c>
      <c r="N137" s="58">
        <v>905.88</v>
      </c>
      <c r="O137" s="60">
        <f t="shared" si="12"/>
        <v>72.563694970636291</v>
      </c>
      <c r="P137" s="60">
        <f t="shared" si="13"/>
        <v>0.28302471309428151</v>
      </c>
      <c r="Q137" s="63" t="s">
        <v>322</v>
      </c>
    </row>
    <row r="138" spans="1:17" ht="17.25" customHeight="1" x14ac:dyDescent="0.2">
      <c r="A138" s="52">
        <v>2257</v>
      </c>
      <c r="B138" s="53" t="s">
        <v>310</v>
      </c>
      <c r="C138" s="53" t="s">
        <v>217</v>
      </c>
      <c r="D138" s="54">
        <v>347.2</v>
      </c>
      <c r="E138" s="62">
        <v>840</v>
      </c>
      <c r="F138" s="54">
        <f t="shared" si="10"/>
        <v>345.29813199999995</v>
      </c>
      <c r="G138" s="66">
        <v>25569.041962604166</v>
      </c>
      <c r="H138" s="66">
        <v>25569.041962604166</v>
      </c>
      <c r="I138" s="62">
        <v>20</v>
      </c>
      <c r="J138" s="53"/>
      <c r="K138" s="57" t="s">
        <v>222</v>
      </c>
      <c r="L138" s="52">
        <v>71656</v>
      </c>
      <c r="M138" s="58">
        <f t="shared" si="11"/>
        <v>267.68638366566199</v>
      </c>
      <c r="N138" s="58">
        <v>1006.06</v>
      </c>
      <c r="O138" s="60">
        <f t="shared" si="12"/>
        <v>71.224380255650757</v>
      </c>
      <c r="P138" s="60">
        <f t="shared" si="13"/>
        <v>0.26607397537489019</v>
      </c>
      <c r="Q138" s="63" t="s">
        <v>323</v>
      </c>
    </row>
    <row r="139" spans="1:17" ht="17.25" customHeight="1" x14ac:dyDescent="0.2">
      <c r="A139" s="52">
        <v>2258</v>
      </c>
      <c r="B139" s="53" t="s">
        <v>157</v>
      </c>
      <c r="C139" s="53" t="s">
        <v>217</v>
      </c>
      <c r="D139" s="54">
        <v>347.44</v>
      </c>
      <c r="E139" s="62">
        <v>602</v>
      </c>
      <c r="F139" s="54">
        <f t="shared" si="10"/>
        <v>345.30011859999996</v>
      </c>
      <c r="G139" s="69"/>
      <c r="H139" s="66">
        <v>25569.041962604166</v>
      </c>
      <c r="I139" s="62">
        <v>18</v>
      </c>
      <c r="J139" s="53"/>
      <c r="K139" s="57" t="s">
        <v>222</v>
      </c>
      <c r="L139" s="52"/>
      <c r="M139" s="58">
        <f t="shared" si="11"/>
        <v>0</v>
      </c>
      <c r="N139" s="58">
        <v>913797.53</v>
      </c>
      <c r="O139" s="60">
        <f t="shared" si="12"/>
        <v>0</v>
      </c>
      <c r="P139" s="60">
        <f t="shared" si="13"/>
        <v>0</v>
      </c>
      <c r="Q139" s="63" t="s">
        <v>324</v>
      </c>
    </row>
    <row r="140" spans="1:17" ht="17.25" customHeight="1" x14ac:dyDescent="0.2">
      <c r="A140" s="52">
        <v>2271</v>
      </c>
      <c r="B140" s="53" t="s">
        <v>32</v>
      </c>
      <c r="C140" s="53" t="s">
        <v>217</v>
      </c>
      <c r="D140" s="54">
        <v>349.24099999999999</v>
      </c>
      <c r="E140" s="62">
        <v>983</v>
      </c>
      <c r="F140" s="54">
        <f t="shared" ref="F140:F203" si="14">0.9933*(D140 + E140/1000)-0.41</f>
        <v>347.46749919999996</v>
      </c>
      <c r="G140" s="70">
        <v>25569.041962604166</v>
      </c>
      <c r="H140" s="66">
        <v>25569.041962604166</v>
      </c>
      <c r="I140" s="62">
        <v>32</v>
      </c>
      <c r="J140" s="53"/>
      <c r="K140" s="57"/>
      <c r="L140" s="52">
        <v>243734</v>
      </c>
      <c r="M140" s="58">
        <f t="shared" si="11"/>
        <v>493.69423735749643</v>
      </c>
      <c r="N140" s="58">
        <v>4094.95</v>
      </c>
      <c r="O140" s="60">
        <f t="shared" si="12"/>
        <v>59.520629067509986</v>
      </c>
      <c r="P140" s="60">
        <f t="shared" si="13"/>
        <v>0.12056172538309294</v>
      </c>
      <c r="Q140" s="63" t="s">
        <v>325</v>
      </c>
    </row>
    <row r="141" spans="1:17" ht="17.25" customHeight="1" x14ac:dyDescent="0.2">
      <c r="A141" s="52">
        <v>2272</v>
      </c>
      <c r="B141" s="53" t="s">
        <v>32</v>
      </c>
      <c r="C141" s="53" t="s">
        <v>217</v>
      </c>
      <c r="D141" s="54">
        <v>348.20600000000002</v>
      </c>
      <c r="E141" s="62">
        <v>904</v>
      </c>
      <c r="F141" s="54">
        <f t="shared" si="14"/>
        <v>346.36096299999997</v>
      </c>
      <c r="G141" s="66">
        <v>25569.041962604166</v>
      </c>
      <c r="H141" s="66">
        <v>25569.041962604166</v>
      </c>
      <c r="I141" s="62">
        <v>32</v>
      </c>
      <c r="J141" s="53"/>
      <c r="K141" s="57"/>
      <c r="L141" s="52">
        <v>185105</v>
      </c>
      <c r="M141" s="58">
        <f t="shared" ref="M141:M204" si="15">SQRT(L141)</f>
        <v>430.23830605839828</v>
      </c>
      <c r="N141" s="58">
        <v>2745.21</v>
      </c>
      <c r="O141" s="60">
        <f t="shared" ref="O141:O204" si="16">L141/N141</f>
        <v>67.428357029152593</v>
      </c>
      <c r="P141" s="60">
        <f t="shared" ref="P141:P204" si="17">M141/N141</f>
        <v>0.15672327656477947</v>
      </c>
      <c r="Q141" s="63" t="s">
        <v>326</v>
      </c>
    </row>
    <row r="142" spans="1:17" ht="17.25" customHeight="1" x14ac:dyDescent="0.2">
      <c r="A142" s="52">
        <v>2273</v>
      </c>
      <c r="B142" s="53" t="s">
        <v>32</v>
      </c>
      <c r="C142" s="53" t="s">
        <v>217</v>
      </c>
      <c r="D142" s="54">
        <v>346.19900000000001</v>
      </c>
      <c r="E142" s="62">
        <v>904</v>
      </c>
      <c r="F142" s="54">
        <f t="shared" si="14"/>
        <v>344.36740989999998</v>
      </c>
      <c r="G142" s="66">
        <v>25569.041962604166</v>
      </c>
      <c r="H142" s="66">
        <v>25569.041962604166</v>
      </c>
      <c r="I142" s="62">
        <v>32</v>
      </c>
      <c r="J142" s="53"/>
      <c r="K142" s="57"/>
      <c r="L142" s="52">
        <v>110128</v>
      </c>
      <c r="M142" s="58">
        <f t="shared" si="15"/>
        <v>331.85539019277661</v>
      </c>
      <c r="N142" s="58">
        <v>1574.8</v>
      </c>
      <c r="O142" s="60">
        <f t="shared" si="16"/>
        <v>69.931419862839732</v>
      </c>
      <c r="P142" s="60">
        <f t="shared" si="17"/>
        <v>0.21072859422960161</v>
      </c>
      <c r="Q142" s="63" t="s">
        <v>327</v>
      </c>
    </row>
    <row r="143" spans="1:17" ht="17.25" customHeight="1" x14ac:dyDescent="0.2">
      <c r="A143" s="52">
        <v>2274</v>
      </c>
      <c r="B143" s="53" t="s">
        <v>32</v>
      </c>
      <c r="C143" s="53" t="s">
        <v>217</v>
      </c>
      <c r="D143" s="54">
        <v>344.19900000000001</v>
      </c>
      <c r="E143" s="62">
        <v>904</v>
      </c>
      <c r="F143" s="54">
        <f t="shared" si="14"/>
        <v>342.38080989999997</v>
      </c>
      <c r="G143" s="69"/>
      <c r="H143" s="66">
        <v>25569.041962604166</v>
      </c>
      <c r="I143" s="62">
        <v>32</v>
      </c>
      <c r="J143" s="53"/>
      <c r="K143" s="57"/>
      <c r="L143" s="52">
        <v>84149</v>
      </c>
      <c r="M143" s="58">
        <f t="shared" si="15"/>
        <v>290.0844704564517</v>
      </c>
      <c r="N143" s="58">
        <v>1552.13</v>
      </c>
      <c r="O143" s="60">
        <f t="shared" si="16"/>
        <v>54.215175275266887</v>
      </c>
      <c r="P143" s="60">
        <f t="shared" si="17"/>
        <v>0.18689444212562845</v>
      </c>
      <c r="Q143" s="63" t="s">
        <v>326</v>
      </c>
    </row>
    <row r="144" spans="1:17" ht="17.25" customHeight="1" x14ac:dyDescent="0.2">
      <c r="A144" s="52">
        <v>2275</v>
      </c>
      <c r="B144" s="53" t="s">
        <v>32</v>
      </c>
      <c r="C144" s="53" t="s">
        <v>217</v>
      </c>
      <c r="D144" s="54">
        <v>342.19900000000001</v>
      </c>
      <c r="E144" s="62">
        <v>904</v>
      </c>
      <c r="F144" s="54">
        <f t="shared" si="14"/>
        <v>340.39420989999996</v>
      </c>
      <c r="G144" s="66">
        <v>25569.041962604166</v>
      </c>
      <c r="H144" s="66">
        <v>25569.041962604166</v>
      </c>
      <c r="I144" s="62">
        <v>32</v>
      </c>
      <c r="J144" s="53"/>
      <c r="K144" s="57"/>
      <c r="L144" s="52">
        <v>239358</v>
      </c>
      <c r="M144" s="58">
        <f t="shared" si="15"/>
        <v>489.24227127262827</v>
      </c>
      <c r="N144" s="58">
        <v>8189.62</v>
      </c>
      <c r="O144" s="60">
        <f t="shared" si="16"/>
        <v>29.226997101208603</v>
      </c>
      <c r="P144" s="60">
        <f t="shared" si="17"/>
        <v>5.9739312846338204E-2</v>
      </c>
      <c r="Q144" s="63" t="s">
        <v>326</v>
      </c>
    </row>
    <row r="145" spans="1:17" ht="17.25" customHeight="1" x14ac:dyDescent="0.2">
      <c r="A145" s="52">
        <v>2276</v>
      </c>
      <c r="B145" s="53" t="s">
        <v>32</v>
      </c>
      <c r="C145" s="53" t="s">
        <v>217</v>
      </c>
      <c r="D145" s="54">
        <v>340.19900000000001</v>
      </c>
      <c r="E145" s="62">
        <v>904</v>
      </c>
      <c r="F145" s="54">
        <f t="shared" si="14"/>
        <v>338.40760989999995</v>
      </c>
      <c r="G145" s="66">
        <v>25569.041962604166</v>
      </c>
      <c r="H145" s="66">
        <v>25569.041962604166</v>
      </c>
      <c r="I145" s="62">
        <v>32</v>
      </c>
      <c r="J145" s="53"/>
      <c r="K145" s="57"/>
      <c r="L145" s="52">
        <v>26182</v>
      </c>
      <c r="M145" s="58">
        <f t="shared" si="15"/>
        <v>161.80852882342143</v>
      </c>
      <c r="N145" s="58">
        <v>2955.68</v>
      </c>
      <c r="O145" s="60">
        <f t="shared" si="16"/>
        <v>8.8581984517945109</v>
      </c>
      <c r="P145" s="60">
        <f t="shared" si="17"/>
        <v>5.4744941544220431E-2</v>
      </c>
      <c r="Q145" s="63"/>
    </row>
    <row r="146" spans="1:17" ht="17.25" customHeight="1" x14ac:dyDescent="0.2">
      <c r="A146" s="52">
        <v>2277</v>
      </c>
      <c r="B146" s="53" t="s">
        <v>32</v>
      </c>
      <c r="C146" s="53" t="s">
        <v>217</v>
      </c>
      <c r="D146" s="54">
        <v>338.19900000000001</v>
      </c>
      <c r="E146" s="62">
        <v>904</v>
      </c>
      <c r="F146" s="54">
        <f t="shared" si="14"/>
        <v>336.42100989999994</v>
      </c>
      <c r="G146" s="66">
        <v>25569.041962604166</v>
      </c>
      <c r="H146" s="66">
        <v>25569.041962604166</v>
      </c>
      <c r="I146" s="62">
        <v>34</v>
      </c>
      <c r="J146" s="53"/>
      <c r="K146" s="57"/>
      <c r="L146" s="52">
        <v>11210</v>
      </c>
      <c r="M146" s="58">
        <f t="shared" si="15"/>
        <v>105.87728746053141</v>
      </c>
      <c r="N146" s="58">
        <v>2801.65</v>
      </c>
      <c r="O146" s="60">
        <f t="shared" si="16"/>
        <v>4.0012135705744827</v>
      </c>
      <c r="P146" s="60">
        <f t="shared" si="17"/>
        <v>3.779104722593165E-2</v>
      </c>
      <c r="Q146" s="63"/>
    </row>
    <row r="147" spans="1:17" ht="17.25" customHeight="1" x14ac:dyDescent="0.2">
      <c r="A147" s="52">
        <v>2278</v>
      </c>
      <c r="B147" s="53" t="s">
        <v>32</v>
      </c>
      <c r="C147" s="53" t="s">
        <v>217</v>
      </c>
      <c r="D147" s="54">
        <v>336.19900000000001</v>
      </c>
      <c r="E147" s="62">
        <v>904</v>
      </c>
      <c r="F147" s="54">
        <f t="shared" si="14"/>
        <v>334.43440989999999</v>
      </c>
      <c r="G147" s="66">
        <v>25569.041962604166</v>
      </c>
      <c r="H147" s="66">
        <v>25569.041962604166</v>
      </c>
      <c r="I147" s="62">
        <v>34</v>
      </c>
      <c r="J147" s="53"/>
      <c r="K147" s="57"/>
      <c r="L147" s="52">
        <v>10324</v>
      </c>
      <c r="M147" s="58">
        <f t="shared" si="15"/>
        <v>101.6070863670443</v>
      </c>
      <c r="N147" s="58">
        <v>4293.5200000000004</v>
      </c>
      <c r="O147" s="60">
        <f t="shared" si="16"/>
        <v>2.4045538392740684</v>
      </c>
      <c r="P147" s="60">
        <f t="shared" si="17"/>
        <v>2.3665217902104636E-2</v>
      </c>
      <c r="Q147" s="63"/>
    </row>
    <row r="148" spans="1:17" ht="17.25" customHeight="1" x14ac:dyDescent="0.2">
      <c r="A148" s="52">
        <v>2279</v>
      </c>
      <c r="B148" s="53" t="s">
        <v>32</v>
      </c>
      <c r="C148" s="53" t="s">
        <v>217</v>
      </c>
      <c r="D148" s="54">
        <v>334.19900000000001</v>
      </c>
      <c r="E148" s="62">
        <v>904</v>
      </c>
      <c r="F148" s="54">
        <f t="shared" si="14"/>
        <v>332.44780989999998</v>
      </c>
      <c r="G148" s="66">
        <v>25569.041962604166</v>
      </c>
      <c r="H148" s="66">
        <v>25569.041962604166</v>
      </c>
      <c r="I148" s="62">
        <v>34</v>
      </c>
      <c r="J148" s="53"/>
      <c r="K148" s="57"/>
      <c r="L148" s="52">
        <v>6081</v>
      </c>
      <c r="M148" s="58">
        <f t="shared" si="15"/>
        <v>77.980766859527606</v>
      </c>
      <c r="N148" s="58">
        <v>3821.31</v>
      </c>
      <c r="O148" s="60">
        <f t="shared" si="16"/>
        <v>1.5913390957551206</v>
      </c>
      <c r="P148" s="60">
        <f t="shared" si="17"/>
        <v>2.0406815165356279E-2</v>
      </c>
      <c r="Q148" s="63"/>
    </row>
    <row r="149" spans="1:17" ht="17.25" customHeight="1" x14ac:dyDescent="0.2">
      <c r="A149" s="52">
        <v>2280</v>
      </c>
      <c r="B149" s="53" t="s">
        <v>32</v>
      </c>
      <c r="C149" s="53" t="s">
        <v>217</v>
      </c>
      <c r="D149" s="54">
        <v>332.19900000000001</v>
      </c>
      <c r="E149" s="62">
        <v>904</v>
      </c>
      <c r="F149" s="54">
        <f t="shared" si="14"/>
        <v>330.46120989999997</v>
      </c>
      <c r="G149" s="66">
        <v>25569.041962604166</v>
      </c>
      <c r="H149" s="66">
        <v>25569.041962604166</v>
      </c>
      <c r="I149" s="62">
        <v>34</v>
      </c>
      <c r="J149" s="53"/>
      <c r="K149" s="57"/>
      <c r="L149" s="52">
        <v>3930</v>
      </c>
      <c r="M149" s="58">
        <f t="shared" si="15"/>
        <v>62.689712074629917</v>
      </c>
      <c r="N149" s="58">
        <v>3411.19</v>
      </c>
      <c r="O149" s="60">
        <f t="shared" si="16"/>
        <v>1.152090619402613</v>
      </c>
      <c r="P149" s="60">
        <f t="shared" si="17"/>
        <v>1.8377666466725662E-2</v>
      </c>
      <c r="Q149" s="63"/>
    </row>
    <row r="150" spans="1:17" ht="17.25" customHeight="1" x14ac:dyDescent="0.2">
      <c r="A150" s="52">
        <v>2281</v>
      </c>
      <c r="B150" s="53" t="s">
        <v>32</v>
      </c>
      <c r="C150" s="53" t="s">
        <v>217</v>
      </c>
      <c r="D150" s="54">
        <v>351.24099999999999</v>
      </c>
      <c r="E150" s="62">
        <v>904</v>
      </c>
      <c r="F150" s="54">
        <f t="shared" si="14"/>
        <v>349.37562849999995</v>
      </c>
      <c r="G150" s="66">
        <v>25569.041962604166</v>
      </c>
      <c r="H150" s="66">
        <v>25569.041962604166</v>
      </c>
      <c r="I150" s="62">
        <v>33</v>
      </c>
      <c r="J150" s="53"/>
      <c r="K150" s="57"/>
      <c r="L150" s="52">
        <v>48282</v>
      </c>
      <c r="M150" s="58">
        <f t="shared" si="15"/>
        <v>219.73165452433111</v>
      </c>
      <c r="N150" s="58">
        <v>982.95</v>
      </c>
      <c r="O150" s="60">
        <f t="shared" si="16"/>
        <v>49.119487257744545</v>
      </c>
      <c r="P150" s="60">
        <f t="shared" si="17"/>
        <v>0.22354306376146404</v>
      </c>
      <c r="Q150" s="63"/>
    </row>
    <row r="151" spans="1:17" ht="17.25" customHeight="1" x14ac:dyDescent="0.2">
      <c r="A151" s="52">
        <v>2282</v>
      </c>
      <c r="B151" s="53" t="s">
        <v>32</v>
      </c>
      <c r="C151" s="53" t="s">
        <v>217</v>
      </c>
      <c r="D151" s="54">
        <v>353.24099999999999</v>
      </c>
      <c r="E151" s="62">
        <v>904</v>
      </c>
      <c r="F151" s="54">
        <f t="shared" si="14"/>
        <v>351.36222849999996</v>
      </c>
      <c r="G151" s="66">
        <v>25569.041962604166</v>
      </c>
      <c r="H151" s="66">
        <v>25569.041962604166</v>
      </c>
      <c r="I151" s="62">
        <v>33</v>
      </c>
      <c r="J151" s="53"/>
      <c r="K151" s="57"/>
      <c r="L151" s="52">
        <v>47927</v>
      </c>
      <c r="M151" s="58">
        <f t="shared" si="15"/>
        <v>218.92236066697254</v>
      </c>
      <c r="N151" s="58">
        <v>1328.98</v>
      </c>
      <c r="O151" s="60">
        <f t="shared" si="16"/>
        <v>36.062995680898133</v>
      </c>
      <c r="P151" s="60">
        <f t="shared" si="17"/>
        <v>0.16472961268564804</v>
      </c>
      <c r="Q151" s="63"/>
    </row>
    <row r="152" spans="1:17" ht="17.25" customHeight="1" x14ac:dyDescent="0.2">
      <c r="A152" s="52">
        <v>2283</v>
      </c>
      <c r="B152" s="53" t="s">
        <v>32</v>
      </c>
      <c r="C152" s="53" t="s">
        <v>217</v>
      </c>
      <c r="D152" s="54">
        <v>355.24099999999999</v>
      </c>
      <c r="E152" s="62">
        <v>904</v>
      </c>
      <c r="F152" s="54">
        <f t="shared" si="14"/>
        <v>353.34882849999997</v>
      </c>
      <c r="G152" s="66">
        <v>25569.041962604166</v>
      </c>
      <c r="H152" s="66">
        <v>25569.041962604166</v>
      </c>
      <c r="I152" s="62">
        <v>33</v>
      </c>
      <c r="J152" s="53"/>
      <c r="K152" s="57"/>
      <c r="L152" s="52">
        <v>40639</v>
      </c>
      <c r="M152" s="58">
        <f t="shared" si="15"/>
        <v>201.59117044156471</v>
      </c>
      <c r="N152" s="58">
        <v>1545.32</v>
      </c>
      <c r="O152" s="60">
        <f t="shared" si="16"/>
        <v>26.298113012191649</v>
      </c>
      <c r="P152" s="60">
        <f t="shared" si="17"/>
        <v>0.13045270263865394</v>
      </c>
      <c r="Q152" s="63"/>
    </row>
    <row r="153" spans="1:17" ht="17.25" customHeight="1" x14ac:dyDescent="0.2">
      <c r="A153" s="52">
        <v>2284</v>
      </c>
      <c r="B153" s="53" t="s">
        <v>32</v>
      </c>
      <c r="C153" s="53" t="s">
        <v>217</v>
      </c>
      <c r="D153" s="54">
        <v>357.24099999999999</v>
      </c>
      <c r="E153" s="62">
        <v>904</v>
      </c>
      <c r="F153" s="54">
        <f t="shared" si="14"/>
        <v>355.33542849999992</v>
      </c>
      <c r="G153" s="66">
        <v>25569.041962604166</v>
      </c>
      <c r="H153" s="66">
        <v>25569.041962604166</v>
      </c>
      <c r="I153" s="62">
        <v>33</v>
      </c>
      <c r="J153" s="53"/>
      <c r="K153" s="57"/>
      <c r="L153" s="52">
        <v>18200</v>
      </c>
      <c r="M153" s="58">
        <f t="shared" si="15"/>
        <v>134.90737563232042</v>
      </c>
      <c r="N153" s="58">
        <v>987.05</v>
      </c>
      <c r="O153" s="60">
        <f t="shared" si="16"/>
        <v>18.438782229876907</v>
      </c>
      <c r="P153" s="60">
        <f t="shared" si="17"/>
        <v>0.13667734727959113</v>
      </c>
      <c r="Q153" s="63"/>
    </row>
    <row r="154" spans="1:17" ht="17.25" customHeight="1" x14ac:dyDescent="0.2">
      <c r="A154" s="52">
        <v>2285</v>
      </c>
      <c r="B154" s="53" t="s">
        <v>32</v>
      </c>
      <c r="C154" s="53" t="s">
        <v>217</v>
      </c>
      <c r="D154" s="54">
        <v>359.24099999999999</v>
      </c>
      <c r="E154" s="62">
        <v>904</v>
      </c>
      <c r="F154" s="54">
        <f t="shared" si="14"/>
        <v>357.32202849999993</v>
      </c>
      <c r="G154" s="66">
        <v>25569.041962604166</v>
      </c>
      <c r="H154" s="66">
        <v>25569.041962604166</v>
      </c>
      <c r="I154" s="62">
        <v>33</v>
      </c>
      <c r="J154" s="53"/>
      <c r="K154" s="57"/>
      <c r="L154" s="52">
        <v>18596</v>
      </c>
      <c r="M154" s="58">
        <f t="shared" si="15"/>
        <v>136.36715146984628</v>
      </c>
      <c r="N154" s="58">
        <v>1393.21</v>
      </c>
      <c r="O154" s="60">
        <f t="shared" si="16"/>
        <v>13.347592968755608</v>
      </c>
      <c r="P154" s="60">
        <f t="shared" si="17"/>
        <v>9.7879825345673854E-2</v>
      </c>
      <c r="Q154" s="63"/>
    </row>
    <row r="155" spans="1:17" ht="17.25" customHeight="1" x14ac:dyDescent="0.2">
      <c r="A155" s="52">
        <v>2286</v>
      </c>
      <c r="B155" s="53" t="s">
        <v>32</v>
      </c>
      <c r="C155" s="53" t="s">
        <v>217</v>
      </c>
      <c r="D155" s="54">
        <v>361.24099999999999</v>
      </c>
      <c r="E155" s="62">
        <v>904</v>
      </c>
      <c r="F155" s="54">
        <f t="shared" si="14"/>
        <v>359.30862849999994</v>
      </c>
      <c r="G155" s="66">
        <v>25569.041962604166</v>
      </c>
      <c r="H155" s="66">
        <v>25569.041962604166</v>
      </c>
      <c r="I155" s="62">
        <v>33</v>
      </c>
      <c r="J155" s="53"/>
      <c r="K155" s="57"/>
      <c r="L155" s="52">
        <v>20007</v>
      </c>
      <c r="M155" s="58">
        <f t="shared" si="15"/>
        <v>141.44610280951539</v>
      </c>
      <c r="N155" s="58">
        <v>2078.71</v>
      </c>
      <c r="O155" s="60">
        <f t="shared" si="16"/>
        <v>9.6247191767971483</v>
      </c>
      <c r="P155" s="60">
        <f t="shared" si="17"/>
        <v>6.8045135112408853E-2</v>
      </c>
      <c r="Q155" s="63"/>
    </row>
    <row r="156" spans="1:17" ht="17.25" customHeight="1" x14ac:dyDescent="0.2">
      <c r="A156" s="52">
        <v>2287</v>
      </c>
      <c r="B156" s="53" t="s">
        <v>32</v>
      </c>
      <c r="C156" s="53" t="s">
        <v>217</v>
      </c>
      <c r="D156" s="54">
        <v>349.24099999999999</v>
      </c>
      <c r="E156" s="62">
        <v>816</v>
      </c>
      <c r="F156" s="54">
        <f t="shared" si="14"/>
        <v>347.30161809999993</v>
      </c>
      <c r="G156" s="66">
        <v>25569.041962604166</v>
      </c>
      <c r="H156" s="66">
        <v>25569.041962604166</v>
      </c>
      <c r="I156" s="62">
        <v>27</v>
      </c>
      <c r="J156" s="53"/>
      <c r="K156" s="57"/>
      <c r="L156" s="52">
        <v>127303</v>
      </c>
      <c r="M156" s="58">
        <f t="shared" si="15"/>
        <v>356.7954596123667</v>
      </c>
      <c r="N156" s="58">
        <v>2040.9</v>
      </c>
      <c r="O156" s="60">
        <f t="shared" si="16"/>
        <v>62.375912587583905</v>
      </c>
      <c r="P156" s="60">
        <f t="shared" si="17"/>
        <v>0.17482260748315287</v>
      </c>
      <c r="Q156" s="63"/>
    </row>
    <row r="157" spans="1:17" ht="17.25" customHeight="1" x14ac:dyDescent="0.2">
      <c r="A157" s="52">
        <v>2288</v>
      </c>
      <c r="B157" s="53" t="s">
        <v>9</v>
      </c>
      <c r="C157" s="53" t="s">
        <v>217</v>
      </c>
      <c r="D157" s="54">
        <v>348.20600000000002</v>
      </c>
      <c r="E157" s="62">
        <v>816</v>
      </c>
      <c r="F157" s="54">
        <f t="shared" si="14"/>
        <v>346.27355259999996</v>
      </c>
      <c r="G157" s="66">
        <v>25569.041962604166</v>
      </c>
      <c r="H157" s="66">
        <v>25569.041962604166</v>
      </c>
      <c r="I157" s="62">
        <v>28</v>
      </c>
      <c r="J157" s="53"/>
      <c r="K157" s="57"/>
      <c r="L157" s="52">
        <v>255403</v>
      </c>
      <c r="M157" s="58">
        <f t="shared" si="15"/>
        <v>505.37411884662237</v>
      </c>
      <c r="N157" s="58">
        <v>3811.48</v>
      </c>
      <c r="O157" s="60">
        <f t="shared" si="16"/>
        <v>67.008878440920583</v>
      </c>
      <c r="P157" s="60">
        <f t="shared" si="17"/>
        <v>0.13259261988692644</v>
      </c>
      <c r="Q157" s="63"/>
    </row>
    <row r="158" spans="1:17" ht="17.25" customHeight="1" x14ac:dyDescent="0.2">
      <c r="A158" s="52">
        <v>2289</v>
      </c>
      <c r="B158" s="53" t="s">
        <v>9</v>
      </c>
      <c r="C158" s="53" t="s">
        <v>217</v>
      </c>
      <c r="D158" s="54">
        <v>346.19900000000001</v>
      </c>
      <c r="E158" s="62">
        <v>816</v>
      </c>
      <c r="F158" s="54">
        <f t="shared" si="14"/>
        <v>344.27999949999997</v>
      </c>
      <c r="G158" s="66">
        <v>25569.041962604166</v>
      </c>
      <c r="H158" s="66">
        <v>25569.041962604166</v>
      </c>
      <c r="I158" s="62">
        <v>29</v>
      </c>
      <c r="J158" s="53"/>
      <c r="K158" s="57"/>
      <c r="L158" s="52">
        <v>71151</v>
      </c>
      <c r="M158" s="58">
        <f t="shared" si="15"/>
        <v>266.74144784791133</v>
      </c>
      <c r="N158" s="58">
        <v>1021.45</v>
      </c>
      <c r="O158" s="60">
        <f t="shared" si="16"/>
        <v>69.656860345587148</v>
      </c>
      <c r="P158" s="60">
        <f t="shared" si="17"/>
        <v>0.26113999495610291</v>
      </c>
      <c r="Q158" s="63"/>
    </row>
    <row r="159" spans="1:17" ht="17.25" customHeight="1" x14ac:dyDescent="0.2">
      <c r="A159" s="52">
        <v>2290</v>
      </c>
      <c r="B159" s="53" t="s">
        <v>32</v>
      </c>
      <c r="C159" s="53" t="s">
        <v>217</v>
      </c>
      <c r="D159" s="54">
        <v>344.19900000000001</v>
      </c>
      <c r="E159" s="62">
        <v>816</v>
      </c>
      <c r="F159" s="54">
        <f t="shared" si="14"/>
        <v>342.29339949999996</v>
      </c>
      <c r="G159" s="66">
        <v>25569.041962604166</v>
      </c>
      <c r="H159" s="66">
        <v>25569.041962604166</v>
      </c>
      <c r="I159" s="62">
        <v>29</v>
      </c>
      <c r="J159" s="53"/>
      <c r="K159" s="57"/>
      <c r="L159" s="52">
        <v>216434</v>
      </c>
      <c r="M159" s="58">
        <f t="shared" si="15"/>
        <v>465.22467690353659</v>
      </c>
      <c r="N159" s="58">
        <v>3746.29</v>
      </c>
      <c r="O159" s="60">
        <f t="shared" si="16"/>
        <v>57.772889979152708</v>
      </c>
      <c r="P159" s="60">
        <f t="shared" si="17"/>
        <v>0.12418277199670516</v>
      </c>
      <c r="Q159" s="63"/>
    </row>
    <row r="160" spans="1:17" ht="17.25" customHeight="1" x14ac:dyDescent="0.2">
      <c r="A160" s="52">
        <v>2291</v>
      </c>
      <c r="B160" s="53" t="s">
        <v>32</v>
      </c>
      <c r="C160" s="53" t="s">
        <v>217</v>
      </c>
      <c r="D160" s="54">
        <v>342.19900000000001</v>
      </c>
      <c r="E160" s="62">
        <v>816</v>
      </c>
      <c r="F160" s="54">
        <f t="shared" si="14"/>
        <v>340.30679949999995</v>
      </c>
      <c r="G160" s="66">
        <v>25569.041962604166</v>
      </c>
      <c r="H160" s="66">
        <v>25569.041962604166</v>
      </c>
      <c r="I160" s="62">
        <v>29</v>
      </c>
      <c r="J160" s="53"/>
      <c r="K160" s="57"/>
      <c r="L160" s="52">
        <v>64615</v>
      </c>
      <c r="M160" s="58">
        <f t="shared" si="15"/>
        <v>254.19480718535539</v>
      </c>
      <c r="N160" s="58">
        <v>2072.09</v>
      </c>
      <c r="O160" s="60">
        <f t="shared" si="16"/>
        <v>31.183491064577307</v>
      </c>
      <c r="P160" s="60">
        <f t="shared" si="17"/>
        <v>0.12267556292697487</v>
      </c>
      <c r="Q160" s="63"/>
    </row>
    <row r="161" spans="1:17" ht="17.25" customHeight="1" x14ac:dyDescent="0.2">
      <c r="A161" s="52">
        <v>2292</v>
      </c>
      <c r="B161" s="53" t="s">
        <v>32</v>
      </c>
      <c r="C161" s="53" t="s">
        <v>217</v>
      </c>
      <c r="D161" s="54">
        <v>340.19900000000001</v>
      </c>
      <c r="E161" s="62">
        <v>816</v>
      </c>
      <c r="F161" s="54">
        <f t="shared" si="14"/>
        <v>338.32019949999994</v>
      </c>
      <c r="G161" s="66">
        <v>25569.041962604166</v>
      </c>
      <c r="H161" s="66">
        <v>25569.041962604166</v>
      </c>
      <c r="I161" s="62">
        <v>29</v>
      </c>
      <c r="J161" s="53"/>
      <c r="K161" s="57"/>
      <c r="L161" s="52">
        <v>128272</v>
      </c>
      <c r="M161" s="58">
        <f t="shared" si="15"/>
        <v>358.15080622553398</v>
      </c>
      <c r="N161" s="58">
        <v>14285.83</v>
      </c>
      <c r="O161" s="60">
        <f t="shared" si="16"/>
        <v>8.9789672703651107</v>
      </c>
      <c r="P161" s="60">
        <f t="shared" si="17"/>
        <v>2.5070353365925117E-2</v>
      </c>
      <c r="Q161" s="63"/>
    </row>
    <row r="162" spans="1:17" ht="17.25" customHeight="1" x14ac:dyDescent="0.2">
      <c r="A162" s="52">
        <v>2293</v>
      </c>
      <c r="B162" s="53" t="s">
        <v>32</v>
      </c>
      <c r="C162" s="53" t="s">
        <v>217</v>
      </c>
      <c r="D162" s="54">
        <v>338.19900000000001</v>
      </c>
      <c r="E162" s="62">
        <v>816</v>
      </c>
      <c r="F162" s="54">
        <f t="shared" si="14"/>
        <v>336.33359949999993</v>
      </c>
      <c r="G162" s="66">
        <v>25569.041962604166</v>
      </c>
      <c r="H162" s="66">
        <v>25569.041962604166</v>
      </c>
      <c r="I162" s="62">
        <v>30</v>
      </c>
      <c r="J162" s="53"/>
      <c r="K162" s="57"/>
      <c r="L162" s="52">
        <v>22092</v>
      </c>
      <c r="M162" s="58">
        <f t="shared" si="15"/>
        <v>148.63377812596974</v>
      </c>
      <c r="N162" s="58">
        <v>5396.69</v>
      </c>
      <c r="O162" s="60">
        <f t="shared" si="16"/>
        <v>4.0936203487693383</v>
      </c>
      <c r="P162" s="60">
        <f t="shared" si="17"/>
        <v>2.7541655741939921E-2</v>
      </c>
      <c r="Q162" s="63"/>
    </row>
    <row r="163" spans="1:17" ht="17.25" customHeight="1" x14ac:dyDescent="0.2">
      <c r="A163" s="52">
        <v>2294</v>
      </c>
      <c r="B163" s="53" t="s">
        <v>32</v>
      </c>
      <c r="C163" s="53" t="s">
        <v>217</v>
      </c>
      <c r="D163" s="54">
        <v>336.19900000000001</v>
      </c>
      <c r="E163" s="62">
        <v>816</v>
      </c>
      <c r="F163" s="54">
        <f t="shared" si="14"/>
        <v>334.34699949999992</v>
      </c>
      <c r="G163" s="66">
        <v>25569.041962604166</v>
      </c>
      <c r="H163" s="66">
        <v>25569.041962604166</v>
      </c>
      <c r="I163" s="62">
        <v>30</v>
      </c>
      <c r="J163" s="53"/>
      <c r="K163" s="57"/>
      <c r="L163" s="52">
        <v>8201</v>
      </c>
      <c r="M163" s="58">
        <f t="shared" si="15"/>
        <v>90.559372789347435</v>
      </c>
      <c r="N163" s="58">
        <v>3474.08</v>
      </c>
      <c r="O163" s="60">
        <f t="shared" si="16"/>
        <v>2.360624971215401</v>
      </c>
      <c r="P163" s="60">
        <f t="shared" si="17"/>
        <v>2.6067152394115115E-2</v>
      </c>
      <c r="Q163" s="63"/>
    </row>
    <row r="164" spans="1:17" ht="17.25" customHeight="1" x14ac:dyDescent="0.2">
      <c r="A164" s="52">
        <v>2295</v>
      </c>
      <c r="B164" s="53" t="s">
        <v>32</v>
      </c>
      <c r="C164" s="53" t="s">
        <v>217</v>
      </c>
      <c r="D164" s="54">
        <v>334.19900000000001</v>
      </c>
      <c r="E164" s="62">
        <v>816</v>
      </c>
      <c r="F164" s="54">
        <f t="shared" si="14"/>
        <v>332.36039949999997</v>
      </c>
      <c r="G164" s="66">
        <v>25569.041962604166</v>
      </c>
      <c r="H164" s="66">
        <v>25569.041962604166</v>
      </c>
      <c r="I164" s="62">
        <v>30</v>
      </c>
      <c r="J164" s="53"/>
      <c r="K164" s="57"/>
      <c r="L164" s="52">
        <v>6811</v>
      </c>
      <c r="M164" s="58">
        <f t="shared" si="15"/>
        <v>82.528782857861174</v>
      </c>
      <c r="N164" s="58">
        <v>4347.58</v>
      </c>
      <c r="O164" s="60">
        <f t="shared" si="16"/>
        <v>1.5666186706167569</v>
      </c>
      <c r="P164" s="60">
        <f t="shared" si="17"/>
        <v>1.8982694477815514E-2</v>
      </c>
      <c r="Q164" s="63"/>
    </row>
    <row r="165" spans="1:17" ht="17.25" customHeight="1" x14ac:dyDescent="0.2">
      <c r="A165" s="52">
        <v>2296</v>
      </c>
      <c r="B165" s="53" t="s">
        <v>32</v>
      </c>
      <c r="C165" s="53" t="s">
        <v>217</v>
      </c>
      <c r="D165" s="54">
        <v>332.19900000000001</v>
      </c>
      <c r="E165" s="62">
        <v>816</v>
      </c>
      <c r="F165" s="54">
        <f t="shared" si="14"/>
        <v>330.37379949999996</v>
      </c>
      <c r="G165" s="66"/>
      <c r="H165" s="69"/>
      <c r="I165" s="62">
        <v>30</v>
      </c>
      <c r="J165" s="53"/>
      <c r="K165" s="57"/>
      <c r="L165" s="52">
        <v>4201</v>
      </c>
      <c r="M165" s="58">
        <f t="shared" si="15"/>
        <v>64.815121692395209</v>
      </c>
      <c r="N165" s="58">
        <v>3841.3</v>
      </c>
      <c r="O165" s="60">
        <f t="shared" si="16"/>
        <v>1.093640173899461</v>
      </c>
      <c r="P165" s="60">
        <f t="shared" si="17"/>
        <v>1.6873225650794056E-2</v>
      </c>
      <c r="Q165" s="63"/>
    </row>
    <row r="166" spans="1:17" ht="17.25" customHeight="1" x14ac:dyDescent="0.2">
      <c r="A166" s="52">
        <v>2297</v>
      </c>
      <c r="B166" s="53" t="s">
        <v>32</v>
      </c>
      <c r="C166" s="53" t="s">
        <v>217</v>
      </c>
      <c r="D166" s="54">
        <v>341.24099999999999</v>
      </c>
      <c r="E166" s="62">
        <v>816</v>
      </c>
      <c r="F166" s="54">
        <f t="shared" si="14"/>
        <v>339.35521809999995</v>
      </c>
      <c r="G166" s="66">
        <v>25569.041962604166</v>
      </c>
      <c r="H166" s="66">
        <v>25569.041962604166</v>
      </c>
      <c r="I166" s="62">
        <v>30</v>
      </c>
      <c r="J166" s="53"/>
      <c r="K166" s="57"/>
      <c r="L166" s="52">
        <v>72911</v>
      </c>
      <c r="M166" s="58">
        <f t="shared" si="15"/>
        <v>270.02036960199871</v>
      </c>
      <c r="N166" s="58">
        <v>4554.92</v>
      </c>
      <c r="O166" s="60">
        <f t="shared" si="16"/>
        <v>16.00708684235947</v>
      </c>
      <c r="P166" s="60">
        <f t="shared" si="17"/>
        <v>5.9281034486225598E-2</v>
      </c>
      <c r="Q166" s="63"/>
    </row>
    <row r="167" spans="1:17" ht="17.25" customHeight="1" x14ac:dyDescent="0.2">
      <c r="A167" s="52">
        <v>2298</v>
      </c>
      <c r="B167" s="53" t="s">
        <v>32</v>
      </c>
      <c r="C167" s="53" t="s">
        <v>217</v>
      </c>
      <c r="D167" s="54">
        <v>343.24099999999999</v>
      </c>
      <c r="E167" s="62">
        <v>816</v>
      </c>
      <c r="F167" s="54">
        <f t="shared" si="14"/>
        <v>341.3418180999999</v>
      </c>
      <c r="G167" s="66">
        <v>25569.041962604166</v>
      </c>
      <c r="H167" s="66">
        <v>25569.041962604166</v>
      </c>
      <c r="I167" s="62">
        <v>30</v>
      </c>
      <c r="J167" s="53"/>
      <c r="K167" s="57"/>
      <c r="L167" s="52">
        <v>87167</v>
      </c>
      <c r="M167" s="58">
        <f t="shared" si="15"/>
        <v>295.24057986665724</v>
      </c>
      <c r="N167" s="58">
        <v>1841.37</v>
      </c>
      <c r="O167" s="60">
        <f t="shared" si="16"/>
        <v>47.338123245192442</v>
      </c>
      <c r="P167" s="60">
        <f t="shared" si="17"/>
        <v>0.16033745519187195</v>
      </c>
      <c r="Q167" s="63"/>
    </row>
    <row r="168" spans="1:17" ht="17.25" customHeight="1" x14ac:dyDescent="0.2">
      <c r="A168" s="52">
        <v>2299</v>
      </c>
      <c r="B168" s="53" t="s">
        <v>32</v>
      </c>
      <c r="C168" s="53" t="s">
        <v>217</v>
      </c>
      <c r="D168" s="54">
        <v>345.24099999999999</v>
      </c>
      <c r="E168" s="62">
        <v>816</v>
      </c>
      <c r="F168" s="54">
        <f t="shared" si="14"/>
        <v>343.32841809999991</v>
      </c>
      <c r="G168" s="66">
        <v>25569.041962604166</v>
      </c>
      <c r="H168" s="66">
        <v>25569.041962604166</v>
      </c>
      <c r="I168" s="62">
        <v>30</v>
      </c>
      <c r="J168" s="53"/>
      <c r="K168" s="57"/>
      <c r="L168" s="52">
        <v>148919</v>
      </c>
      <c r="M168" s="58">
        <f t="shared" si="15"/>
        <v>385.90024617768773</v>
      </c>
      <c r="N168" s="58">
        <v>2304.2600000000002</v>
      </c>
      <c r="O168" s="60">
        <f t="shared" si="16"/>
        <v>64.627689583640731</v>
      </c>
      <c r="P168" s="60">
        <f t="shared" si="17"/>
        <v>0.16747252748287419</v>
      </c>
      <c r="Q168" s="63"/>
    </row>
    <row r="169" spans="1:17" ht="17.25" customHeight="1" x14ac:dyDescent="0.2">
      <c r="A169" s="52">
        <v>2300</v>
      </c>
      <c r="B169" s="53" t="s">
        <v>32</v>
      </c>
      <c r="C169" s="53" t="s">
        <v>217</v>
      </c>
      <c r="D169" s="54">
        <v>347.24099999999999</v>
      </c>
      <c r="E169" s="62">
        <v>816</v>
      </c>
      <c r="F169" s="54">
        <f t="shared" si="14"/>
        <v>345.31501809999992</v>
      </c>
      <c r="G169" s="66">
        <v>25569.041962604166</v>
      </c>
      <c r="H169" s="66">
        <v>25569.041962604166</v>
      </c>
      <c r="I169" s="62">
        <v>30</v>
      </c>
      <c r="J169" s="53"/>
      <c r="K169" s="57"/>
      <c r="L169" s="52">
        <v>79324</v>
      </c>
      <c r="M169" s="58">
        <f t="shared" si="15"/>
        <v>281.64516683231045</v>
      </c>
      <c r="N169" s="58">
        <v>1134.0999999999999</v>
      </c>
      <c r="O169" s="60">
        <f t="shared" si="16"/>
        <v>69.944449343091449</v>
      </c>
      <c r="P169" s="60">
        <f t="shared" si="17"/>
        <v>0.24834244496279911</v>
      </c>
      <c r="Q169" s="63"/>
    </row>
    <row r="170" spans="1:17" ht="17.25" customHeight="1" x14ac:dyDescent="0.2">
      <c r="A170" s="52">
        <v>2301</v>
      </c>
      <c r="B170" s="53" t="s">
        <v>32</v>
      </c>
      <c r="C170" s="53" t="s">
        <v>217</v>
      </c>
      <c r="D170" s="54">
        <v>350.24099999999999</v>
      </c>
      <c r="E170" s="62">
        <v>816</v>
      </c>
      <c r="F170" s="54">
        <f t="shared" si="14"/>
        <v>348.2949180999999</v>
      </c>
      <c r="G170" s="66">
        <v>25569.041962604166</v>
      </c>
      <c r="H170" s="66">
        <v>25569.041962604166</v>
      </c>
      <c r="I170" s="62">
        <v>30</v>
      </c>
      <c r="J170" s="53"/>
      <c r="K170" s="57"/>
      <c r="L170" s="52">
        <v>130241</v>
      </c>
      <c r="M170" s="58">
        <f t="shared" si="15"/>
        <v>360.88917966600218</v>
      </c>
      <c r="N170" s="58">
        <v>2286.5</v>
      </c>
      <c r="O170" s="60">
        <f t="shared" si="16"/>
        <v>56.960857205335664</v>
      </c>
      <c r="P170" s="60">
        <f t="shared" si="17"/>
        <v>0.15783476040498673</v>
      </c>
      <c r="Q170" s="63"/>
    </row>
    <row r="171" spans="1:17" ht="17.25" customHeight="1" x14ac:dyDescent="0.2">
      <c r="A171" s="52">
        <v>2302</v>
      </c>
      <c r="B171" s="53" t="s">
        <v>32</v>
      </c>
      <c r="C171" s="53" t="s">
        <v>217</v>
      </c>
      <c r="D171" s="54">
        <v>351.24099999999999</v>
      </c>
      <c r="E171" s="62">
        <v>816</v>
      </c>
      <c r="F171" s="54">
        <f t="shared" si="14"/>
        <v>349.28821809999994</v>
      </c>
      <c r="G171" s="66">
        <v>25569.041962604166</v>
      </c>
      <c r="H171" s="66">
        <v>25569.041962604166</v>
      </c>
      <c r="I171" s="62">
        <v>30</v>
      </c>
      <c r="J171" s="53"/>
      <c r="K171" s="57"/>
      <c r="L171" s="52">
        <v>92196</v>
      </c>
      <c r="M171" s="58">
        <f t="shared" si="15"/>
        <v>303.63794229311986</v>
      </c>
      <c r="N171" s="58">
        <v>1876.78</v>
      </c>
      <c r="O171" s="60">
        <f t="shared" si="16"/>
        <v>49.124564413516772</v>
      </c>
      <c r="P171" s="60">
        <f t="shared" si="17"/>
        <v>0.16178664643331656</v>
      </c>
      <c r="Q171" s="63"/>
    </row>
    <row r="172" spans="1:17" ht="17.25" customHeight="1" x14ac:dyDescent="0.2">
      <c r="A172" s="52">
        <v>2303</v>
      </c>
      <c r="B172" s="53" t="s">
        <v>32</v>
      </c>
      <c r="C172" s="53" t="s">
        <v>217</v>
      </c>
      <c r="D172" s="54">
        <v>352.24099999999999</v>
      </c>
      <c r="E172" s="62">
        <v>816</v>
      </c>
      <c r="F172" s="54">
        <f t="shared" si="14"/>
        <v>350.28151809999991</v>
      </c>
      <c r="G172" s="66">
        <v>25569.041962604166</v>
      </c>
      <c r="H172" s="66">
        <v>25569.041962604166</v>
      </c>
      <c r="I172" s="62">
        <v>30</v>
      </c>
      <c r="J172" s="53"/>
      <c r="K172" s="57"/>
      <c r="L172" s="52">
        <v>189821</v>
      </c>
      <c r="M172" s="58">
        <f t="shared" si="15"/>
        <v>435.68451888952859</v>
      </c>
      <c r="N172" s="58">
        <v>4466.9399999999996</v>
      </c>
      <c r="O172" s="60">
        <f t="shared" si="16"/>
        <v>42.494638387800151</v>
      </c>
      <c r="P172" s="60">
        <f t="shared" si="17"/>
        <v>9.7535341618541688E-2</v>
      </c>
      <c r="Q172" s="63"/>
    </row>
    <row r="173" spans="1:17" ht="17.25" customHeight="1" x14ac:dyDescent="0.2">
      <c r="A173" s="52">
        <v>2304</v>
      </c>
      <c r="B173" s="53" t="s">
        <v>32</v>
      </c>
      <c r="C173" s="53" t="s">
        <v>217</v>
      </c>
      <c r="D173" s="54">
        <v>353.24099999999999</v>
      </c>
      <c r="E173" s="62">
        <v>816</v>
      </c>
      <c r="F173" s="54">
        <f t="shared" si="14"/>
        <v>351.27481809999995</v>
      </c>
      <c r="G173" s="66">
        <v>25569.041962604166</v>
      </c>
      <c r="H173" s="66">
        <v>25569.041962604166</v>
      </c>
      <c r="I173" s="62">
        <v>30</v>
      </c>
      <c r="J173" s="53"/>
      <c r="K173" s="57"/>
      <c r="L173" s="52">
        <v>133081</v>
      </c>
      <c r="M173" s="58">
        <f t="shared" si="15"/>
        <v>364.80268639361742</v>
      </c>
      <c r="N173" s="58">
        <v>3583.34</v>
      </c>
      <c r="O173" s="60">
        <f t="shared" si="16"/>
        <v>37.138814625461158</v>
      </c>
      <c r="P173" s="60">
        <f t="shared" si="17"/>
        <v>0.10180521144898821</v>
      </c>
      <c r="Q173" s="63"/>
    </row>
    <row r="174" spans="1:17" ht="17.25" customHeight="1" x14ac:dyDescent="0.2">
      <c r="A174" s="52">
        <v>2305</v>
      </c>
      <c r="B174" s="53" t="s">
        <v>32</v>
      </c>
      <c r="C174" s="53" t="s">
        <v>217</v>
      </c>
      <c r="D174" s="54">
        <v>354.24099999999999</v>
      </c>
      <c r="E174" s="62">
        <v>816</v>
      </c>
      <c r="F174" s="54">
        <f t="shared" si="14"/>
        <v>352.26811809999992</v>
      </c>
      <c r="G174" s="66">
        <v>25569.041962604166</v>
      </c>
      <c r="H174" s="66">
        <v>25569.041962604166</v>
      </c>
      <c r="I174" s="62">
        <v>30</v>
      </c>
      <c r="J174" s="53"/>
      <c r="K174" s="57"/>
      <c r="L174" s="52">
        <v>59121</v>
      </c>
      <c r="M174" s="58">
        <f t="shared" si="15"/>
        <v>243.14810301542556</v>
      </c>
      <c r="N174" s="58">
        <v>1853.27</v>
      </c>
      <c r="O174" s="60">
        <f t="shared" si="16"/>
        <v>31.90091028290535</v>
      </c>
      <c r="P174" s="60">
        <f t="shared" si="17"/>
        <v>0.13119950304889497</v>
      </c>
      <c r="Q174" s="63"/>
    </row>
    <row r="175" spans="1:17" ht="17.25" customHeight="1" x14ac:dyDescent="0.2">
      <c r="A175" s="52">
        <v>2306</v>
      </c>
      <c r="B175" s="53" t="s">
        <v>32</v>
      </c>
      <c r="C175" s="53" t="s">
        <v>217</v>
      </c>
      <c r="D175" s="54">
        <v>355.24099999999999</v>
      </c>
      <c r="E175" s="62">
        <v>816</v>
      </c>
      <c r="F175" s="54">
        <f t="shared" si="14"/>
        <v>353.2614180999999</v>
      </c>
      <c r="G175" s="69"/>
      <c r="H175" s="66">
        <v>25569.041962604166</v>
      </c>
      <c r="I175" s="62">
        <v>30</v>
      </c>
      <c r="J175" s="53"/>
      <c r="K175" s="57"/>
      <c r="L175" s="52">
        <v>119169</v>
      </c>
      <c r="M175" s="58">
        <f t="shared" si="15"/>
        <v>345.20863256876993</v>
      </c>
      <c r="N175" s="58">
        <v>4521.7</v>
      </c>
      <c r="O175" s="60">
        <f t="shared" si="16"/>
        <v>26.354910763650839</v>
      </c>
      <c r="P175" s="60">
        <f t="shared" si="17"/>
        <v>7.6344877494917834E-2</v>
      </c>
      <c r="Q175" s="63"/>
    </row>
    <row r="176" spans="1:17" ht="17.25" customHeight="1" x14ac:dyDescent="0.2">
      <c r="A176" s="52">
        <v>2307</v>
      </c>
      <c r="B176" s="53" t="s">
        <v>32</v>
      </c>
      <c r="C176" s="53" t="s">
        <v>217</v>
      </c>
      <c r="D176" s="54">
        <v>357.24099999999999</v>
      </c>
      <c r="E176" s="62">
        <v>816</v>
      </c>
      <c r="F176" s="54">
        <f t="shared" si="14"/>
        <v>355.24801809999991</v>
      </c>
      <c r="G176" s="66">
        <v>25569.041962604166</v>
      </c>
      <c r="H176" s="66">
        <v>25569.041962604166</v>
      </c>
      <c r="I176" s="62">
        <v>30</v>
      </c>
      <c r="J176" s="53"/>
      <c r="K176" s="57"/>
      <c r="L176" s="52">
        <v>206553</v>
      </c>
      <c r="M176" s="58">
        <f t="shared" si="15"/>
        <v>454.48102270611918</v>
      </c>
      <c r="N176" s="58">
        <v>10869.65</v>
      </c>
      <c r="O176" s="60">
        <f t="shared" si="16"/>
        <v>19.002727778723326</v>
      </c>
      <c r="P176" s="60">
        <f t="shared" si="17"/>
        <v>4.1811927955924907E-2</v>
      </c>
      <c r="Q176" s="63"/>
    </row>
    <row r="177" spans="1:17" ht="17.25" customHeight="1" x14ac:dyDescent="0.2">
      <c r="A177" s="52">
        <v>2308</v>
      </c>
      <c r="B177" s="53" t="s">
        <v>32</v>
      </c>
      <c r="C177" s="53" t="s">
        <v>217</v>
      </c>
      <c r="D177" s="54">
        <v>359.24099999999999</v>
      </c>
      <c r="E177" s="62">
        <v>816</v>
      </c>
      <c r="F177" s="54">
        <f t="shared" si="14"/>
        <v>357.23461809999992</v>
      </c>
      <c r="G177" s="66">
        <v>25569.041962604166</v>
      </c>
      <c r="H177" s="66">
        <v>25569.041962604166</v>
      </c>
      <c r="I177" s="62">
        <v>30</v>
      </c>
      <c r="J177" s="53"/>
      <c r="K177" s="57"/>
      <c r="L177" s="52">
        <v>74235</v>
      </c>
      <c r="M177" s="58">
        <f t="shared" si="15"/>
        <v>272.46100638439987</v>
      </c>
      <c r="N177" s="58">
        <v>5764.12</v>
      </c>
      <c r="O177" s="60">
        <f t="shared" si="16"/>
        <v>12.87880890751754</v>
      </c>
      <c r="P177" s="60">
        <f t="shared" si="17"/>
        <v>4.7268447982415335E-2</v>
      </c>
      <c r="Q177" s="63"/>
    </row>
    <row r="178" spans="1:17" ht="17.25" customHeight="1" x14ac:dyDescent="0.2">
      <c r="A178" s="52">
        <v>2309</v>
      </c>
      <c r="B178" s="53" t="s">
        <v>32</v>
      </c>
      <c r="C178" s="53" t="s">
        <v>217</v>
      </c>
      <c r="D178" s="54">
        <v>361.24099999999999</v>
      </c>
      <c r="E178" s="62">
        <v>816</v>
      </c>
      <c r="F178" s="54">
        <f t="shared" si="14"/>
        <v>359.22121809999993</v>
      </c>
      <c r="G178" s="66">
        <v>25569.041962604166</v>
      </c>
      <c r="H178" s="66">
        <v>25569.041962604166</v>
      </c>
      <c r="I178" s="62">
        <v>29</v>
      </c>
      <c r="J178" s="53"/>
      <c r="K178" s="57"/>
      <c r="L178" s="52">
        <v>30714</v>
      </c>
      <c r="M178" s="58">
        <f t="shared" si="15"/>
        <v>175.2541012358912</v>
      </c>
      <c r="N178" s="58">
        <v>3395.88</v>
      </c>
      <c r="O178" s="60">
        <f t="shared" si="16"/>
        <v>9.0444892045655312</v>
      </c>
      <c r="P178" s="60">
        <f t="shared" si="17"/>
        <v>5.1607860476781037E-2</v>
      </c>
      <c r="Q178" s="63"/>
    </row>
    <row r="179" spans="1:17" ht="17.25" customHeight="1" x14ac:dyDescent="0.2">
      <c r="A179" s="52">
        <v>2310</v>
      </c>
      <c r="B179" s="53" t="s">
        <v>32</v>
      </c>
      <c r="C179" s="53" t="s">
        <v>217</v>
      </c>
      <c r="D179" s="54">
        <v>363.24099999999999</v>
      </c>
      <c r="E179" s="62">
        <v>816</v>
      </c>
      <c r="F179" s="54">
        <f t="shared" si="14"/>
        <v>361.20781809999994</v>
      </c>
      <c r="G179" s="66">
        <v>25569.041962604166</v>
      </c>
      <c r="H179" s="66">
        <v>25569.041962604166</v>
      </c>
      <c r="I179" s="62">
        <v>29</v>
      </c>
      <c r="J179" s="53"/>
      <c r="K179" s="57"/>
      <c r="L179" s="52">
        <v>37579</v>
      </c>
      <c r="M179" s="58">
        <f t="shared" si="15"/>
        <v>193.85303711832839</v>
      </c>
      <c r="N179" s="58">
        <v>5575.01</v>
      </c>
      <c r="O179" s="60">
        <f t="shared" si="16"/>
        <v>6.7406157119000678</v>
      </c>
      <c r="P179" s="60">
        <f t="shared" si="17"/>
        <v>3.4771782852107601E-2</v>
      </c>
      <c r="Q179" s="63"/>
    </row>
    <row r="180" spans="1:17" ht="17.25" customHeight="1" x14ac:dyDescent="0.2">
      <c r="A180" s="52">
        <v>2311</v>
      </c>
      <c r="B180" s="53" t="s">
        <v>32</v>
      </c>
      <c r="C180" s="53" t="s">
        <v>217</v>
      </c>
      <c r="D180" s="54">
        <v>365.24099999999999</v>
      </c>
      <c r="E180" s="62">
        <v>816</v>
      </c>
      <c r="F180" s="54">
        <f t="shared" si="14"/>
        <v>363.19441809999989</v>
      </c>
      <c r="G180" s="66">
        <v>25569.041962604166</v>
      </c>
      <c r="H180" s="66">
        <v>25569.041962604166</v>
      </c>
      <c r="I180" s="62">
        <v>29</v>
      </c>
      <c r="J180" s="53"/>
      <c r="K180" s="57"/>
      <c r="L180" s="52">
        <v>10546</v>
      </c>
      <c r="M180" s="58">
        <f t="shared" si="15"/>
        <v>102.69371937952194</v>
      </c>
      <c r="N180" s="58">
        <v>1950.25</v>
      </c>
      <c r="O180" s="60">
        <f t="shared" si="16"/>
        <v>5.407511857454173</v>
      </c>
      <c r="P180" s="60">
        <f t="shared" si="17"/>
        <v>5.2656694977321852E-2</v>
      </c>
      <c r="Q180" s="63"/>
    </row>
    <row r="181" spans="1:17" ht="17.25" customHeight="1" x14ac:dyDescent="0.2">
      <c r="A181" s="52">
        <v>2312</v>
      </c>
      <c r="B181" s="53" t="s">
        <v>157</v>
      </c>
      <c r="C181" s="53" t="s">
        <v>217</v>
      </c>
      <c r="D181" s="54">
        <v>299.947</v>
      </c>
      <c r="E181" s="62">
        <v>2779</v>
      </c>
      <c r="F181" s="54">
        <f t="shared" si="14"/>
        <v>300.28773579999995</v>
      </c>
      <c r="G181" s="66">
        <v>25569.041962604166</v>
      </c>
      <c r="H181" s="66">
        <v>25569.041962604166</v>
      </c>
      <c r="I181" s="55" t="s">
        <v>328</v>
      </c>
      <c r="J181" s="53"/>
      <c r="K181" s="57"/>
      <c r="L181" s="52">
        <v>10034052</v>
      </c>
      <c r="M181" s="58">
        <f t="shared" si="15"/>
        <v>3167.6571784206699</v>
      </c>
      <c r="N181" s="58">
        <v>18234394.780000001</v>
      </c>
      <c r="O181" s="60">
        <f t="shared" si="16"/>
        <v>0.55028160358827105</v>
      </c>
      <c r="P181" s="60">
        <f t="shared" si="17"/>
        <v>1.7371879991844017E-4</v>
      </c>
      <c r="Q181" s="63"/>
    </row>
    <row r="182" spans="1:17" ht="17.25" customHeight="1" x14ac:dyDescent="0.2">
      <c r="A182" s="52">
        <v>2313</v>
      </c>
      <c r="B182" s="53" t="s">
        <v>33</v>
      </c>
      <c r="C182" s="53" t="s">
        <v>217</v>
      </c>
      <c r="D182" s="54">
        <v>332.19900000000001</v>
      </c>
      <c r="E182" s="62">
        <v>819</v>
      </c>
      <c r="F182" s="54">
        <f t="shared" si="14"/>
        <v>330.37677939999998</v>
      </c>
      <c r="G182" s="66">
        <v>25569.041962604166</v>
      </c>
      <c r="H182" s="66">
        <v>25569.041962604166</v>
      </c>
      <c r="I182" s="62">
        <v>23</v>
      </c>
      <c r="J182" s="53"/>
      <c r="K182" s="57"/>
      <c r="L182" s="52">
        <v>3548</v>
      </c>
      <c r="M182" s="58">
        <f t="shared" si="15"/>
        <v>59.565090447341724</v>
      </c>
      <c r="N182" s="58">
        <v>3630.59</v>
      </c>
      <c r="O182" s="60">
        <f t="shared" si="16"/>
        <v>0.97725163127756087</v>
      </c>
      <c r="P182" s="60">
        <f t="shared" si="17"/>
        <v>1.6406449212756528E-2</v>
      </c>
      <c r="Q182" s="63"/>
    </row>
    <row r="183" spans="1:17" ht="17.25" customHeight="1" x14ac:dyDescent="0.2">
      <c r="A183" s="52">
        <v>2314</v>
      </c>
      <c r="B183" s="53" t="s">
        <v>33</v>
      </c>
      <c r="C183" s="53" t="s">
        <v>217</v>
      </c>
      <c r="D183" s="54">
        <v>334.19900000000001</v>
      </c>
      <c r="E183" s="62">
        <v>819</v>
      </c>
      <c r="F183" s="54">
        <f t="shared" si="14"/>
        <v>332.36337939999999</v>
      </c>
      <c r="G183" s="66">
        <v>25569.041962604166</v>
      </c>
      <c r="H183" s="66">
        <v>25569.041962604166</v>
      </c>
      <c r="I183" s="62">
        <v>24</v>
      </c>
      <c r="J183" s="53"/>
      <c r="K183" s="57"/>
      <c r="L183" s="52">
        <v>5607</v>
      </c>
      <c r="M183" s="58">
        <f t="shared" si="15"/>
        <v>74.879903846092105</v>
      </c>
      <c r="N183" s="58">
        <v>4049.75</v>
      </c>
      <c r="O183" s="60">
        <f t="shared" si="16"/>
        <v>1.3845299092536576</v>
      </c>
      <c r="P183" s="60">
        <f t="shared" si="17"/>
        <v>1.8490006505609509E-2</v>
      </c>
      <c r="Q183" s="63"/>
    </row>
    <row r="184" spans="1:17" ht="17.25" customHeight="1" x14ac:dyDescent="0.2">
      <c r="A184" s="52">
        <v>2315</v>
      </c>
      <c r="B184" s="53" t="s">
        <v>33</v>
      </c>
      <c r="C184" s="53" t="s">
        <v>217</v>
      </c>
      <c r="D184" s="54">
        <v>336.19900000000001</v>
      </c>
      <c r="E184" s="62">
        <v>819</v>
      </c>
      <c r="F184" s="54">
        <f t="shared" si="14"/>
        <v>334.3499794</v>
      </c>
      <c r="G184" s="66">
        <v>25569.041962604166</v>
      </c>
      <c r="H184" s="66">
        <v>25569.041962604166</v>
      </c>
      <c r="I184" s="62">
        <v>26</v>
      </c>
      <c r="J184" s="53"/>
      <c r="K184" s="57"/>
      <c r="L184" s="52">
        <v>10476</v>
      </c>
      <c r="M184" s="58">
        <f t="shared" si="15"/>
        <v>102.35233265539189</v>
      </c>
      <c r="N184" s="58">
        <v>4893.51</v>
      </c>
      <c r="O184" s="60">
        <f t="shared" si="16"/>
        <v>2.1407946443350476</v>
      </c>
      <c r="P184" s="60">
        <f t="shared" si="17"/>
        <v>2.0915934095443126E-2</v>
      </c>
      <c r="Q184" s="63"/>
    </row>
    <row r="185" spans="1:17" ht="17.25" customHeight="1" x14ac:dyDescent="0.2">
      <c r="A185" s="52">
        <v>2316</v>
      </c>
      <c r="B185" s="53" t="s">
        <v>33</v>
      </c>
      <c r="C185" s="53" t="s">
        <v>217</v>
      </c>
      <c r="D185" s="54">
        <v>338.19900000000001</v>
      </c>
      <c r="E185" s="62">
        <v>819</v>
      </c>
      <c r="F185" s="54">
        <f t="shared" si="14"/>
        <v>336.33657940000001</v>
      </c>
      <c r="G185" s="66">
        <v>25569.041962604166</v>
      </c>
      <c r="H185" s="66">
        <v>25569.041962604166</v>
      </c>
      <c r="I185" s="62">
        <v>29</v>
      </c>
      <c r="J185" s="53"/>
      <c r="K185" s="57"/>
      <c r="L185" s="52">
        <v>26257</v>
      </c>
      <c r="M185" s="58">
        <f t="shared" si="15"/>
        <v>162.0401184892186</v>
      </c>
      <c r="N185" s="58">
        <v>7890.05</v>
      </c>
      <c r="O185" s="60">
        <f t="shared" si="16"/>
        <v>3.327862307589939</v>
      </c>
      <c r="P185" s="60">
        <f t="shared" si="17"/>
        <v>2.0537273970281378E-2</v>
      </c>
      <c r="Q185" s="63" t="s">
        <v>329</v>
      </c>
    </row>
    <row r="186" spans="1:17" ht="17.25" customHeight="1" x14ac:dyDescent="0.2">
      <c r="A186" s="52">
        <v>2317</v>
      </c>
      <c r="B186" s="53" t="s">
        <v>33</v>
      </c>
      <c r="C186" s="53" t="s">
        <v>217</v>
      </c>
      <c r="D186" s="54">
        <v>338.19900000000001</v>
      </c>
      <c r="E186" s="62">
        <v>819</v>
      </c>
      <c r="F186" s="54">
        <f t="shared" si="14"/>
        <v>336.33657940000001</v>
      </c>
      <c r="G186" s="66">
        <v>25569.041962604166</v>
      </c>
      <c r="H186" s="66">
        <v>25569.041962604166</v>
      </c>
      <c r="I186" s="62">
        <v>31</v>
      </c>
      <c r="J186" s="53"/>
      <c r="K186" s="57"/>
      <c r="L186" s="52">
        <v>16437</v>
      </c>
      <c r="M186" s="58">
        <f t="shared" si="15"/>
        <v>128.20686409081225</v>
      </c>
      <c r="N186" s="58">
        <v>4586.12</v>
      </c>
      <c r="O186" s="60">
        <f t="shared" si="16"/>
        <v>3.5840754275945681</v>
      </c>
      <c r="P186" s="60">
        <f t="shared" si="17"/>
        <v>2.7955409821551168E-2</v>
      </c>
      <c r="Q186" s="63" t="s">
        <v>330</v>
      </c>
    </row>
    <row r="187" spans="1:17" ht="17.25" customHeight="1" x14ac:dyDescent="0.2">
      <c r="A187" s="52">
        <v>2318</v>
      </c>
      <c r="B187" s="53" t="s">
        <v>33</v>
      </c>
      <c r="C187" s="53" t="s">
        <v>217</v>
      </c>
      <c r="D187" s="54">
        <v>340.19900000000001</v>
      </c>
      <c r="E187" s="62">
        <v>819</v>
      </c>
      <c r="F187" s="54">
        <f t="shared" si="14"/>
        <v>338.32317940000001</v>
      </c>
      <c r="G187" s="66">
        <v>25569.041962604166</v>
      </c>
      <c r="H187" s="66">
        <v>25569.041962604166</v>
      </c>
      <c r="I187" s="62">
        <v>32</v>
      </c>
      <c r="J187" s="53"/>
      <c r="K187" s="57"/>
      <c r="L187" s="52">
        <v>35925</v>
      </c>
      <c r="M187" s="58">
        <f t="shared" si="15"/>
        <v>189.53891421024866</v>
      </c>
      <c r="N187" s="58">
        <v>4522.38</v>
      </c>
      <c r="O187" s="60">
        <f t="shared" si="16"/>
        <v>7.9438260385018502</v>
      </c>
      <c r="P187" s="60">
        <f t="shared" si="17"/>
        <v>4.1911319749832754E-2</v>
      </c>
      <c r="Q187" s="63"/>
    </row>
    <row r="188" spans="1:17" ht="17.25" customHeight="1" x14ac:dyDescent="0.2">
      <c r="A188" s="52">
        <v>2319</v>
      </c>
      <c r="B188" s="53" t="s">
        <v>33</v>
      </c>
      <c r="C188" s="53" t="s">
        <v>217</v>
      </c>
      <c r="D188" s="54">
        <v>341.19900000000001</v>
      </c>
      <c r="E188" s="62">
        <v>819</v>
      </c>
      <c r="F188" s="54">
        <f t="shared" si="14"/>
        <v>339.31647939999999</v>
      </c>
      <c r="G188" s="66">
        <v>25569.041962604166</v>
      </c>
      <c r="H188" s="66">
        <v>25569.041962604166</v>
      </c>
      <c r="I188" s="62">
        <v>32</v>
      </c>
      <c r="J188" s="53"/>
      <c r="K188" s="57"/>
      <c r="L188" s="52">
        <v>55012</v>
      </c>
      <c r="M188" s="58">
        <f t="shared" si="15"/>
        <v>234.54637068179076</v>
      </c>
      <c r="N188" s="58">
        <v>4015.56</v>
      </c>
      <c r="O188" s="60">
        <f t="shared" si="16"/>
        <v>13.699708135353475</v>
      </c>
      <c r="P188" s="60">
        <f t="shared" si="17"/>
        <v>5.8409380181541494E-2</v>
      </c>
      <c r="Q188" s="63"/>
    </row>
    <row r="189" spans="1:17" ht="17.25" customHeight="1" x14ac:dyDescent="0.2">
      <c r="A189" s="52">
        <v>2320</v>
      </c>
      <c r="B189" s="53" t="s">
        <v>33</v>
      </c>
      <c r="C189" s="53" t="s">
        <v>217</v>
      </c>
      <c r="D189" s="54">
        <v>342.19900000000001</v>
      </c>
      <c r="E189" s="62">
        <v>819</v>
      </c>
      <c r="F189" s="54">
        <f t="shared" si="14"/>
        <v>340.30977939999997</v>
      </c>
      <c r="G189" s="66">
        <v>25569.041962604166</v>
      </c>
      <c r="H189" s="66">
        <v>25569.041962604166</v>
      </c>
      <c r="I189" s="62">
        <v>33</v>
      </c>
      <c r="J189" s="53"/>
      <c r="K189" s="57"/>
      <c r="L189" s="52">
        <v>66258</v>
      </c>
      <c r="M189" s="58">
        <f t="shared" si="15"/>
        <v>257.40629362935164</v>
      </c>
      <c r="N189" s="58">
        <v>2445.0500000000002</v>
      </c>
      <c r="O189" s="60">
        <f t="shared" si="16"/>
        <v>27.098832334717081</v>
      </c>
      <c r="P189" s="60">
        <f t="shared" si="17"/>
        <v>0.10527649480761196</v>
      </c>
      <c r="Q189" s="63"/>
    </row>
    <row r="190" spans="1:17" ht="17.25" customHeight="1" x14ac:dyDescent="0.2">
      <c r="A190" s="52">
        <v>2321</v>
      </c>
      <c r="B190" s="53" t="s">
        <v>33</v>
      </c>
      <c r="C190" s="53" t="s">
        <v>217</v>
      </c>
      <c r="D190" s="54">
        <v>343.19900000000001</v>
      </c>
      <c r="E190" s="62">
        <v>819</v>
      </c>
      <c r="F190" s="54">
        <f t="shared" si="14"/>
        <v>341.3030794</v>
      </c>
      <c r="G190" s="66">
        <v>25569.041962604166</v>
      </c>
      <c r="H190" s="66">
        <v>25569.041962604166</v>
      </c>
      <c r="I190" s="62">
        <v>33</v>
      </c>
      <c r="J190" s="53"/>
      <c r="K190" s="57"/>
      <c r="L190" s="52">
        <v>90007</v>
      </c>
      <c r="M190" s="58">
        <f t="shared" si="15"/>
        <v>300.01166643982361</v>
      </c>
      <c r="N190" s="62">
        <f>$I$190*65</f>
        <v>2145</v>
      </c>
      <c r="O190" s="60">
        <f t="shared" si="16"/>
        <v>41.961305361305364</v>
      </c>
      <c r="P190" s="60">
        <f t="shared" si="17"/>
        <v>0.13986557875982453</v>
      </c>
      <c r="Q190" s="63" t="s">
        <v>331</v>
      </c>
    </row>
    <row r="191" spans="1:17" ht="17.25" customHeight="1" x14ac:dyDescent="0.2">
      <c r="A191" s="52">
        <v>2322</v>
      </c>
      <c r="B191" s="53" t="s">
        <v>33</v>
      </c>
      <c r="C191" s="53" t="s">
        <v>217</v>
      </c>
      <c r="D191" s="54">
        <v>344.19900000000001</v>
      </c>
      <c r="E191" s="62">
        <v>819</v>
      </c>
      <c r="F191" s="54">
        <f t="shared" si="14"/>
        <v>342.29637939999998</v>
      </c>
      <c r="G191" s="66">
        <v>25569.041962604166</v>
      </c>
      <c r="H191" s="66">
        <v>25569.041962604166</v>
      </c>
      <c r="I191" s="62">
        <v>33</v>
      </c>
      <c r="J191" s="53"/>
      <c r="K191" s="57"/>
      <c r="L191" s="52">
        <v>169093</v>
      </c>
      <c r="M191" s="58">
        <f t="shared" si="15"/>
        <v>411.20919250425322</v>
      </c>
      <c r="N191" s="62">
        <f>$I$191*102</f>
        <v>3366</v>
      </c>
      <c r="O191" s="60">
        <f t="shared" si="16"/>
        <v>50.235591206179443</v>
      </c>
      <c r="P191" s="60">
        <f t="shared" si="17"/>
        <v>0.12216553550334321</v>
      </c>
      <c r="Q191" s="63" t="s">
        <v>331</v>
      </c>
    </row>
    <row r="192" spans="1:17" ht="17.25" customHeight="1" x14ac:dyDescent="0.2">
      <c r="A192" s="52">
        <v>2323</v>
      </c>
      <c r="B192" s="53" t="s">
        <v>33</v>
      </c>
      <c r="C192" s="53" t="s">
        <v>217</v>
      </c>
      <c r="D192" s="54">
        <v>345.19900000000001</v>
      </c>
      <c r="E192" s="62">
        <v>819</v>
      </c>
      <c r="F192" s="54">
        <f t="shared" si="14"/>
        <v>343.28967940000001</v>
      </c>
      <c r="G192" s="66">
        <v>25569.041962604166</v>
      </c>
      <c r="H192" s="66">
        <v>25569.041962604166</v>
      </c>
      <c r="I192" s="62">
        <v>33</v>
      </c>
      <c r="J192" s="53"/>
      <c r="K192" s="57"/>
      <c r="L192" s="52">
        <v>1002009</v>
      </c>
      <c r="M192" s="58">
        <f t="shared" si="15"/>
        <v>1001.00399599602</v>
      </c>
      <c r="N192" s="58">
        <v>15612.99</v>
      </c>
      <c r="O192" s="60">
        <f t="shared" si="16"/>
        <v>64.177905705441432</v>
      </c>
      <c r="P192" s="60">
        <f t="shared" si="17"/>
        <v>6.4113535972034827E-2</v>
      </c>
      <c r="Q192" s="63"/>
    </row>
    <row r="193" spans="1:17" ht="17.25" customHeight="1" x14ac:dyDescent="0.2">
      <c r="A193" s="52">
        <v>2324</v>
      </c>
      <c r="B193" s="53" t="s">
        <v>33</v>
      </c>
      <c r="C193" s="53" t="s">
        <v>217</v>
      </c>
      <c r="D193" s="54">
        <v>346.19900000000001</v>
      </c>
      <c r="E193" s="62">
        <v>819</v>
      </c>
      <c r="F193" s="54">
        <f t="shared" si="14"/>
        <v>344.28297939999999</v>
      </c>
      <c r="G193" s="69"/>
      <c r="H193" s="66">
        <v>25569.041962604166</v>
      </c>
      <c r="I193" s="62">
        <v>33</v>
      </c>
      <c r="J193" s="53"/>
      <c r="K193" s="57"/>
      <c r="L193" s="52">
        <v>160190</v>
      </c>
      <c r="M193" s="58">
        <f t="shared" si="15"/>
        <v>400.23742953402046</v>
      </c>
      <c r="N193" s="58">
        <v>2502.08</v>
      </c>
      <c r="O193" s="60">
        <f t="shared" si="16"/>
        <v>64.022733086072392</v>
      </c>
      <c r="P193" s="60">
        <f t="shared" si="17"/>
        <v>0.15996188352651414</v>
      </c>
      <c r="Q193" s="63"/>
    </row>
    <row r="194" spans="1:17" ht="17.25" customHeight="1" x14ac:dyDescent="0.2">
      <c r="A194" s="52">
        <v>2325</v>
      </c>
      <c r="B194" s="53" t="s">
        <v>33</v>
      </c>
      <c r="C194" s="53" t="s">
        <v>217</v>
      </c>
      <c r="D194" s="54">
        <v>347.19900000000001</v>
      </c>
      <c r="E194" s="62">
        <v>819</v>
      </c>
      <c r="F194" s="54">
        <f t="shared" si="14"/>
        <v>345.27627939999996</v>
      </c>
      <c r="G194" s="66">
        <v>25569.041962604166</v>
      </c>
      <c r="H194" s="66">
        <v>25569.041962604166</v>
      </c>
      <c r="I194" s="62">
        <v>33</v>
      </c>
      <c r="J194" s="53"/>
      <c r="K194" s="57"/>
      <c r="L194" s="52">
        <v>374122</v>
      </c>
      <c r="M194" s="58">
        <f t="shared" si="15"/>
        <v>611.65513158968918</v>
      </c>
      <c r="N194" s="58">
        <v>6099.97</v>
      </c>
      <c r="O194" s="60">
        <f t="shared" si="16"/>
        <v>61.331777041526429</v>
      </c>
      <c r="P194" s="60">
        <f t="shared" si="17"/>
        <v>0.10027182618761882</v>
      </c>
      <c r="Q194" s="63"/>
    </row>
    <row r="195" spans="1:17" ht="17.25" customHeight="1" x14ac:dyDescent="0.2">
      <c r="A195" s="52">
        <v>2326</v>
      </c>
      <c r="B195" s="53" t="s">
        <v>33</v>
      </c>
      <c r="C195" s="53" t="s">
        <v>217</v>
      </c>
      <c r="D195" s="54">
        <v>348.19900000000001</v>
      </c>
      <c r="E195" s="62">
        <v>819</v>
      </c>
      <c r="F195" s="54">
        <f t="shared" si="14"/>
        <v>346.2695794</v>
      </c>
      <c r="G195" s="66">
        <v>25569.041962604166</v>
      </c>
      <c r="H195" s="66">
        <v>25569.041962604166</v>
      </c>
      <c r="I195" s="62">
        <v>32</v>
      </c>
      <c r="J195" s="53"/>
      <c r="K195" s="57"/>
      <c r="L195" s="52">
        <v>127062</v>
      </c>
      <c r="M195" s="58">
        <f t="shared" si="15"/>
        <v>356.45757110769858</v>
      </c>
      <c r="N195" s="58">
        <v>2285.7399999999998</v>
      </c>
      <c r="O195" s="60">
        <f t="shared" si="16"/>
        <v>55.588999623754241</v>
      </c>
      <c r="P195" s="60">
        <f t="shared" si="17"/>
        <v>0.15594843293974758</v>
      </c>
      <c r="Q195" s="63"/>
    </row>
    <row r="196" spans="1:17" ht="17.25" customHeight="1" x14ac:dyDescent="0.2">
      <c r="A196" s="52">
        <v>2327</v>
      </c>
      <c r="B196" s="53" t="s">
        <v>33</v>
      </c>
      <c r="C196" s="53" t="s">
        <v>217</v>
      </c>
      <c r="D196" s="54">
        <v>349.19900000000001</v>
      </c>
      <c r="E196" s="62">
        <v>819</v>
      </c>
      <c r="F196" s="54">
        <f t="shared" si="14"/>
        <v>347.26287939999997</v>
      </c>
      <c r="G196" s="66">
        <v>25569.041962604166</v>
      </c>
      <c r="H196" s="66">
        <v>25569.041962604166</v>
      </c>
      <c r="I196" s="62">
        <v>32</v>
      </c>
      <c r="J196" s="53"/>
      <c r="K196" s="57"/>
      <c r="L196" s="52">
        <v>142189</v>
      </c>
      <c r="M196" s="58">
        <f t="shared" si="15"/>
        <v>377.07956720034565</v>
      </c>
      <c r="N196" s="58">
        <v>2878.16</v>
      </c>
      <c r="O196" s="60">
        <f t="shared" si="16"/>
        <v>49.402743419406846</v>
      </c>
      <c r="P196" s="60">
        <f t="shared" si="17"/>
        <v>0.13101410873625707</v>
      </c>
      <c r="Q196" s="63"/>
    </row>
    <row r="197" spans="1:17" ht="17.25" customHeight="1" x14ac:dyDescent="0.2">
      <c r="A197" s="52">
        <v>2328</v>
      </c>
      <c r="B197" s="53" t="s">
        <v>33</v>
      </c>
      <c r="C197" s="53" t="s">
        <v>217</v>
      </c>
      <c r="D197" s="54">
        <v>350.19900000000001</v>
      </c>
      <c r="E197" s="62">
        <v>819</v>
      </c>
      <c r="F197" s="54">
        <f t="shared" si="14"/>
        <v>348.25617940000001</v>
      </c>
      <c r="G197" s="66">
        <v>25569.041962604166</v>
      </c>
      <c r="H197" s="66">
        <v>25569.041962604166</v>
      </c>
      <c r="I197" s="62">
        <v>32</v>
      </c>
      <c r="J197" s="53"/>
      <c r="K197" s="57"/>
      <c r="L197" s="52">
        <v>114592</v>
      </c>
      <c r="M197" s="58">
        <f t="shared" si="15"/>
        <v>338.51440146617102</v>
      </c>
      <c r="N197" s="58">
        <v>2662.24</v>
      </c>
      <c r="O197" s="60">
        <f t="shared" si="16"/>
        <v>43.043452130536693</v>
      </c>
      <c r="P197" s="60">
        <f t="shared" si="17"/>
        <v>0.1271539761502235</v>
      </c>
      <c r="Q197" s="63"/>
    </row>
    <row r="198" spans="1:17" ht="17.25" customHeight="1" x14ac:dyDescent="0.2">
      <c r="A198" s="52">
        <v>2329</v>
      </c>
      <c r="B198" s="53" t="s">
        <v>33</v>
      </c>
      <c r="C198" s="53" t="s">
        <v>217</v>
      </c>
      <c r="D198" s="54">
        <v>351.19900000000001</v>
      </c>
      <c r="E198" s="62">
        <v>819</v>
      </c>
      <c r="F198" s="54">
        <f t="shared" si="14"/>
        <v>349.24947939999998</v>
      </c>
      <c r="G198" s="66">
        <v>25569.041962604166</v>
      </c>
      <c r="H198" s="66">
        <v>25569.041962604166</v>
      </c>
      <c r="I198" s="62">
        <v>32</v>
      </c>
      <c r="J198" s="53"/>
      <c r="K198" s="57"/>
      <c r="L198" s="52">
        <v>81404</v>
      </c>
      <c r="M198" s="58">
        <f t="shared" si="15"/>
        <v>285.31386226399866</v>
      </c>
      <c r="N198" s="58">
        <v>2253.1799999999998</v>
      </c>
      <c r="O198" s="60">
        <f t="shared" si="16"/>
        <v>36.128493950771798</v>
      </c>
      <c r="P198" s="60">
        <f t="shared" si="17"/>
        <v>0.12662719457122765</v>
      </c>
      <c r="Q198" s="63"/>
    </row>
    <row r="199" spans="1:17" ht="17.25" customHeight="1" x14ac:dyDescent="0.2">
      <c r="A199" s="52">
        <v>2330</v>
      </c>
      <c r="B199" s="53" t="s">
        <v>33</v>
      </c>
      <c r="C199" s="53" t="s">
        <v>217</v>
      </c>
      <c r="D199" s="54">
        <v>352.19900000000001</v>
      </c>
      <c r="E199" s="62">
        <v>819</v>
      </c>
      <c r="F199" s="54">
        <f t="shared" si="14"/>
        <v>350.24277940000002</v>
      </c>
      <c r="G199" s="66">
        <v>25569.041962604166</v>
      </c>
      <c r="H199" s="66">
        <v>25569.041962604166</v>
      </c>
      <c r="I199" s="62">
        <v>32</v>
      </c>
      <c r="J199" s="53"/>
      <c r="K199" s="57"/>
      <c r="L199" s="52">
        <v>144889</v>
      </c>
      <c r="M199" s="58">
        <f t="shared" si="15"/>
        <v>380.64287724847816</v>
      </c>
      <c r="N199" s="58">
        <v>4792.04</v>
      </c>
      <c r="O199" s="60">
        <f t="shared" si="16"/>
        <v>30.235348619794493</v>
      </c>
      <c r="P199" s="60">
        <f t="shared" si="17"/>
        <v>7.9432324698558057E-2</v>
      </c>
      <c r="Q199" s="63"/>
    </row>
    <row r="200" spans="1:17" ht="17.25" customHeight="1" x14ac:dyDescent="0.2">
      <c r="A200" s="52">
        <v>2331</v>
      </c>
      <c r="B200" s="53" t="s">
        <v>33</v>
      </c>
      <c r="C200" s="53" t="s">
        <v>217</v>
      </c>
      <c r="D200" s="54">
        <v>353.19900000000001</v>
      </c>
      <c r="E200" s="62">
        <v>819</v>
      </c>
      <c r="F200" s="54">
        <f t="shared" si="14"/>
        <v>351.23607939999999</v>
      </c>
      <c r="G200" s="66">
        <v>25569.041962604166</v>
      </c>
      <c r="H200" s="66">
        <v>25569.041962604166</v>
      </c>
      <c r="I200" s="62">
        <v>32</v>
      </c>
      <c r="J200" s="53"/>
      <c r="K200" s="57"/>
      <c r="L200" s="52">
        <v>105462</v>
      </c>
      <c r="M200" s="58">
        <f t="shared" si="15"/>
        <v>324.7491339480369</v>
      </c>
      <c r="N200" s="58">
        <v>4163.63</v>
      </c>
      <c r="O200" s="60">
        <f t="shared" si="16"/>
        <v>25.329340023008768</v>
      </c>
      <c r="P200" s="60">
        <f t="shared" si="17"/>
        <v>7.7996636095915561E-2</v>
      </c>
      <c r="Q200" s="63"/>
    </row>
    <row r="201" spans="1:17" ht="17.25" customHeight="1" x14ac:dyDescent="0.2">
      <c r="A201" s="52">
        <v>2332</v>
      </c>
      <c r="B201" s="53" t="s">
        <v>33</v>
      </c>
      <c r="C201" s="53" t="s">
        <v>217</v>
      </c>
      <c r="D201" s="54">
        <v>354.19900000000001</v>
      </c>
      <c r="E201" s="62">
        <v>819</v>
      </c>
      <c r="F201" s="54">
        <f t="shared" si="14"/>
        <v>352.22937939999997</v>
      </c>
      <c r="G201" s="66">
        <v>25569.041962604166</v>
      </c>
      <c r="H201" s="66">
        <v>25569.041962604166</v>
      </c>
      <c r="I201" s="62">
        <v>32</v>
      </c>
      <c r="J201" s="53"/>
      <c r="K201" s="57"/>
      <c r="L201" s="52">
        <v>61537</v>
      </c>
      <c r="M201" s="58">
        <f t="shared" si="15"/>
        <v>248.06652333597938</v>
      </c>
      <c r="N201" s="58">
        <v>2908.77</v>
      </c>
      <c r="O201" s="60">
        <f t="shared" si="16"/>
        <v>21.155677485672637</v>
      </c>
      <c r="P201" s="60">
        <f t="shared" si="17"/>
        <v>8.5282275097714633E-2</v>
      </c>
      <c r="Q201" s="63"/>
    </row>
    <row r="202" spans="1:17" ht="17.25" customHeight="1" x14ac:dyDescent="0.2">
      <c r="A202" s="52">
        <v>2333</v>
      </c>
      <c r="B202" s="53" t="s">
        <v>33</v>
      </c>
      <c r="C202" s="53" t="s">
        <v>217</v>
      </c>
      <c r="D202" s="54">
        <v>356.19900000000001</v>
      </c>
      <c r="E202" s="62">
        <v>819</v>
      </c>
      <c r="F202" s="54">
        <f t="shared" si="14"/>
        <v>354.21597939999998</v>
      </c>
      <c r="G202" s="66">
        <v>25569.041962604166</v>
      </c>
      <c r="H202" s="66">
        <v>25569.041962604166</v>
      </c>
      <c r="I202" s="62">
        <v>32</v>
      </c>
      <c r="J202" s="53"/>
      <c r="K202" s="57"/>
      <c r="L202" s="52"/>
      <c r="M202" s="58">
        <f t="shared" si="15"/>
        <v>0</v>
      </c>
      <c r="N202" s="59"/>
      <c r="O202" s="71" t="e">
        <f t="shared" si="16"/>
        <v>#DIV/0!</v>
      </c>
      <c r="P202" s="60" t="e">
        <f t="shared" si="17"/>
        <v>#DIV/0!</v>
      </c>
      <c r="Q202" s="63" t="s">
        <v>332</v>
      </c>
    </row>
    <row r="203" spans="1:17" ht="17.25" customHeight="1" x14ac:dyDescent="0.2">
      <c r="A203" s="52">
        <v>2334</v>
      </c>
      <c r="B203" s="53" t="s">
        <v>33</v>
      </c>
      <c r="C203" s="53" t="s">
        <v>217</v>
      </c>
      <c r="D203" s="54">
        <v>356.19900000000001</v>
      </c>
      <c r="E203" s="62">
        <v>819</v>
      </c>
      <c r="F203" s="54">
        <f t="shared" si="14"/>
        <v>354.21597939999998</v>
      </c>
      <c r="G203" s="66">
        <v>25569.041962604166</v>
      </c>
      <c r="H203" s="66">
        <v>25569.041962604166</v>
      </c>
      <c r="I203" s="62">
        <v>32</v>
      </c>
      <c r="J203" s="53"/>
      <c r="K203" s="57"/>
      <c r="L203" s="52">
        <v>68042</v>
      </c>
      <c r="M203" s="58">
        <f t="shared" si="15"/>
        <v>260.84861510078986</v>
      </c>
      <c r="N203" s="58">
        <v>4517.87</v>
      </c>
      <c r="O203" s="60">
        <f t="shared" si="16"/>
        <v>15.060636981586455</v>
      </c>
      <c r="P203" s="60">
        <f t="shared" si="17"/>
        <v>5.7737078557105422E-2</v>
      </c>
      <c r="Q203" s="63"/>
    </row>
    <row r="204" spans="1:17" ht="17.25" customHeight="1" x14ac:dyDescent="0.2">
      <c r="A204" s="52">
        <v>2335</v>
      </c>
      <c r="B204" s="53" t="s">
        <v>33</v>
      </c>
      <c r="C204" s="53" t="s">
        <v>217</v>
      </c>
      <c r="D204" s="54">
        <v>358.19900000000001</v>
      </c>
      <c r="E204" s="62">
        <v>819</v>
      </c>
      <c r="F204" s="54">
        <f t="shared" ref="F204:F267" si="18">0.9933*(D204 + E204/1000)-0.41</f>
        <v>356.20257939999999</v>
      </c>
      <c r="G204" s="66">
        <v>25569.041962604166</v>
      </c>
      <c r="H204" s="66">
        <v>25569.041962604166</v>
      </c>
      <c r="I204" s="62">
        <v>31</v>
      </c>
      <c r="J204" s="53"/>
      <c r="K204" s="57"/>
      <c r="L204" s="52">
        <v>39615</v>
      </c>
      <c r="M204" s="58">
        <f t="shared" si="15"/>
        <v>199.03517277104567</v>
      </c>
      <c r="N204" s="58">
        <v>3542.86</v>
      </c>
      <c r="O204" s="60">
        <f t="shared" si="16"/>
        <v>11.181644208351445</v>
      </c>
      <c r="P204" s="60">
        <f t="shared" si="17"/>
        <v>5.6179237331152133E-2</v>
      </c>
      <c r="Q204" s="63"/>
    </row>
    <row r="205" spans="1:17" ht="17.25" customHeight="1" x14ac:dyDescent="0.2">
      <c r="A205" s="52">
        <v>2336</v>
      </c>
      <c r="B205" s="53" t="s">
        <v>33</v>
      </c>
      <c r="C205" s="53" t="s">
        <v>217</v>
      </c>
      <c r="D205" s="54">
        <v>360.19900000000001</v>
      </c>
      <c r="E205" s="62">
        <v>819</v>
      </c>
      <c r="F205" s="54">
        <f t="shared" si="18"/>
        <v>358.1891794</v>
      </c>
      <c r="G205" s="66">
        <v>25569.041962604166</v>
      </c>
      <c r="H205" s="66">
        <v>25569.041962604166</v>
      </c>
      <c r="I205" s="62">
        <v>30</v>
      </c>
      <c r="J205" s="53"/>
      <c r="K205" s="57"/>
      <c r="L205" s="52">
        <v>88201</v>
      </c>
      <c r="M205" s="58">
        <f t="shared" ref="M205:M268" si="19">SQRT(L205)</f>
        <v>296.98653168115214</v>
      </c>
      <c r="N205" s="58">
        <v>10901.32</v>
      </c>
      <c r="O205" s="60">
        <f t="shared" ref="O205:O268" si="20">L205/N205</f>
        <v>8.0908550524156713</v>
      </c>
      <c r="P205" s="60">
        <f t="shared" ref="P205:P268" si="21">M205/N205</f>
        <v>2.7243171623358653E-2</v>
      </c>
      <c r="Q205" s="63"/>
    </row>
    <row r="206" spans="1:17" ht="17.25" customHeight="1" x14ac:dyDescent="0.2">
      <c r="A206" s="52">
        <v>2337</v>
      </c>
      <c r="B206" s="53" t="s">
        <v>33</v>
      </c>
      <c r="C206" s="53" t="s">
        <v>217</v>
      </c>
      <c r="D206" s="54">
        <v>362.19900000000001</v>
      </c>
      <c r="E206" s="62">
        <v>819</v>
      </c>
      <c r="F206" s="54">
        <f t="shared" si="18"/>
        <v>360.17577940000001</v>
      </c>
      <c r="G206" s="66">
        <v>25569.041962604166</v>
      </c>
      <c r="H206" s="66">
        <v>25569.041962604166</v>
      </c>
      <c r="I206" s="62">
        <v>31</v>
      </c>
      <c r="J206" s="53"/>
      <c r="K206" s="57"/>
      <c r="L206" s="52">
        <v>116104</v>
      </c>
      <c r="M206" s="58">
        <f t="shared" si="19"/>
        <v>340.7403703701691</v>
      </c>
      <c r="N206" s="58">
        <v>18622.400000000001</v>
      </c>
      <c r="O206" s="60">
        <f t="shared" si="20"/>
        <v>6.2346421513875754</v>
      </c>
      <c r="P206" s="60">
        <f t="shared" si="21"/>
        <v>1.8297339245756137E-2</v>
      </c>
      <c r="Q206" s="63"/>
    </row>
    <row r="207" spans="1:17" ht="17.25" customHeight="1" x14ac:dyDescent="0.2">
      <c r="A207" s="52">
        <v>2338</v>
      </c>
      <c r="B207" s="53" t="s">
        <v>33</v>
      </c>
      <c r="C207" s="53" t="s">
        <v>217</v>
      </c>
      <c r="D207" s="54">
        <v>364.19900000000001</v>
      </c>
      <c r="E207" s="62">
        <v>819</v>
      </c>
      <c r="F207" s="54">
        <f t="shared" si="18"/>
        <v>362.16237939999996</v>
      </c>
      <c r="G207" s="66">
        <v>25569.041962604166</v>
      </c>
      <c r="H207" s="66">
        <v>25569.041962604166</v>
      </c>
      <c r="I207" s="62">
        <v>30</v>
      </c>
      <c r="J207" s="53"/>
      <c r="K207" s="57"/>
      <c r="L207" s="52">
        <v>34426</v>
      </c>
      <c r="M207" s="58">
        <f t="shared" si="19"/>
        <v>185.54244797350282</v>
      </c>
      <c r="N207" s="58">
        <v>7025.72</v>
      </c>
      <c r="O207" s="60">
        <f t="shared" si="20"/>
        <v>4.8999960146433388</v>
      </c>
      <c r="P207" s="60">
        <f t="shared" si="21"/>
        <v>2.6409029675748937E-2</v>
      </c>
      <c r="Q207" s="63"/>
    </row>
    <row r="208" spans="1:17" ht="17.25" customHeight="1" x14ac:dyDescent="0.2">
      <c r="A208" s="52">
        <v>2339</v>
      </c>
      <c r="B208" s="53" t="s">
        <v>157</v>
      </c>
      <c r="C208" s="53" t="s">
        <v>217</v>
      </c>
      <c r="D208" s="54">
        <v>370.69200000000001</v>
      </c>
      <c r="E208" s="62">
        <v>2487</v>
      </c>
      <c r="F208" s="54">
        <f t="shared" si="18"/>
        <v>370.26870070000001</v>
      </c>
      <c r="G208" s="66">
        <v>25569.041962604166</v>
      </c>
      <c r="H208" s="66">
        <v>25569.041962604166</v>
      </c>
      <c r="I208" s="55" t="s">
        <v>333</v>
      </c>
      <c r="J208" s="53"/>
      <c r="K208" s="57"/>
      <c r="L208" s="52"/>
      <c r="M208" s="58">
        <f t="shared" si="19"/>
        <v>0</v>
      </c>
      <c r="N208" s="59"/>
      <c r="O208" s="71" t="e">
        <f t="shared" si="20"/>
        <v>#DIV/0!</v>
      </c>
      <c r="P208" s="60" t="e">
        <f t="shared" si="21"/>
        <v>#DIV/0!</v>
      </c>
      <c r="Q208" s="63"/>
    </row>
    <row r="209" spans="1:17" ht="17.25" customHeight="1" x14ac:dyDescent="0.2">
      <c r="A209" s="52">
        <v>2340</v>
      </c>
      <c r="B209" s="53" t="s">
        <v>334</v>
      </c>
      <c r="C209" s="53" t="s">
        <v>217</v>
      </c>
      <c r="D209" s="54">
        <v>364.19900000000001</v>
      </c>
      <c r="E209" s="62">
        <v>820</v>
      </c>
      <c r="F209" s="54">
        <f t="shared" si="18"/>
        <v>362.16337269999997</v>
      </c>
      <c r="G209" s="66">
        <v>25569.041962604166</v>
      </c>
      <c r="H209" s="66">
        <v>25569.041962604166</v>
      </c>
      <c r="I209" s="62">
        <v>23</v>
      </c>
      <c r="J209" s="53"/>
      <c r="K209" s="57"/>
      <c r="L209" s="52">
        <v>30123</v>
      </c>
      <c r="M209" s="58">
        <f t="shared" si="19"/>
        <v>173.55978796944873</v>
      </c>
      <c r="N209" s="58">
        <v>6856.07</v>
      </c>
      <c r="O209" s="60">
        <f t="shared" si="20"/>
        <v>4.3936249192321553</v>
      </c>
      <c r="P209" s="60">
        <f t="shared" si="21"/>
        <v>2.5314763117857422E-2</v>
      </c>
      <c r="Q209" s="63"/>
    </row>
    <row r="210" spans="1:17" ht="17.25" customHeight="1" x14ac:dyDescent="0.2">
      <c r="A210" s="52">
        <v>2341</v>
      </c>
      <c r="B210" s="53" t="s">
        <v>334</v>
      </c>
      <c r="C210" s="53" t="s">
        <v>217</v>
      </c>
      <c r="D210" s="54">
        <v>362.19900000000001</v>
      </c>
      <c r="E210" s="62">
        <v>820</v>
      </c>
      <c r="F210" s="54">
        <f t="shared" si="18"/>
        <v>360.17677269999996</v>
      </c>
      <c r="G210" s="66">
        <v>25569.041962604166</v>
      </c>
      <c r="H210" s="66">
        <v>25569.041962604166</v>
      </c>
      <c r="I210" s="62">
        <v>24</v>
      </c>
      <c r="J210" s="53"/>
      <c r="K210" s="57"/>
      <c r="L210" s="52">
        <v>53835</v>
      </c>
      <c r="M210" s="58">
        <f t="shared" si="19"/>
        <v>232.02370568543208</v>
      </c>
      <c r="N210" s="58">
        <v>9472.8799999999992</v>
      </c>
      <c r="O210" s="60">
        <f t="shared" si="20"/>
        <v>5.6830657624713927</v>
      </c>
      <c r="P210" s="60">
        <f t="shared" si="21"/>
        <v>2.4493470379170018E-2</v>
      </c>
      <c r="Q210" s="63"/>
    </row>
    <row r="211" spans="1:17" ht="17.25" customHeight="1" x14ac:dyDescent="0.2">
      <c r="A211" s="52">
        <v>2342</v>
      </c>
      <c r="B211" s="53" t="s">
        <v>334</v>
      </c>
      <c r="C211" s="53" t="s">
        <v>217</v>
      </c>
      <c r="D211" s="54">
        <v>360.19900000000001</v>
      </c>
      <c r="E211" s="62">
        <v>820</v>
      </c>
      <c r="F211" s="54">
        <f t="shared" si="18"/>
        <v>358.19017269999995</v>
      </c>
      <c r="G211" s="66">
        <v>25569.041962604166</v>
      </c>
      <c r="H211" s="66">
        <v>25569.041962604166</v>
      </c>
      <c r="I211" s="62">
        <v>24</v>
      </c>
      <c r="J211" s="53"/>
      <c r="K211" s="57"/>
      <c r="L211" s="52">
        <v>25704</v>
      </c>
      <c r="M211" s="58">
        <f t="shared" si="19"/>
        <v>160.32467059064865</v>
      </c>
      <c r="N211" s="58">
        <v>3397.78</v>
      </c>
      <c r="O211" s="60">
        <f t="shared" si="20"/>
        <v>7.5649394604712485</v>
      </c>
      <c r="P211" s="60">
        <f t="shared" si="21"/>
        <v>4.7185123989972468E-2</v>
      </c>
      <c r="Q211" s="63"/>
    </row>
    <row r="212" spans="1:17" ht="17.25" customHeight="1" x14ac:dyDescent="0.2">
      <c r="A212" s="52">
        <v>2343</v>
      </c>
      <c r="B212" s="53" t="s">
        <v>334</v>
      </c>
      <c r="C212" s="53" t="s">
        <v>217</v>
      </c>
      <c r="D212" s="54">
        <v>358.19900000000001</v>
      </c>
      <c r="E212" s="62">
        <v>820</v>
      </c>
      <c r="F212" s="54">
        <f t="shared" si="18"/>
        <v>356.20357269999994</v>
      </c>
      <c r="G212" s="66">
        <v>25569.041962604166</v>
      </c>
      <c r="H212" s="66">
        <v>25569.041962604166</v>
      </c>
      <c r="I212" s="62">
        <v>24</v>
      </c>
      <c r="J212" s="53"/>
      <c r="K212" s="57"/>
      <c r="L212" s="52">
        <v>30943</v>
      </c>
      <c r="M212" s="58">
        <f t="shared" si="19"/>
        <v>175.90622501776338</v>
      </c>
      <c r="N212" s="58">
        <v>3044.32</v>
      </c>
      <c r="O212" s="60">
        <f t="shared" si="20"/>
        <v>10.164174593998002</v>
      </c>
      <c r="P212" s="60">
        <f t="shared" si="21"/>
        <v>5.7781778859569088E-2</v>
      </c>
      <c r="Q212" s="63"/>
    </row>
    <row r="213" spans="1:17" ht="17.25" customHeight="1" x14ac:dyDescent="0.2">
      <c r="A213" s="52">
        <v>2344</v>
      </c>
      <c r="B213" s="53" t="s">
        <v>334</v>
      </c>
      <c r="C213" s="53" t="s">
        <v>217</v>
      </c>
      <c r="D213" s="54">
        <v>356.19900000000001</v>
      </c>
      <c r="E213" s="62">
        <v>820</v>
      </c>
      <c r="F213" s="54">
        <f t="shared" si="18"/>
        <v>354.21697269999999</v>
      </c>
      <c r="G213" s="66">
        <v>25569.041962604166</v>
      </c>
      <c r="H213" s="66">
        <v>25569.041962604166</v>
      </c>
      <c r="I213" s="62">
        <v>25</v>
      </c>
      <c r="J213" s="53"/>
      <c r="K213" s="57"/>
      <c r="L213" s="52">
        <v>125529</v>
      </c>
      <c r="M213" s="58">
        <f t="shared" si="19"/>
        <v>354.30071972831217</v>
      </c>
      <c r="N213" s="58">
        <v>8861.15</v>
      </c>
      <c r="O213" s="60">
        <f t="shared" si="20"/>
        <v>14.166219960163184</v>
      </c>
      <c r="P213" s="60">
        <f t="shared" si="21"/>
        <v>3.9983604806183418E-2</v>
      </c>
      <c r="Q213" s="72"/>
    </row>
    <row r="214" spans="1:17" ht="17.25" customHeight="1" x14ac:dyDescent="0.2">
      <c r="A214" s="52">
        <v>2345</v>
      </c>
      <c r="B214" s="53" t="s">
        <v>334</v>
      </c>
      <c r="C214" s="53" t="s">
        <v>217</v>
      </c>
      <c r="D214" s="54">
        <v>354.19900000000001</v>
      </c>
      <c r="E214" s="62">
        <v>820</v>
      </c>
      <c r="F214" s="54">
        <f t="shared" si="18"/>
        <v>352.23037269999998</v>
      </c>
      <c r="G214" s="66">
        <v>25569.041962604166</v>
      </c>
      <c r="H214" s="66">
        <v>25569.041962604166</v>
      </c>
      <c r="I214" s="62">
        <v>24</v>
      </c>
      <c r="J214" s="53"/>
      <c r="K214" s="57"/>
      <c r="L214" s="52">
        <v>128101</v>
      </c>
      <c r="M214" s="58">
        <f t="shared" si="19"/>
        <v>357.91200035762984</v>
      </c>
      <c r="N214" s="58">
        <v>6311.97</v>
      </c>
      <c r="O214" s="60">
        <f t="shared" si="20"/>
        <v>20.29493169327484</v>
      </c>
      <c r="P214" s="60">
        <f t="shared" si="21"/>
        <v>5.6703691614128367E-2</v>
      </c>
      <c r="Q214" s="63"/>
    </row>
    <row r="215" spans="1:17" ht="17.25" customHeight="1" x14ac:dyDescent="0.2">
      <c r="A215" s="52">
        <v>2346</v>
      </c>
      <c r="B215" s="53" t="s">
        <v>334</v>
      </c>
      <c r="C215" s="53" t="s">
        <v>217</v>
      </c>
      <c r="D215" s="54">
        <v>353.19900000000001</v>
      </c>
      <c r="E215" s="62">
        <v>820</v>
      </c>
      <c r="F215" s="54">
        <f t="shared" si="18"/>
        <v>351.23707269999994</v>
      </c>
      <c r="G215" s="66">
        <v>25569.041962604166</v>
      </c>
      <c r="H215" s="66">
        <v>25569.041962604166</v>
      </c>
      <c r="I215" s="62">
        <v>24</v>
      </c>
      <c r="J215" s="53"/>
      <c r="K215" s="57"/>
      <c r="L215" s="52">
        <v>50759</v>
      </c>
      <c r="M215" s="58">
        <f t="shared" si="19"/>
        <v>225.29758099012071</v>
      </c>
      <c r="N215" s="58">
        <v>2111.27</v>
      </c>
      <c r="O215" s="60">
        <f t="shared" si="20"/>
        <v>24.041927370729468</v>
      </c>
      <c r="P215" s="60">
        <f t="shared" si="21"/>
        <v>0.10671187531207317</v>
      </c>
      <c r="Q215" s="63"/>
    </row>
    <row r="216" spans="1:17" ht="17.25" customHeight="1" x14ac:dyDescent="0.2">
      <c r="A216" s="52">
        <v>2347</v>
      </c>
      <c r="B216" s="53" t="s">
        <v>334</v>
      </c>
      <c r="C216" s="53" t="s">
        <v>217</v>
      </c>
      <c r="D216" s="54">
        <v>352.19900000000001</v>
      </c>
      <c r="E216" s="62">
        <v>820</v>
      </c>
      <c r="F216" s="54">
        <f t="shared" si="18"/>
        <v>350.24377269999997</v>
      </c>
      <c r="G216" s="66">
        <v>25569.041962604166</v>
      </c>
      <c r="H216" s="66">
        <v>25569.041962604166</v>
      </c>
      <c r="I216" s="62">
        <v>24</v>
      </c>
      <c r="J216" s="53"/>
      <c r="K216" s="57"/>
      <c r="L216" s="52">
        <v>210411</v>
      </c>
      <c r="M216" s="58">
        <f t="shared" si="19"/>
        <v>458.70578806027726</v>
      </c>
      <c r="N216" s="58">
        <v>7194.32</v>
      </c>
      <c r="O216" s="60">
        <f t="shared" si="20"/>
        <v>29.246822493300272</v>
      </c>
      <c r="P216" s="60">
        <f t="shared" si="21"/>
        <v>6.3759436341485676E-2</v>
      </c>
      <c r="Q216" s="63"/>
    </row>
    <row r="217" spans="1:17" ht="17.25" customHeight="1" x14ac:dyDescent="0.2">
      <c r="A217" s="52">
        <v>2348</v>
      </c>
      <c r="B217" s="53" t="s">
        <v>334</v>
      </c>
      <c r="C217" s="53" t="s">
        <v>217</v>
      </c>
      <c r="D217" s="54">
        <v>351.19900000000001</v>
      </c>
      <c r="E217" s="62">
        <v>820</v>
      </c>
      <c r="F217" s="54">
        <f t="shared" si="18"/>
        <v>349.25047269999999</v>
      </c>
      <c r="G217" s="66">
        <v>25569.041962604166</v>
      </c>
      <c r="H217" s="66">
        <v>25569.041962604166</v>
      </c>
      <c r="I217" s="62">
        <v>24</v>
      </c>
      <c r="J217" s="53"/>
      <c r="K217" s="57"/>
      <c r="L217" s="52">
        <v>58953</v>
      </c>
      <c r="M217" s="58">
        <f t="shared" si="19"/>
        <v>242.80238878561306</v>
      </c>
      <c r="N217" s="58">
        <v>1709.95</v>
      </c>
      <c r="O217" s="60">
        <f t="shared" si="20"/>
        <v>34.476446679727474</v>
      </c>
      <c r="P217" s="60">
        <f t="shared" si="21"/>
        <v>0.14199385291126235</v>
      </c>
      <c r="Q217" s="63"/>
    </row>
    <row r="218" spans="1:17" ht="17.25" customHeight="1" x14ac:dyDescent="0.2">
      <c r="A218" s="52">
        <v>2349</v>
      </c>
      <c r="B218" s="53" t="s">
        <v>334</v>
      </c>
      <c r="C218" s="53" t="s">
        <v>217</v>
      </c>
      <c r="D218" s="54">
        <v>350.19900000000001</v>
      </c>
      <c r="E218" s="62">
        <v>820</v>
      </c>
      <c r="F218" s="54">
        <f t="shared" si="18"/>
        <v>348.25717269999996</v>
      </c>
      <c r="G218" s="66">
        <v>25569.041962604166</v>
      </c>
      <c r="H218" s="66">
        <v>25569.041962604166</v>
      </c>
      <c r="I218" s="62">
        <v>24</v>
      </c>
      <c r="J218" s="53"/>
      <c r="K218" s="57"/>
      <c r="L218" s="52">
        <v>61874</v>
      </c>
      <c r="M218" s="58">
        <f t="shared" si="19"/>
        <v>248.74484919290288</v>
      </c>
      <c r="N218" s="58">
        <v>1509.21</v>
      </c>
      <c r="O218" s="60">
        <f t="shared" si="20"/>
        <v>40.997608020089977</v>
      </c>
      <c r="P218" s="60">
        <f t="shared" si="21"/>
        <v>0.16481791744879962</v>
      </c>
      <c r="Q218" s="63"/>
    </row>
    <row r="219" spans="1:17" ht="17.25" customHeight="1" x14ac:dyDescent="0.2">
      <c r="A219" s="52">
        <v>2350</v>
      </c>
      <c r="B219" s="53" t="s">
        <v>334</v>
      </c>
      <c r="C219" s="53" t="s">
        <v>217</v>
      </c>
      <c r="D219" s="54">
        <v>349.19900000000001</v>
      </c>
      <c r="E219" s="62">
        <v>820</v>
      </c>
      <c r="F219" s="54">
        <f t="shared" si="18"/>
        <v>347.26387269999998</v>
      </c>
      <c r="G219" s="66">
        <v>25569.041962604166</v>
      </c>
      <c r="H219" s="66">
        <v>25569.041962604166</v>
      </c>
      <c r="I219" s="62">
        <v>24</v>
      </c>
      <c r="J219" s="53"/>
      <c r="K219" s="57"/>
      <c r="L219" s="52">
        <v>207719</v>
      </c>
      <c r="M219" s="58">
        <f t="shared" si="19"/>
        <v>455.76199929349087</v>
      </c>
      <c r="N219" s="58">
        <v>4379.88</v>
      </c>
      <c r="O219" s="60">
        <f t="shared" si="20"/>
        <v>47.425728558773301</v>
      </c>
      <c r="P219" s="60">
        <f t="shared" si="21"/>
        <v>0.10405810188715008</v>
      </c>
      <c r="Q219" s="63"/>
    </row>
    <row r="220" spans="1:17" ht="17.25" customHeight="1" x14ac:dyDescent="0.2">
      <c r="A220" s="52">
        <v>2351</v>
      </c>
      <c r="B220" s="53" t="s">
        <v>334</v>
      </c>
      <c r="C220" s="53" t="s">
        <v>217</v>
      </c>
      <c r="D220" s="54">
        <v>348.19900000000001</v>
      </c>
      <c r="E220" s="62">
        <v>820</v>
      </c>
      <c r="F220" s="54">
        <f t="shared" si="18"/>
        <v>346.27057269999995</v>
      </c>
      <c r="G220" s="66">
        <v>25569.041962604166</v>
      </c>
      <c r="H220" s="66">
        <v>25569.041962604166</v>
      </c>
      <c r="I220" s="62">
        <v>24</v>
      </c>
      <c r="J220" s="53"/>
      <c r="K220" s="57"/>
      <c r="L220" s="52">
        <v>127641</v>
      </c>
      <c r="M220" s="58">
        <f t="shared" si="19"/>
        <v>357.2688063629401</v>
      </c>
      <c r="N220" s="58">
        <v>2364.16</v>
      </c>
      <c r="O220" s="60">
        <f t="shared" si="20"/>
        <v>53.99000067677315</v>
      </c>
      <c r="P220" s="60">
        <f t="shared" si="21"/>
        <v>0.1511187087011624</v>
      </c>
      <c r="Q220" s="63"/>
    </row>
    <row r="221" spans="1:17" ht="17.25" customHeight="1" x14ac:dyDescent="0.2">
      <c r="A221" s="52">
        <v>2352</v>
      </c>
      <c r="B221" s="53" t="s">
        <v>334</v>
      </c>
      <c r="C221" s="53" t="s">
        <v>217</v>
      </c>
      <c r="D221" s="54">
        <v>347.19900000000001</v>
      </c>
      <c r="E221" s="62">
        <v>820</v>
      </c>
      <c r="F221" s="54">
        <f t="shared" si="18"/>
        <v>345.27727269999997</v>
      </c>
      <c r="G221" s="69"/>
      <c r="H221" s="66">
        <v>25569.041962604166</v>
      </c>
      <c r="I221" s="62">
        <v>24</v>
      </c>
      <c r="J221" s="53"/>
      <c r="K221" s="57"/>
      <c r="L221" s="52">
        <v>147351</v>
      </c>
      <c r="M221" s="58">
        <f t="shared" si="19"/>
        <v>383.86325690276738</v>
      </c>
      <c r="N221" s="62">
        <v>2481</v>
      </c>
      <c r="O221" s="60">
        <f t="shared" si="20"/>
        <v>59.391777509068923</v>
      </c>
      <c r="P221" s="60">
        <f t="shared" si="21"/>
        <v>0.15472118375766519</v>
      </c>
      <c r="Q221" s="63"/>
    </row>
    <row r="222" spans="1:17" ht="17.25" customHeight="1" x14ac:dyDescent="0.2">
      <c r="A222" s="52">
        <v>2353</v>
      </c>
      <c r="B222" s="53" t="s">
        <v>334</v>
      </c>
      <c r="C222" s="53" t="s">
        <v>217</v>
      </c>
      <c r="D222" s="54">
        <v>346.19900000000001</v>
      </c>
      <c r="E222" s="62">
        <v>820</v>
      </c>
      <c r="F222" s="54">
        <f t="shared" si="18"/>
        <v>344.28397269999999</v>
      </c>
      <c r="G222" s="66">
        <v>25569.041962604166</v>
      </c>
      <c r="H222" s="66">
        <v>25569.041962604166</v>
      </c>
      <c r="I222" s="62">
        <v>24</v>
      </c>
      <c r="J222" s="53"/>
      <c r="K222" s="57"/>
      <c r="L222" s="52">
        <v>104529</v>
      </c>
      <c r="M222" s="58">
        <f t="shared" si="19"/>
        <v>323.30944928968592</v>
      </c>
      <c r="N222" s="58">
        <v>1649.97</v>
      </c>
      <c r="O222" s="60">
        <f t="shared" si="20"/>
        <v>63.352060946562666</v>
      </c>
      <c r="P222" s="60">
        <f t="shared" si="21"/>
        <v>0.19594868348496391</v>
      </c>
      <c r="Q222" s="63"/>
    </row>
    <row r="223" spans="1:17" ht="17.25" customHeight="1" x14ac:dyDescent="0.2">
      <c r="A223" s="52">
        <v>2354</v>
      </c>
      <c r="B223" s="53" t="s">
        <v>334</v>
      </c>
      <c r="C223" s="53" t="s">
        <v>217</v>
      </c>
      <c r="D223" s="54">
        <v>345.19900000000001</v>
      </c>
      <c r="E223" s="62">
        <v>820</v>
      </c>
      <c r="F223" s="54">
        <f t="shared" si="18"/>
        <v>343.29067269999996</v>
      </c>
      <c r="G223" s="66">
        <v>25569.041962604166</v>
      </c>
      <c r="H223" s="66">
        <v>25569.041962604166</v>
      </c>
      <c r="I223" s="62">
        <v>24</v>
      </c>
      <c r="J223" s="53"/>
      <c r="K223" s="57"/>
      <c r="L223" s="52">
        <v>75843</v>
      </c>
      <c r="M223" s="58">
        <f t="shared" si="19"/>
        <v>275.3960784034515</v>
      </c>
      <c r="N223" s="58">
        <v>1220.8</v>
      </c>
      <c r="O223" s="60">
        <f t="shared" si="20"/>
        <v>62.125655307994762</v>
      </c>
      <c r="P223" s="60">
        <f t="shared" si="21"/>
        <v>0.22558656487831874</v>
      </c>
      <c r="Q223" s="63"/>
    </row>
    <row r="224" spans="1:17" ht="17.25" customHeight="1" x14ac:dyDescent="0.2">
      <c r="A224" s="52">
        <v>2355</v>
      </c>
      <c r="B224" s="53" t="s">
        <v>334</v>
      </c>
      <c r="C224" s="53" t="s">
        <v>217</v>
      </c>
      <c r="D224" s="54">
        <v>344.19900000000001</v>
      </c>
      <c r="E224" s="62">
        <v>820</v>
      </c>
      <c r="F224" s="54">
        <f t="shared" si="18"/>
        <v>342.29737269999998</v>
      </c>
      <c r="G224" s="66">
        <v>25569.041962604166</v>
      </c>
      <c r="H224" s="66">
        <v>25569.041962604166</v>
      </c>
      <c r="I224" s="62">
        <v>24</v>
      </c>
      <c r="J224" s="53"/>
      <c r="K224" s="57"/>
      <c r="L224" s="52">
        <v>105985</v>
      </c>
      <c r="M224" s="58">
        <f t="shared" si="19"/>
        <v>325.55337504009998</v>
      </c>
      <c r="N224" s="58">
        <v>1867.62</v>
      </c>
      <c r="O224" s="60">
        <f t="shared" si="20"/>
        <v>56.748696201582767</v>
      </c>
      <c r="P224" s="60">
        <f t="shared" si="21"/>
        <v>0.17431456883097204</v>
      </c>
      <c r="Q224" s="63"/>
    </row>
    <row r="225" spans="1:17" ht="17.25" customHeight="1" x14ac:dyDescent="0.2">
      <c r="A225" s="52">
        <v>2356</v>
      </c>
      <c r="B225" s="53" t="s">
        <v>334</v>
      </c>
      <c r="C225" s="53" t="s">
        <v>217</v>
      </c>
      <c r="D225" s="54">
        <v>343.19900000000001</v>
      </c>
      <c r="E225" s="62">
        <v>820</v>
      </c>
      <c r="F225" s="54">
        <f t="shared" si="18"/>
        <v>341.30407269999995</v>
      </c>
      <c r="G225" s="69"/>
      <c r="H225" s="66">
        <v>25569.041962604166</v>
      </c>
      <c r="I225" s="62">
        <v>24</v>
      </c>
      <c r="J225" s="53"/>
      <c r="K225" s="57"/>
      <c r="L225" s="52">
        <v>160891</v>
      </c>
      <c r="M225" s="58">
        <f t="shared" si="19"/>
        <v>401.11220375351331</v>
      </c>
      <c r="N225" s="58">
        <v>3703.85</v>
      </c>
      <c r="O225" s="60">
        <f t="shared" si="20"/>
        <v>43.438854165260473</v>
      </c>
      <c r="P225" s="60">
        <f t="shared" si="21"/>
        <v>0.10829601732076442</v>
      </c>
      <c r="Q225" s="63"/>
    </row>
    <row r="226" spans="1:17" ht="17.25" customHeight="1" x14ac:dyDescent="0.2">
      <c r="A226" s="52">
        <v>2357</v>
      </c>
      <c r="B226" s="53" t="s">
        <v>334</v>
      </c>
      <c r="C226" s="53" t="s">
        <v>217</v>
      </c>
      <c r="D226" s="54">
        <v>342.19900000000001</v>
      </c>
      <c r="E226" s="62">
        <v>820</v>
      </c>
      <c r="F226" s="54">
        <f t="shared" si="18"/>
        <v>340.31077269999997</v>
      </c>
      <c r="G226" s="66">
        <v>25569.041962604166</v>
      </c>
      <c r="H226" s="66">
        <v>25569.041962604166</v>
      </c>
      <c r="I226" s="62">
        <v>23</v>
      </c>
      <c r="J226" s="53"/>
      <c r="K226" s="57"/>
      <c r="L226" s="52">
        <v>70428</v>
      </c>
      <c r="M226" s="58">
        <f t="shared" si="19"/>
        <v>265.38274246830747</v>
      </c>
      <c r="N226" s="58">
        <v>2753.66</v>
      </c>
      <c r="O226" s="60">
        <f t="shared" si="20"/>
        <v>25.576142297887177</v>
      </c>
      <c r="P226" s="60">
        <f t="shared" si="21"/>
        <v>9.6374549678721222E-2</v>
      </c>
      <c r="Q226" s="63"/>
    </row>
    <row r="227" spans="1:17" ht="17.25" customHeight="1" x14ac:dyDescent="0.2">
      <c r="A227" s="52">
        <v>2358</v>
      </c>
      <c r="B227" s="53" t="s">
        <v>334</v>
      </c>
      <c r="C227" s="53" t="s">
        <v>217</v>
      </c>
      <c r="D227" s="54">
        <v>341.19900000000001</v>
      </c>
      <c r="E227" s="62">
        <v>820</v>
      </c>
      <c r="F227" s="54">
        <f t="shared" si="18"/>
        <v>339.31747269999994</v>
      </c>
      <c r="G227" s="66">
        <v>25569.041962604166</v>
      </c>
      <c r="H227" s="66">
        <v>25569.041962604166</v>
      </c>
      <c r="I227" s="62">
        <v>23</v>
      </c>
      <c r="J227" s="53"/>
      <c r="K227" s="57"/>
      <c r="L227" s="52">
        <v>25722</v>
      </c>
      <c r="M227" s="58">
        <f t="shared" si="19"/>
        <v>160.38079685548391</v>
      </c>
      <c r="N227" s="58">
        <v>1988.46</v>
      </c>
      <c r="O227" s="60">
        <f t="shared" si="20"/>
        <v>12.935638634923508</v>
      </c>
      <c r="P227" s="60">
        <f t="shared" si="21"/>
        <v>8.0655782291564282E-2</v>
      </c>
      <c r="Q227" s="63"/>
    </row>
    <row r="228" spans="1:17" ht="17.25" customHeight="1" x14ac:dyDescent="0.2">
      <c r="A228" s="52">
        <v>2359</v>
      </c>
      <c r="B228" s="53" t="s">
        <v>334</v>
      </c>
      <c r="C228" s="53" t="s">
        <v>217</v>
      </c>
      <c r="D228" s="54">
        <v>340.19900000000001</v>
      </c>
      <c r="E228" s="62">
        <v>820</v>
      </c>
      <c r="F228" s="54">
        <f t="shared" si="18"/>
        <v>338.32417269999996</v>
      </c>
      <c r="G228" s="66">
        <v>25569.041962604166</v>
      </c>
      <c r="H228" s="66">
        <v>25569.041962604166</v>
      </c>
      <c r="I228" s="62">
        <v>23</v>
      </c>
      <c r="J228" s="53"/>
      <c r="K228" s="57"/>
      <c r="L228" s="52">
        <v>18501</v>
      </c>
      <c r="M228" s="58">
        <f t="shared" si="19"/>
        <v>136.01838111078959</v>
      </c>
      <c r="N228" s="58">
        <v>2452.33</v>
      </c>
      <c r="O228" s="60">
        <f t="shared" si="20"/>
        <v>7.5442538320699093</v>
      </c>
      <c r="P228" s="60">
        <f t="shared" si="21"/>
        <v>5.5464958268581145E-2</v>
      </c>
      <c r="Q228" s="63"/>
    </row>
    <row r="229" spans="1:17" ht="17.25" customHeight="1" x14ac:dyDescent="0.2">
      <c r="A229" s="52">
        <v>2360</v>
      </c>
      <c r="B229" s="53" t="s">
        <v>334</v>
      </c>
      <c r="C229" s="53" t="s">
        <v>217</v>
      </c>
      <c r="D229" s="54">
        <v>338.19900000000001</v>
      </c>
      <c r="E229" s="62">
        <v>820</v>
      </c>
      <c r="F229" s="54">
        <f t="shared" si="18"/>
        <v>336.33757269999995</v>
      </c>
      <c r="G229" s="66">
        <v>25569.041962604166</v>
      </c>
      <c r="H229" s="66">
        <v>25569.041962604166</v>
      </c>
      <c r="I229" s="62">
        <v>23</v>
      </c>
      <c r="J229" s="53"/>
      <c r="K229" s="57"/>
      <c r="L229" s="52">
        <v>10877</v>
      </c>
      <c r="M229" s="58">
        <f t="shared" si="19"/>
        <v>104.29285689825551</v>
      </c>
      <c r="N229" s="58">
        <v>3132.42</v>
      </c>
      <c r="O229" s="60">
        <f t="shared" si="20"/>
        <v>3.4723951449677886</v>
      </c>
      <c r="P229" s="60">
        <f t="shared" si="21"/>
        <v>3.3294659368237819E-2</v>
      </c>
      <c r="Q229" s="63"/>
    </row>
    <row r="230" spans="1:17" ht="17.25" customHeight="1" x14ac:dyDescent="0.2">
      <c r="A230" s="52">
        <v>2361</v>
      </c>
      <c r="B230" s="53" t="s">
        <v>334</v>
      </c>
      <c r="C230" s="53" t="s">
        <v>217</v>
      </c>
      <c r="D230" s="54">
        <v>336.19900000000001</v>
      </c>
      <c r="E230" s="62">
        <v>820</v>
      </c>
      <c r="F230" s="54">
        <f t="shared" si="18"/>
        <v>334.35097269999994</v>
      </c>
      <c r="G230" s="66">
        <v>25569.041962604166</v>
      </c>
      <c r="H230" s="66">
        <v>25569.041962604166</v>
      </c>
      <c r="I230" s="62">
        <v>23</v>
      </c>
      <c r="J230" s="53"/>
      <c r="K230" s="57"/>
      <c r="L230" s="52">
        <v>6852</v>
      </c>
      <c r="M230" s="58">
        <f t="shared" si="19"/>
        <v>82.776808346299504</v>
      </c>
      <c r="N230" s="58">
        <v>3323.06</v>
      </c>
      <c r="O230" s="60">
        <f t="shared" si="20"/>
        <v>2.0619549451409243</v>
      </c>
      <c r="P230" s="60">
        <f t="shared" si="21"/>
        <v>2.4909814552340166E-2</v>
      </c>
      <c r="Q230" s="63"/>
    </row>
    <row r="231" spans="1:17" ht="17.25" customHeight="1" x14ac:dyDescent="0.2">
      <c r="A231" s="52">
        <v>2362</v>
      </c>
      <c r="B231" s="53" t="s">
        <v>334</v>
      </c>
      <c r="C231" s="53" t="s">
        <v>217</v>
      </c>
      <c r="D231" s="54">
        <v>334.19900000000001</v>
      </c>
      <c r="E231" s="62">
        <v>820</v>
      </c>
      <c r="F231" s="54">
        <f t="shared" si="18"/>
        <v>332.36437269999999</v>
      </c>
      <c r="G231" s="66">
        <v>25569.041962604166</v>
      </c>
      <c r="H231" s="66">
        <v>25569.041962604166</v>
      </c>
      <c r="I231" s="62">
        <v>22</v>
      </c>
      <c r="J231" s="53"/>
      <c r="K231" s="57"/>
      <c r="L231" s="52">
        <v>15425</v>
      </c>
      <c r="M231" s="58">
        <f t="shared" si="19"/>
        <v>124.19742348374221</v>
      </c>
      <c r="N231" s="58">
        <v>11600.71</v>
      </c>
      <c r="O231" s="60">
        <f t="shared" si="20"/>
        <v>1.3296599949485852</v>
      </c>
      <c r="P231" s="60">
        <f t="shared" si="21"/>
        <v>1.0706019156046674E-2</v>
      </c>
      <c r="Q231" s="63"/>
    </row>
    <row r="232" spans="1:17" ht="17.25" customHeight="1" x14ac:dyDescent="0.2">
      <c r="A232" s="52">
        <v>2363</v>
      </c>
      <c r="B232" s="53" t="s">
        <v>157</v>
      </c>
      <c r="C232" s="53" t="s">
        <v>217</v>
      </c>
      <c r="D232" s="54">
        <v>330.3</v>
      </c>
      <c r="E232" s="62">
        <v>2372</v>
      </c>
      <c r="F232" s="54">
        <f t="shared" si="18"/>
        <v>330.03309759999996</v>
      </c>
      <c r="G232" s="66">
        <v>25569.041962604166</v>
      </c>
      <c r="H232" s="66">
        <v>25569.041962604166</v>
      </c>
      <c r="I232" s="55" t="s">
        <v>335</v>
      </c>
      <c r="J232" s="53"/>
      <c r="K232" s="57"/>
      <c r="L232" s="52">
        <v>9960936</v>
      </c>
      <c r="M232" s="58">
        <f t="shared" si="19"/>
        <v>3156.0950556027301</v>
      </c>
      <c r="N232" s="65">
        <v>25569.041962604166</v>
      </c>
      <c r="O232" s="60">
        <f t="shared" si="20"/>
        <v>389.57016905710827</v>
      </c>
      <c r="P232" s="60">
        <f t="shared" si="21"/>
        <v>0.123434231920721</v>
      </c>
      <c r="Q232" s="63"/>
    </row>
    <row r="233" spans="1:17" ht="17.25" customHeight="1" x14ac:dyDescent="0.2">
      <c r="A233" s="52">
        <v>2364</v>
      </c>
      <c r="B233" s="53" t="s">
        <v>336</v>
      </c>
      <c r="C233" s="53" t="s">
        <v>217</v>
      </c>
      <c r="D233" s="54">
        <v>334.19900000000001</v>
      </c>
      <c r="E233" s="62">
        <v>1113</v>
      </c>
      <c r="F233" s="54">
        <f t="shared" si="18"/>
        <v>332.65540959999998</v>
      </c>
      <c r="G233" s="66">
        <v>25569.041962604166</v>
      </c>
      <c r="H233" s="66">
        <v>25569.041962604166</v>
      </c>
      <c r="I233" s="62">
        <v>31</v>
      </c>
      <c r="J233" s="53"/>
      <c r="K233" s="57"/>
      <c r="L233" s="52">
        <v>11138</v>
      </c>
      <c r="M233" s="58">
        <f t="shared" si="19"/>
        <v>105.53672346628922</v>
      </c>
      <c r="N233" s="58">
        <v>8518.3700000000008</v>
      </c>
      <c r="O233" s="60">
        <f t="shared" si="20"/>
        <v>1.3075271442776022</v>
      </c>
      <c r="P233" s="60">
        <f t="shared" si="21"/>
        <v>1.2389309629223574E-2</v>
      </c>
      <c r="Q233" s="63"/>
    </row>
    <row r="234" spans="1:17" ht="17.25" customHeight="1" x14ac:dyDescent="0.2">
      <c r="A234" s="52">
        <v>2365</v>
      </c>
      <c r="B234" s="53" t="s">
        <v>336</v>
      </c>
      <c r="C234" s="53" t="s">
        <v>217</v>
      </c>
      <c r="D234" s="54">
        <v>336.19900000000001</v>
      </c>
      <c r="E234" s="62">
        <v>1113</v>
      </c>
      <c r="F234" s="54">
        <f t="shared" si="18"/>
        <v>334.64200959999999</v>
      </c>
      <c r="G234" s="66">
        <v>25569.041962604166</v>
      </c>
      <c r="H234" s="66">
        <v>25569.041962604166</v>
      </c>
      <c r="I234" s="62">
        <v>37</v>
      </c>
      <c r="J234" s="53"/>
      <c r="K234" s="57"/>
      <c r="L234" s="52">
        <v>13343</v>
      </c>
      <c r="M234" s="58">
        <f t="shared" si="19"/>
        <v>115.51190414844697</v>
      </c>
      <c r="N234" s="58">
        <v>6715.74</v>
      </c>
      <c r="O234" s="60">
        <f t="shared" si="20"/>
        <v>1.9868249813125582</v>
      </c>
      <c r="P234" s="60">
        <f t="shared" si="21"/>
        <v>1.7200175133112207E-2</v>
      </c>
      <c r="Q234" s="63"/>
    </row>
    <row r="235" spans="1:17" ht="17.25" customHeight="1" x14ac:dyDescent="0.2">
      <c r="A235" s="52">
        <v>2366</v>
      </c>
      <c r="B235" s="53" t="s">
        <v>336</v>
      </c>
      <c r="C235" s="53" t="s">
        <v>217</v>
      </c>
      <c r="D235" s="54">
        <v>338.19900000000001</v>
      </c>
      <c r="E235" s="62">
        <v>918</v>
      </c>
      <c r="F235" s="54">
        <f t="shared" si="18"/>
        <v>336.43491609999995</v>
      </c>
      <c r="G235" s="66">
        <v>25569.041962604166</v>
      </c>
      <c r="H235" s="66">
        <v>25569.041962604166</v>
      </c>
      <c r="I235" s="62">
        <v>26</v>
      </c>
      <c r="J235" s="53"/>
      <c r="K235" s="57"/>
      <c r="L235" s="52">
        <v>9773</v>
      </c>
      <c r="M235" s="58">
        <f t="shared" si="19"/>
        <v>98.858484714262133</v>
      </c>
      <c r="N235" s="58">
        <v>2905.08</v>
      </c>
      <c r="O235" s="60">
        <f t="shared" si="20"/>
        <v>3.3641070125435446</v>
      </c>
      <c r="P235" s="60">
        <f t="shared" si="21"/>
        <v>3.4029522324432418E-2</v>
      </c>
      <c r="Q235" s="63"/>
    </row>
    <row r="236" spans="1:17" ht="17.25" customHeight="1" x14ac:dyDescent="0.2">
      <c r="A236" s="52">
        <v>2367</v>
      </c>
      <c r="B236" s="53" t="s">
        <v>336</v>
      </c>
      <c r="C236" s="53" t="s">
        <v>217</v>
      </c>
      <c r="D236" s="54">
        <v>340.19900000000001</v>
      </c>
      <c r="E236" s="62">
        <v>918</v>
      </c>
      <c r="F236" s="54">
        <f t="shared" si="18"/>
        <v>338.42151609999996</v>
      </c>
      <c r="G236" s="66">
        <v>25569.041962604166</v>
      </c>
      <c r="H236" s="66">
        <v>25569.041962604166</v>
      </c>
      <c r="I236" s="62">
        <v>28</v>
      </c>
      <c r="J236" s="53"/>
      <c r="K236" s="57"/>
      <c r="L236" s="52">
        <v>19454</v>
      </c>
      <c r="M236" s="58">
        <f t="shared" si="19"/>
        <v>139.47759676736618</v>
      </c>
      <c r="N236" s="58">
        <v>2604.04</v>
      </c>
      <c r="O236" s="60">
        <f t="shared" si="20"/>
        <v>7.4706993748175909</v>
      </c>
      <c r="P236" s="60">
        <f t="shared" si="21"/>
        <v>5.3562002414466056E-2</v>
      </c>
      <c r="Q236" s="63"/>
    </row>
    <row r="237" spans="1:17" ht="17.25" customHeight="1" x14ac:dyDescent="0.2">
      <c r="A237" s="52">
        <v>2368</v>
      </c>
      <c r="B237" s="53" t="s">
        <v>336</v>
      </c>
      <c r="C237" s="53" t="s">
        <v>217</v>
      </c>
      <c r="D237" s="54">
        <v>341.19900000000001</v>
      </c>
      <c r="E237" s="62">
        <v>918</v>
      </c>
      <c r="F237" s="54">
        <f t="shared" si="18"/>
        <v>339.4148161</v>
      </c>
      <c r="G237" s="66">
        <v>25569.041962604166</v>
      </c>
      <c r="H237" s="66">
        <v>25569.041962604166</v>
      </c>
      <c r="I237" s="62">
        <v>29</v>
      </c>
      <c r="J237" s="53"/>
      <c r="K237" s="57"/>
      <c r="L237" s="52">
        <v>18241</v>
      </c>
      <c r="M237" s="58">
        <f t="shared" si="19"/>
        <v>135.05924625881784</v>
      </c>
      <c r="N237" s="58">
        <v>1454.8</v>
      </c>
      <c r="O237" s="60">
        <f t="shared" si="20"/>
        <v>12.538493263678857</v>
      </c>
      <c r="P237" s="60">
        <f t="shared" si="21"/>
        <v>9.2836985330504426E-2</v>
      </c>
      <c r="Q237" s="63"/>
    </row>
    <row r="238" spans="1:17" ht="17.25" customHeight="1" x14ac:dyDescent="0.2">
      <c r="A238" s="52">
        <v>2369</v>
      </c>
      <c r="B238" s="53" t="s">
        <v>336</v>
      </c>
      <c r="C238" s="53" t="s">
        <v>217</v>
      </c>
      <c r="D238" s="54">
        <v>342.19900000000001</v>
      </c>
      <c r="E238" s="62">
        <v>918</v>
      </c>
      <c r="F238" s="54">
        <f t="shared" si="18"/>
        <v>340.40811609999997</v>
      </c>
      <c r="G238" s="66">
        <v>25569.041962604166</v>
      </c>
      <c r="H238" s="66">
        <v>25569.041962604166</v>
      </c>
      <c r="I238" s="62">
        <v>30</v>
      </c>
      <c r="J238" s="53"/>
      <c r="K238" s="57"/>
      <c r="L238" s="52">
        <v>61615</v>
      </c>
      <c r="M238" s="58">
        <f t="shared" si="19"/>
        <v>248.22368944160024</v>
      </c>
      <c r="N238" s="58">
        <v>2432.0100000000002</v>
      </c>
      <c r="O238" s="60">
        <f t="shared" si="20"/>
        <v>25.335010958014152</v>
      </c>
      <c r="P238" s="60">
        <f t="shared" si="21"/>
        <v>0.10206524210081382</v>
      </c>
      <c r="Q238" s="63"/>
    </row>
    <row r="239" spans="1:17" ht="17.25" customHeight="1" x14ac:dyDescent="0.2">
      <c r="A239" s="52">
        <v>2370</v>
      </c>
      <c r="B239" s="53" t="s">
        <v>336</v>
      </c>
      <c r="C239" s="53" t="s">
        <v>217</v>
      </c>
      <c r="D239" s="54">
        <v>343.19900000000001</v>
      </c>
      <c r="E239" s="62">
        <v>918</v>
      </c>
      <c r="F239" s="54">
        <f t="shared" si="18"/>
        <v>341.40141610000001</v>
      </c>
      <c r="G239" s="66">
        <v>25569.041962604166</v>
      </c>
      <c r="H239" s="66">
        <v>25569.041962604166</v>
      </c>
      <c r="I239" s="62">
        <v>30</v>
      </c>
      <c r="J239" s="53"/>
      <c r="K239" s="57"/>
      <c r="L239" s="52">
        <v>70327</v>
      </c>
      <c r="M239" s="58">
        <f t="shared" si="19"/>
        <v>265.19238299770228</v>
      </c>
      <c r="N239" s="58">
        <v>1686.26</v>
      </c>
      <c r="O239" s="60">
        <f t="shared" si="20"/>
        <v>41.705905376395101</v>
      </c>
      <c r="P239" s="60">
        <f t="shared" si="21"/>
        <v>0.15726660360662192</v>
      </c>
      <c r="Q239" s="63"/>
    </row>
    <row r="240" spans="1:17" ht="17.25" customHeight="1" x14ac:dyDescent="0.2">
      <c r="A240" s="52">
        <v>2371</v>
      </c>
      <c r="B240" s="53" t="s">
        <v>336</v>
      </c>
      <c r="C240" s="53" t="s">
        <v>217</v>
      </c>
      <c r="D240" s="54">
        <v>344.19900000000001</v>
      </c>
      <c r="E240" s="62">
        <v>918</v>
      </c>
      <c r="F240" s="54">
        <f t="shared" si="18"/>
        <v>342.39471609999998</v>
      </c>
      <c r="G240" s="66">
        <v>25569.041962604166</v>
      </c>
      <c r="H240" s="66">
        <v>25569.041962604166</v>
      </c>
      <c r="I240" s="62">
        <v>31</v>
      </c>
      <c r="J240" s="53"/>
      <c r="K240" s="57"/>
      <c r="L240" s="52">
        <v>125500</v>
      </c>
      <c r="M240" s="58">
        <f t="shared" si="19"/>
        <v>354.25979167836704</v>
      </c>
      <c r="N240" s="62">
        <v>2480</v>
      </c>
      <c r="O240" s="60">
        <f t="shared" si="20"/>
        <v>50.604838709677416</v>
      </c>
      <c r="P240" s="60">
        <f t="shared" si="21"/>
        <v>0.14284669019288992</v>
      </c>
      <c r="Q240" s="63" t="s">
        <v>337</v>
      </c>
    </row>
    <row r="241" spans="1:17" ht="17.25" customHeight="1" x14ac:dyDescent="0.2">
      <c r="A241" s="52">
        <v>2372</v>
      </c>
      <c r="B241" s="53" t="s">
        <v>336</v>
      </c>
      <c r="C241" s="53" t="s">
        <v>217</v>
      </c>
      <c r="D241" s="54">
        <v>345.19900000000001</v>
      </c>
      <c r="E241" s="62">
        <v>918</v>
      </c>
      <c r="F241" s="54">
        <f t="shared" si="18"/>
        <v>343.38801609999996</v>
      </c>
      <c r="G241" s="66">
        <v>25569.041962604166</v>
      </c>
      <c r="H241" s="66">
        <v>25569.041962604166</v>
      </c>
      <c r="I241" s="62">
        <v>31</v>
      </c>
      <c r="J241" s="53"/>
      <c r="K241" s="57"/>
      <c r="L241" s="52">
        <v>171020</v>
      </c>
      <c r="M241" s="58">
        <f t="shared" si="19"/>
        <v>413.5456443973265</v>
      </c>
      <c r="N241" s="62">
        <v>2935</v>
      </c>
      <c r="O241" s="60">
        <f t="shared" si="20"/>
        <v>58.269165247018741</v>
      </c>
      <c r="P241" s="60">
        <f t="shared" si="21"/>
        <v>0.1409014120604179</v>
      </c>
      <c r="Q241" s="63"/>
    </row>
    <row r="242" spans="1:17" ht="17.25" customHeight="1" x14ac:dyDescent="0.2">
      <c r="A242" s="52">
        <v>2373</v>
      </c>
      <c r="B242" s="53" t="s">
        <v>336</v>
      </c>
      <c r="C242" s="53" t="s">
        <v>217</v>
      </c>
      <c r="D242" s="54">
        <v>346.19900000000001</v>
      </c>
      <c r="E242" s="62">
        <v>918</v>
      </c>
      <c r="F242" s="54">
        <f t="shared" si="18"/>
        <v>344.38131609999999</v>
      </c>
      <c r="G242" s="66">
        <v>25569.041962604166</v>
      </c>
      <c r="H242" s="66">
        <v>25569.041962604166</v>
      </c>
      <c r="I242" s="62">
        <v>31</v>
      </c>
      <c r="J242" s="53"/>
      <c r="K242" s="57"/>
      <c r="L242" s="52">
        <v>888412</v>
      </c>
      <c r="M242" s="58">
        <f t="shared" si="19"/>
        <v>942.55609912620059</v>
      </c>
      <c r="N242" s="58">
        <v>15634.29</v>
      </c>
      <c r="O242" s="60">
        <f t="shared" si="20"/>
        <v>56.824582376302345</v>
      </c>
      <c r="P242" s="60">
        <f t="shared" si="21"/>
        <v>6.0287745662016029E-2</v>
      </c>
      <c r="Q242" s="63"/>
    </row>
    <row r="243" spans="1:17" ht="17.25" customHeight="1" x14ac:dyDescent="0.2">
      <c r="A243" s="52">
        <v>2374</v>
      </c>
      <c r="B243" s="53" t="s">
        <v>336</v>
      </c>
      <c r="C243" s="53" t="s">
        <v>217</v>
      </c>
      <c r="D243" s="54">
        <v>347.19900000000001</v>
      </c>
      <c r="E243" s="62">
        <v>918</v>
      </c>
      <c r="F243" s="54">
        <f t="shared" si="18"/>
        <v>345.37461609999997</v>
      </c>
      <c r="G243" s="66">
        <v>25569.041962604166</v>
      </c>
      <c r="H243" s="66">
        <v>25569.041962604166</v>
      </c>
      <c r="I243" s="62">
        <v>32</v>
      </c>
      <c r="J243" s="53"/>
      <c r="K243" s="57"/>
      <c r="L243" s="52">
        <v>108385</v>
      </c>
      <c r="M243" s="58">
        <f t="shared" si="19"/>
        <v>329.21877224727024</v>
      </c>
      <c r="N243" s="58">
        <v>2043.34</v>
      </c>
      <c r="O243" s="60">
        <f t="shared" si="20"/>
        <v>53.043056955768499</v>
      </c>
      <c r="P243" s="60">
        <f t="shared" si="21"/>
        <v>0.16111795993191061</v>
      </c>
      <c r="Q243" s="63"/>
    </row>
    <row r="244" spans="1:17" ht="17.25" customHeight="1" x14ac:dyDescent="0.2">
      <c r="A244" s="52">
        <v>2375</v>
      </c>
      <c r="B244" s="53" t="s">
        <v>336</v>
      </c>
      <c r="C244" s="53" t="s">
        <v>217</v>
      </c>
      <c r="D244" s="54">
        <v>348.19900000000001</v>
      </c>
      <c r="E244" s="62">
        <v>918</v>
      </c>
      <c r="F244" s="54">
        <f t="shared" si="18"/>
        <v>346.3679161</v>
      </c>
      <c r="G244" s="66">
        <v>25569.041962604166</v>
      </c>
      <c r="H244" s="66">
        <v>25569.041962604166</v>
      </c>
      <c r="I244" s="62">
        <v>32</v>
      </c>
      <c r="J244" s="53"/>
      <c r="K244" s="57"/>
      <c r="L244" s="52">
        <v>88089</v>
      </c>
      <c r="M244" s="58">
        <f t="shared" si="19"/>
        <v>296.79791104386163</v>
      </c>
      <c r="N244" s="58">
        <v>1863.97</v>
      </c>
      <c r="O244" s="60">
        <f t="shared" si="20"/>
        <v>47.258807813430472</v>
      </c>
      <c r="P244" s="60">
        <f t="shared" si="21"/>
        <v>0.15922890982358173</v>
      </c>
      <c r="Q244" s="63"/>
    </row>
    <row r="245" spans="1:17" ht="17.25" customHeight="1" x14ac:dyDescent="0.2">
      <c r="A245" s="52">
        <v>2376</v>
      </c>
      <c r="B245" s="53" t="s">
        <v>336</v>
      </c>
      <c r="C245" s="53" t="s">
        <v>217</v>
      </c>
      <c r="D245" s="54">
        <v>349.19900000000001</v>
      </c>
      <c r="E245" s="62">
        <v>918</v>
      </c>
      <c r="F245" s="54">
        <f t="shared" si="18"/>
        <v>347.36121609999998</v>
      </c>
      <c r="G245" s="66">
        <v>25569.041962604166</v>
      </c>
      <c r="H245" s="66">
        <v>25569.041962604166</v>
      </c>
      <c r="I245" s="62">
        <v>32</v>
      </c>
      <c r="J245" s="53"/>
      <c r="K245" s="57"/>
      <c r="L245" s="52">
        <v>33731</v>
      </c>
      <c r="M245" s="58">
        <f t="shared" si="19"/>
        <v>183.66001197865583</v>
      </c>
      <c r="N245" s="58">
        <v>809.57</v>
      </c>
      <c r="O245" s="60">
        <f t="shared" si="20"/>
        <v>41.665328507726322</v>
      </c>
      <c r="P245" s="60">
        <f t="shared" si="21"/>
        <v>0.22686118801172947</v>
      </c>
      <c r="Q245" s="63"/>
    </row>
    <row r="246" spans="1:17" ht="17.25" customHeight="1" x14ac:dyDescent="0.2">
      <c r="A246" s="52">
        <v>2377</v>
      </c>
      <c r="B246" s="53" t="s">
        <v>336</v>
      </c>
      <c r="C246" s="53" t="s">
        <v>217</v>
      </c>
      <c r="D246" s="54">
        <v>350.19900000000001</v>
      </c>
      <c r="E246" s="62">
        <v>918</v>
      </c>
      <c r="F246" s="54">
        <f t="shared" si="18"/>
        <v>348.35451609999996</v>
      </c>
      <c r="G246" s="66">
        <v>25569.041962604166</v>
      </c>
      <c r="H246" s="66">
        <v>25569.041962604166</v>
      </c>
      <c r="I246" s="62">
        <v>31</v>
      </c>
      <c r="J246" s="53"/>
      <c r="K246" s="57"/>
      <c r="L246" s="52">
        <v>63740</v>
      </c>
      <c r="M246" s="58">
        <f t="shared" si="19"/>
        <v>252.46781973154521</v>
      </c>
      <c r="N246" s="58">
        <v>1832.56</v>
      </c>
      <c r="O246" s="60">
        <f t="shared" si="20"/>
        <v>34.781944383812807</v>
      </c>
      <c r="P246" s="60">
        <f t="shared" si="21"/>
        <v>0.13776783283032765</v>
      </c>
      <c r="Q246" s="63"/>
    </row>
    <row r="247" spans="1:17" ht="17.25" customHeight="1" x14ac:dyDescent="0.2">
      <c r="A247" s="52">
        <v>2378</v>
      </c>
      <c r="B247" s="53" t="s">
        <v>336</v>
      </c>
      <c r="C247" s="53" t="s">
        <v>217</v>
      </c>
      <c r="D247" s="54">
        <v>351.19900000000001</v>
      </c>
      <c r="E247" s="62">
        <v>918</v>
      </c>
      <c r="F247" s="54">
        <f t="shared" si="18"/>
        <v>349.34781609999999</v>
      </c>
      <c r="G247" s="66">
        <v>25569.041962604166</v>
      </c>
      <c r="H247" s="66">
        <v>25569.041962604166</v>
      </c>
      <c r="I247" s="62">
        <v>31</v>
      </c>
      <c r="J247" s="53"/>
      <c r="K247" s="57"/>
      <c r="L247" s="52">
        <v>34464</v>
      </c>
      <c r="M247" s="58">
        <f t="shared" si="19"/>
        <v>185.6448221739567</v>
      </c>
      <c r="N247" s="58">
        <v>1203.21</v>
      </c>
      <c r="O247" s="60">
        <f t="shared" si="20"/>
        <v>28.643378961278579</v>
      </c>
      <c r="P247" s="60">
        <f t="shared" si="21"/>
        <v>0.15429128927947464</v>
      </c>
      <c r="Q247" s="63"/>
    </row>
    <row r="248" spans="1:17" ht="17.25" customHeight="1" x14ac:dyDescent="0.2">
      <c r="A248" s="52">
        <v>2379</v>
      </c>
      <c r="B248" s="53" t="s">
        <v>336</v>
      </c>
      <c r="C248" s="53" t="s">
        <v>217</v>
      </c>
      <c r="D248" s="54">
        <v>352.19900000000001</v>
      </c>
      <c r="E248" s="62">
        <v>918</v>
      </c>
      <c r="F248" s="54">
        <f t="shared" si="18"/>
        <v>350.34111609999997</v>
      </c>
      <c r="G248" s="66">
        <v>25569.041962604166</v>
      </c>
      <c r="H248" s="66">
        <v>25569.041962604166</v>
      </c>
      <c r="I248" s="62">
        <v>31</v>
      </c>
      <c r="J248" s="53"/>
      <c r="K248" s="57"/>
      <c r="L248" s="52">
        <v>57733</v>
      </c>
      <c r="M248" s="58">
        <f t="shared" si="19"/>
        <v>240.27692356945141</v>
      </c>
      <c r="N248" s="58">
        <v>2347.7600000000002</v>
      </c>
      <c r="O248" s="60">
        <f t="shared" si="20"/>
        <v>24.590673663406818</v>
      </c>
      <c r="P248" s="60">
        <f t="shared" si="21"/>
        <v>0.10234305191733882</v>
      </c>
      <c r="Q248" s="63"/>
    </row>
    <row r="249" spans="1:17" ht="17.25" customHeight="1" x14ac:dyDescent="0.2">
      <c r="A249" s="52">
        <v>2380</v>
      </c>
      <c r="B249" s="53" t="s">
        <v>336</v>
      </c>
      <c r="C249" s="53" t="s">
        <v>217</v>
      </c>
      <c r="D249" s="54">
        <v>353.19900000000001</v>
      </c>
      <c r="E249" s="62">
        <v>918</v>
      </c>
      <c r="F249" s="54">
        <f t="shared" si="18"/>
        <v>351.3344161</v>
      </c>
      <c r="G249" s="66">
        <v>25569.041962604166</v>
      </c>
      <c r="H249" s="66">
        <v>25569.041962604166</v>
      </c>
      <c r="I249" s="62">
        <v>31</v>
      </c>
      <c r="J249" s="53"/>
      <c r="K249" s="57"/>
      <c r="L249" s="52">
        <v>27341</v>
      </c>
      <c r="M249" s="58">
        <f t="shared" si="19"/>
        <v>165.35114151405185</v>
      </c>
      <c r="N249" s="58">
        <v>1325.39</v>
      </c>
      <c r="O249" s="60">
        <f t="shared" si="20"/>
        <v>20.628645153501985</v>
      </c>
      <c r="P249" s="60">
        <f t="shared" si="21"/>
        <v>0.12475659354156274</v>
      </c>
      <c r="Q249" s="63"/>
    </row>
    <row r="250" spans="1:17" ht="17.25" customHeight="1" x14ac:dyDescent="0.2">
      <c r="A250" s="52">
        <v>2381</v>
      </c>
      <c r="B250" s="53" t="s">
        <v>336</v>
      </c>
      <c r="C250" s="53" t="s">
        <v>217</v>
      </c>
      <c r="D250" s="54">
        <v>354.19900000000001</v>
      </c>
      <c r="E250" s="62">
        <v>918</v>
      </c>
      <c r="F250" s="54">
        <f t="shared" si="18"/>
        <v>352.32771609999998</v>
      </c>
      <c r="G250" s="66">
        <v>25569.041962604166</v>
      </c>
      <c r="H250" s="66">
        <v>25569.041962604166</v>
      </c>
      <c r="I250" s="62">
        <v>30</v>
      </c>
      <c r="J250" s="53"/>
      <c r="K250" s="57"/>
      <c r="L250" s="52">
        <v>24072</v>
      </c>
      <c r="M250" s="58">
        <f t="shared" si="19"/>
        <v>155.15153882575578</v>
      </c>
      <c r="N250" s="58">
        <v>1436.97</v>
      </c>
      <c r="O250" s="60">
        <f t="shared" si="20"/>
        <v>16.751915488841103</v>
      </c>
      <c r="P250" s="60">
        <f t="shared" si="21"/>
        <v>0.1079713138240574</v>
      </c>
      <c r="Q250" s="63"/>
    </row>
    <row r="251" spans="1:17" ht="17.25" customHeight="1" x14ac:dyDescent="0.2">
      <c r="A251" s="52">
        <v>2382</v>
      </c>
      <c r="B251" s="53" t="s">
        <v>336</v>
      </c>
      <c r="C251" s="53" t="s">
        <v>217</v>
      </c>
      <c r="D251" s="54">
        <v>356.19900000000001</v>
      </c>
      <c r="E251" s="62">
        <v>918</v>
      </c>
      <c r="F251" s="54">
        <f t="shared" si="18"/>
        <v>354.31431609999998</v>
      </c>
      <c r="G251" s="66">
        <v>25569.041962604166</v>
      </c>
      <c r="H251" s="66">
        <v>25569.041962604166</v>
      </c>
      <c r="I251" s="62">
        <v>30</v>
      </c>
      <c r="J251" s="53"/>
      <c r="K251" s="57"/>
      <c r="L251" s="52">
        <v>14912</v>
      </c>
      <c r="M251" s="58">
        <f t="shared" si="19"/>
        <v>122.11470017978998</v>
      </c>
      <c r="N251" s="58">
        <v>1269.8499999999999</v>
      </c>
      <c r="O251" s="60">
        <f t="shared" si="20"/>
        <v>11.743119266055047</v>
      </c>
      <c r="P251" s="60">
        <f t="shared" si="21"/>
        <v>9.6164665259510951E-2</v>
      </c>
      <c r="Q251" s="63"/>
    </row>
    <row r="252" spans="1:17" ht="17.25" customHeight="1" x14ac:dyDescent="0.2">
      <c r="A252" s="52">
        <v>2383</v>
      </c>
      <c r="B252" s="53" t="s">
        <v>336</v>
      </c>
      <c r="C252" s="53" t="s">
        <v>217</v>
      </c>
      <c r="D252" s="54">
        <v>358.19900000000001</v>
      </c>
      <c r="E252" s="62">
        <v>918</v>
      </c>
      <c r="F252" s="54">
        <f t="shared" si="18"/>
        <v>356.30091609999999</v>
      </c>
      <c r="G252" s="66">
        <v>25569.041962604166</v>
      </c>
      <c r="H252" s="66">
        <v>25569.041962604166</v>
      </c>
      <c r="I252" s="62">
        <v>29</v>
      </c>
      <c r="J252" s="53"/>
      <c r="K252" s="57"/>
      <c r="L252" s="52">
        <v>12223</v>
      </c>
      <c r="M252" s="58">
        <f t="shared" si="19"/>
        <v>110.55767725490618</v>
      </c>
      <c r="N252" s="62">
        <v>1453</v>
      </c>
      <c r="O252" s="60">
        <f t="shared" si="20"/>
        <v>8.4122505161734349</v>
      </c>
      <c r="P252" s="60">
        <f t="shared" si="21"/>
        <v>7.6089247938682852E-2</v>
      </c>
      <c r="Q252" s="63"/>
    </row>
    <row r="253" spans="1:17" ht="17.25" customHeight="1" x14ac:dyDescent="0.2">
      <c r="A253" s="52">
        <v>2384</v>
      </c>
      <c r="B253" s="53" t="s">
        <v>336</v>
      </c>
      <c r="C253" s="53" t="s">
        <v>217</v>
      </c>
      <c r="D253" s="54">
        <v>360.19900000000001</v>
      </c>
      <c r="E253" s="62">
        <v>918</v>
      </c>
      <c r="F253" s="54">
        <f t="shared" si="18"/>
        <v>358.2875161</v>
      </c>
      <c r="G253" s="66">
        <v>25569.041962604166</v>
      </c>
      <c r="H253" s="66">
        <v>25569.041962604166</v>
      </c>
      <c r="I253" s="62">
        <v>29</v>
      </c>
      <c r="J253" s="53"/>
      <c r="K253" s="57"/>
      <c r="L253" s="52">
        <v>13278</v>
      </c>
      <c r="M253" s="58">
        <f t="shared" si="19"/>
        <v>115.23020437367974</v>
      </c>
      <c r="N253" s="58">
        <v>2077.15</v>
      </c>
      <c r="O253" s="60">
        <f t="shared" si="20"/>
        <v>6.3924126808367232</v>
      </c>
      <c r="P253" s="60">
        <f t="shared" si="21"/>
        <v>5.5475148339638319E-2</v>
      </c>
      <c r="Q253" s="63"/>
    </row>
    <row r="254" spans="1:17" ht="17.25" customHeight="1" x14ac:dyDescent="0.2">
      <c r="A254" s="52">
        <v>2385</v>
      </c>
      <c r="B254" s="53" t="s">
        <v>336</v>
      </c>
      <c r="C254" s="53" t="s">
        <v>217</v>
      </c>
      <c r="D254" s="54">
        <v>362.19900000000001</v>
      </c>
      <c r="E254" s="62">
        <v>918</v>
      </c>
      <c r="F254" s="54">
        <f t="shared" si="18"/>
        <v>360.27411609999996</v>
      </c>
      <c r="G254" s="66">
        <v>25569.041962604166</v>
      </c>
      <c r="H254" s="66">
        <v>25569.041962604166</v>
      </c>
      <c r="I254" s="62">
        <v>28</v>
      </c>
      <c r="J254" s="53"/>
      <c r="K254" s="57"/>
      <c r="L254" s="52">
        <v>10963</v>
      </c>
      <c r="M254" s="58">
        <f t="shared" si="19"/>
        <v>104.70434565957613</v>
      </c>
      <c r="N254" s="58">
        <v>2303.5</v>
      </c>
      <c r="O254" s="60">
        <f t="shared" si="20"/>
        <v>4.759279357499457</v>
      </c>
      <c r="P254" s="60">
        <f t="shared" si="21"/>
        <v>4.5454458719156127E-2</v>
      </c>
      <c r="Q254" s="63"/>
    </row>
    <row r="255" spans="1:17" ht="17.25" customHeight="1" x14ac:dyDescent="0.2">
      <c r="A255" s="52">
        <v>2386</v>
      </c>
      <c r="B255" s="53" t="s">
        <v>336</v>
      </c>
      <c r="C255" s="53" t="s">
        <v>217</v>
      </c>
      <c r="D255" s="54">
        <v>364.19900000000001</v>
      </c>
      <c r="E255" s="62">
        <v>918</v>
      </c>
      <c r="F255" s="54">
        <f t="shared" si="18"/>
        <v>362.26071609999997</v>
      </c>
      <c r="G255" s="66">
        <v>25569.041962604166</v>
      </c>
      <c r="H255" s="66">
        <v>25569.041962604166</v>
      </c>
      <c r="I255" s="62">
        <v>28</v>
      </c>
      <c r="J255" s="53"/>
      <c r="K255" s="57"/>
      <c r="L255" s="52">
        <v>13090</v>
      </c>
      <c r="M255" s="58">
        <f t="shared" si="19"/>
        <v>114.41153787970862</v>
      </c>
      <c r="N255" s="58">
        <v>3359.41</v>
      </c>
      <c r="O255" s="60">
        <f t="shared" si="20"/>
        <v>3.8965175432590842</v>
      </c>
      <c r="P255" s="60">
        <f t="shared" si="21"/>
        <v>3.4057033193241854E-2</v>
      </c>
      <c r="Q255" s="63"/>
    </row>
    <row r="256" spans="1:17" ht="17.25" customHeight="1" x14ac:dyDescent="0.2">
      <c r="A256" s="52">
        <v>2387</v>
      </c>
      <c r="B256" s="53" t="s">
        <v>157</v>
      </c>
      <c r="C256" s="53" t="s">
        <v>217</v>
      </c>
      <c r="D256" s="54">
        <v>320.37700000000001</v>
      </c>
      <c r="E256" s="62">
        <v>2372</v>
      </c>
      <c r="F256" s="54">
        <f t="shared" si="18"/>
        <v>320.17658169999999</v>
      </c>
      <c r="G256" s="66">
        <v>25569.041962604166</v>
      </c>
      <c r="H256" s="66">
        <v>25569.041962604166</v>
      </c>
      <c r="I256" s="62">
        <v>185</v>
      </c>
      <c r="J256" s="53"/>
      <c r="K256" s="57"/>
      <c r="L256" s="52">
        <v>4515246</v>
      </c>
      <c r="M256" s="58">
        <f t="shared" si="19"/>
        <v>2124.9108216581703</v>
      </c>
      <c r="N256" s="62">
        <v>17721834</v>
      </c>
      <c r="O256" s="60">
        <f t="shared" si="20"/>
        <v>0.2547843524547177</v>
      </c>
      <c r="P256" s="60">
        <f t="shared" si="21"/>
        <v>1.1990355070802324E-4</v>
      </c>
      <c r="Q256" s="63"/>
    </row>
    <row r="257" spans="1:17" ht="17.25" customHeight="1" x14ac:dyDescent="0.2">
      <c r="A257" s="52">
        <v>2388</v>
      </c>
      <c r="B257" s="53" t="s">
        <v>338</v>
      </c>
      <c r="C257" s="53" t="s">
        <v>217</v>
      </c>
      <c r="D257" s="54">
        <v>334.2</v>
      </c>
      <c r="E257" s="62">
        <v>904</v>
      </c>
      <c r="F257" s="54">
        <f t="shared" si="18"/>
        <v>332.44880319999993</v>
      </c>
      <c r="G257" s="66">
        <v>25569.041962604166</v>
      </c>
      <c r="H257" s="66">
        <v>25569.041962604166</v>
      </c>
      <c r="I257" s="58">
        <v>30.5</v>
      </c>
      <c r="J257" s="53"/>
      <c r="K257" s="57"/>
      <c r="L257" s="52">
        <v>6675</v>
      </c>
      <c r="M257" s="58">
        <f t="shared" si="19"/>
        <v>81.700673191840963</v>
      </c>
      <c r="N257" s="58">
        <v>5881.9</v>
      </c>
      <c r="O257" s="60">
        <f t="shared" si="20"/>
        <v>1.134837382478451</v>
      </c>
      <c r="P257" s="60">
        <f t="shared" si="21"/>
        <v>1.3890183986779946E-2</v>
      </c>
      <c r="Q257" s="63"/>
    </row>
    <row r="258" spans="1:17" ht="17.25" customHeight="1" x14ac:dyDescent="0.2">
      <c r="A258" s="52">
        <v>2389</v>
      </c>
      <c r="B258" s="53" t="s">
        <v>338</v>
      </c>
      <c r="C258" s="53" t="s">
        <v>217</v>
      </c>
      <c r="D258" s="54">
        <v>336.2</v>
      </c>
      <c r="E258" s="62">
        <v>904</v>
      </c>
      <c r="F258" s="54">
        <f t="shared" si="18"/>
        <v>334.43540319999994</v>
      </c>
      <c r="G258" s="66">
        <v>25569.041962604166</v>
      </c>
      <c r="H258" s="66">
        <v>25569.041962604166</v>
      </c>
      <c r="I258" s="62">
        <v>29</v>
      </c>
      <c r="J258" s="53"/>
      <c r="K258" s="57"/>
      <c r="L258" s="52">
        <v>11986</v>
      </c>
      <c r="M258" s="58">
        <f t="shared" si="19"/>
        <v>109.48059188732951</v>
      </c>
      <c r="N258" s="58">
        <v>6728.56</v>
      </c>
      <c r="O258" s="60">
        <f t="shared" si="20"/>
        <v>1.7813618367080029</v>
      </c>
      <c r="P258" s="60">
        <f t="shared" si="21"/>
        <v>1.6271028554004051E-2</v>
      </c>
      <c r="Q258" s="63"/>
    </row>
    <row r="259" spans="1:17" ht="17.25" customHeight="1" x14ac:dyDescent="0.2">
      <c r="A259" s="52">
        <v>2390</v>
      </c>
      <c r="B259" s="53" t="s">
        <v>338</v>
      </c>
      <c r="C259" s="53" t="s">
        <v>217</v>
      </c>
      <c r="D259" s="54">
        <v>338.22</v>
      </c>
      <c r="E259" s="62">
        <v>904</v>
      </c>
      <c r="F259" s="54">
        <f t="shared" si="18"/>
        <v>336.44186919999999</v>
      </c>
      <c r="G259" s="66">
        <v>25569.041962604166</v>
      </c>
      <c r="H259" s="66">
        <v>25569.041962604166</v>
      </c>
      <c r="I259" s="62">
        <v>28</v>
      </c>
      <c r="J259" s="53"/>
      <c r="K259" s="57"/>
      <c r="L259" s="52">
        <v>13432</v>
      </c>
      <c r="M259" s="58">
        <f t="shared" si="19"/>
        <v>115.89650555560335</v>
      </c>
      <c r="N259" s="58">
        <v>4342.93</v>
      </c>
      <c r="O259" s="60">
        <f t="shared" si="20"/>
        <v>3.0928428503337608</v>
      </c>
      <c r="P259" s="60">
        <f t="shared" si="21"/>
        <v>2.6686247661280138E-2</v>
      </c>
      <c r="Q259" s="224"/>
    </row>
    <row r="260" spans="1:17" ht="17.25" customHeight="1" x14ac:dyDescent="0.2">
      <c r="A260" s="52">
        <v>2391</v>
      </c>
      <c r="B260" s="53" t="s">
        <v>338</v>
      </c>
      <c r="C260" s="53" t="s">
        <v>217</v>
      </c>
      <c r="D260" s="54">
        <v>340.21</v>
      </c>
      <c r="E260" s="62">
        <v>904</v>
      </c>
      <c r="F260" s="54">
        <f t="shared" si="18"/>
        <v>338.41853619999995</v>
      </c>
      <c r="G260" s="66">
        <v>25569.041962604166</v>
      </c>
      <c r="H260" s="66">
        <v>25569.041962604166</v>
      </c>
      <c r="I260" s="62">
        <v>28</v>
      </c>
      <c r="J260" s="53"/>
      <c r="K260" s="57"/>
      <c r="L260" s="52">
        <v>20598</v>
      </c>
      <c r="M260" s="58">
        <f t="shared" si="19"/>
        <v>143.52003344481216</v>
      </c>
      <c r="N260" s="58">
        <v>3184.65</v>
      </c>
      <c r="O260" s="60">
        <f t="shared" si="20"/>
        <v>6.4679007112241536</v>
      </c>
      <c r="P260" s="60">
        <f t="shared" si="21"/>
        <v>4.5066187318798662E-2</v>
      </c>
      <c r="Q260" s="225"/>
    </row>
    <row r="261" spans="1:17" ht="17.25" customHeight="1" x14ac:dyDescent="0.2">
      <c r="A261" s="52">
        <v>2392</v>
      </c>
      <c r="B261" s="53" t="s">
        <v>338</v>
      </c>
      <c r="C261" s="53" t="s">
        <v>217</v>
      </c>
      <c r="D261" s="54">
        <v>341.22</v>
      </c>
      <c r="E261" s="62">
        <v>904</v>
      </c>
      <c r="F261" s="54">
        <f t="shared" si="18"/>
        <v>339.42176919999997</v>
      </c>
      <c r="G261" s="66">
        <v>25569.041962604166</v>
      </c>
      <c r="H261" s="66">
        <v>25569.041962604166</v>
      </c>
      <c r="I261" s="62">
        <v>28</v>
      </c>
      <c r="J261" s="53"/>
      <c r="K261" s="57"/>
      <c r="L261" s="52">
        <v>32727</v>
      </c>
      <c r="M261" s="58">
        <f t="shared" si="19"/>
        <v>180.90605296672635</v>
      </c>
      <c r="N261" s="58">
        <v>2827.94</v>
      </c>
      <c r="O261" s="60">
        <f t="shared" si="20"/>
        <v>11.572734923654675</v>
      </c>
      <c r="P261" s="60">
        <f t="shared" si="21"/>
        <v>6.3970965779587385E-2</v>
      </c>
      <c r="Q261" s="225"/>
    </row>
    <row r="262" spans="1:17" ht="17.25" customHeight="1" x14ac:dyDescent="0.2">
      <c r="A262" s="52">
        <v>2393</v>
      </c>
      <c r="B262" s="53" t="s">
        <v>338</v>
      </c>
      <c r="C262" s="53" t="s">
        <v>217</v>
      </c>
      <c r="D262" s="54">
        <v>342.22399999999999</v>
      </c>
      <c r="E262" s="62">
        <v>904</v>
      </c>
      <c r="F262" s="54">
        <f t="shared" si="18"/>
        <v>340.41904239999997</v>
      </c>
      <c r="G262" s="66">
        <v>25569.041962604166</v>
      </c>
      <c r="H262" s="66">
        <v>25569.041962604166</v>
      </c>
      <c r="I262" s="55"/>
      <c r="J262" s="53"/>
      <c r="K262" s="57"/>
      <c r="L262" s="52">
        <v>35688</v>
      </c>
      <c r="M262" s="58">
        <f t="shared" si="19"/>
        <v>188.91267824050348</v>
      </c>
      <c r="N262" s="58">
        <v>1554.77</v>
      </c>
      <c r="O262" s="60">
        <f t="shared" si="20"/>
        <v>22.953877422384018</v>
      </c>
      <c r="P262" s="60">
        <f t="shared" si="21"/>
        <v>0.12150522472166525</v>
      </c>
      <c r="Q262" s="225"/>
    </row>
    <row r="263" spans="1:17" ht="17.25" customHeight="1" x14ac:dyDescent="0.2">
      <c r="A263" s="52">
        <v>2394</v>
      </c>
      <c r="B263" s="53" t="s">
        <v>338</v>
      </c>
      <c r="C263" s="53" t="s">
        <v>217</v>
      </c>
      <c r="D263" s="54">
        <v>343.21100000000001</v>
      </c>
      <c r="E263" s="62">
        <v>904</v>
      </c>
      <c r="F263" s="54">
        <f t="shared" si="18"/>
        <v>341.3994295</v>
      </c>
      <c r="G263" s="66">
        <v>25569.041962604166</v>
      </c>
      <c r="H263" s="66">
        <v>25569.041962604166</v>
      </c>
      <c r="I263" s="62">
        <v>28</v>
      </c>
      <c r="J263" s="53"/>
      <c r="K263" s="57"/>
      <c r="L263" s="52">
        <v>63063</v>
      </c>
      <c r="M263" s="58">
        <f t="shared" si="19"/>
        <v>251.12347560512936</v>
      </c>
      <c r="N263" s="58">
        <v>1694.52</v>
      </c>
      <c r="O263" s="60">
        <f t="shared" si="20"/>
        <v>37.215848735925221</v>
      </c>
      <c r="P263" s="60">
        <f t="shared" si="21"/>
        <v>0.14819741024309502</v>
      </c>
      <c r="Q263" s="225"/>
    </row>
    <row r="264" spans="1:17" ht="17.25" customHeight="1" x14ac:dyDescent="0.2">
      <c r="A264" s="52">
        <v>2395</v>
      </c>
      <c r="B264" s="53" t="s">
        <v>338</v>
      </c>
      <c r="C264" s="53" t="s">
        <v>217</v>
      </c>
      <c r="D264" s="54">
        <v>344.21199999999999</v>
      </c>
      <c r="E264" s="62">
        <v>904</v>
      </c>
      <c r="F264" s="54">
        <f t="shared" si="18"/>
        <v>342.39372279999992</v>
      </c>
      <c r="G264" s="66">
        <v>25569.041962604166</v>
      </c>
      <c r="H264" s="66">
        <v>25569.041962604166</v>
      </c>
      <c r="I264" s="58">
        <v>28.5</v>
      </c>
      <c r="J264" s="53"/>
      <c r="K264" s="57"/>
      <c r="L264" s="52">
        <v>183841</v>
      </c>
      <c r="M264" s="58">
        <f t="shared" si="19"/>
        <v>428.76683640412301</v>
      </c>
      <c r="N264" s="58">
        <v>3746.13</v>
      </c>
      <c r="O264" s="60">
        <f t="shared" si="20"/>
        <v>49.074911975825721</v>
      </c>
      <c r="P264" s="60">
        <f t="shared" si="21"/>
        <v>0.1144559415728026</v>
      </c>
      <c r="Q264" s="225"/>
    </row>
    <row r="265" spans="1:17" ht="17.25" customHeight="1" x14ac:dyDescent="0.2">
      <c r="A265" s="52">
        <v>2396</v>
      </c>
      <c r="B265" s="53" t="s">
        <v>338</v>
      </c>
      <c r="C265" s="53" t="s">
        <v>217</v>
      </c>
      <c r="D265" s="54">
        <v>345.21199999999999</v>
      </c>
      <c r="E265" s="62">
        <v>904</v>
      </c>
      <c r="F265" s="54">
        <f t="shared" si="18"/>
        <v>343.38702279999995</v>
      </c>
      <c r="G265" s="66">
        <v>25569.041962604166</v>
      </c>
      <c r="H265" s="66">
        <v>25569.041962604166</v>
      </c>
      <c r="I265" s="62">
        <v>28</v>
      </c>
      <c r="J265" s="53"/>
      <c r="K265" s="57"/>
      <c r="L265" s="52">
        <v>156881</v>
      </c>
      <c r="M265" s="58">
        <f t="shared" si="19"/>
        <v>396.08206220428616</v>
      </c>
      <c r="N265" s="58">
        <v>3048.29</v>
      </c>
      <c r="O265" s="60">
        <f t="shared" si="20"/>
        <v>51.465247729054653</v>
      </c>
      <c r="P265" s="60">
        <f t="shared" si="21"/>
        <v>0.12993582047780433</v>
      </c>
      <c r="Q265" s="63"/>
    </row>
    <row r="266" spans="1:17" ht="17.25" customHeight="1" x14ac:dyDescent="0.2">
      <c r="A266" s="52">
        <v>2397</v>
      </c>
      <c r="B266" s="53" t="s">
        <v>338</v>
      </c>
      <c r="C266" s="53" t="s">
        <v>217</v>
      </c>
      <c r="D266" s="54">
        <v>346.21899999999999</v>
      </c>
      <c r="E266" s="62">
        <v>904</v>
      </c>
      <c r="F266" s="54">
        <f t="shared" si="18"/>
        <v>344.38727589999996</v>
      </c>
      <c r="G266" s="66">
        <v>25569.041962604166</v>
      </c>
      <c r="H266" s="66">
        <v>25569.041962604166</v>
      </c>
      <c r="I266" s="62">
        <v>28</v>
      </c>
      <c r="J266" s="53"/>
      <c r="K266" s="57"/>
      <c r="L266" s="52">
        <v>181041</v>
      </c>
      <c r="M266" s="58">
        <f t="shared" si="19"/>
        <v>425.48913029594542</v>
      </c>
      <c r="N266" s="58">
        <v>3421.11</v>
      </c>
      <c r="O266" s="60">
        <f t="shared" si="20"/>
        <v>52.918789515683507</v>
      </c>
      <c r="P266" s="60">
        <f t="shared" si="21"/>
        <v>0.1243716601617444</v>
      </c>
      <c r="Q266" s="63"/>
    </row>
    <row r="267" spans="1:17" ht="17.25" customHeight="1" x14ac:dyDescent="0.2">
      <c r="A267" s="52">
        <v>2398</v>
      </c>
      <c r="B267" s="53" t="s">
        <v>338</v>
      </c>
      <c r="C267" s="53" t="s">
        <v>217</v>
      </c>
      <c r="D267" s="54">
        <v>347.21300000000002</v>
      </c>
      <c r="E267" s="62">
        <v>904</v>
      </c>
      <c r="F267" s="54">
        <f t="shared" si="18"/>
        <v>345.37461609999997</v>
      </c>
      <c r="G267" s="66">
        <v>25569.041962604166</v>
      </c>
      <c r="H267" s="66">
        <v>25569.041962604166</v>
      </c>
      <c r="I267" s="62">
        <v>28</v>
      </c>
      <c r="J267" s="53"/>
      <c r="K267" s="57"/>
      <c r="L267" s="52">
        <v>96956</v>
      </c>
      <c r="M267" s="58">
        <f t="shared" si="19"/>
        <v>311.37758429276823</v>
      </c>
      <c r="N267" s="58">
        <v>1973.22</v>
      </c>
      <c r="O267" s="60">
        <f t="shared" si="20"/>
        <v>49.135930104093816</v>
      </c>
      <c r="P267" s="60">
        <f t="shared" si="21"/>
        <v>0.15780175768174265</v>
      </c>
      <c r="Q267" s="63"/>
    </row>
    <row r="268" spans="1:17" ht="17.25" customHeight="1" x14ac:dyDescent="0.2">
      <c r="A268" s="52">
        <v>2399</v>
      </c>
      <c r="B268" s="53" t="s">
        <v>338</v>
      </c>
      <c r="C268" s="53" t="s">
        <v>217</v>
      </c>
      <c r="D268" s="54">
        <v>348.22</v>
      </c>
      <c r="E268" s="62">
        <v>904</v>
      </c>
      <c r="F268" s="54">
        <f t="shared" ref="F268:F331" si="22">0.9933*(D268 + E268/1000)-0.41</f>
        <v>346.37486919999998</v>
      </c>
      <c r="G268" s="66">
        <v>25569.041962604166</v>
      </c>
      <c r="H268" s="66">
        <v>25569.041962604166</v>
      </c>
      <c r="I268" s="62">
        <v>28</v>
      </c>
      <c r="J268" s="53"/>
      <c r="K268" s="57"/>
      <c r="L268" s="52">
        <v>141329</v>
      </c>
      <c r="M268" s="58">
        <f t="shared" si="19"/>
        <v>375.93749480465499</v>
      </c>
      <c r="N268" s="58">
        <v>3186.43</v>
      </c>
      <c r="O268" s="60">
        <f t="shared" si="20"/>
        <v>44.353398631069886</v>
      </c>
      <c r="P268" s="60">
        <f t="shared" si="21"/>
        <v>0.11798077936896621</v>
      </c>
      <c r="Q268" s="63"/>
    </row>
    <row r="269" spans="1:17" ht="17.25" customHeight="1" x14ac:dyDescent="0.2">
      <c r="A269" s="52">
        <v>2400</v>
      </c>
      <c r="B269" s="53" t="s">
        <v>338</v>
      </c>
      <c r="C269" s="53" t="s">
        <v>217</v>
      </c>
      <c r="D269" s="54">
        <v>349.22</v>
      </c>
      <c r="E269" s="62">
        <v>904</v>
      </c>
      <c r="F269" s="54">
        <f t="shared" si="22"/>
        <v>347.36816920000001</v>
      </c>
      <c r="G269" s="66">
        <v>25569.041962604166</v>
      </c>
      <c r="H269" s="66">
        <v>25569.041962604166</v>
      </c>
      <c r="I269" s="62">
        <v>27</v>
      </c>
      <c r="J269" s="53"/>
      <c r="K269" s="57"/>
      <c r="L269" s="52">
        <v>65974</v>
      </c>
      <c r="M269" s="58">
        <f t="shared" ref="M269:M279" si="23">SQRT(L269)</f>
        <v>256.85404415737742</v>
      </c>
      <c r="N269" s="58">
        <v>1702.61</v>
      </c>
      <c r="O269" s="60">
        <f t="shared" ref="O269:O332" si="24">L269/N269</f>
        <v>38.748744574506205</v>
      </c>
      <c r="P269" s="60">
        <f t="shared" ref="P269:P332" si="25">M269/N269</f>
        <v>0.15085900127297353</v>
      </c>
      <c r="Q269" s="63"/>
    </row>
    <row r="270" spans="1:17" ht="17.25" customHeight="1" x14ac:dyDescent="0.2">
      <c r="A270" s="52">
        <v>2401</v>
      </c>
      <c r="B270" s="53" t="s">
        <v>338</v>
      </c>
      <c r="C270" s="53" t="s">
        <v>217</v>
      </c>
      <c r="D270" s="54">
        <v>350.221</v>
      </c>
      <c r="E270" s="62">
        <v>904</v>
      </c>
      <c r="F270" s="54">
        <f t="shared" si="22"/>
        <v>348.36246249999994</v>
      </c>
      <c r="G270" s="66">
        <v>25569.041962604166</v>
      </c>
      <c r="H270" s="66">
        <v>25569.041962604166</v>
      </c>
      <c r="I270" s="62">
        <v>28</v>
      </c>
      <c r="J270" s="53"/>
      <c r="K270" s="57"/>
      <c r="L270" s="52">
        <v>62182</v>
      </c>
      <c r="M270" s="58">
        <f t="shared" si="23"/>
        <v>249.36318894335628</v>
      </c>
      <c r="N270" s="58">
        <v>1882.89</v>
      </c>
      <c r="O270" s="60">
        <f t="shared" si="24"/>
        <v>33.024765121701215</v>
      </c>
      <c r="P270" s="60">
        <f t="shared" si="25"/>
        <v>0.13243640836339685</v>
      </c>
      <c r="Q270" s="63"/>
    </row>
    <row r="271" spans="1:17" ht="17.25" customHeight="1" x14ac:dyDescent="0.2">
      <c r="A271" s="52">
        <v>2402</v>
      </c>
      <c r="B271" s="53" t="s">
        <v>338</v>
      </c>
      <c r="C271" s="53" t="s">
        <v>217</v>
      </c>
      <c r="D271" s="54">
        <v>351.221</v>
      </c>
      <c r="E271" s="62">
        <v>904</v>
      </c>
      <c r="F271" s="54">
        <f t="shared" si="22"/>
        <v>349.35576249999997</v>
      </c>
      <c r="G271" s="66">
        <v>25569.041962604166</v>
      </c>
      <c r="H271" s="66">
        <v>25569.041962604166</v>
      </c>
      <c r="I271" s="62">
        <v>28</v>
      </c>
      <c r="J271" s="53"/>
      <c r="K271" s="57"/>
      <c r="L271" s="52">
        <v>65587</v>
      </c>
      <c r="M271" s="58">
        <f t="shared" si="23"/>
        <v>256.09959000357657</v>
      </c>
      <c r="N271" s="58">
        <v>2332.2199999999998</v>
      </c>
      <c r="O271" s="60">
        <f t="shared" si="24"/>
        <v>28.122132560393105</v>
      </c>
      <c r="P271" s="60">
        <f t="shared" si="25"/>
        <v>0.10980936189706657</v>
      </c>
      <c r="Q271" s="63"/>
    </row>
    <row r="272" spans="1:17" ht="17.25" customHeight="1" x14ac:dyDescent="0.2">
      <c r="A272" s="52">
        <v>2403</v>
      </c>
      <c r="B272" s="53" t="s">
        <v>338</v>
      </c>
      <c r="C272" s="53" t="s">
        <v>217</v>
      </c>
      <c r="D272" s="54">
        <v>352.22800000000001</v>
      </c>
      <c r="E272" s="62">
        <v>904</v>
      </c>
      <c r="F272" s="54">
        <f t="shared" si="22"/>
        <v>350.35601559999998</v>
      </c>
      <c r="G272" s="66">
        <v>25569.041962604166</v>
      </c>
      <c r="H272" s="66">
        <v>25569.041962604166</v>
      </c>
      <c r="I272" s="62">
        <v>27</v>
      </c>
      <c r="J272" s="53"/>
      <c r="K272" s="57"/>
      <c r="L272" s="52">
        <v>42477</v>
      </c>
      <c r="M272" s="58">
        <f t="shared" si="23"/>
        <v>206.09949053794384</v>
      </c>
      <c r="N272" s="58">
        <v>1831.09</v>
      </c>
      <c r="O272" s="60">
        <f t="shared" si="24"/>
        <v>23.197658225428572</v>
      </c>
      <c r="P272" s="60">
        <f t="shared" si="25"/>
        <v>0.11255563109292489</v>
      </c>
      <c r="Q272" s="63"/>
    </row>
    <row r="273" spans="1:17" ht="17.25" customHeight="1" x14ac:dyDescent="0.2">
      <c r="A273" s="52">
        <v>2404</v>
      </c>
      <c r="B273" s="53" t="s">
        <v>338</v>
      </c>
      <c r="C273" s="53" t="s">
        <v>217</v>
      </c>
      <c r="D273" s="54">
        <v>353.23500000000001</v>
      </c>
      <c r="E273" s="62">
        <v>904</v>
      </c>
      <c r="F273" s="54">
        <f t="shared" si="22"/>
        <v>351.35626869999999</v>
      </c>
      <c r="G273" s="66">
        <v>25569.041962604166</v>
      </c>
      <c r="H273" s="66">
        <v>25569.041962604166</v>
      </c>
      <c r="I273" s="62">
        <v>27</v>
      </c>
      <c r="J273" s="53"/>
      <c r="K273" s="57"/>
      <c r="L273" s="52">
        <v>67414</v>
      </c>
      <c r="M273" s="58">
        <f t="shared" si="23"/>
        <v>259.64206130748539</v>
      </c>
      <c r="N273" s="62">
        <v>3417</v>
      </c>
      <c r="O273" s="60">
        <f t="shared" si="24"/>
        <v>19.729002048580625</v>
      </c>
      <c r="P273" s="60">
        <f t="shared" si="25"/>
        <v>7.5985385223144686E-2</v>
      </c>
      <c r="Q273" s="63"/>
    </row>
    <row r="274" spans="1:17" ht="17.25" customHeight="1" x14ac:dyDescent="0.2">
      <c r="A274" s="52">
        <v>2405</v>
      </c>
      <c r="B274" s="53" t="s">
        <v>338</v>
      </c>
      <c r="C274" s="53" t="s">
        <v>217</v>
      </c>
      <c r="D274" s="54">
        <v>354.22899999999998</v>
      </c>
      <c r="E274" s="62">
        <v>904</v>
      </c>
      <c r="F274" s="54">
        <f t="shared" si="22"/>
        <v>352.34360889999994</v>
      </c>
      <c r="G274" s="66">
        <v>25569.041962604166</v>
      </c>
      <c r="H274" s="66">
        <v>25569.041962604166</v>
      </c>
      <c r="I274" s="62">
        <v>27</v>
      </c>
      <c r="J274" s="53"/>
      <c r="K274" s="57"/>
      <c r="L274" s="52">
        <v>41994</v>
      </c>
      <c r="M274" s="58">
        <f t="shared" si="23"/>
        <v>204.92437629525679</v>
      </c>
      <c r="N274" s="58">
        <v>2524.37</v>
      </c>
      <c r="O274" s="60">
        <f t="shared" si="24"/>
        <v>16.635437752785844</v>
      </c>
      <c r="P274" s="60">
        <f t="shared" si="25"/>
        <v>8.1178423248278508E-2</v>
      </c>
      <c r="Q274" s="63"/>
    </row>
    <row r="275" spans="1:17" ht="17.25" customHeight="1" x14ac:dyDescent="0.2">
      <c r="A275" s="52">
        <v>2406</v>
      </c>
      <c r="B275" s="53" t="s">
        <v>338</v>
      </c>
      <c r="C275" s="53" t="s">
        <v>217</v>
      </c>
      <c r="D275" s="54">
        <v>356.23</v>
      </c>
      <c r="E275" s="62">
        <v>904</v>
      </c>
      <c r="F275" s="54">
        <f t="shared" si="22"/>
        <v>354.33120219999995</v>
      </c>
      <c r="G275" s="66">
        <v>25569.041962604166</v>
      </c>
      <c r="H275" s="66">
        <v>25569.041962604166</v>
      </c>
      <c r="I275" s="62">
        <v>26</v>
      </c>
      <c r="J275" s="53"/>
      <c r="K275" s="57"/>
      <c r="L275" s="52">
        <v>21247</v>
      </c>
      <c r="M275" s="58">
        <f t="shared" si="23"/>
        <v>145.76350709282485</v>
      </c>
      <c r="N275" s="58">
        <v>1829.53</v>
      </c>
      <c r="O275" s="60">
        <f t="shared" si="24"/>
        <v>11.613365181221408</v>
      </c>
      <c r="P275" s="60">
        <f t="shared" si="25"/>
        <v>7.9672652043325257E-2</v>
      </c>
      <c r="Q275" s="63"/>
    </row>
    <row r="276" spans="1:17" ht="17.25" customHeight="1" x14ac:dyDescent="0.2">
      <c r="A276" s="52">
        <v>2407</v>
      </c>
      <c r="B276" s="53" t="s">
        <v>338</v>
      </c>
      <c r="C276" s="53" t="s">
        <v>217</v>
      </c>
      <c r="D276" s="54">
        <v>358.23700000000002</v>
      </c>
      <c r="E276" s="62">
        <v>904</v>
      </c>
      <c r="F276" s="54">
        <f t="shared" si="22"/>
        <v>356.32475529999999</v>
      </c>
      <c r="G276" s="66">
        <v>25569.041962604166</v>
      </c>
      <c r="H276" s="66">
        <v>25569.041962604166</v>
      </c>
      <c r="I276" s="62">
        <v>26</v>
      </c>
      <c r="J276" s="53"/>
      <c r="K276" s="57"/>
      <c r="L276" s="52">
        <v>27498</v>
      </c>
      <c r="M276" s="58">
        <f t="shared" si="23"/>
        <v>165.82520918123396</v>
      </c>
      <c r="N276" s="58">
        <v>3279.43</v>
      </c>
      <c r="O276" s="60">
        <f t="shared" si="24"/>
        <v>8.3849937336671321</v>
      </c>
      <c r="P276" s="60">
        <f t="shared" si="25"/>
        <v>5.0565253468204528E-2</v>
      </c>
      <c r="Q276" s="63"/>
    </row>
    <row r="277" spans="1:17" ht="17.25" customHeight="1" x14ac:dyDescent="0.2">
      <c r="A277" s="52">
        <v>2408</v>
      </c>
      <c r="B277" s="53" t="s">
        <v>338</v>
      </c>
      <c r="C277" s="53" t="s">
        <v>217</v>
      </c>
      <c r="D277" s="54">
        <v>360.23099999999999</v>
      </c>
      <c r="E277" s="62">
        <v>904</v>
      </c>
      <c r="F277" s="54">
        <f t="shared" si="22"/>
        <v>358.30539549999997</v>
      </c>
      <c r="G277" s="66">
        <v>25569.041962604166</v>
      </c>
      <c r="H277" s="66">
        <v>25569.041962604166</v>
      </c>
      <c r="I277" s="55"/>
      <c r="J277" s="53"/>
      <c r="K277" s="57"/>
      <c r="L277" s="52">
        <v>20527</v>
      </c>
      <c r="M277" s="58">
        <f t="shared" si="23"/>
        <v>143.2724676970422</v>
      </c>
      <c r="N277" s="58">
        <v>3210.46</v>
      </c>
      <c r="O277" s="60">
        <f t="shared" si="24"/>
        <v>6.3937878061087821</v>
      </c>
      <c r="P277" s="60">
        <f t="shared" si="25"/>
        <v>4.4626772393065853E-2</v>
      </c>
      <c r="Q277" s="63"/>
    </row>
    <row r="278" spans="1:17" ht="17.25" customHeight="1" x14ac:dyDescent="0.2">
      <c r="A278" s="52">
        <v>2409</v>
      </c>
      <c r="B278" s="53" t="s">
        <v>338</v>
      </c>
      <c r="C278" s="53" t="s">
        <v>217</v>
      </c>
      <c r="D278" s="54">
        <v>362.23899999999998</v>
      </c>
      <c r="E278" s="62">
        <v>904</v>
      </c>
      <c r="F278" s="54">
        <f t="shared" si="22"/>
        <v>360.29994189999991</v>
      </c>
      <c r="G278" s="66">
        <v>25569.041962604166</v>
      </c>
      <c r="H278" s="66">
        <v>25569.041962604166</v>
      </c>
      <c r="I278" s="62">
        <v>26</v>
      </c>
      <c r="J278" s="53"/>
      <c r="K278" s="57"/>
      <c r="L278" s="52">
        <v>10856</v>
      </c>
      <c r="M278" s="58">
        <f t="shared" si="23"/>
        <v>104.19213022104884</v>
      </c>
      <c r="N278" s="58">
        <v>2225.48</v>
      </c>
      <c r="O278" s="60">
        <f t="shared" si="24"/>
        <v>4.8780487804878048</v>
      </c>
      <c r="P278" s="60">
        <f t="shared" si="25"/>
        <v>4.6817823669971802E-2</v>
      </c>
      <c r="Q278" s="63"/>
    </row>
    <row r="279" spans="1:17" ht="17.25" customHeight="1" x14ac:dyDescent="0.2">
      <c r="A279" s="52">
        <v>2410</v>
      </c>
      <c r="B279" s="53" t="s">
        <v>338</v>
      </c>
      <c r="C279" s="53" t="s">
        <v>217</v>
      </c>
      <c r="D279" s="54">
        <v>364.24599999999998</v>
      </c>
      <c r="E279" s="62">
        <v>904</v>
      </c>
      <c r="F279" s="54">
        <f t="shared" si="22"/>
        <v>362.29349499999995</v>
      </c>
      <c r="G279" s="66">
        <v>25569.041962604166</v>
      </c>
      <c r="H279" s="66">
        <v>25569.041962604166</v>
      </c>
      <c r="I279" s="62">
        <v>24</v>
      </c>
      <c r="J279" s="53"/>
      <c r="K279" s="57"/>
      <c r="L279" s="52">
        <v>13082</v>
      </c>
      <c r="M279" s="58">
        <f t="shared" si="23"/>
        <v>114.37657102746174</v>
      </c>
      <c r="N279" s="58">
        <v>3385.18</v>
      </c>
      <c r="O279" s="60">
        <f t="shared" si="24"/>
        <v>3.8644916961579594</v>
      </c>
      <c r="P279" s="60">
        <f t="shared" si="25"/>
        <v>3.3787441444018261E-2</v>
      </c>
      <c r="Q279" s="63" t="s">
        <v>339</v>
      </c>
    </row>
    <row r="280" spans="1:17" ht="17.25" customHeight="1" x14ac:dyDescent="0.2">
      <c r="A280" s="52">
        <v>2411</v>
      </c>
      <c r="B280" s="53" t="s">
        <v>9</v>
      </c>
      <c r="C280" s="73" t="s">
        <v>340</v>
      </c>
      <c r="D280" s="54">
        <v>334.22800000000001</v>
      </c>
      <c r="E280" s="62">
        <v>902</v>
      </c>
      <c r="F280" s="54">
        <f t="shared" si="22"/>
        <v>332.47462899999994</v>
      </c>
      <c r="G280" s="66">
        <v>25569.041962604166</v>
      </c>
      <c r="H280" s="69"/>
      <c r="I280" s="55"/>
      <c r="J280" s="53"/>
      <c r="K280" s="57"/>
      <c r="L280" s="52"/>
      <c r="M280" s="58"/>
      <c r="N280" s="59"/>
      <c r="O280" s="71" t="e">
        <f t="shared" si="24"/>
        <v>#DIV/0!</v>
      </c>
      <c r="P280" s="60" t="e">
        <f t="shared" si="25"/>
        <v>#DIV/0!</v>
      </c>
      <c r="Q280" s="63" t="s">
        <v>341</v>
      </c>
    </row>
    <row r="281" spans="1:17" ht="17.25" customHeight="1" x14ac:dyDescent="0.2">
      <c r="A281" s="52">
        <v>2412</v>
      </c>
      <c r="B281" s="53" t="s">
        <v>9</v>
      </c>
      <c r="C281" s="57" t="s">
        <v>340</v>
      </c>
      <c r="D281" s="54">
        <v>334.22800000000001</v>
      </c>
      <c r="E281" s="62">
        <v>902</v>
      </c>
      <c r="F281" s="54">
        <f t="shared" si="22"/>
        <v>332.47462899999994</v>
      </c>
      <c r="G281" s="66">
        <v>25569.041962604166</v>
      </c>
      <c r="H281" s="66">
        <v>25569.041962604166</v>
      </c>
      <c r="I281" s="62">
        <v>29</v>
      </c>
      <c r="J281" s="53"/>
      <c r="K281" s="57"/>
      <c r="L281" s="52">
        <v>1771</v>
      </c>
      <c r="M281" s="58">
        <f t="shared" ref="M281:M312" si="26">SQRT(L281)</f>
        <v>42.083250825001628</v>
      </c>
      <c r="N281" s="58">
        <v>4666.9399999999996</v>
      </c>
      <c r="O281" s="60">
        <f t="shared" si="24"/>
        <v>0.3794777734446983</v>
      </c>
      <c r="P281" s="60">
        <f t="shared" si="25"/>
        <v>9.0173113056953025E-3</v>
      </c>
      <c r="Q281" s="63" t="s">
        <v>342</v>
      </c>
    </row>
    <row r="282" spans="1:17" ht="17.25" customHeight="1" x14ac:dyDescent="0.2">
      <c r="A282" s="52">
        <v>2413</v>
      </c>
      <c r="B282" s="53" t="s">
        <v>9</v>
      </c>
      <c r="C282" s="57" t="s">
        <v>340</v>
      </c>
      <c r="D282" s="54">
        <v>336.23599999999999</v>
      </c>
      <c r="E282" s="62">
        <v>902</v>
      </c>
      <c r="F282" s="54">
        <f t="shared" si="22"/>
        <v>334.46917539999993</v>
      </c>
      <c r="G282" s="66">
        <v>25569.041962604166</v>
      </c>
      <c r="H282" s="66">
        <v>25569.041962604166</v>
      </c>
      <c r="I282" s="62">
        <v>29</v>
      </c>
      <c r="J282" s="53"/>
      <c r="K282" s="57"/>
      <c r="L282" s="52">
        <v>1800</v>
      </c>
      <c r="M282" s="58">
        <f t="shared" si="26"/>
        <v>42.426406871192853</v>
      </c>
      <c r="N282" s="58">
        <v>3270.97</v>
      </c>
      <c r="O282" s="60">
        <f t="shared" si="24"/>
        <v>0.55029547809976864</v>
      </c>
      <c r="P282" s="60">
        <f t="shared" si="25"/>
        <v>1.2970588807354655E-2</v>
      </c>
      <c r="Q282" s="63"/>
    </row>
    <row r="283" spans="1:17" ht="17.25" customHeight="1" x14ac:dyDescent="0.2">
      <c r="A283" s="52">
        <v>2414</v>
      </c>
      <c r="B283" s="53" t="s">
        <v>9</v>
      </c>
      <c r="C283" s="57" t="s">
        <v>340</v>
      </c>
      <c r="D283" s="54">
        <v>338.23599999999999</v>
      </c>
      <c r="E283" s="62">
        <v>902</v>
      </c>
      <c r="F283" s="54">
        <f t="shared" si="22"/>
        <v>336.45577539999994</v>
      </c>
      <c r="G283" s="66">
        <v>25569.041962604166</v>
      </c>
      <c r="H283" s="66">
        <v>25569.041962604166</v>
      </c>
      <c r="I283" s="62">
        <v>28</v>
      </c>
      <c r="J283" s="53"/>
      <c r="K283" s="57"/>
      <c r="L283" s="52">
        <v>3966</v>
      </c>
      <c r="M283" s="58">
        <f t="shared" si="26"/>
        <v>62.976185975335156</v>
      </c>
      <c r="N283" s="58">
        <v>4386.6899999999996</v>
      </c>
      <c r="O283" s="60">
        <f t="shared" si="24"/>
        <v>0.90409853443028809</v>
      </c>
      <c r="P283" s="60">
        <f t="shared" si="25"/>
        <v>1.4356197035882444E-2</v>
      </c>
      <c r="Q283" s="63"/>
    </row>
    <row r="284" spans="1:17" ht="17.25" customHeight="1" x14ac:dyDescent="0.2">
      <c r="A284" s="52">
        <v>2415</v>
      </c>
      <c r="B284" s="53" t="s">
        <v>9</v>
      </c>
      <c r="C284" s="57" t="s">
        <v>340</v>
      </c>
      <c r="D284" s="54">
        <v>340.24400000000003</v>
      </c>
      <c r="E284" s="62">
        <v>902</v>
      </c>
      <c r="F284" s="54">
        <f t="shared" si="22"/>
        <v>338.45032179999998</v>
      </c>
      <c r="G284" s="66">
        <v>25569.041962604166</v>
      </c>
      <c r="H284" s="66">
        <v>25569.041962604166</v>
      </c>
      <c r="I284" s="55"/>
      <c r="J284" s="53"/>
      <c r="K284" s="57"/>
      <c r="L284" s="52">
        <v>3575</v>
      </c>
      <c r="M284" s="58">
        <f t="shared" si="26"/>
        <v>59.791303715506992</v>
      </c>
      <c r="N284" s="58">
        <v>1947.76</v>
      </c>
      <c r="O284" s="60">
        <f t="shared" si="24"/>
        <v>1.8354417382018318</v>
      </c>
      <c r="P284" s="60">
        <f t="shared" si="25"/>
        <v>3.0697469768096168E-2</v>
      </c>
      <c r="Q284" s="63" t="s">
        <v>343</v>
      </c>
    </row>
    <row r="285" spans="1:17" ht="17.25" customHeight="1" x14ac:dyDescent="0.2">
      <c r="A285" s="52">
        <v>2416</v>
      </c>
      <c r="B285" s="53" t="s">
        <v>29</v>
      </c>
      <c r="C285" s="57" t="s">
        <v>340</v>
      </c>
      <c r="D285" s="54">
        <v>341.24400000000003</v>
      </c>
      <c r="E285" s="62">
        <v>902</v>
      </c>
      <c r="F285" s="54">
        <f t="shared" si="22"/>
        <v>339.44362179999996</v>
      </c>
      <c r="G285" s="66">
        <v>25569.041962604166</v>
      </c>
      <c r="H285" s="66">
        <v>25569.041962604166</v>
      </c>
      <c r="I285" s="62">
        <v>28</v>
      </c>
      <c r="J285" s="53"/>
      <c r="K285" s="57"/>
      <c r="L285" s="52">
        <v>5157</v>
      </c>
      <c r="M285" s="58">
        <f t="shared" si="26"/>
        <v>71.812255221514945</v>
      </c>
      <c r="N285" s="58">
        <v>1771.11</v>
      </c>
      <c r="O285" s="60">
        <f t="shared" si="24"/>
        <v>2.9117333197825093</v>
      </c>
      <c r="P285" s="60">
        <f t="shared" si="25"/>
        <v>4.0546468159241913E-2</v>
      </c>
      <c r="Q285" s="63"/>
    </row>
    <row r="286" spans="1:17" ht="17.25" customHeight="1" x14ac:dyDescent="0.2">
      <c r="A286" s="52">
        <v>2417</v>
      </c>
      <c r="B286" s="53" t="s">
        <v>29</v>
      </c>
      <c r="C286" s="57" t="s">
        <v>340</v>
      </c>
      <c r="D286" s="54">
        <v>342.25099999999998</v>
      </c>
      <c r="E286" s="62">
        <v>902</v>
      </c>
      <c r="F286" s="54">
        <f t="shared" si="22"/>
        <v>340.44387489999991</v>
      </c>
      <c r="G286" s="66">
        <v>25569.041962604166</v>
      </c>
      <c r="H286" s="66">
        <v>25569.041962604166</v>
      </c>
      <c r="I286" s="62">
        <v>27</v>
      </c>
      <c r="J286" s="53"/>
      <c r="K286" s="57"/>
      <c r="L286" s="52">
        <v>10362</v>
      </c>
      <c r="M286" s="58">
        <f t="shared" si="26"/>
        <v>101.79390944452423</v>
      </c>
      <c r="N286" s="58">
        <v>1892.67</v>
      </c>
      <c r="O286" s="60">
        <f t="shared" si="24"/>
        <v>5.4748054335938114</v>
      </c>
      <c r="P286" s="60">
        <f t="shared" si="25"/>
        <v>5.3783231860030659E-2</v>
      </c>
      <c r="Q286" s="63"/>
    </row>
    <row r="287" spans="1:17" ht="17.25" customHeight="1" x14ac:dyDescent="0.2">
      <c r="A287" s="52">
        <v>2418</v>
      </c>
      <c r="B287" s="53" t="s">
        <v>29</v>
      </c>
      <c r="C287" s="57" t="s">
        <v>340</v>
      </c>
      <c r="D287" s="54">
        <v>343.245</v>
      </c>
      <c r="E287" s="62">
        <v>902</v>
      </c>
      <c r="F287" s="54">
        <f t="shared" si="22"/>
        <v>341.43121509999997</v>
      </c>
      <c r="G287" s="66">
        <v>25569.041962604166</v>
      </c>
      <c r="H287" s="66">
        <v>25569.041962604166</v>
      </c>
      <c r="I287" s="62">
        <v>28</v>
      </c>
      <c r="J287" s="53"/>
      <c r="K287" s="57"/>
      <c r="L287" s="52">
        <v>14540</v>
      </c>
      <c r="M287" s="58">
        <f t="shared" si="26"/>
        <v>120.58192235986289</v>
      </c>
      <c r="N287" s="58">
        <v>1587.65</v>
      </c>
      <c r="O287" s="60">
        <f t="shared" si="24"/>
        <v>9.158189777343873</v>
      </c>
      <c r="P287" s="60">
        <f t="shared" si="25"/>
        <v>7.5949940074867175E-2</v>
      </c>
      <c r="Q287" s="63"/>
    </row>
    <row r="288" spans="1:17" ht="17.25" customHeight="1" x14ac:dyDescent="0.2">
      <c r="A288" s="52">
        <v>2419</v>
      </c>
      <c r="B288" s="53" t="s">
        <v>29</v>
      </c>
      <c r="C288" s="57" t="s">
        <v>340</v>
      </c>
      <c r="D288" s="54">
        <v>344.25200000000001</v>
      </c>
      <c r="E288" s="62">
        <v>902</v>
      </c>
      <c r="F288" s="54">
        <f t="shared" si="22"/>
        <v>342.43146819999998</v>
      </c>
      <c r="G288" s="66">
        <v>25569.041962604166</v>
      </c>
      <c r="H288" s="66">
        <v>25569.041962604166</v>
      </c>
      <c r="I288" s="62">
        <v>28</v>
      </c>
      <c r="J288" s="53"/>
      <c r="K288" s="57"/>
      <c r="L288" s="52">
        <v>30836</v>
      </c>
      <c r="M288" s="58">
        <f t="shared" si="26"/>
        <v>175.60182231400674</v>
      </c>
      <c r="N288" s="58">
        <v>2451.65</v>
      </c>
      <c r="O288" s="60">
        <f t="shared" si="24"/>
        <v>12.577651785532192</v>
      </c>
      <c r="P288" s="60">
        <f t="shared" si="25"/>
        <v>7.1625975287666163E-2</v>
      </c>
      <c r="Q288" s="224"/>
    </row>
    <row r="289" spans="1:17" ht="17.25" customHeight="1" x14ac:dyDescent="0.2">
      <c r="A289" s="52">
        <v>2420</v>
      </c>
      <c r="B289" s="53" t="s">
        <v>29</v>
      </c>
      <c r="C289" s="57" t="s">
        <v>340</v>
      </c>
      <c r="D289" s="54">
        <v>345.25200000000001</v>
      </c>
      <c r="E289" s="62">
        <v>902</v>
      </c>
      <c r="F289" s="54">
        <f t="shared" si="22"/>
        <v>343.42476819999996</v>
      </c>
      <c r="G289" s="66">
        <v>25569.041962604166</v>
      </c>
      <c r="H289" s="66">
        <v>25569.041962604166</v>
      </c>
      <c r="I289" s="62">
        <v>27</v>
      </c>
      <c r="J289" s="53"/>
      <c r="K289" s="57"/>
      <c r="L289" s="52">
        <v>41136</v>
      </c>
      <c r="M289" s="58">
        <f t="shared" si="26"/>
        <v>202.82011734539549</v>
      </c>
      <c r="N289" s="58">
        <v>2621.82</v>
      </c>
      <c r="O289" s="60">
        <f t="shared" si="24"/>
        <v>15.689864292743207</v>
      </c>
      <c r="P289" s="60">
        <f t="shared" si="25"/>
        <v>7.7358520930268085E-2</v>
      </c>
      <c r="Q289" s="225"/>
    </row>
    <row r="290" spans="1:17" ht="17.25" customHeight="1" x14ac:dyDescent="0.2">
      <c r="A290" s="52">
        <v>2421</v>
      </c>
      <c r="B290" s="53" t="s">
        <v>29</v>
      </c>
      <c r="C290" s="57" t="s">
        <v>340</v>
      </c>
      <c r="D290" s="54">
        <v>346.25299999999999</v>
      </c>
      <c r="E290" s="62">
        <v>902</v>
      </c>
      <c r="F290" s="54">
        <f t="shared" si="22"/>
        <v>344.41906149999994</v>
      </c>
      <c r="G290" s="66">
        <v>25569.041962604166</v>
      </c>
      <c r="H290" s="66">
        <v>25569.041962604166</v>
      </c>
      <c r="I290" s="62">
        <v>27</v>
      </c>
      <c r="J290" s="53"/>
      <c r="K290" s="57"/>
      <c r="L290" s="52">
        <v>29849</v>
      </c>
      <c r="M290" s="58">
        <f t="shared" si="26"/>
        <v>172.76863141207087</v>
      </c>
      <c r="N290" s="58">
        <v>1686.9</v>
      </c>
      <c r="O290" s="60">
        <f t="shared" si="24"/>
        <v>17.694587705258165</v>
      </c>
      <c r="P290" s="60">
        <f t="shared" si="25"/>
        <v>0.10241782643432976</v>
      </c>
      <c r="Q290" s="63"/>
    </row>
    <row r="291" spans="1:17" ht="17.25" customHeight="1" x14ac:dyDescent="0.2">
      <c r="A291" s="52">
        <v>2422</v>
      </c>
      <c r="B291" s="53" t="s">
        <v>29</v>
      </c>
      <c r="C291" s="57" t="s">
        <v>340</v>
      </c>
      <c r="D291" s="54">
        <v>347.267</v>
      </c>
      <c r="E291" s="62">
        <v>902</v>
      </c>
      <c r="F291" s="54">
        <f t="shared" si="22"/>
        <v>345.42626769999993</v>
      </c>
      <c r="G291" s="66">
        <v>25569.041962604166</v>
      </c>
      <c r="H291" s="69"/>
      <c r="I291" s="62">
        <v>27</v>
      </c>
      <c r="J291" s="53"/>
      <c r="K291" s="57"/>
      <c r="L291" s="52">
        <v>41355</v>
      </c>
      <c r="M291" s="58">
        <f t="shared" si="26"/>
        <v>203.3592879609879</v>
      </c>
      <c r="N291" s="58">
        <v>2120.65</v>
      </c>
      <c r="O291" s="60">
        <f t="shared" si="24"/>
        <v>19.501096361964493</v>
      </c>
      <c r="P291" s="60">
        <f t="shared" si="25"/>
        <v>9.5894790729723386E-2</v>
      </c>
      <c r="Q291" s="63"/>
    </row>
    <row r="292" spans="1:17" ht="17.25" customHeight="1" x14ac:dyDescent="0.2">
      <c r="A292" s="52">
        <v>2423</v>
      </c>
      <c r="B292" s="53" t="s">
        <v>29</v>
      </c>
      <c r="C292" s="57" t="s">
        <v>340</v>
      </c>
      <c r="D292" s="54">
        <v>348.26</v>
      </c>
      <c r="E292" s="62">
        <v>902</v>
      </c>
      <c r="F292" s="54">
        <f t="shared" si="22"/>
        <v>346.41261459999993</v>
      </c>
      <c r="G292" s="66">
        <v>25569.041962604166</v>
      </c>
      <c r="H292" s="66">
        <v>25569.041962604166</v>
      </c>
      <c r="I292" s="62">
        <v>27</v>
      </c>
      <c r="J292" s="53"/>
      <c r="K292" s="57"/>
      <c r="L292" s="52">
        <v>43119</v>
      </c>
      <c r="M292" s="58">
        <f t="shared" si="26"/>
        <v>207.65114976806655</v>
      </c>
      <c r="N292" s="58">
        <v>2172.83</v>
      </c>
      <c r="O292" s="60">
        <f t="shared" si="24"/>
        <v>19.844626592968616</v>
      </c>
      <c r="P292" s="60">
        <f t="shared" si="25"/>
        <v>9.5567140442679152E-2</v>
      </c>
      <c r="Q292" s="63"/>
    </row>
    <row r="293" spans="1:17" ht="17.25" customHeight="1" x14ac:dyDescent="0.2">
      <c r="A293" s="52">
        <v>2424</v>
      </c>
      <c r="B293" s="53" t="s">
        <v>29</v>
      </c>
      <c r="C293" s="57" t="s">
        <v>340</v>
      </c>
      <c r="D293" s="54">
        <v>349.26</v>
      </c>
      <c r="E293" s="62">
        <v>902</v>
      </c>
      <c r="F293" s="54">
        <f t="shared" si="22"/>
        <v>347.40591459999996</v>
      </c>
      <c r="G293" s="66">
        <v>25569.041962604166</v>
      </c>
      <c r="H293" s="66">
        <v>25569.041962604166</v>
      </c>
      <c r="I293" s="62">
        <v>27</v>
      </c>
      <c r="J293" s="53"/>
      <c r="K293" s="57"/>
      <c r="L293" s="52">
        <v>44796</v>
      </c>
      <c r="M293" s="58">
        <f t="shared" si="26"/>
        <v>211.65065556241493</v>
      </c>
      <c r="N293" s="58">
        <v>2285.33</v>
      </c>
      <c r="O293" s="60">
        <f t="shared" si="24"/>
        <v>19.601545509838843</v>
      </c>
      <c r="P293" s="60">
        <f t="shared" si="25"/>
        <v>9.2612732324178534E-2</v>
      </c>
      <c r="Q293" s="63"/>
    </row>
    <row r="294" spans="1:17" ht="17.25" customHeight="1" x14ac:dyDescent="0.2">
      <c r="A294" s="52">
        <v>2425</v>
      </c>
      <c r="B294" s="53" t="s">
        <v>29</v>
      </c>
      <c r="C294" s="57" t="s">
        <v>340</v>
      </c>
      <c r="D294" s="54">
        <v>350.26100000000002</v>
      </c>
      <c r="E294" s="62">
        <v>902</v>
      </c>
      <c r="F294" s="54">
        <f t="shared" si="22"/>
        <v>348.4002079</v>
      </c>
      <c r="G294" s="66">
        <v>25569.041962604166</v>
      </c>
      <c r="H294" s="66">
        <v>25569.041962604166</v>
      </c>
      <c r="I294" s="62">
        <v>27</v>
      </c>
      <c r="J294" s="53"/>
      <c r="K294" s="57"/>
      <c r="L294" s="52">
        <v>46672</v>
      </c>
      <c r="M294" s="58">
        <f t="shared" si="26"/>
        <v>216.03703386225243</v>
      </c>
      <c r="N294" s="58">
        <v>2445.2800000000002</v>
      </c>
      <c r="O294" s="60">
        <f t="shared" si="24"/>
        <v>19.086566773539225</v>
      </c>
      <c r="P294" s="60">
        <f t="shared" si="25"/>
        <v>8.8348587426492028E-2</v>
      </c>
      <c r="Q294" s="63"/>
    </row>
    <row r="295" spans="1:17" ht="17.25" customHeight="1" x14ac:dyDescent="0.2">
      <c r="A295" s="52">
        <v>2426</v>
      </c>
      <c r="B295" s="53" t="s">
        <v>29</v>
      </c>
      <c r="C295" s="57" t="s">
        <v>340</v>
      </c>
      <c r="D295" s="54">
        <v>351.26799999999997</v>
      </c>
      <c r="E295" s="62">
        <v>902</v>
      </c>
      <c r="F295" s="54">
        <f t="shared" si="22"/>
        <v>349.40046099999989</v>
      </c>
      <c r="G295" s="66">
        <v>25569.041962604166</v>
      </c>
      <c r="H295" s="66">
        <v>25569.041962604166</v>
      </c>
      <c r="I295" s="62">
        <v>26</v>
      </c>
      <c r="J295" s="53"/>
      <c r="K295" s="57"/>
      <c r="L295" s="52">
        <v>38692</v>
      </c>
      <c r="M295" s="58">
        <f t="shared" si="26"/>
        <v>196.70282153543198</v>
      </c>
      <c r="N295" s="58">
        <v>2144.87</v>
      </c>
      <c r="O295" s="60">
        <f t="shared" si="24"/>
        <v>18.039321730454528</v>
      </c>
      <c r="P295" s="60">
        <f t="shared" si="25"/>
        <v>9.1708505193989376E-2</v>
      </c>
      <c r="Q295" s="63"/>
    </row>
    <row r="296" spans="1:17" ht="17.25" customHeight="1" x14ac:dyDescent="0.2">
      <c r="A296" s="52">
        <v>2427</v>
      </c>
      <c r="B296" s="53" t="s">
        <v>29</v>
      </c>
      <c r="C296" s="57" t="s">
        <v>340</v>
      </c>
      <c r="D296" s="54">
        <v>352.26900000000001</v>
      </c>
      <c r="E296" s="62">
        <v>902</v>
      </c>
      <c r="F296" s="54">
        <f t="shared" si="22"/>
        <v>350.39475429999993</v>
      </c>
      <c r="G296" s="66">
        <v>25569.041962604166</v>
      </c>
      <c r="H296" s="66">
        <v>25569.041962604166</v>
      </c>
      <c r="I296" s="62">
        <v>26</v>
      </c>
      <c r="J296" s="53"/>
      <c r="K296" s="57"/>
      <c r="L296" s="52">
        <v>34915</v>
      </c>
      <c r="M296" s="58">
        <f t="shared" si="26"/>
        <v>186.85555918944451</v>
      </c>
      <c r="N296" s="58">
        <v>2187.4499999999998</v>
      </c>
      <c r="O296" s="60">
        <f t="shared" si="24"/>
        <v>15.96150769160438</v>
      </c>
      <c r="P296" s="60">
        <f t="shared" si="25"/>
        <v>8.5421636695441963E-2</v>
      </c>
      <c r="Q296" s="63"/>
    </row>
    <row r="297" spans="1:17" ht="17.25" customHeight="1" x14ac:dyDescent="0.2">
      <c r="A297" s="52">
        <v>2428</v>
      </c>
      <c r="B297" s="53" t="s">
        <v>29</v>
      </c>
      <c r="C297" s="57" t="s">
        <v>340</v>
      </c>
      <c r="D297" s="54">
        <v>353.26900000000001</v>
      </c>
      <c r="E297" s="62">
        <v>902</v>
      </c>
      <c r="F297" s="54">
        <f t="shared" si="22"/>
        <v>351.38805429999996</v>
      </c>
      <c r="G297" s="66">
        <v>25569.041962604166</v>
      </c>
      <c r="H297" s="66">
        <v>25569.041962604166</v>
      </c>
      <c r="I297" s="62">
        <v>26</v>
      </c>
      <c r="J297" s="53"/>
      <c r="K297" s="57"/>
      <c r="L297" s="52">
        <v>36412</v>
      </c>
      <c r="M297" s="58">
        <f t="shared" si="26"/>
        <v>190.81928623700489</v>
      </c>
      <c r="N297" s="58">
        <v>2450.46</v>
      </c>
      <c r="O297" s="60">
        <f t="shared" si="24"/>
        <v>14.859250916154517</v>
      </c>
      <c r="P297" s="60">
        <f t="shared" si="25"/>
        <v>7.7870802313445189E-2</v>
      </c>
      <c r="Q297" s="63"/>
    </row>
    <row r="298" spans="1:17" ht="17.25" customHeight="1" x14ac:dyDescent="0.2">
      <c r="A298" s="52">
        <v>2429</v>
      </c>
      <c r="B298" s="53" t="s">
        <v>29</v>
      </c>
      <c r="C298" s="57" t="s">
        <v>340</v>
      </c>
      <c r="D298" s="54">
        <v>354.26900000000001</v>
      </c>
      <c r="E298" s="62">
        <v>902</v>
      </c>
      <c r="F298" s="54">
        <f t="shared" si="22"/>
        <v>352.38135429999994</v>
      </c>
      <c r="G298" s="66">
        <v>25569.041962604166</v>
      </c>
      <c r="H298" s="66">
        <v>25569.041962604166</v>
      </c>
      <c r="I298" s="58">
        <v>25.5</v>
      </c>
      <c r="J298" s="53"/>
      <c r="K298" s="57"/>
      <c r="L298" s="52">
        <v>40525</v>
      </c>
      <c r="M298" s="58">
        <f t="shared" si="26"/>
        <v>201.30822139197394</v>
      </c>
      <c r="N298" s="58">
        <v>3123.01</v>
      </c>
      <c r="O298" s="60">
        <f t="shared" si="24"/>
        <v>12.976263284459543</v>
      </c>
      <c r="P298" s="60">
        <f t="shared" si="25"/>
        <v>6.4459678768871681E-2</v>
      </c>
      <c r="Q298" s="63"/>
    </row>
    <row r="299" spans="1:17" ht="17.25" customHeight="1" x14ac:dyDescent="0.2">
      <c r="A299" s="52">
        <v>2430</v>
      </c>
      <c r="B299" s="53" t="s">
        <v>29</v>
      </c>
      <c r="C299" s="57" t="s">
        <v>340</v>
      </c>
      <c r="D299" s="54">
        <v>355.27</v>
      </c>
      <c r="E299" s="62">
        <v>902</v>
      </c>
      <c r="F299" s="54">
        <f t="shared" si="22"/>
        <v>353.37564759999992</v>
      </c>
      <c r="G299" s="66">
        <v>25569.041962604166</v>
      </c>
      <c r="H299" s="66">
        <v>25569.041962604166</v>
      </c>
      <c r="I299" s="62">
        <v>25</v>
      </c>
      <c r="J299" s="53"/>
      <c r="K299" s="57"/>
      <c r="L299" s="52">
        <v>17659</v>
      </c>
      <c r="M299" s="58">
        <f t="shared" si="26"/>
        <v>132.88717018583847</v>
      </c>
      <c r="N299" s="58">
        <v>1619.36</v>
      </c>
      <c r="O299" s="60">
        <f t="shared" si="24"/>
        <v>10.9049254026282</v>
      </c>
      <c r="P299" s="60">
        <f t="shared" si="25"/>
        <v>8.2061536771217317E-2</v>
      </c>
      <c r="Q299" s="63"/>
    </row>
    <row r="300" spans="1:17" ht="17.25" customHeight="1" x14ac:dyDescent="0.2">
      <c r="A300" s="52">
        <v>2431</v>
      </c>
      <c r="B300" s="53" t="s">
        <v>29</v>
      </c>
      <c r="C300" s="57" t="s">
        <v>340</v>
      </c>
      <c r="D300" s="54">
        <v>356.27100000000002</v>
      </c>
      <c r="E300" s="62">
        <v>902</v>
      </c>
      <c r="F300" s="54">
        <f t="shared" si="22"/>
        <v>354.36994089999996</v>
      </c>
      <c r="G300" s="66">
        <v>25569.041962604166</v>
      </c>
      <c r="H300" s="66">
        <v>25569.041962604166</v>
      </c>
      <c r="I300" s="62">
        <v>25</v>
      </c>
      <c r="J300" s="53"/>
      <c r="K300" s="57"/>
      <c r="L300" s="52">
        <v>17225</v>
      </c>
      <c r="M300" s="58">
        <f t="shared" si="26"/>
        <v>131.24404748406687</v>
      </c>
      <c r="N300" s="58">
        <v>1873.72</v>
      </c>
      <c r="O300" s="60">
        <f t="shared" si="24"/>
        <v>9.192942381999444</v>
      </c>
      <c r="P300" s="60">
        <f t="shared" si="25"/>
        <v>7.0044642467426754E-2</v>
      </c>
      <c r="Q300" s="63"/>
    </row>
    <row r="301" spans="1:17" ht="17.25" customHeight="1" x14ac:dyDescent="0.2">
      <c r="A301" s="52">
        <v>2432</v>
      </c>
      <c r="B301" s="53" t="s">
        <v>29</v>
      </c>
      <c r="C301" s="57" t="s">
        <v>340</v>
      </c>
      <c r="D301" s="54">
        <v>358.27800000000002</v>
      </c>
      <c r="E301" s="62">
        <v>902</v>
      </c>
      <c r="F301" s="54">
        <f t="shared" si="22"/>
        <v>356.36349399999995</v>
      </c>
      <c r="G301" s="66">
        <v>25569.041962604166</v>
      </c>
      <c r="H301" s="66">
        <v>25569.041962604166</v>
      </c>
      <c r="I301" s="62">
        <v>25</v>
      </c>
      <c r="J301" s="53"/>
      <c r="K301" s="57"/>
      <c r="L301" s="52">
        <v>10787</v>
      </c>
      <c r="M301" s="58">
        <f t="shared" si="26"/>
        <v>103.860483341837</v>
      </c>
      <c r="N301" s="58">
        <v>1771.01</v>
      </c>
      <c r="O301" s="60">
        <f t="shared" si="24"/>
        <v>6.0908746986183022</v>
      </c>
      <c r="P301" s="60">
        <f t="shared" si="25"/>
        <v>5.8644775208404804E-2</v>
      </c>
      <c r="Q301" s="63"/>
    </row>
    <row r="302" spans="1:17" ht="17.25" customHeight="1" x14ac:dyDescent="0.2">
      <c r="A302" s="52">
        <v>2433</v>
      </c>
      <c r="B302" s="53" t="s">
        <v>29</v>
      </c>
      <c r="C302" s="57" t="s">
        <v>340</v>
      </c>
      <c r="D302" s="54">
        <v>360.27800000000002</v>
      </c>
      <c r="E302" s="62">
        <v>902</v>
      </c>
      <c r="F302" s="54">
        <f t="shared" si="22"/>
        <v>358.35009399999996</v>
      </c>
      <c r="G302" s="66">
        <v>25569.041962604166</v>
      </c>
      <c r="H302" s="66">
        <v>25569.041962604166</v>
      </c>
      <c r="I302" s="58">
        <v>23.5</v>
      </c>
      <c r="J302" s="53"/>
      <c r="K302" s="57"/>
      <c r="L302" s="52">
        <v>11015</v>
      </c>
      <c r="M302" s="58">
        <f t="shared" si="26"/>
        <v>104.95237014951115</v>
      </c>
      <c r="N302" s="58">
        <v>2873.14</v>
      </c>
      <c r="O302" s="60">
        <f t="shared" si="24"/>
        <v>3.8337846398017503</v>
      </c>
      <c r="P302" s="60">
        <f t="shared" si="25"/>
        <v>3.6528804774397058E-2</v>
      </c>
      <c r="Q302" s="63"/>
    </row>
    <row r="303" spans="1:17" ht="17.25" customHeight="1" x14ac:dyDescent="0.2">
      <c r="A303" s="52">
        <v>2434</v>
      </c>
      <c r="B303" s="53" t="s">
        <v>29</v>
      </c>
      <c r="C303" s="57" t="s">
        <v>340</v>
      </c>
      <c r="D303" s="54">
        <v>362.286</v>
      </c>
      <c r="E303" s="62">
        <v>902</v>
      </c>
      <c r="F303" s="54">
        <f t="shared" si="22"/>
        <v>360.34464039999995</v>
      </c>
      <c r="G303" s="66">
        <v>25569.041962604166</v>
      </c>
      <c r="H303" s="66">
        <v>25569.041962604166</v>
      </c>
      <c r="I303" s="62">
        <v>24</v>
      </c>
      <c r="J303" s="53"/>
      <c r="K303" s="57"/>
      <c r="L303" s="52">
        <v>10594</v>
      </c>
      <c r="M303" s="58">
        <f t="shared" si="26"/>
        <v>102.92715870944851</v>
      </c>
      <c r="N303" s="58">
        <v>4208.32</v>
      </c>
      <c r="O303" s="60">
        <f t="shared" si="24"/>
        <v>2.5173941145160064</v>
      </c>
      <c r="P303" s="60">
        <f t="shared" si="25"/>
        <v>2.4458016193979668E-2</v>
      </c>
      <c r="Q303" s="63"/>
    </row>
    <row r="304" spans="1:17" ht="17.25" customHeight="1" x14ac:dyDescent="0.2">
      <c r="A304" s="52">
        <v>2435</v>
      </c>
      <c r="B304" s="53" t="s">
        <v>29</v>
      </c>
      <c r="C304" s="57" t="s">
        <v>340</v>
      </c>
      <c r="D304" s="54">
        <v>364.29300000000001</v>
      </c>
      <c r="E304" s="62">
        <v>902</v>
      </c>
      <c r="F304" s="54">
        <f t="shared" si="22"/>
        <v>362.33819349999993</v>
      </c>
      <c r="G304" s="66">
        <v>25569.041962604166</v>
      </c>
      <c r="H304" s="66">
        <v>25569.041962604166</v>
      </c>
      <c r="I304" s="55"/>
      <c r="J304" s="53"/>
      <c r="K304" s="57"/>
      <c r="L304" s="52">
        <v>4077</v>
      </c>
      <c r="M304" s="58">
        <f t="shared" si="26"/>
        <v>63.851389961378288</v>
      </c>
      <c r="N304" s="58">
        <v>2493.13</v>
      </c>
      <c r="O304" s="60">
        <f t="shared" si="24"/>
        <v>1.6352937873275761</v>
      </c>
      <c r="P304" s="60">
        <f t="shared" si="25"/>
        <v>2.5610934833473702E-2</v>
      </c>
      <c r="Q304" s="63"/>
    </row>
    <row r="305" spans="1:17" ht="17.25" customHeight="1" x14ac:dyDescent="0.2">
      <c r="A305" s="52">
        <v>2436</v>
      </c>
      <c r="B305" s="53" t="s">
        <v>29</v>
      </c>
      <c r="C305" s="57" t="s">
        <v>340</v>
      </c>
      <c r="D305" s="54">
        <v>219.20400000000001</v>
      </c>
      <c r="E305" s="62">
        <v>1233</v>
      </c>
      <c r="F305" s="54">
        <f t="shared" si="22"/>
        <v>218.55007209999999</v>
      </c>
      <c r="G305" s="66">
        <v>25569.041962604166</v>
      </c>
      <c r="H305" s="66">
        <v>25569.041962604166</v>
      </c>
      <c r="I305" s="62">
        <v>30</v>
      </c>
      <c r="J305" s="53"/>
      <c r="K305" s="57"/>
      <c r="L305" s="52">
        <v>586</v>
      </c>
      <c r="M305" s="58">
        <f t="shared" si="26"/>
        <v>24.207436873820409</v>
      </c>
      <c r="N305" s="58">
        <v>13750.75</v>
      </c>
      <c r="O305" s="60">
        <f t="shared" si="24"/>
        <v>4.2615857316873625E-2</v>
      </c>
      <c r="P305" s="60">
        <f t="shared" si="25"/>
        <v>1.7604448392866141E-3</v>
      </c>
      <c r="Q305" s="63"/>
    </row>
    <row r="306" spans="1:17" ht="17.25" customHeight="1" x14ac:dyDescent="0.2">
      <c r="A306" s="52">
        <v>2437</v>
      </c>
      <c r="B306" s="53" t="s">
        <v>29</v>
      </c>
      <c r="C306" s="57" t="s">
        <v>340</v>
      </c>
      <c r="D306" s="54">
        <v>221.239</v>
      </c>
      <c r="E306" s="62">
        <v>1233</v>
      </c>
      <c r="F306" s="54">
        <f t="shared" si="22"/>
        <v>220.5714376</v>
      </c>
      <c r="G306" s="66">
        <v>25569.041962604166</v>
      </c>
      <c r="H306" s="66">
        <v>25569.041962604166</v>
      </c>
      <c r="I306" s="62">
        <v>30</v>
      </c>
      <c r="J306" s="53"/>
      <c r="K306" s="57"/>
      <c r="L306" s="52">
        <v>717</v>
      </c>
      <c r="M306" s="58">
        <f t="shared" si="26"/>
        <v>26.776855677991769</v>
      </c>
      <c r="N306" s="58">
        <v>10358.23</v>
      </c>
      <c r="O306" s="60">
        <f t="shared" si="24"/>
        <v>6.9220320460155846E-2</v>
      </c>
      <c r="P306" s="60">
        <f t="shared" si="25"/>
        <v>2.5850802384183177E-3</v>
      </c>
      <c r="Q306" s="63"/>
    </row>
    <row r="307" spans="1:17" ht="17.25" customHeight="1" x14ac:dyDescent="0.2">
      <c r="A307" s="52">
        <v>2438</v>
      </c>
      <c r="B307" s="53" t="s">
        <v>29</v>
      </c>
      <c r="C307" s="57" t="s">
        <v>340</v>
      </c>
      <c r="D307" s="54">
        <v>223.233</v>
      </c>
      <c r="E307" s="62">
        <v>1233</v>
      </c>
      <c r="F307" s="54">
        <f t="shared" si="22"/>
        <v>222.55207780000001</v>
      </c>
      <c r="G307" s="66">
        <v>25569.041962604166</v>
      </c>
      <c r="H307" s="66">
        <v>25569.041962604166</v>
      </c>
      <c r="I307" s="62">
        <v>30</v>
      </c>
      <c r="J307" s="53"/>
      <c r="K307" s="57"/>
      <c r="L307" s="52">
        <v>863</v>
      </c>
      <c r="M307" s="58">
        <f t="shared" si="26"/>
        <v>29.376861643136763</v>
      </c>
      <c r="N307" s="58">
        <v>7113.64</v>
      </c>
      <c r="O307" s="60">
        <f t="shared" si="24"/>
        <v>0.12131623191502522</v>
      </c>
      <c r="P307" s="60">
        <f t="shared" si="25"/>
        <v>4.1296525608741459E-3</v>
      </c>
      <c r="Q307" s="63"/>
    </row>
    <row r="308" spans="1:17" ht="17.25" customHeight="1" x14ac:dyDescent="0.2">
      <c r="A308" s="52">
        <v>2439</v>
      </c>
      <c r="B308" s="53" t="s">
        <v>9</v>
      </c>
      <c r="C308" s="57" t="s">
        <v>340</v>
      </c>
      <c r="D308" s="54">
        <v>225.227</v>
      </c>
      <c r="E308" s="62">
        <v>1233</v>
      </c>
      <c r="F308" s="54">
        <f t="shared" si="22"/>
        <v>224.53271799999999</v>
      </c>
      <c r="G308" s="66">
        <v>25569.041962604166</v>
      </c>
      <c r="H308" s="66">
        <v>25569.041962604166</v>
      </c>
      <c r="I308" s="62">
        <v>31</v>
      </c>
      <c r="J308" s="53"/>
      <c r="K308" s="57"/>
      <c r="L308" s="52">
        <v>7130</v>
      </c>
      <c r="M308" s="58">
        <f t="shared" si="26"/>
        <v>84.439327330338202</v>
      </c>
      <c r="N308" s="58">
        <v>11092.75</v>
      </c>
      <c r="O308" s="60">
        <f t="shared" si="24"/>
        <v>0.6427621644767979</v>
      </c>
      <c r="P308" s="60">
        <f t="shared" si="25"/>
        <v>7.6121184855277727E-3</v>
      </c>
      <c r="Q308" s="63" t="s">
        <v>344</v>
      </c>
    </row>
    <row r="309" spans="1:17" ht="17.25" customHeight="1" x14ac:dyDescent="0.2">
      <c r="A309" s="52">
        <v>2440</v>
      </c>
      <c r="B309" s="53" t="s">
        <v>29</v>
      </c>
      <c r="C309" s="57" t="s">
        <v>340</v>
      </c>
      <c r="D309" s="54">
        <v>226.23400000000001</v>
      </c>
      <c r="E309" s="62">
        <v>1233</v>
      </c>
      <c r="F309" s="54">
        <f t="shared" si="22"/>
        <v>225.5329711</v>
      </c>
      <c r="G309" s="66">
        <v>25569.041962604166</v>
      </c>
      <c r="H309" s="66">
        <v>25569.041962604166</v>
      </c>
      <c r="I309" s="58">
        <v>30.81</v>
      </c>
      <c r="J309" s="53"/>
      <c r="K309" s="57"/>
      <c r="L309" s="52">
        <v>8068</v>
      </c>
      <c r="M309" s="58">
        <f t="shared" si="26"/>
        <v>89.822046291542478</v>
      </c>
      <c r="N309" s="58">
        <v>6395.19</v>
      </c>
      <c r="O309" s="60">
        <f t="shared" si="24"/>
        <v>1.2615731510713522</v>
      </c>
      <c r="P309" s="60">
        <f t="shared" si="25"/>
        <v>1.4045250616720142E-2</v>
      </c>
      <c r="Q309" s="63"/>
    </row>
    <row r="310" spans="1:17" ht="17.25" customHeight="1" x14ac:dyDescent="0.2">
      <c r="A310" s="52">
        <v>2441</v>
      </c>
      <c r="B310" s="53" t="s">
        <v>29</v>
      </c>
      <c r="C310" s="57" t="s">
        <v>340</v>
      </c>
      <c r="D310" s="54">
        <v>227.24799999999999</v>
      </c>
      <c r="E310" s="62">
        <v>1233</v>
      </c>
      <c r="F310" s="54">
        <f t="shared" si="22"/>
        <v>226.54017729999998</v>
      </c>
      <c r="G310" s="66">
        <v>25569.041962604166</v>
      </c>
      <c r="H310" s="66">
        <v>25569.041962604166</v>
      </c>
      <c r="I310" s="62">
        <v>31</v>
      </c>
      <c r="J310" s="53"/>
      <c r="K310" s="57"/>
      <c r="L310" s="52">
        <v>11057</v>
      </c>
      <c r="M310" s="58">
        <f t="shared" si="26"/>
        <v>105.152270541344</v>
      </c>
      <c r="N310" s="58">
        <v>6517.94</v>
      </c>
      <c r="O310" s="60">
        <f t="shared" si="24"/>
        <v>1.6963948732268173</v>
      </c>
      <c r="P310" s="60">
        <f t="shared" si="25"/>
        <v>1.6132746011982928E-2</v>
      </c>
      <c r="Q310" s="63"/>
    </row>
    <row r="311" spans="1:17" ht="17.25" customHeight="1" x14ac:dyDescent="0.2">
      <c r="A311" s="52">
        <v>2442</v>
      </c>
      <c r="B311" s="53" t="s">
        <v>29</v>
      </c>
      <c r="C311" s="57" t="s">
        <v>340</v>
      </c>
      <c r="D311" s="54">
        <v>228.24799999999999</v>
      </c>
      <c r="E311" s="62">
        <v>1233</v>
      </c>
      <c r="F311" s="54">
        <f t="shared" si="22"/>
        <v>227.53347729999999</v>
      </c>
      <c r="G311" s="66">
        <v>25569.041962604166</v>
      </c>
      <c r="H311" s="66">
        <v>25569.041962604166</v>
      </c>
      <c r="I311" s="58">
        <v>31.5</v>
      </c>
      <c r="J311" s="53"/>
      <c r="K311" s="57"/>
      <c r="L311" s="52">
        <v>8616</v>
      </c>
      <c r="M311" s="58">
        <f t="shared" si="26"/>
        <v>92.822411086978349</v>
      </c>
      <c r="N311" s="58">
        <v>4262.01</v>
      </c>
      <c r="O311" s="60">
        <f t="shared" si="24"/>
        <v>2.0215813665383235</v>
      </c>
      <c r="P311" s="60">
        <f t="shared" si="25"/>
        <v>2.1779022359632742E-2</v>
      </c>
      <c r="Q311" s="63"/>
    </row>
    <row r="312" spans="1:17" ht="17.25" customHeight="1" x14ac:dyDescent="0.2">
      <c r="A312" s="52">
        <v>2443</v>
      </c>
      <c r="B312" s="53" t="s">
        <v>29</v>
      </c>
      <c r="C312" s="57" t="s">
        <v>340</v>
      </c>
      <c r="D312" s="54">
        <v>229.249</v>
      </c>
      <c r="E312" s="62">
        <v>1233</v>
      </c>
      <c r="F312" s="54">
        <f t="shared" si="22"/>
        <v>228.5277706</v>
      </c>
      <c r="G312" s="66">
        <v>25569.041962604166</v>
      </c>
      <c r="H312" s="66">
        <v>25569.041962604166</v>
      </c>
      <c r="I312" s="62">
        <v>32</v>
      </c>
      <c r="J312" s="53"/>
      <c r="K312" s="57"/>
      <c r="L312" s="52">
        <v>16514</v>
      </c>
      <c r="M312" s="58">
        <f t="shared" si="26"/>
        <v>128.50680915811427</v>
      </c>
      <c r="N312" s="58">
        <v>7003.86</v>
      </c>
      <c r="O312" s="60">
        <f t="shared" si="24"/>
        <v>2.3578426753247497</v>
      </c>
      <c r="P312" s="60">
        <f t="shared" si="25"/>
        <v>1.8347997983699599E-2</v>
      </c>
      <c r="Q312" s="63"/>
    </row>
    <row r="313" spans="1:17" ht="17.25" customHeight="1" x14ac:dyDescent="0.2">
      <c r="A313" s="52">
        <v>2444</v>
      </c>
      <c r="B313" s="53" t="s">
        <v>29</v>
      </c>
      <c r="C313" s="57" t="s">
        <v>340</v>
      </c>
      <c r="D313" s="54">
        <v>230.256</v>
      </c>
      <c r="E313" s="62">
        <v>1233</v>
      </c>
      <c r="F313" s="54">
        <f t="shared" si="22"/>
        <v>229.52802370000001</v>
      </c>
      <c r="G313" s="66">
        <v>25569.041962604166</v>
      </c>
      <c r="H313" s="66">
        <v>25569.041962604166</v>
      </c>
      <c r="I313" s="62">
        <v>32</v>
      </c>
      <c r="J313" s="53"/>
      <c r="K313" s="57"/>
      <c r="L313" s="52">
        <v>10979</v>
      </c>
      <c r="M313" s="58">
        <f t="shared" ref="M313:M344" si="27">SQRT(L313)</f>
        <v>104.78072341800279</v>
      </c>
      <c r="N313" s="58">
        <v>4341.2299999999996</v>
      </c>
      <c r="O313" s="60">
        <f t="shared" si="24"/>
        <v>2.5290067561497551</v>
      </c>
      <c r="P313" s="60">
        <f t="shared" si="25"/>
        <v>2.4136183389961555E-2</v>
      </c>
      <c r="Q313" s="63"/>
    </row>
    <row r="314" spans="1:17" ht="17.25" customHeight="1" x14ac:dyDescent="0.2">
      <c r="A314" s="52">
        <v>2445</v>
      </c>
      <c r="B314" s="53" t="s">
        <v>29</v>
      </c>
      <c r="C314" s="57" t="s">
        <v>340</v>
      </c>
      <c r="D314" s="54">
        <v>231.26300000000001</v>
      </c>
      <c r="E314" s="62">
        <v>1233</v>
      </c>
      <c r="F314" s="54">
        <f t="shared" si="22"/>
        <v>230.52827680000001</v>
      </c>
      <c r="G314" s="66">
        <v>25569.041962604166</v>
      </c>
      <c r="H314" s="66">
        <v>25569.041962604166</v>
      </c>
      <c r="I314" s="62">
        <v>31</v>
      </c>
      <c r="J314" s="53"/>
      <c r="K314" s="57"/>
      <c r="L314" s="52">
        <v>10898</v>
      </c>
      <c r="M314" s="58">
        <f t="shared" si="27"/>
        <v>104.39348638684312</v>
      </c>
      <c r="N314" s="58">
        <v>4058.8</v>
      </c>
      <c r="O314" s="60">
        <f t="shared" si="24"/>
        <v>2.6850300581452644</v>
      </c>
      <c r="P314" s="60">
        <f t="shared" si="25"/>
        <v>2.5720283430285582E-2</v>
      </c>
      <c r="Q314" s="63"/>
    </row>
    <row r="315" spans="1:17" ht="17.25" customHeight="1" x14ac:dyDescent="0.2">
      <c r="A315" s="52">
        <v>2446</v>
      </c>
      <c r="B315" s="53" t="s">
        <v>29</v>
      </c>
      <c r="C315" s="57" t="s">
        <v>340</v>
      </c>
      <c r="D315" s="54">
        <v>232.26300000000001</v>
      </c>
      <c r="E315" s="62">
        <v>1233</v>
      </c>
      <c r="F315" s="54">
        <f t="shared" si="22"/>
        <v>231.52157679999999</v>
      </c>
      <c r="G315" s="66">
        <v>25569.041962604166</v>
      </c>
      <c r="H315" s="66">
        <v>25569.041962604166</v>
      </c>
      <c r="I315" s="62">
        <v>31</v>
      </c>
      <c r="J315" s="53"/>
      <c r="K315" s="57"/>
      <c r="L315" s="52">
        <v>9922</v>
      </c>
      <c r="M315" s="58">
        <f t="shared" si="27"/>
        <v>99.609236519511583</v>
      </c>
      <c r="N315" s="58">
        <v>3554.99</v>
      </c>
      <c r="O315" s="60">
        <f t="shared" si="24"/>
        <v>2.7910064444625724</v>
      </c>
      <c r="P315" s="60">
        <f t="shared" si="25"/>
        <v>2.8019554631521212E-2</v>
      </c>
      <c r="Q315" s="63"/>
    </row>
    <row r="316" spans="1:17" ht="17.25" customHeight="1" x14ac:dyDescent="0.2">
      <c r="A316" s="52">
        <v>2447</v>
      </c>
      <c r="B316" s="53" t="s">
        <v>29</v>
      </c>
      <c r="C316" s="57" t="s">
        <v>340</v>
      </c>
      <c r="D316" s="54">
        <v>233.26300000000001</v>
      </c>
      <c r="E316" s="62">
        <v>1233</v>
      </c>
      <c r="F316" s="54">
        <f t="shared" si="22"/>
        <v>232.5148768</v>
      </c>
      <c r="G316" s="66">
        <v>25569.041962604166</v>
      </c>
      <c r="H316" s="66">
        <v>25569.041962604166</v>
      </c>
      <c r="I316" s="62">
        <v>32</v>
      </c>
      <c r="J316" s="53"/>
      <c r="K316" s="57"/>
      <c r="L316" s="52">
        <v>7277</v>
      </c>
      <c r="M316" s="58">
        <f t="shared" si="27"/>
        <v>85.305333948118388</v>
      </c>
      <c r="N316" s="58">
        <v>2708.69</v>
      </c>
      <c r="O316" s="60">
        <f t="shared" si="24"/>
        <v>2.6865385112360589</v>
      </c>
      <c r="P316" s="60">
        <f t="shared" si="25"/>
        <v>3.1493206660089708E-2</v>
      </c>
      <c r="Q316" s="63"/>
    </row>
    <row r="317" spans="1:17" ht="17.25" customHeight="1" x14ac:dyDescent="0.2">
      <c r="A317" s="52">
        <v>2448</v>
      </c>
      <c r="B317" s="53" t="s">
        <v>29</v>
      </c>
      <c r="C317" s="57" t="s">
        <v>340</v>
      </c>
      <c r="D317" s="54">
        <v>235.27099999999999</v>
      </c>
      <c r="E317" s="62">
        <v>1233</v>
      </c>
      <c r="F317" s="54">
        <f t="shared" si="22"/>
        <v>234.50942319999999</v>
      </c>
      <c r="G317" s="66">
        <v>25569.041962604166</v>
      </c>
      <c r="H317" s="66">
        <v>25569.041962604166</v>
      </c>
      <c r="I317" s="62">
        <v>31</v>
      </c>
      <c r="J317" s="53"/>
      <c r="K317" s="57"/>
      <c r="L317" s="52">
        <v>7167</v>
      </c>
      <c r="M317" s="58">
        <f t="shared" si="27"/>
        <v>84.658136053187462</v>
      </c>
      <c r="N317" s="58">
        <v>2903.15</v>
      </c>
      <c r="O317" s="60">
        <f t="shared" si="24"/>
        <v>2.4686977937757262</v>
      </c>
      <c r="P317" s="60">
        <f t="shared" si="25"/>
        <v>2.9160786061067274E-2</v>
      </c>
      <c r="Q317" s="63"/>
    </row>
    <row r="318" spans="1:17" ht="17.25" customHeight="1" x14ac:dyDescent="0.2">
      <c r="A318" s="52">
        <v>2449</v>
      </c>
      <c r="B318" s="53" t="s">
        <v>29</v>
      </c>
      <c r="C318" s="57" t="s">
        <v>340</v>
      </c>
      <c r="D318" s="54">
        <v>237.27799999999999</v>
      </c>
      <c r="E318" s="62">
        <v>1233</v>
      </c>
      <c r="F318" s="54">
        <f t="shared" si="22"/>
        <v>236.5029763</v>
      </c>
      <c r="G318" s="66">
        <v>25569.041962604166</v>
      </c>
      <c r="H318" s="66">
        <v>25569.041962604166</v>
      </c>
      <c r="I318" s="62">
        <v>31</v>
      </c>
      <c r="J318" s="53"/>
      <c r="K318" s="57"/>
      <c r="L318" s="52">
        <v>5999</v>
      </c>
      <c r="M318" s="58">
        <f t="shared" si="27"/>
        <v>77.453211682925073</v>
      </c>
      <c r="N318" s="58">
        <v>2970.47</v>
      </c>
      <c r="O318" s="60">
        <f t="shared" si="24"/>
        <v>2.0195457284537466</v>
      </c>
      <c r="P318" s="60">
        <f t="shared" si="25"/>
        <v>2.6074396200912675E-2</v>
      </c>
      <c r="Q318" s="63"/>
    </row>
    <row r="319" spans="1:17" ht="17.25" customHeight="1" x14ac:dyDescent="0.2">
      <c r="A319" s="52">
        <v>2450</v>
      </c>
      <c r="B319" s="53" t="s">
        <v>29</v>
      </c>
      <c r="C319" s="57" t="s">
        <v>340</v>
      </c>
      <c r="D319" s="54">
        <v>239.29300000000001</v>
      </c>
      <c r="E319" s="62">
        <v>1233</v>
      </c>
      <c r="F319" s="54">
        <f t="shared" si="22"/>
        <v>238.50447579999999</v>
      </c>
      <c r="G319" s="66">
        <v>25569.041962604166</v>
      </c>
      <c r="H319" s="66">
        <v>25569.041962604166</v>
      </c>
      <c r="I319" s="62">
        <v>30</v>
      </c>
      <c r="J319" s="53"/>
      <c r="K319" s="57"/>
      <c r="L319" s="52">
        <v>7454</v>
      </c>
      <c r="M319" s="58">
        <f t="shared" si="27"/>
        <v>86.336550776597505</v>
      </c>
      <c r="N319" s="58">
        <v>4662.5200000000004</v>
      </c>
      <c r="O319" s="60">
        <f t="shared" si="24"/>
        <v>1.5987062790079183</v>
      </c>
      <c r="P319" s="60">
        <f t="shared" si="25"/>
        <v>1.8517143256564582E-2</v>
      </c>
      <c r="Q319" s="63"/>
    </row>
    <row r="320" spans="1:17" ht="17.25" customHeight="1" x14ac:dyDescent="0.2">
      <c r="A320" s="52">
        <v>2451</v>
      </c>
      <c r="B320" s="53" t="s">
        <v>29</v>
      </c>
      <c r="C320" s="57" t="s">
        <v>340</v>
      </c>
      <c r="D320" s="54">
        <v>241.29300000000001</v>
      </c>
      <c r="E320" s="62">
        <v>1233</v>
      </c>
      <c r="F320" s="54">
        <f t="shared" si="22"/>
        <v>240.4910758</v>
      </c>
      <c r="G320" s="66">
        <v>25569.041962604166</v>
      </c>
      <c r="H320" s="66">
        <v>25569.041962604166</v>
      </c>
      <c r="I320" s="58">
        <v>30.5</v>
      </c>
      <c r="J320" s="53"/>
      <c r="K320" s="57"/>
      <c r="L320" s="52">
        <v>6149</v>
      </c>
      <c r="M320" s="58">
        <f t="shared" si="27"/>
        <v>78.415559680461371</v>
      </c>
      <c r="N320" s="58">
        <v>5018.41</v>
      </c>
      <c r="O320" s="60">
        <f t="shared" si="24"/>
        <v>1.2252884877879648</v>
      </c>
      <c r="P320" s="60">
        <f t="shared" si="25"/>
        <v>1.5625578555849635E-2</v>
      </c>
      <c r="Q320" s="63"/>
    </row>
    <row r="321" spans="1:17" ht="17.25" customHeight="1" x14ac:dyDescent="0.2">
      <c r="A321" s="52">
        <v>2452</v>
      </c>
      <c r="B321" s="53" t="s">
        <v>29</v>
      </c>
      <c r="C321" s="57" t="s">
        <v>340</v>
      </c>
      <c r="D321" s="54">
        <v>243.29400000000001</v>
      </c>
      <c r="E321" s="62">
        <v>1233</v>
      </c>
      <c r="F321" s="54">
        <f t="shared" si="22"/>
        <v>242.47866910000002</v>
      </c>
      <c r="G321" s="66">
        <v>25569.041962604166</v>
      </c>
      <c r="H321" s="66">
        <v>25569.041962604166</v>
      </c>
      <c r="I321" s="55"/>
      <c r="J321" s="53"/>
      <c r="K321" s="57"/>
      <c r="L321" s="52">
        <v>4279</v>
      </c>
      <c r="M321" s="58">
        <f t="shared" si="27"/>
        <v>65.414065765705161</v>
      </c>
      <c r="N321" s="58">
        <v>4404.49</v>
      </c>
      <c r="O321" s="60">
        <f t="shared" si="24"/>
        <v>0.97150861961316748</v>
      </c>
      <c r="P321" s="60">
        <f t="shared" si="25"/>
        <v>1.4851677666586861E-2</v>
      </c>
      <c r="Q321" s="63"/>
    </row>
    <row r="322" spans="1:17" ht="17.25" customHeight="1" x14ac:dyDescent="0.2">
      <c r="A322" s="52">
        <v>2453</v>
      </c>
      <c r="B322" s="53" t="s">
        <v>29</v>
      </c>
      <c r="C322" s="57" t="s">
        <v>340</v>
      </c>
      <c r="D322" s="54">
        <v>245.30199999999999</v>
      </c>
      <c r="E322" s="62">
        <v>1233</v>
      </c>
      <c r="F322" s="54">
        <f t="shared" si="22"/>
        <v>244.47321549999998</v>
      </c>
      <c r="G322" s="66">
        <v>25569.041962604166</v>
      </c>
      <c r="H322" s="66">
        <v>25569.041962604166</v>
      </c>
      <c r="I322" s="62">
        <v>29</v>
      </c>
      <c r="J322" s="53"/>
      <c r="K322" s="57"/>
      <c r="L322" s="52">
        <v>4376</v>
      </c>
      <c r="M322" s="58">
        <f t="shared" si="27"/>
        <v>66.151341634164908</v>
      </c>
      <c r="N322" s="58">
        <v>5950.17</v>
      </c>
      <c r="O322" s="60">
        <f t="shared" si="24"/>
        <v>0.73544117226902761</v>
      </c>
      <c r="P322" s="60">
        <f t="shared" si="25"/>
        <v>1.1117554899131438E-2</v>
      </c>
      <c r="Q322" s="63"/>
    </row>
    <row r="323" spans="1:17" ht="17.25" customHeight="1" x14ac:dyDescent="0.2">
      <c r="A323" s="52">
        <v>2454</v>
      </c>
      <c r="B323" s="53" t="s">
        <v>29</v>
      </c>
      <c r="C323" s="57" t="s">
        <v>340</v>
      </c>
      <c r="D323" s="54">
        <v>247.30199999999999</v>
      </c>
      <c r="E323" s="62">
        <v>1233</v>
      </c>
      <c r="F323" s="54">
        <f t="shared" si="22"/>
        <v>246.45981549999999</v>
      </c>
      <c r="G323" s="66">
        <v>25569.041962604166</v>
      </c>
      <c r="H323" s="66">
        <v>25569.041962604166</v>
      </c>
      <c r="I323" s="62">
        <v>29</v>
      </c>
      <c r="J323" s="53"/>
      <c r="K323" s="57"/>
      <c r="L323" s="52">
        <v>2919</v>
      </c>
      <c r="M323" s="58">
        <f t="shared" si="27"/>
        <v>54.027770636960398</v>
      </c>
      <c r="N323" s="58">
        <v>5034.47</v>
      </c>
      <c r="O323" s="60">
        <f t="shared" si="24"/>
        <v>0.57980283922637332</v>
      </c>
      <c r="P323" s="60">
        <f t="shared" si="25"/>
        <v>1.0731570679130156E-2</v>
      </c>
      <c r="Q323" s="63"/>
    </row>
    <row r="324" spans="1:17" ht="17.25" customHeight="1" x14ac:dyDescent="0.2">
      <c r="A324" s="52">
        <v>2455</v>
      </c>
      <c r="B324" s="53" t="s">
        <v>29</v>
      </c>
      <c r="C324" s="57" t="s">
        <v>340</v>
      </c>
      <c r="D324" s="54">
        <v>249.31</v>
      </c>
      <c r="E324" s="62">
        <v>1233</v>
      </c>
      <c r="F324" s="54">
        <f t="shared" si="22"/>
        <v>248.45436190000001</v>
      </c>
      <c r="G324" s="66">
        <v>25569.041962604166</v>
      </c>
      <c r="H324" s="66">
        <v>25569.041962604166</v>
      </c>
      <c r="I324" s="62">
        <v>28</v>
      </c>
      <c r="J324" s="53"/>
      <c r="K324" s="57"/>
      <c r="L324" s="52">
        <v>3050</v>
      </c>
      <c r="M324" s="58">
        <f t="shared" si="27"/>
        <v>55.226805085936306</v>
      </c>
      <c r="N324" s="58">
        <v>6729.17</v>
      </c>
      <c r="O324" s="60">
        <f t="shared" si="24"/>
        <v>0.45325054947341203</v>
      </c>
      <c r="P324" s="60">
        <f t="shared" si="25"/>
        <v>8.2070753281513632E-3</v>
      </c>
      <c r="Q324" s="63"/>
    </row>
    <row r="325" spans="1:17" ht="17.25" customHeight="1" x14ac:dyDescent="0.2">
      <c r="A325" s="52">
        <v>2456</v>
      </c>
      <c r="B325" s="53" t="s">
        <v>29</v>
      </c>
      <c r="C325" s="57" t="s">
        <v>340</v>
      </c>
      <c r="D325" s="54">
        <v>251.31700000000001</v>
      </c>
      <c r="E325" s="62">
        <v>1233</v>
      </c>
      <c r="F325" s="54">
        <f t="shared" si="22"/>
        <v>250.44791499999999</v>
      </c>
      <c r="G325" s="66">
        <v>25569.041962604166</v>
      </c>
      <c r="H325" s="66">
        <v>25569.041962604166</v>
      </c>
      <c r="I325" s="62">
        <v>27</v>
      </c>
      <c r="J325" s="53"/>
      <c r="K325" s="57"/>
      <c r="L325" s="52">
        <v>2330</v>
      </c>
      <c r="M325" s="58">
        <f t="shared" si="27"/>
        <v>48.270073544588683</v>
      </c>
      <c r="N325" s="58">
        <v>6516.49</v>
      </c>
      <c r="O325" s="60">
        <f t="shared" si="24"/>
        <v>0.35755445032525179</v>
      </c>
      <c r="P325" s="60">
        <f t="shared" si="25"/>
        <v>7.407373224632998E-3</v>
      </c>
      <c r="Q325" s="63"/>
    </row>
    <row r="326" spans="1:17" ht="17.25" customHeight="1" x14ac:dyDescent="0.2">
      <c r="A326" s="52">
        <v>2457</v>
      </c>
      <c r="B326" s="53" t="s">
        <v>29</v>
      </c>
      <c r="C326" s="57" t="s">
        <v>340</v>
      </c>
      <c r="D326" s="54">
        <v>253.31800000000001</v>
      </c>
      <c r="E326" s="62">
        <v>1233</v>
      </c>
      <c r="F326" s="54">
        <f t="shared" si="22"/>
        <v>252.43550830000001</v>
      </c>
      <c r="G326" s="66">
        <v>25569.041962604166</v>
      </c>
      <c r="H326" s="66">
        <v>25569.041962604166</v>
      </c>
      <c r="I326" s="62">
        <v>27</v>
      </c>
      <c r="J326" s="53"/>
      <c r="K326" s="57"/>
      <c r="L326" s="52">
        <v>1617</v>
      </c>
      <c r="M326" s="58">
        <f t="shared" si="27"/>
        <v>40.2119385257662</v>
      </c>
      <c r="N326" s="58">
        <v>5441.64</v>
      </c>
      <c r="O326" s="60">
        <f t="shared" si="24"/>
        <v>0.29715306414977838</v>
      </c>
      <c r="P326" s="60">
        <f t="shared" si="25"/>
        <v>7.3896726953209327E-3</v>
      </c>
      <c r="Q326" s="63"/>
    </row>
    <row r="327" spans="1:17" ht="17.25" customHeight="1" x14ac:dyDescent="0.2">
      <c r="A327" s="52">
        <v>2458</v>
      </c>
      <c r="B327" s="53" t="s">
        <v>29</v>
      </c>
      <c r="C327" s="57" t="s">
        <v>340</v>
      </c>
      <c r="D327" s="54">
        <v>255.31899999999999</v>
      </c>
      <c r="E327" s="62">
        <v>1233</v>
      </c>
      <c r="F327" s="54">
        <f t="shared" si="22"/>
        <v>254.42310159999997</v>
      </c>
      <c r="G327" s="66">
        <v>25569.041962604166</v>
      </c>
      <c r="H327" s="66">
        <v>25569.041962604166</v>
      </c>
      <c r="I327" s="62">
        <v>26</v>
      </c>
      <c r="J327" s="53"/>
      <c r="K327" s="57"/>
      <c r="L327" s="52">
        <v>2021</v>
      </c>
      <c r="M327" s="58">
        <f t="shared" si="27"/>
        <v>44.955533585978046</v>
      </c>
      <c r="N327" s="58">
        <v>7847.64</v>
      </c>
      <c r="O327" s="60">
        <f t="shared" si="24"/>
        <v>0.25752965222665669</v>
      </c>
      <c r="P327" s="60">
        <f t="shared" si="25"/>
        <v>5.7285417763783819E-3</v>
      </c>
      <c r="Q327" s="63"/>
    </row>
    <row r="328" spans="1:17" ht="17.25" customHeight="1" x14ac:dyDescent="0.2">
      <c r="A328" s="52">
        <v>2459</v>
      </c>
      <c r="B328" s="53" t="s">
        <v>29</v>
      </c>
      <c r="C328" s="57" t="s">
        <v>340</v>
      </c>
      <c r="D328" s="54">
        <v>259.327</v>
      </c>
      <c r="E328" s="62">
        <v>1233</v>
      </c>
      <c r="F328" s="54">
        <f t="shared" si="22"/>
        <v>258.40424799999994</v>
      </c>
      <c r="G328" s="66">
        <v>25569.041962604166</v>
      </c>
      <c r="H328" s="66">
        <v>25569.041962604166</v>
      </c>
      <c r="I328" s="62">
        <v>23</v>
      </c>
      <c r="J328" s="53"/>
      <c r="K328" s="57"/>
      <c r="L328" s="52">
        <v>1168</v>
      </c>
      <c r="M328" s="58">
        <f t="shared" si="27"/>
        <v>34.176014981270121</v>
      </c>
      <c r="N328" s="58">
        <v>5156.74</v>
      </c>
      <c r="O328" s="60">
        <f t="shared" si="24"/>
        <v>0.22649968778724544</v>
      </c>
      <c r="P328" s="60">
        <f t="shared" si="25"/>
        <v>6.6274458245461519E-3</v>
      </c>
      <c r="Q328" s="63"/>
    </row>
    <row r="329" spans="1:17" ht="17.25" customHeight="1" x14ac:dyDescent="0.2">
      <c r="A329" s="52">
        <v>2460</v>
      </c>
      <c r="B329" s="53" t="s">
        <v>157</v>
      </c>
      <c r="C329" s="57" t="s">
        <v>340</v>
      </c>
      <c r="D329" s="54">
        <v>214.71299999999999</v>
      </c>
      <c r="E329" s="62">
        <v>2209</v>
      </c>
      <c r="F329" s="54">
        <f t="shared" si="22"/>
        <v>215.05862259999998</v>
      </c>
      <c r="G329" s="66">
        <v>25569.041962604166</v>
      </c>
      <c r="H329" s="66">
        <v>25569.041962604166</v>
      </c>
      <c r="I329" s="62">
        <v>200</v>
      </c>
      <c r="J329" s="53"/>
      <c r="K329" s="57"/>
      <c r="L329" s="52">
        <v>369797</v>
      </c>
      <c r="M329" s="58">
        <f t="shared" si="27"/>
        <v>608.10936516386585</v>
      </c>
      <c r="N329" s="58">
        <v>14034345.34</v>
      </c>
      <c r="O329" s="60">
        <f t="shared" si="24"/>
        <v>2.6349429990583373E-2</v>
      </c>
      <c r="P329" s="60">
        <f t="shared" si="25"/>
        <v>4.3330084192146995E-5</v>
      </c>
      <c r="Q329" s="63"/>
    </row>
    <row r="330" spans="1:17" ht="17.25" customHeight="1" x14ac:dyDescent="0.2">
      <c r="A330" s="52">
        <v>2461</v>
      </c>
      <c r="B330" s="53" t="s">
        <v>30</v>
      </c>
      <c r="C330" s="57" t="s">
        <v>340</v>
      </c>
      <c r="D330" s="54">
        <v>334.22800000000001</v>
      </c>
      <c r="E330" s="62">
        <v>997</v>
      </c>
      <c r="F330" s="54">
        <f t="shared" si="22"/>
        <v>332.56899249999998</v>
      </c>
      <c r="G330" s="66">
        <v>25569.041962604166</v>
      </c>
      <c r="H330" s="66">
        <v>25569.041962604166</v>
      </c>
      <c r="I330" s="62">
        <v>31</v>
      </c>
      <c r="J330" s="53"/>
      <c r="K330" s="57"/>
      <c r="L330" s="52">
        <v>1191</v>
      </c>
      <c r="M330" s="58">
        <f t="shared" si="27"/>
        <v>34.510867853474792</v>
      </c>
      <c r="N330" s="58">
        <v>3444.25</v>
      </c>
      <c r="O330" s="60">
        <f t="shared" si="24"/>
        <v>0.34579371416128329</v>
      </c>
      <c r="P330" s="60">
        <f t="shared" si="25"/>
        <v>1.0019849852210145E-2</v>
      </c>
      <c r="Q330" s="63"/>
    </row>
    <row r="331" spans="1:17" ht="17.25" customHeight="1" x14ac:dyDescent="0.2">
      <c r="A331" s="52">
        <v>2462</v>
      </c>
      <c r="B331" s="53" t="s">
        <v>30</v>
      </c>
      <c r="C331" s="57" t="s">
        <v>340</v>
      </c>
      <c r="D331" s="54">
        <v>336.23599999999999</v>
      </c>
      <c r="E331" s="62">
        <v>997</v>
      </c>
      <c r="F331" s="54">
        <f t="shared" si="22"/>
        <v>334.56353889999997</v>
      </c>
      <c r="G331" s="66">
        <v>25569.041962604166</v>
      </c>
      <c r="H331" s="66">
        <v>25569.041962604166</v>
      </c>
      <c r="I331" s="55"/>
      <c r="J331" s="53"/>
      <c r="K331" s="57"/>
      <c r="L331" s="52">
        <v>1300</v>
      </c>
      <c r="M331" s="58">
        <f t="shared" si="27"/>
        <v>36.055512754639892</v>
      </c>
      <c r="N331" s="58">
        <v>2721.41</v>
      </c>
      <c r="O331" s="60">
        <f t="shared" si="24"/>
        <v>0.47769354856489837</v>
      </c>
      <c r="P331" s="60">
        <f t="shared" si="25"/>
        <v>1.3248835256223756E-2</v>
      </c>
      <c r="Q331" s="63"/>
    </row>
    <row r="332" spans="1:17" ht="17.25" customHeight="1" x14ac:dyDescent="0.2">
      <c r="A332" s="52">
        <v>2463</v>
      </c>
      <c r="B332" s="53" t="s">
        <v>30</v>
      </c>
      <c r="C332" s="57" t="s">
        <v>340</v>
      </c>
      <c r="D332" s="54">
        <v>338.23599999999999</v>
      </c>
      <c r="E332" s="62">
        <v>997</v>
      </c>
      <c r="F332" s="54">
        <f t="shared" ref="F332:F381" si="28">0.9933*(D332 + E332/1000)-0.41</f>
        <v>336.55013889999998</v>
      </c>
      <c r="G332" s="66">
        <v>25569.041962604166</v>
      </c>
      <c r="H332" s="66">
        <v>25569.041962604166</v>
      </c>
      <c r="I332" s="62">
        <v>32</v>
      </c>
      <c r="J332" s="53"/>
      <c r="K332" s="57"/>
      <c r="L332" s="52">
        <v>2266</v>
      </c>
      <c r="M332" s="58">
        <f t="shared" si="27"/>
        <v>47.602520941647619</v>
      </c>
      <c r="N332" s="58">
        <v>2923.47</v>
      </c>
      <c r="O332" s="60">
        <f t="shared" si="24"/>
        <v>0.77510629491665728</v>
      </c>
      <c r="P332" s="60">
        <f t="shared" si="25"/>
        <v>1.6282883334410008E-2</v>
      </c>
      <c r="Q332" s="63"/>
    </row>
    <row r="333" spans="1:17" ht="17.25" customHeight="1" x14ac:dyDescent="0.2">
      <c r="A333" s="52">
        <v>2464</v>
      </c>
      <c r="B333" s="53" t="s">
        <v>30</v>
      </c>
      <c r="C333" s="57" t="s">
        <v>340</v>
      </c>
      <c r="D333" s="54">
        <v>340.23</v>
      </c>
      <c r="E333" s="62">
        <v>997</v>
      </c>
      <c r="F333" s="54">
        <f t="shared" si="28"/>
        <v>338.53077910000002</v>
      </c>
      <c r="G333" s="66">
        <v>25569.041962604166</v>
      </c>
      <c r="H333" s="66">
        <v>25569.041962604166</v>
      </c>
      <c r="I333" s="62">
        <v>33</v>
      </c>
      <c r="J333" s="53"/>
      <c r="K333" s="57"/>
      <c r="L333" s="52">
        <v>3017</v>
      </c>
      <c r="M333" s="58">
        <f t="shared" si="27"/>
        <v>54.927224579437834</v>
      </c>
      <c r="N333" s="58">
        <v>2088.6799999999998</v>
      </c>
      <c r="O333" s="60">
        <f t="shared" ref="O333:O381" si="29">L333/N333</f>
        <v>1.4444529559338914</v>
      </c>
      <c r="P333" s="60">
        <f t="shared" ref="P333:P381" si="30">M333/N333</f>
        <v>2.6297577694734398E-2</v>
      </c>
      <c r="Q333" s="63"/>
    </row>
    <row r="334" spans="1:17" ht="17.25" customHeight="1" x14ac:dyDescent="0.2">
      <c r="A334" s="52">
        <v>2465</v>
      </c>
      <c r="B334" s="53" t="s">
        <v>30</v>
      </c>
      <c r="C334" s="57" t="s">
        <v>340</v>
      </c>
      <c r="D334" s="54">
        <v>341.24400000000003</v>
      </c>
      <c r="E334" s="62">
        <v>997</v>
      </c>
      <c r="F334" s="54">
        <f t="shared" si="28"/>
        <v>339.5379853</v>
      </c>
      <c r="G334" s="66">
        <v>25569.041962604166</v>
      </c>
      <c r="H334" s="66">
        <v>25569.041962604166</v>
      </c>
      <c r="I334" s="62">
        <v>34</v>
      </c>
      <c r="J334" s="53"/>
      <c r="K334" s="57"/>
      <c r="L334" s="52">
        <v>2604</v>
      </c>
      <c r="M334" s="58">
        <f t="shared" si="27"/>
        <v>51.029403288692293</v>
      </c>
      <c r="N334" s="58">
        <v>1214.55</v>
      </c>
      <c r="O334" s="60">
        <f t="shared" si="29"/>
        <v>2.1440039520810177</v>
      </c>
      <c r="P334" s="60">
        <f t="shared" si="30"/>
        <v>4.2015070016625328E-2</v>
      </c>
      <c r="Q334" s="63"/>
    </row>
    <row r="335" spans="1:17" ht="17.25" customHeight="1" x14ac:dyDescent="0.2">
      <c r="A335" s="52">
        <v>2466</v>
      </c>
      <c r="B335" s="53" t="s">
        <v>30</v>
      </c>
      <c r="C335" s="57" t="s">
        <v>340</v>
      </c>
      <c r="D335" s="54">
        <v>342.245</v>
      </c>
      <c r="E335" s="62">
        <v>997</v>
      </c>
      <c r="F335" s="54">
        <f t="shared" si="28"/>
        <v>340.53227859999998</v>
      </c>
      <c r="G335" s="66">
        <v>25569.041962604166</v>
      </c>
      <c r="H335" s="66">
        <v>25569.041962604166</v>
      </c>
      <c r="I335" s="62">
        <v>34</v>
      </c>
      <c r="J335" s="53"/>
      <c r="K335" s="57"/>
      <c r="L335" s="52">
        <v>5399</v>
      </c>
      <c r="M335" s="58">
        <f t="shared" si="27"/>
        <v>73.477887830285383</v>
      </c>
      <c r="N335" s="58">
        <v>1404.22</v>
      </c>
      <c r="O335" s="60">
        <f t="shared" si="29"/>
        <v>3.8448391277720013</v>
      </c>
      <c r="P335" s="60">
        <f t="shared" si="30"/>
        <v>5.2326478636029523E-2</v>
      </c>
      <c r="Q335" s="63"/>
    </row>
    <row r="336" spans="1:17" ht="17.25" customHeight="1" x14ac:dyDescent="0.2">
      <c r="A336" s="52">
        <v>2467</v>
      </c>
      <c r="B336" s="53" t="s">
        <v>30</v>
      </c>
      <c r="C336" s="57" t="s">
        <v>340</v>
      </c>
      <c r="D336" s="54">
        <v>343.238</v>
      </c>
      <c r="E336" s="62">
        <v>997</v>
      </c>
      <c r="F336" s="54">
        <f t="shared" si="28"/>
        <v>341.51862549999998</v>
      </c>
      <c r="G336" s="66">
        <v>25569.041962604166</v>
      </c>
      <c r="H336" s="66">
        <v>25569.041962604166</v>
      </c>
      <c r="I336" s="62">
        <v>35</v>
      </c>
      <c r="J336" s="53"/>
      <c r="K336" s="57"/>
      <c r="L336" s="52">
        <v>11130</v>
      </c>
      <c r="M336" s="58">
        <f t="shared" si="27"/>
        <v>105.49881515922347</v>
      </c>
      <c r="N336" s="58">
        <v>1633.46</v>
      </c>
      <c r="O336" s="60">
        <f t="shared" si="29"/>
        <v>6.8137573004542507</v>
      </c>
      <c r="P336" s="60">
        <f t="shared" si="30"/>
        <v>6.4586102603812437E-2</v>
      </c>
      <c r="Q336" s="63"/>
    </row>
    <row r="337" spans="1:17" ht="17.25" customHeight="1" x14ac:dyDescent="0.2">
      <c r="A337" s="52">
        <v>2468</v>
      </c>
      <c r="B337" s="53" t="s">
        <v>30</v>
      </c>
      <c r="C337" s="57" t="s">
        <v>340</v>
      </c>
      <c r="D337" s="54">
        <v>344.245</v>
      </c>
      <c r="E337" s="62">
        <v>997</v>
      </c>
      <c r="F337" s="54">
        <f t="shared" si="28"/>
        <v>342.51887859999999</v>
      </c>
      <c r="G337" s="66">
        <v>25569.041962604166</v>
      </c>
      <c r="H337" s="66">
        <v>25569.041962604166</v>
      </c>
      <c r="I337" s="55"/>
      <c r="J337" s="53"/>
      <c r="K337" s="57"/>
      <c r="L337" s="52">
        <v>27591</v>
      </c>
      <c r="M337" s="58">
        <f t="shared" si="27"/>
        <v>166.10538823289266</v>
      </c>
      <c r="N337" s="58">
        <v>2438.96</v>
      </c>
      <c r="O337" s="60">
        <f t="shared" si="29"/>
        <v>11.312608652868436</v>
      </c>
      <c r="P337" s="60">
        <f t="shared" si="30"/>
        <v>6.8105007147674687E-2</v>
      </c>
      <c r="Q337" s="63"/>
    </row>
    <row r="338" spans="1:17" ht="17.25" customHeight="1" x14ac:dyDescent="0.2">
      <c r="A338" s="52">
        <v>2469</v>
      </c>
      <c r="B338" s="53" t="s">
        <v>30</v>
      </c>
      <c r="C338" s="57" t="s">
        <v>340</v>
      </c>
      <c r="D338" s="54">
        <v>345.25200000000001</v>
      </c>
      <c r="E338" s="62">
        <v>997</v>
      </c>
      <c r="F338" s="54">
        <f t="shared" si="28"/>
        <v>343.5191317</v>
      </c>
      <c r="G338" s="66">
        <v>25569.041962604166</v>
      </c>
      <c r="H338" s="66">
        <v>25569.041962604166</v>
      </c>
      <c r="I338" s="62">
        <v>29</v>
      </c>
      <c r="J338" s="53"/>
      <c r="K338" s="57"/>
      <c r="L338" s="52">
        <v>17874</v>
      </c>
      <c r="M338" s="58">
        <f t="shared" si="27"/>
        <v>133.69367973094316</v>
      </c>
      <c r="N338" s="58">
        <v>1404.04</v>
      </c>
      <c r="O338" s="60">
        <f t="shared" si="29"/>
        <v>12.730406541124184</v>
      </c>
      <c r="P338" s="60">
        <f t="shared" si="30"/>
        <v>9.5220705771162623E-2</v>
      </c>
      <c r="Q338" s="63"/>
    </row>
    <row r="339" spans="1:17" ht="17.25" customHeight="1" x14ac:dyDescent="0.2">
      <c r="A339" s="52">
        <v>2470</v>
      </c>
      <c r="B339" s="53" t="s">
        <v>9</v>
      </c>
      <c r="C339" s="57" t="s">
        <v>340</v>
      </c>
      <c r="D339" s="54">
        <v>346.25299999999999</v>
      </c>
      <c r="E339" s="62">
        <v>997</v>
      </c>
      <c r="F339" s="54">
        <f t="shared" si="28"/>
        <v>344.51342499999998</v>
      </c>
      <c r="G339" s="66">
        <v>25569.041962604166</v>
      </c>
      <c r="H339" s="66">
        <v>25569.041962604166</v>
      </c>
      <c r="I339" s="62">
        <v>29</v>
      </c>
      <c r="J339" s="53"/>
      <c r="K339" s="57"/>
      <c r="L339" s="52">
        <v>13244</v>
      </c>
      <c r="M339" s="58">
        <f t="shared" si="27"/>
        <v>115.08257904652642</v>
      </c>
      <c r="N339" s="58">
        <v>967.16</v>
      </c>
      <c r="O339" s="60">
        <f t="shared" si="29"/>
        <v>13.693701145622235</v>
      </c>
      <c r="P339" s="60">
        <f t="shared" si="30"/>
        <v>0.11899021779904713</v>
      </c>
      <c r="Q339" s="63"/>
    </row>
    <row r="340" spans="1:17" ht="17.25" customHeight="1" x14ac:dyDescent="0.2">
      <c r="A340" s="52">
        <v>2471</v>
      </c>
      <c r="B340" s="53" t="s">
        <v>30</v>
      </c>
      <c r="C340" s="57" t="s">
        <v>340</v>
      </c>
      <c r="D340" s="54">
        <v>347.267</v>
      </c>
      <c r="E340" s="62">
        <v>997</v>
      </c>
      <c r="F340" s="54">
        <f t="shared" si="28"/>
        <v>345.52063119999997</v>
      </c>
      <c r="G340" s="66">
        <v>25569.041962604166</v>
      </c>
      <c r="H340" s="66">
        <v>25569.041962604166</v>
      </c>
      <c r="I340" s="62">
        <v>29</v>
      </c>
      <c r="J340" s="53"/>
      <c r="K340" s="57"/>
      <c r="L340" s="52">
        <v>27441</v>
      </c>
      <c r="M340" s="58">
        <f t="shared" si="27"/>
        <v>165.65325230734229</v>
      </c>
      <c r="N340" s="58">
        <v>1637.01</v>
      </c>
      <c r="O340" s="60">
        <f t="shared" si="29"/>
        <v>16.762878662928145</v>
      </c>
      <c r="P340" s="60">
        <f t="shared" si="30"/>
        <v>0.10119257201076493</v>
      </c>
      <c r="Q340" s="63"/>
    </row>
    <row r="341" spans="1:17" ht="17.25" customHeight="1" x14ac:dyDescent="0.2">
      <c r="A341" s="52">
        <v>2472</v>
      </c>
      <c r="B341" s="53" t="s">
        <v>30</v>
      </c>
      <c r="C341" s="57" t="s">
        <v>340</v>
      </c>
      <c r="D341" s="54">
        <v>348.25400000000002</v>
      </c>
      <c r="E341" s="62">
        <v>997</v>
      </c>
      <c r="F341" s="54">
        <f t="shared" si="28"/>
        <v>346.5010183</v>
      </c>
      <c r="G341" s="66">
        <v>25569.041962604166</v>
      </c>
      <c r="H341" s="66">
        <v>25569.041962604166</v>
      </c>
      <c r="I341" s="62">
        <v>29</v>
      </c>
      <c r="J341" s="53"/>
      <c r="K341" s="57"/>
      <c r="L341" s="52">
        <v>13570</v>
      </c>
      <c r="M341" s="58">
        <f t="shared" si="27"/>
        <v>116.4903429473877</v>
      </c>
      <c r="N341" s="58">
        <v>732.76</v>
      </c>
      <c r="O341" s="60">
        <f t="shared" si="29"/>
        <v>18.519023964190186</v>
      </c>
      <c r="P341" s="60">
        <f t="shared" si="30"/>
        <v>0.15897475701101002</v>
      </c>
      <c r="Q341" s="63"/>
    </row>
    <row r="342" spans="1:17" ht="17.25" customHeight="1" x14ac:dyDescent="0.2">
      <c r="A342" s="52">
        <v>2473</v>
      </c>
      <c r="B342" s="53" t="s">
        <v>30</v>
      </c>
      <c r="C342" s="57" t="s">
        <v>340</v>
      </c>
      <c r="D342" s="54">
        <v>349.26</v>
      </c>
      <c r="E342" s="62">
        <v>997</v>
      </c>
      <c r="F342" s="54">
        <f t="shared" si="28"/>
        <v>347.50027809999995</v>
      </c>
      <c r="G342" s="66">
        <v>25569.041962604166</v>
      </c>
      <c r="H342" s="66">
        <v>25569.041962604166</v>
      </c>
      <c r="I342" s="55"/>
      <c r="J342" s="53"/>
      <c r="K342" s="57"/>
      <c r="L342" s="52">
        <v>42655</v>
      </c>
      <c r="M342" s="58">
        <f t="shared" si="27"/>
        <v>206.53086936339565</v>
      </c>
      <c r="N342" s="58">
        <v>2402.6</v>
      </c>
      <c r="O342" s="60">
        <f t="shared" si="29"/>
        <v>17.753683509531342</v>
      </c>
      <c r="P342" s="60">
        <f t="shared" si="30"/>
        <v>8.5961404047030579E-2</v>
      </c>
      <c r="Q342" s="63"/>
    </row>
    <row r="343" spans="1:17" ht="17.25" customHeight="1" x14ac:dyDescent="0.2">
      <c r="A343" s="52">
        <v>2474</v>
      </c>
      <c r="B343" s="53" t="s">
        <v>30</v>
      </c>
      <c r="C343" s="57" t="s">
        <v>340</v>
      </c>
      <c r="D343" s="54">
        <v>350.25400000000002</v>
      </c>
      <c r="E343" s="62">
        <v>997</v>
      </c>
      <c r="F343" s="54">
        <f t="shared" si="28"/>
        <v>348.48761830000001</v>
      </c>
      <c r="G343" s="66">
        <v>25569.041962604166</v>
      </c>
      <c r="H343" s="66">
        <v>25569.041962604166</v>
      </c>
      <c r="I343" s="62">
        <v>29</v>
      </c>
      <c r="J343" s="53"/>
      <c r="K343" s="57"/>
      <c r="L343" s="52">
        <v>29473</v>
      </c>
      <c r="M343" s="58">
        <f t="shared" si="27"/>
        <v>171.67702234137218</v>
      </c>
      <c r="N343" s="58">
        <v>1757.5</v>
      </c>
      <c r="O343" s="60">
        <f t="shared" si="29"/>
        <v>16.769843527738264</v>
      </c>
      <c r="P343" s="60">
        <f t="shared" si="30"/>
        <v>9.7682516268206079E-2</v>
      </c>
      <c r="Q343" s="63"/>
    </row>
    <row r="344" spans="1:17" ht="17.25" customHeight="1" x14ac:dyDescent="0.2">
      <c r="A344" s="52">
        <v>2475</v>
      </c>
      <c r="B344" s="53" t="s">
        <v>30</v>
      </c>
      <c r="C344" s="57" t="s">
        <v>340</v>
      </c>
      <c r="D344" s="54">
        <v>351.255</v>
      </c>
      <c r="E344" s="62">
        <v>997</v>
      </c>
      <c r="F344" s="54">
        <f t="shared" si="28"/>
        <v>349.48191159999999</v>
      </c>
      <c r="G344" s="66">
        <v>25569.041962604166</v>
      </c>
      <c r="H344" s="66">
        <v>25569.041962604166</v>
      </c>
      <c r="I344" s="55"/>
      <c r="J344" s="53"/>
      <c r="K344" s="57"/>
      <c r="L344" s="52">
        <v>15888</v>
      </c>
      <c r="M344" s="58">
        <f t="shared" si="27"/>
        <v>126.04761005270984</v>
      </c>
      <c r="N344" s="58">
        <v>986.41</v>
      </c>
      <c r="O344" s="60">
        <f t="shared" si="29"/>
        <v>16.106892671404385</v>
      </c>
      <c r="P344" s="60">
        <f t="shared" si="30"/>
        <v>0.12778419729393442</v>
      </c>
      <c r="Q344" s="63"/>
    </row>
    <row r="345" spans="1:17" ht="17.25" customHeight="1" x14ac:dyDescent="0.2">
      <c r="A345" s="52">
        <v>2476</v>
      </c>
      <c r="B345" s="53" t="s">
        <v>9</v>
      </c>
      <c r="C345" s="57" t="s">
        <v>340</v>
      </c>
      <c r="D345" s="54">
        <v>352.26900000000001</v>
      </c>
      <c r="E345" s="62">
        <v>997</v>
      </c>
      <c r="F345" s="54">
        <f t="shared" si="28"/>
        <v>350.48911779999997</v>
      </c>
      <c r="G345" s="66">
        <v>25569.041962604166</v>
      </c>
      <c r="H345" s="66">
        <v>25569.041962604166</v>
      </c>
      <c r="I345" s="62">
        <v>28</v>
      </c>
      <c r="J345" s="53"/>
      <c r="K345" s="57"/>
      <c r="L345" s="52">
        <v>15403</v>
      </c>
      <c r="M345" s="58">
        <f t="shared" ref="M345:M359" si="31">SQRT(L345)</f>
        <v>124.1088232157569</v>
      </c>
      <c r="N345" s="58">
        <v>1182.47</v>
      </c>
      <c r="O345" s="60">
        <f t="shared" si="29"/>
        <v>13.026123284311652</v>
      </c>
      <c r="P345" s="60">
        <f t="shared" si="30"/>
        <v>0.10495727013434328</v>
      </c>
      <c r="Q345" s="63"/>
    </row>
    <row r="346" spans="1:17" ht="17.25" customHeight="1" x14ac:dyDescent="0.2">
      <c r="A346" s="52">
        <v>2477</v>
      </c>
      <c r="B346" s="53" t="s">
        <v>30</v>
      </c>
      <c r="C346" s="57" t="s">
        <v>340</v>
      </c>
      <c r="D346" s="54">
        <v>353.255</v>
      </c>
      <c r="E346" s="62">
        <v>997</v>
      </c>
      <c r="F346" s="54">
        <f t="shared" si="28"/>
        <v>351.46851159999994</v>
      </c>
      <c r="G346" s="66">
        <v>25569.041962604166</v>
      </c>
      <c r="H346" s="66">
        <v>25569.041962604166</v>
      </c>
      <c r="I346" s="62">
        <v>28</v>
      </c>
      <c r="J346" s="53"/>
      <c r="K346" s="57"/>
      <c r="L346" s="52">
        <v>15302</v>
      </c>
      <c r="M346" s="58">
        <f t="shared" si="31"/>
        <v>123.7012530251816</v>
      </c>
      <c r="N346" s="58">
        <v>1141.74</v>
      </c>
      <c r="O346" s="60">
        <f t="shared" si="29"/>
        <v>13.402350797904951</v>
      </c>
      <c r="P346" s="60">
        <f t="shared" si="30"/>
        <v>0.10834450314886192</v>
      </c>
      <c r="Q346" s="63"/>
    </row>
    <row r="347" spans="1:17" ht="17.25" customHeight="1" x14ac:dyDescent="0.2">
      <c r="A347" s="52">
        <v>2478</v>
      </c>
      <c r="B347" s="53" t="s">
        <v>30</v>
      </c>
      <c r="C347" s="57" t="s">
        <v>340</v>
      </c>
      <c r="D347" s="54">
        <v>354.26299999999998</v>
      </c>
      <c r="E347" s="62">
        <v>997</v>
      </c>
      <c r="F347" s="54">
        <f t="shared" si="28"/>
        <v>352.46975799999996</v>
      </c>
      <c r="G347" s="66">
        <v>25569.041962604166</v>
      </c>
      <c r="H347" s="66">
        <v>25569.041962604166</v>
      </c>
      <c r="I347" s="62">
        <v>28</v>
      </c>
      <c r="J347" s="53"/>
      <c r="K347" s="57"/>
      <c r="L347" s="52">
        <v>19809</v>
      </c>
      <c r="M347" s="58">
        <f t="shared" si="31"/>
        <v>140.74444926887881</v>
      </c>
      <c r="N347" s="58">
        <v>1711.01</v>
      </c>
      <c r="O347" s="60">
        <f t="shared" si="29"/>
        <v>11.577372429150035</v>
      </c>
      <c r="P347" s="60">
        <f t="shared" si="30"/>
        <v>8.2258110279237878E-2</v>
      </c>
      <c r="Q347" s="63"/>
    </row>
    <row r="348" spans="1:17" ht="17.25" customHeight="1" x14ac:dyDescent="0.2">
      <c r="A348" s="52">
        <v>2479</v>
      </c>
      <c r="B348" s="53" t="s">
        <v>30</v>
      </c>
      <c r="C348" s="57" t="s">
        <v>340</v>
      </c>
      <c r="D348" s="54">
        <v>355.26299999999998</v>
      </c>
      <c r="E348" s="62">
        <v>997</v>
      </c>
      <c r="F348" s="54">
        <f t="shared" si="28"/>
        <v>353.46305799999993</v>
      </c>
      <c r="G348" s="66">
        <v>25569.041962604166</v>
      </c>
      <c r="H348" s="66">
        <v>25569.041962604166</v>
      </c>
      <c r="I348" s="62">
        <v>28</v>
      </c>
      <c r="J348" s="53"/>
      <c r="K348" s="57"/>
      <c r="L348" s="52">
        <v>17658</v>
      </c>
      <c r="M348" s="58">
        <f t="shared" si="31"/>
        <v>132.8834075421006</v>
      </c>
      <c r="N348" s="58">
        <v>1758.64</v>
      </c>
      <c r="O348" s="60">
        <f t="shared" si="29"/>
        <v>10.040713278442432</v>
      </c>
      <c r="P348" s="60">
        <f t="shared" si="30"/>
        <v>7.5560323626268355E-2</v>
      </c>
      <c r="Q348" s="63"/>
    </row>
    <row r="349" spans="1:17" ht="17.25" customHeight="1" x14ac:dyDescent="0.2">
      <c r="A349" s="52">
        <v>2480</v>
      </c>
      <c r="B349" s="53" t="s">
        <v>30</v>
      </c>
      <c r="C349" s="57" t="s">
        <v>340</v>
      </c>
      <c r="D349" s="54">
        <v>356.26299999999998</v>
      </c>
      <c r="E349" s="62">
        <v>997</v>
      </c>
      <c r="F349" s="54">
        <f t="shared" si="28"/>
        <v>354.45635799999997</v>
      </c>
      <c r="G349" s="66">
        <v>25569.041962604166</v>
      </c>
      <c r="H349" s="66">
        <v>25569.041962604166</v>
      </c>
      <c r="I349" s="62">
        <v>28</v>
      </c>
      <c r="J349" s="53"/>
      <c r="K349" s="57"/>
      <c r="L349" s="52">
        <v>11054</v>
      </c>
      <c r="M349" s="58">
        <f t="shared" si="31"/>
        <v>105.13800454640558</v>
      </c>
      <c r="N349" s="58">
        <v>1344.74</v>
      </c>
      <c r="O349" s="60">
        <f t="shared" si="29"/>
        <v>8.2201763909752064</v>
      </c>
      <c r="P349" s="60">
        <f t="shared" si="30"/>
        <v>7.818463386707139E-2</v>
      </c>
      <c r="Q349" s="63"/>
    </row>
    <row r="350" spans="1:17" ht="17.25" customHeight="1" x14ac:dyDescent="0.2">
      <c r="A350" s="52">
        <v>2481</v>
      </c>
      <c r="B350" s="53" t="s">
        <v>30</v>
      </c>
      <c r="C350" s="57" t="s">
        <v>340</v>
      </c>
      <c r="D350" s="54">
        <v>358.27100000000002</v>
      </c>
      <c r="E350" s="62">
        <v>997</v>
      </c>
      <c r="F350" s="54">
        <f t="shared" si="28"/>
        <v>356.45090440000001</v>
      </c>
      <c r="G350" s="66">
        <v>25569.041962604166</v>
      </c>
      <c r="H350" s="66">
        <v>25569.041962604166</v>
      </c>
      <c r="I350" s="62">
        <v>27</v>
      </c>
      <c r="J350" s="53"/>
      <c r="K350" s="57"/>
      <c r="L350" s="52">
        <v>10496</v>
      </c>
      <c r="M350" s="58">
        <f t="shared" si="31"/>
        <v>102.44998779892558</v>
      </c>
      <c r="N350" s="58">
        <v>1961.25</v>
      </c>
      <c r="O350" s="60">
        <f t="shared" si="29"/>
        <v>5.3516889738687059</v>
      </c>
      <c r="P350" s="60">
        <f t="shared" si="30"/>
        <v>5.2237087469178115E-2</v>
      </c>
      <c r="Q350" s="63"/>
    </row>
    <row r="351" spans="1:17" ht="17.25" customHeight="1" x14ac:dyDescent="0.2">
      <c r="A351" s="52">
        <v>2482</v>
      </c>
      <c r="B351" s="53" t="s">
        <v>30</v>
      </c>
      <c r="C351" s="57" t="s">
        <v>340</v>
      </c>
      <c r="D351" s="54">
        <v>360.27199999999999</v>
      </c>
      <c r="E351" s="62">
        <v>997</v>
      </c>
      <c r="F351" s="54">
        <f t="shared" si="28"/>
        <v>358.43849769999997</v>
      </c>
      <c r="G351" s="66">
        <v>25569.041962604166</v>
      </c>
      <c r="H351" s="66">
        <v>25569.041962604166</v>
      </c>
      <c r="I351" s="62">
        <v>27</v>
      </c>
      <c r="J351" s="53"/>
      <c r="K351" s="57"/>
      <c r="L351" s="52">
        <v>5319</v>
      </c>
      <c r="M351" s="58">
        <f t="shared" si="31"/>
        <v>72.931474686859303</v>
      </c>
      <c r="N351" s="58">
        <v>1609.36</v>
      </c>
      <c r="O351" s="60">
        <f t="shared" si="29"/>
        <v>3.3050405129989562</v>
      </c>
      <c r="P351" s="60">
        <f t="shared" si="30"/>
        <v>4.5317066838283113E-2</v>
      </c>
      <c r="Q351" s="63"/>
    </row>
    <row r="352" spans="1:17" ht="17.25" customHeight="1" x14ac:dyDescent="0.2">
      <c r="A352" s="52">
        <v>2483</v>
      </c>
      <c r="B352" s="53" t="s">
        <v>30</v>
      </c>
      <c r="C352" s="57" t="s">
        <v>340</v>
      </c>
      <c r="D352" s="54">
        <v>362.286</v>
      </c>
      <c r="E352" s="62">
        <v>997</v>
      </c>
      <c r="F352" s="54">
        <f t="shared" si="28"/>
        <v>360.43900389999999</v>
      </c>
      <c r="G352" s="66">
        <v>25569.041962604166</v>
      </c>
      <c r="H352" s="66">
        <v>25569.041962604166</v>
      </c>
      <c r="I352" s="62">
        <v>27</v>
      </c>
      <c r="J352" s="53"/>
      <c r="K352" s="57"/>
      <c r="L352" s="52">
        <v>5222</v>
      </c>
      <c r="M352" s="58">
        <f t="shared" si="31"/>
        <v>72.263407060558663</v>
      </c>
      <c r="N352" s="58">
        <v>2382.92</v>
      </c>
      <c r="O352" s="60">
        <f t="shared" si="29"/>
        <v>2.1914290030718613</v>
      </c>
      <c r="P352" s="60">
        <f t="shared" si="30"/>
        <v>3.0325569914457329E-2</v>
      </c>
      <c r="Q352" s="63"/>
    </row>
    <row r="353" spans="1:17" ht="17.25" customHeight="1" x14ac:dyDescent="0.2">
      <c r="A353" s="52">
        <v>2484</v>
      </c>
      <c r="B353" s="53" t="s">
        <v>30</v>
      </c>
      <c r="C353" s="57" t="s">
        <v>340</v>
      </c>
      <c r="D353" s="54">
        <v>364.27300000000002</v>
      </c>
      <c r="E353" s="62">
        <v>997</v>
      </c>
      <c r="F353" s="54">
        <f t="shared" si="28"/>
        <v>362.412691</v>
      </c>
      <c r="G353" s="66">
        <v>25569.041962604166</v>
      </c>
      <c r="H353" s="66">
        <v>25569.041962604166</v>
      </c>
      <c r="I353" s="62">
        <v>25</v>
      </c>
      <c r="J353" s="53"/>
      <c r="K353" s="57"/>
      <c r="L353" s="52">
        <v>3303</v>
      </c>
      <c r="M353" s="58">
        <f t="shared" si="31"/>
        <v>57.471732182004047</v>
      </c>
      <c r="N353" s="58">
        <v>2233.11</v>
      </c>
      <c r="O353" s="60">
        <f t="shared" si="29"/>
        <v>1.4791031341940164</v>
      </c>
      <c r="P353" s="60">
        <f t="shared" si="30"/>
        <v>2.5736185043282258E-2</v>
      </c>
      <c r="Q353" s="63"/>
    </row>
    <row r="354" spans="1:17" ht="17.25" customHeight="1" x14ac:dyDescent="0.2">
      <c r="A354" s="52">
        <v>2485</v>
      </c>
      <c r="B354" s="53" t="s">
        <v>30</v>
      </c>
      <c r="C354" s="57" t="s">
        <v>340</v>
      </c>
      <c r="D354" s="54">
        <v>352.262</v>
      </c>
      <c r="E354" s="62">
        <v>997</v>
      </c>
      <c r="F354" s="54">
        <f t="shared" si="28"/>
        <v>350.4821647</v>
      </c>
      <c r="G354" s="66">
        <v>25569.041962604166</v>
      </c>
      <c r="H354" s="66">
        <v>25569.041962604166</v>
      </c>
      <c r="I354" s="62">
        <v>30</v>
      </c>
      <c r="J354" s="53"/>
      <c r="K354" s="57"/>
      <c r="L354" s="52">
        <v>14474</v>
      </c>
      <c r="M354" s="58">
        <f t="shared" si="31"/>
        <v>120.30793822520607</v>
      </c>
      <c r="N354" s="58">
        <v>963.61</v>
      </c>
      <c r="O354" s="60">
        <f t="shared" si="29"/>
        <v>15.020599620178288</v>
      </c>
      <c r="P354" s="60">
        <f t="shared" si="30"/>
        <v>0.12485127616484477</v>
      </c>
      <c r="Q354" s="63"/>
    </row>
    <row r="355" spans="1:17" ht="17.25" customHeight="1" x14ac:dyDescent="0.2">
      <c r="A355" s="52">
        <v>2486</v>
      </c>
      <c r="B355" s="53" t="s">
        <v>30</v>
      </c>
      <c r="C355" s="57" t="s">
        <v>340</v>
      </c>
      <c r="D355" s="54">
        <v>346.25299999999999</v>
      </c>
      <c r="E355" s="62">
        <v>997</v>
      </c>
      <c r="F355" s="54">
        <f t="shared" si="28"/>
        <v>344.51342499999998</v>
      </c>
      <c r="G355" s="66">
        <v>25569.041962604166</v>
      </c>
      <c r="H355" s="66">
        <v>25569.041962604166</v>
      </c>
      <c r="I355" s="62">
        <v>32</v>
      </c>
      <c r="J355" s="53"/>
      <c r="K355" s="57"/>
      <c r="L355" s="52">
        <v>24155</v>
      </c>
      <c r="M355" s="58">
        <f t="shared" si="31"/>
        <v>155.41878908291622</v>
      </c>
      <c r="N355" s="58">
        <v>1529.26</v>
      </c>
      <c r="O355" s="60">
        <f t="shared" si="29"/>
        <v>15.795221218105489</v>
      </c>
      <c r="P355" s="60">
        <f t="shared" si="30"/>
        <v>0.10163006230655103</v>
      </c>
      <c r="Q355" s="63"/>
    </row>
    <row r="356" spans="1:17" ht="17.25" customHeight="1" x14ac:dyDescent="0.2">
      <c r="A356" s="52">
        <v>2487</v>
      </c>
      <c r="B356" s="53" t="s">
        <v>157</v>
      </c>
      <c r="C356" s="57" t="s">
        <v>340</v>
      </c>
      <c r="D356" s="54">
        <v>249.64599999999999</v>
      </c>
      <c r="E356" s="62">
        <v>2550</v>
      </c>
      <c r="F356" s="54">
        <f t="shared" si="28"/>
        <v>250.0962868</v>
      </c>
      <c r="G356" s="66">
        <v>25569.041962604166</v>
      </c>
      <c r="H356" s="66">
        <v>25569.041962604166</v>
      </c>
      <c r="I356" s="62">
        <v>210</v>
      </c>
      <c r="J356" s="53"/>
      <c r="K356" s="57" t="s">
        <v>345</v>
      </c>
      <c r="L356" s="52">
        <v>6765314</v>
      </c>
      <c r="M356" s="58">
        <f t="shared" si="31"/>
        <v>2601.0217223237487</v>
      </c>
      <c r="N356" s="54">
        <v>17400912.760000002</v>
      </c>
      <c r="O356" s="60">
        <f t="shared" si="29"/>
        <v>0.38879075444545813</v>
      </c>
      <c r="P356" s="60">
        <f t="shared" si="30"/>
        <v>1.4947616588842369E-4</v>
      </c>
      <c r="Q356" s="63"/>
    </row>
    <row r="357" spans="1:17" ht="17.25" customHeight="1" x14ac:dyDescent="0.2">
      <c r="A357" s="52">
        <v>2488</v>
      </c>
      <c r="B357" s="53" t="s">
        <v>31</v>
      </c>
      <c r="C357" s="57" t="s">
        <v>340</v>
      </c>
      <c r="D357" s="54">
        <v>334.22</v>
      </c>
      <c r="E357" s="62">
        <v>833</v>
      </c>
      <c r="F357" s="54">
        <f t="shared" si="28"/>
        <v>332.39814490000003</v>
      </c>
      <c r="G357" s="66">
        <v>25569.041962604166</v>
      </c>
      <c r="H357" s="66">
        <v>25569.041962604166</v>
      </c>
      <c r="I357" s="58">
        <v>29.4</v>
      </c>
      <c r="J357" s="53"/>
      <c r="K357" s="57" t="s">
        <v>345</v>
      </c>
      <c r="L357" s="52">
        <v>2354</v>
      </c>
      <c r="M357" s="58">
        <f t="shared" si="31"/>
        <v>48.518037882832814</v>
      </c>
      <c r="N357" s="58">
        <v>7292.46</v>
      </c>
      <c r="O357" s="60">
        <f t="shared" si="29"/>
        <v>0.32279916516511575</v>
      </c>
      <c r="P357" s="60">
        <f t="shared" si="30"/>
        <v>6.6531784723992743E-3</v>
      </c>
      <c r="Q357" s="63"/>
    </row>
    <row r="358" spans="1:17" ht="17.25" customHeight="1" x14ac:dyDescent="0.2">
      <c r="A358" s="52">
        <v>2489</v>
      </c>
      <c r="B358" s="53" t="s">
        <v>31</v>
      </c>
      <c r="C358" s="57" t="s">
        <v>340</v>
      </c>
      <c r="D358" s="54">
        <v>336.3</v>
      </c>
      <c r="E358" s="62">
        <v>833</v>
      </c>
      <c r="F358" s="54">
        <f t="shared" si="28"/>
        <v>334.46420890000002</v>
      </c>
      <c r="G358" s="66">
        <v>25569.041962604166</v>
      </c>
      <c r="H358" s="66">
        <v>25569.041962604166</v>
      </c>
      <c r="I358" s="58">
        <v>28.9</v>
      </c>
      <c r="J358" s="53"/>
      <c r="K358" s="57" t="s">
        <v>345</v>
      </c>
      <c r="L358" s="52">
        <v>1297</v>
      </c>
      <c r="M358" s="58">
        <f t="shared" si="31"/>
        <v>36.013886210738214</v>
      </c>
      <c r="N358" s="58">
        <v>2946.6</v>
      </c>
      <c r="O358" s="60">
        <f t="shared" si="29"/>
        <v>0.44016832960021723</v>
      </c>
      <c r="P358" s="60">
        <f t="shared" si="30"/>
        <v>1.2222183605083219E-2</v>
      </c>
      <c r="Q358" s="63"/>
    </row>
    <row r="359" spans="1:17" ht="17.25" customHeight="1" x14ac:dyDescent="0.2">
      <c r="A359" s="52">
        <v>2490</v>
      </c>
      <c r="B359" s="53" t="s">
        <v>31</v>
      </c>
      <c r="C359" s="57" t="s">
        <v>340</v>
      </c>
      <c r="D359" s="54">
        <v>338.24</v>
      </c>
      <c r="E359" s="62">
        <v>833</v>
      </c>
      <c r="F359" s="54">
        <f t="shared" si="28"/>
        <v>336.39121089999998</v>
      </c>
      <c r="G359" s="66">
        <v>25569.041962604166</v>
      </c>
      <c r="H359" s="66">
        <v>25569.041962604166</v>
      </c>
      <c r="I359" s="58">
        <v>28.6</v>
      </c>
      <c r="J359" s="53"/>
      <c r="K359" s="57" t="s">
        <v>345</v>
      </c>
      <c r="L359" s="52">
        <v>1490</v>
      </c>
      <c r="M359" s="58">
        <f t="shared" si="31"/>
        <v>38.600518131237564</v>
      </c>
      <c r="N359" s="58">
        <v>2002.17</v>
      </c>
      <c r="O359" s="60">
        <f t="shared" si="29"/>
        <v>0.74419255108207594</v>
      </c>
      <c r="P359" s="60">
        <f t="shared" si="30"/>
        <v>1.9279340980654772E-2</v>
      </c>
      <c r="Q359" s="63"/>
    </row>
    <row r="360" spans="1:17" ht="17.25" customHeight="1" x14ac:dyDescent="0.2">
      <c r="A360" s="52">
        <v>2491</v>
      </c>
      <c r="B360" s="53" t="s">
        <v>31</v>
      </c>
      <c r="C360" s="57" t="s">
        <v>340</v>
      </c>
      <c r="D360" s="54">
        <v>340.23</v>
      </c>
      <c r="E360" s="62">
        <v>833</v>
      </c>
      <c r="F360" s="54">
        <f t="shared" si="28"/>
        <v>338.3678779</v>
      </c>
      <c r="G360" s="66">
        <v>25569.041962604166</v>
      </c>
      <c r="H360" s="66">
        <v>25569.041962604166</v>
      </c>
      <c r="I360" s="58">
        <v>28.3</v>
      </c>
      <c r="J360" s="53"/>
      <c r="K360" s="57" t="s">
        <v>345</v>
      </c>
      <c r="L360" s="52">
        <v>2970</v>
      </c>
      <c r="M360" s="58">
        <f>SQRT(N360)</f>
        <v>47.211757010304119</v>
      </c>
      <c r="N360" s="58">
        <v>2228.9499999999998</v>
      </c>
      <c r="O360" s="60">
        <f t="shared" si="29"/>
        <v>1.3324659593081944</v>
      </c>
      <c r="P360" s="60">
        <f t="shared" si="30"/>
        <v>2.1181164678572478E-2</v>
      </c>
      <c r="Q360" s="63"/>
    </row>
    <row r="361" spans="1:17" ht="17.25" customHeight="1" x14ac:dyDescent="0.2">
      <c r="A361" s="52">
        <v>2492</v>
      </c>
      <c r="B361" s="53" t="s">
        <v>31</v>
      </c>
      <c r="C361" s="57" t="s">
        <v>340</v>
      </c>
      <c r="D361" s="54">
        <v>341.23</v>
      </c>
      <c r="E361" s="62">
        <v>833</v>
      </c>
      <c r="F361" s="54">
        <f t="shared" si="28"/>
        <v>339.36117790000003</v>
      </c>
      <c r="G361" s="66">
        <v>25569.041962604166</v>
      </c>
      <c r="H361" s="66">
        <v>25569.041962604166</v>
      </c>
      <c r="I361" s="58">
        <v>27.7</v>
      </c>
      <c r="J361" s="53"/>
      <c r="K361" s="57" t="s">
        <v>345</v>
      </c>
      <c r="L361" s="52">
        <v>2805</v>
      </c>
      <c r="M361" s="58">
        <f t="shared" ref="M361:M381" si="32">SQRT(L361)</f>
        <v>52.962250707461443</v>
      </c>
      <c r="N361" s="58">
        <v>1368.35</v>
      </c>
      <c r="O361" s="60">
        <f t="shared" si="29"/>
        <v>2.0499141301567585</v>
      </c>
      <c r="P361" s="60">
        <f t="shared" si="30"/>
        <v>3.8705192902007121E-2</v>
      </c>
      <c r="Q361" s="63"/>
    </row>
    <row r="362" spans="1:17" ht="17.25" customHeight="1" x14ac:dyDescent="0.2">
      <c r="A362" s="52">
        <v>2493</v>
      </c>
      <c r="B362" s="53" t="s">
        <v>31</v>
      </c>
      <c r="C362" s="57" t="s">
        <v>340</v>
      </c>
      <c r="D362" s="54">
        <v>342.23</v>
      </c>
      <c r="E362" s="62">
        <v>833</v>
      </c>
      <c r="F362" s="54">
        <f t="shared" si="28"/>
        <v>340.35447790000001</v>
      </c>
      <c r="G362" s="66">
        <v>25569.041962604166</v>
      </c>
      <c r="H362" s="66">
        <v>25569.041962604166</v>
      </c>
      <c r="I362" s="58">
        <v>27.5</v>
      </c>
      <c r="J362" s="53"/>
      <c r="K362" s="57" t="s">
        <v>345</v>
      </c>
      <c r="L362" s="52">
        <v>9908</v>
      </c>
      <c r="M362" s="58">
        <f t="shared" si="32"/>
        <v>99.538937105034435</v>
      </c>
      <c r="N362" s="58">
        <v>2842.9</v>
      </c>
      <c r="O362" s="60">
        <f t="shared" si="29"/>
        <v>3.485173590347884</v>
      </c>
      <c r="P362" s="60">
        <f t="shared" si="30"/>
        <v>3.5013168632394537E-2</v>
      </c>
      <c r="Q362" s="63"/>
    </row>
    <row r="363" spans="1:17" ht="17.25" customHeight="1" x14ac:dyDescent="0.2">
      <c r="A363" s="52">
        <v>2494</v>
      </c>
      <c r="B363" s="53" t="s">
        <v>31</v>
      </c>
      <c r="C363" s="57" t="s">
        <v>340</v>
      </c>
      <c r="D363" s="54">
        <v>343.23</v>
      </c>
      <c r="E363" s="62">
        <v>833</v>
      </c>
      <c r="F363" s="54">
        <f t="shared" si="28"/>
        <v>341.34777789999998</v>
      </c>
      <c r="G363" s="66">
        <v>25569.041962604166</v>
      </c>
      <c r="H363" s="66">
        <v>25569.041962604166</v>
      </c>
      <c r="I363" s="58">
        <v>27.1</v>
      </c>
      <c r="J363" s="53"/>
      <c r="K363" s="57" t="s">
        <v>345</v>
      </c>
      <c r="L363" s="52">
        <v>21596</v>
      </c>
      <c r="M363" s="58">
        <f t="shared" si="32"/>
        <v>146.95577566057077</v>
      </c>
      <c r="N363" s="58">
        <v>3319.4</v>
      </c>
      <c r="O363" s="60">
        <f t="shared" si="29"/>
        <v>6.5059950593480744</v>
      </c>
      <c r="P363" s="60">
        <f t="shared" si="30"/>
        <v>4.4271788775251779E-2</v>
      </c>
      <c r="Q363" s="63"/>
    </row>
    <row r="364" spans="1:17" ht="17.25" customHeight="1" x14ac:dyDescent="0.2">
      <c r="A364" s="52">
        <v>2495</v>
      </c>
      <c r="B364" s="53" t="s">
        <v>31</v>
      </c>
      <c r="C364" s="57" t="s">
        <v>340</v>
      </c>
      <c r="D364" s="54">
        <v>344.24</v>
      </c>
      <c r="E364" s="62">
        <v>833</v>
      </c>
      <c r="F364" s="54">
        <f t="shared" si="28"/>
        <v>342.35101090000001</v>
      </c>
      <c r="G364" s="66">
        <v>25569.041962604166</v>
      </c>
      <c r="H364" s="66">
        <v>25569.041962604166</v>
      </c>
      <c r="I364" s="62">
        <v>27</v>
      </c>
      <c r="J364" s="53"/>
      <c r="K364" s="57" t="s">
        <v>345</v>
      </c>
      <c r="L364" s="52">
        <v>30752</v>
      </c>
      <c r="M364" s="58">
        <f t="shared" si="32"/>
        <v>175.36248173426378</v>
      </c>
      <c r="N364" s="58">
        <v>2839.25</v>
      </c>
      <c r="O364" s="60">
        <f t="shared" si="29"/>
        <v>10.831029321123536</v>
      </c>
      <c r="P364" s="60">
        <f t="shared" si="30"/>
        <v>6.1763663549974035E-2</v>
      </c>
      <c r="Q364" s="63"/>
    </row>
    <row r="365" spans="1:17" ht="17.25" customHeight="1" x14ac:dyDescent="0.2">
      <c r="A365" s="52">
        <v>2496</v>
      </c>
      <c r="B365" s="53" t="s">
        <v>31</v>
      </c>
      <c r="C365" s="57" t="s">
        <v>340</v>
      </c>
      <c r="D365" s="54">
        <v>345.23</v>
      </c>
      <c r="E365" s="62">
        <v>833</v>
      </c>
      <c r="F365" s="54">
        <f t="shared" si="28"/>
        <v>343.33437789999999</v>
      </c>
      <c r="G365" s="66">
        <v>25569.041962604166</v>
      </c>
      <c r="H365" s="66">
        <v>25569.041962604166</v>
      </c>
      <c r="I365" s="58">
        <v>26.2</v>
      </c>
      <c r="J365" s="53"/>
      <c r="K365" s="57" t="s">
        <v>345</v>
      </c>
      <c r="L365" s="52">
        <v>41643</v>
      </c>
      <c r="M365" s="58">
        <f t="shared" si="32"/>
        <v>204.0661657404284</v>
      </c>
      <c r="N365" s="58">
        <v>2928.44</v>
      </c>
      <c r="O365" s="60">
        <f t="shared" si="29"/>
        <v>14.220199150400896</v>
      </c>
      <c r="P365" s="60">
        <f t="shared" si="30"/>
        <v>6.9684257058511834E-2</v>
      </c>
      <c r="Q365" s="63"/>
    </row>
    <row r="366" spans="1:17" ht="17.25" customHeight="1" x14ac:dyDescent="0.2">
      <c r="A366" s="52">
        <v>2497</v>
      </c>
      <c r="B366" s="53" t="s">
        <v>31</v>
      </c>
      <c r="C366" s="57" t="s">
        <v>340</v>
      </c>
      <c r="D366" s="54">
        <v>346.24</v>
      </c>
      <c r="E366" s="62">
        <v>833</v>
      </c>
      <c r="F366" s="54">
        <f t="shared" si="28"/>
        <v>344.33761090000002</v>
      </c>
      <c r="G366" s="66">
        <v>25569.041962604166</v>
      </c>
      <c r="H366" s="66">
        <v>25569.041962604166</v>
      </c>
      <c r="I366" s="58">
        <v>28.01</v>
      </c>
      <c r="J366" s="53"/>
      <c r="K366" s="57" t="s">
        <v>345</v>
      </c>
      <c r="L366" s="52">
        <v>45814</v>
      </c>
      <c r="M366" s="58">
        <f t="shared" si="32"/>
        <v>214.04205194307028</v>
      </c>
      <c r="N366" s="58">
        <v>2839.46</v>
      </c>
      <c r="O366" s="60">
        <f t="shared" si="29"/>
        <v>16.134758017369499</v>
      </c>
      <c r="P366" s="60">
        <f t="shared" si="30"/>
        <v>7.5381252753365172E-2</v>
      </c>
      <c r="Q366" s="63"/>
    </row>
    <row r="367" spans="1:17" ht="17.25" customHeight="1" x14ac:dyDescent="0.2">
      <c r="A367" s="52">
        <v>2498</v>
      </c>
      <c r="B367" s="53" t="s">
        <v>31</v>
      </c>
      <c r="C367" s="57" t="s">
        <v>340</v>
      </c>
      <c r="D367" s="54">
        <v>347.24</v>
      </c>
      <c r="E367" s="62">
        <v>833</v>
      </c>
      <c r="F367" s="54">
        <f t="shared" si="28"/>
        <v>345.33091089999999</v>
      </c>
      <c r="G367" s="66">
        <v>25569.041962604166</v>
      </c>
      <c r="H367" s="66">
        <v>25569.041962604166</v>
      </c>
      <c r="I367" s="62">
        <v>27</v>
      </c>
      <c r="J367" s="53"/>
      <c r="K367" s="57" t="s">
        <v>345</v>
      </c>
      <c r="L367" s="52">
        <v>75294</v>
      </c>
      <c r="M367" s="58">
        <f t="shared" si="32"/>
        <v>274.39752185469899</v>
      </c>
      <c r="N367" s="58">
        <v>4055.13</v>
      </c>
      <c r="O367" s="60">
        <f t="shared" si="29"/>
        <v>18.567592161040459</v>
      </c>
      <c r="P367" s="60">
        <f t="shared" si="30"/>
        <v>6.7666763298512997E-2</v>
      </c>
      <c r="Q367" s="63"/>
    </row>
    <row r="368" spans="1:17" ht="17.25" customHeight="1" x14ac:dyDescent="0.2">
      <c r="A368" s="52">
        <v>2499</v>
      </c>
      <c r="B368" s="53" t="s">
        <v>31</v>
      </c>
      <c r="C368" s="57" t="s">
        <v>340</v>
      </c>
      <c r="D368" s="54">
        <v>348.25</v>
      </c>
      <c r="E368" s="62">
        <v>833</v>
      </c>
      <c r="F368" s="54">
        <f t="shared" si="28"/>
        <v>346.33414390000002</v>
      </c>
      <c r="G368" s="66">
        <v>25569.041962604166</v>
      </c>
      <c r="H368" s="66">
        <v>25569.041962604166</v>
      </c>
      <c r="I368" s="62">
        <v>27</v>
      </c>
      <c r="J368" s="53"/>
      <c r="K368" s="57" t="s">
        <v>345</v>
      </c>
      <c r="L368" s="52">
        <v>52103</v>
      </c>
      <c r="M368" s="58">
        <f t="shared" si="32"/>
        <v>228.26081573498331</v>
      </c>
      <c r="N368" s="62">
        <v>2633</v>
      </c>
      <c r="O368" s="60">
        <f t="shared" si="29"/>
        <v>19.788454234713257</v>
      </c>
      <c r="P368" s="60">
        <f t="shared" si="30"/>
        <v>8.66922961393784E-2</v>
      </c>
      <c r="Q368" s="63"/>
    </row>
    <row r="369" spans="1:17" ht="17.25" customHeight="1" x14ac:dyDescent="0.2">
      <c r="A369" s="52">
        <v>2500</v>
      </c>
      <c r="B369" s="53" t="s">
        <v>31</v>
      </c>
      <c r="C369" s="57" t="s">
        <v>340</v>
      </c>
      <c r="D369" s="54">
        <v>349.25</v>
      </c>
      <c r="E369" s="62">
        <v>833</v>
      </c>
      <c r="F369" s="54">
        <f t="shared" si="28"/>
        <v>347.32744389999999</v>
      </c>
      <c r="G369" s="66">
        <v>25569.041962604166</v>
      </c>
      <c r="H369" s="66">
        <v>25569.041962604166</v>
      </c>
      <c r="I369" s="58">
        <v>26.6</v>
      </c>
      <c r="J369" s="53"/>
      <c r="K369" s="57" t="s">
        <v>345</v>
      </c>
      <c r="L369" s="52">
        <v>56061</v>
      </c>
      <c r="M369" s="58">
        <f t="shared" si="32"/>
        <v>236.7720422685077</v>
      </c>
      <c r="N369" s="58">
        <v>2818.05</v>
      </c>
      <c r="O369" s="60">
        <f t="shared" si="29"/>
        <v>19.893543407675519</v>
      </c>
      <c r="P369" s="60">
        <f t="shared" si="30"/>
        <v>8.4019815925376662E-2</v>
      </c>
      <c r="Q369" s="63"/>
    </row>
    <row r="370" spans="1:17" ht="17.25" customHeight="1" x14ac:dyDescent="0.2">
      <c r="A370" s="52">
        <v>2501</v>
      </c>
      <c r="B370" s="53" t="s">
        <v>31</v>
      </c>
      <c r="C370" s="57" t="s">
        <v>340</v>
      </c>
      <c r="D370" s="54">
        <v>350.24</v>
      </c>
      <c r="E370" s="62">
        <v>833</v>
      </c>
      <c r="F370" s="54">
        <f t="shared" si="28"/>
        <v>348.31081089999998</v>
      </c>
      <c r="G370" s="66">
        <v>25569.041962604166</v>
      </c>
      <c r="H370" s="66">
        <v>25569.041962604166</v>
      </c>
      <c r="I370" s="58">
        <v>25.23</v>
      </c>
      <c r="J370" s="53"/>
      <c r="K370" s="57" t="s">
        <v>345</v>
      </c>
      <c r="L370" s="52">
        <v>46982</v>
      </c>
      <c r="M370" s="58">
        <f t="shared" si="32"/>
        <v>216.75331600692988</v>
      </c>
      <c r="N370" s="62">
        <v>2422</v>
      </c>
      <c r="O370" s="60">
        <f t="shared" si="29"/>
        <v>19.398018166804295</v>
      </c>
      <c r="P370" s="60">
        <f t="shared" si="30"/>
        <v>8.9493524362894247E-2</v>
      </c>
      <c r="Q370" s="63"/>
    </row>
    <row r="371" spans="1:17" ht="17.25" customHeight="1" x14ac:dyDescent="0.2">
      <c r="A371" s="52">
        <v>2502</v>
      </c>
      <c r="B371" s="53" t="s">
        <v>31</v>
      </c>
      <c r="C371" s="57" t="s">
        <v>340</v>
      </c>
      <c r="D371" s="54">
        <v>351.25</v>
      </c>
      <c r="E371" s="62">
        <v>833</v>
      </c>
      <c r="F371" s="54">
        <f t="shared" si="28"/>
        <v>349.3140439</v>
      </c>
      <c r="G371" s="66">
        <v>25569.041962604166</v>
      </c>
      <c r="H371" s="66">
        <v>25569.041962604166</v>
      </c>
      <c r="I371" s="58">
        <v>25.6</v>
      </c>
      <c r="J371" s="53"/>
      <c r="K371" s="57" t="s">
        <v>345</v>
      </c>
      <c r="L371" s="52">
        <v>46803</v>
      </c>
      <c r="M371" s="58">
        <f t="shared" si="32"/>
        <v>216.3400101691779</v>
      </c>
      <c r="N371" s="58">
        <v>2594.0500000000002</v>
      </c>
      <c r="O371" s="60">
        <f t="shared" si="29"/>
        <v>18.042443283668394</v>
      </c>
      <c r="P371" s="60">
        <f t="shared" si="30"/>
        <v>8.3398550594313101E-2</v>
      </c>
      <c r="Q371" s="63"/>
    </row>
    <row r="372" spans="1:17" ht="17.25" customHeight="1" x14ac:dyDescent="0.2">
      <c r="A372" s="52">
        <v>2503</v>
      </c>
      <c r="B372" s="53" t="s">
        <v>31</v>
      </c>
      <c r="C372" s="57" t="s">
        <v>340</v>
      </c>
      <c r="D372" s="54">
        <v>352.25</v>
      </c>
      <c r="E372" s="62">
        <v>833</v>
      </c>
      <c r="F372" s="54">
        <f t="shared" si="28"/>
        <v>350.30734389999998</v>
      </c>
      <c r="G372" s="66">
        <v>25569.041962604166</v>
      </c>
      <c r="H372" s="66">
        <v>25569.041962604166</v>
      </c>
      <c r="I372" s="58">
        <v>25.5</v>
      </c>
      <c r="J372" s="53"/>
      <c r="K372" s="57" t="s">
        <v>345</v>
      </c>
      <c r="L372" s="52">
        <v>44464</v>
      </c>
      <c r="M372" s="58">
        <f t="shared" si="32"/>
        <v>210.86488564955522</v>
      </c>
      <c r="N372" s="58">
        <v>2712.89</v>
      </c>
      <c r="O372" s="60">
        <f t="shared" si="29"/>
        <v>16.389901544109787</v>
      </c>
      <c r="P372" s="60">
        <f t="shared" si="30"/>
        <v>7.77270311916647E-2</v>
      </c>
      <c r="Q372" s="63"/>
    </row>
    <row r="373" spans="1:17" ht="17.25" customHeight="1" x14ac:dyDescent="0.2">
      <c r="A373" s="52">
        <v>2504</v>
      </c>
      <c r="B373" s="53" t="s">
        <v>31</v>
      </c>
      <c r="C373" s="57" t="s">
        <v>340</v>
      </c>
      <c r="D373" s="54">
        <v>353.25</v>
      </c>
      <c r="E373" s="62">
        <v>833</v>
      </c>
      <c r="F373" s="54">
        <f t="shared" si="28"/>
        <v>351.30064390000001</v>
      </c>
      <c r="G373" s="66">
        <v>25569.041962604166</v>
      </c>
      <c r="H373" s="66">
        <v>25569.041962604166</v>
      </c>
      <c r="I373" s="58">
        <v>24.8</v>
      </c>
      <c r="J373" s="53"/>
      <c r="K373" s="57" t="s">
        <v>345</v>
      </c>
      <c r="L373" s="52">
        <v>59286</v>
      </c>
      <c r="M373" s="58">
        <f t="shared" si="32"/>
        <v>243.48716598621783</v>
      </c>
      <c r="N373" s="58">
        <v>3904.91</v>
      </c>
      <c r="O373" s="60">
        <f t="shared" si="29"/>
        <v>15.182424178790292</v>
      </c>
      <c r="P373" s="60">
        <f t="shared" si="30"/>
        <v>6.2354104444460393E-2</v>
      </c>
      <c r="Q373" s="63"/>
    </row>
    <row r="374" spans="1:17" ht="17.25" customHeight="1" x14ac:dyDescent="0.2">
      <c r="A374" s="52">
        <v>2505</v>
      </c>
      <c r="B374" s="53" t="s">
        <v>31</v>
      </c>
      <c r="C374" s="57" t="s">
        <v>340</v>
      </c>
      <c r="D374" s="54">
        <v>354.25</v>
      </c>
      <c r="E374" s="62">
        <v>833</v>
      </c>
      <c r="F374" s="54">
        <f t="shared" si="28"/>
        <v>352.29394389999999</v>
      </c>
      <c r="G374" s="66">
        <v>25569.041962604166</v>
      </c>
      <c r="H374" s="66">
        <v>25569.041962604166</v>
      </c>
      <c r="I374" s="62">
        <v>25</v>
      </c>
      <c r="J374" s="53"/>
      <c r="K374" s="57" t="s">
        <v>345</v>
      </c>
      <c r="L374" s="52">
        <v>39507</v>
      </c>
      <c r="M374" s="58">
        <f t="shared" si="32"/>
        <v>198.76367877456886</v>
      </c>
      <c r="N374" s="58">
        <v>3049.95</v>
      </c>
      <c r="O374" s="60">
        <f t="shared" si="29"/>
        <v>12.953327103723012</v>
      </c>
      <c r="P374" s="60">
        <f t="shared" si="30"/>
        <v>6.5169487622606562E-2</v>
      </c>
      <c r="Q374" s="63"/>
    </row>
    <row r="375" spans="1:17" ht="17.25" customHeight="1" x14ac:dyDescent="0.2">
      <c r="A375" s="52">
        <v>2506</v>
      </c>
      <c r="B375" s="53" t="s">
        <v>31</v>
      </c>
      <c r="C375" s="57" t="s">
        <v>340</v>
      </c>
      <c r="D375" s="54">
        <v>355.26</v>
      </c>
      <c r="E375" s="62">
        <v>833</v>
      </c>
      <c r="F375" s="54">
        <f t="shared" si="28"/>
        <v>353.29717689999995</v>
      </c>
      <c r="G375" s="66">
        <v>25569.041962604166</v>
      </c>
      <c r="H375" s="66">
        <v>25569.041962604166</v>
      </c>
      <c r="I375" s="58">
        <v>24.6</v>
      </c>
      <c r="J375" s="53"/>
      <c r="K375" s="57" t="s">
        <v>345</v>
      </c>
      <c r="L375" s="52">
        <v>36218</v>
      </c>
      <c r="M375" s="58">
        <f t="shared" si="32"/>
        <v>190.3102729754755</v>
      </c>
      <c r="N375" s="58">
        <v>3229.2</v>
      </c>
      <c r="O375" s="60">
        <f t="shared" si="29"/>
        <v>11.215780998389695</v>
      </c>
      <c r="P375" s="60">
        <f t="shared" si="30"/>
        <v>5.8934185858873875E-2</v>
      </c>
      <c r="Q375" s="63"/>
    </row>
    <row r="376" spans="1:17" ht="17.25" customHeight="1" x14ac:dyDescent="0.2">
      <c r="A376" s="52">
        <v>2507</v>
      </c>
      <c r="B376" s="53" t="s">
        <v>31</v>
      </c>
      <c r="C376" s="57" t="s">
        <v>340</v>
      </c>
      <c r="D376" s="54">
        <v>356.26</v>
      </c>
      <c r="E376" s="62">
        <v>833</v>
      </c>
      <c r="F376" s="54">
        <f t="shared" si="28"/>
        <v>354.29047689999999</v>
      </c>
      <c r="G376" s="66">
        <v>25569.041962604166</v>
      </c>
      <c r="H376" s="66">
        <v>25569.041962604166</v>
      </c>
      <c r="I376" s="58">
        <v>24.01</v>
      </c>
      <c r="J376" s="53"/>
      <c r="K376" s="57" t="s">
        <v>345</v>
      </c>
      <c r="L376" s="52">
        <v>16414</v>
      </c>
      <c r="M376" s="58">
        <f t="shared" si="32"/>
        <v>128.11713390487628</v>
      </c>
      <c r="N376" s="58">
        <v>1805.9</v>
      </c>
      <c r="O376" s="60">
        <f t="shared" si="29"/>
        <v>9.0890968492164568</v>
      </c>
      <c r="P376" s="60">
        <f t="shared" si="30"/>
        <v>7.0943647989853406E-2</v>
      </c>
      <c r="Q376" s="63"/>
    </row>
    <row r="377" spans="1:17" ht="17.25" customHeight="1" x14ac:dyDescent="0.2">
      <c r="A377" s="52">
        <v>2508</v>
      </c>
      <c r="B377" s="53" t="s">
        <v>31</v>
      </c>
      <c r="C377" s="57" t="s">
        <v>340</v>
      </c>
      <c r="D377" s="54">
        <v>358.26</v>
      </c>
      <c r="E377" s="62">
        <v>833</v>
      </c>
      <c r="F377" s="54">
        <f t="shared" si="28"/>
        <v>356.2770769</v>
      </c>
      <c r="G377" s="66">
        <v>25569.041962604166</v>
      </c>
      <c r="H377" s="66">
        <v>25569.041962604166</v>
      </c>
      <c r="I377" s="58">
        <v>23.8</v>
      </c>
      <c r="J377" s="53"/>
      <c r="K377" s="57" t="s">
        <v>345</v>
      </c>
      <c r="L377" s="52">
        <v>10386</v>
      </c>
      <c r="M377" s="58">
        <f t="shared" si="32"/>
        <v>101.91172650877817</v>
      </c>
      <c r="N377" s="58">
        <v>1656.98</v>
      </c>
      <c r="O377" s="60">
        <f t="shared" si="29"/>
        <v>6.2680297891344496</v>
      </c>
      <c r="P377" s="60">
        <f t="shared" si="30"/>
        <v>6.1504500059613373E-2</v>
      </c>
      <c r="Q377" s="63"/>
    </row>
    <row r="378" spans="1:17" ht="17.25" customHeight="1" x14ac:dyDescent="0.2">
      <c r="A378" s="52">
        <v>2509</v>
      </c>
      <c r="B378" s="53" t="s">
        <v>31</v>
      </c>
      <c r="C378" s="57" t="s">
        <v>340</v>
      </c>
      <c r="D378" s="54">
        <v>360.27</v>
      </c>
      <c r="E378" s="62">
        <v>833</v>
      </c>
      <c r="F378" s="54">
        <f t="shared" si="28"/>
        <v>358.2736099</v>
      </c>
      <c r="G378" s="66">
        <v>25569.041962604166</v>
      </c>
      <c r="H378" s="66">
        <v>25569.041962604166</v>
      </c>
      <c r="I378" s="58">
        <v>23.3</v>
      </c>
      <c r="J378" s="53"/>
      <c r="K378" s="57" t="s">
        <v>345</v>
      </c>
      <c r="L378" s="52">
        <v>10318</v>
      </c>
      <c r="M378" s="58">
        <f t="shared" si="32"/>
        <v>101.57755657624375</v>
      </c>
      <c r="N378" s="58">
        <v>2631.03</v>
      </c>
      <c r="O378" s="60">
        <f t="shared" si="29"/>
        <v>3.9216580578708715</v>
      </c>
      <c r="P378" s="60">
        <f t="shared" si="30"/>
        <v>3.8607525028693607E-2</v>
      </c>
      <c r="Q378" s="63"/>
    </row>
    <row r="379" spans="1:17" ht="17.25" customHeight="1" x14ac:dyDescent="0.2">
      <c r="A379" s="52">
        <v>2510</v>
      </c>
      <c r="B379" s="53" t="s">
        <v>31</v>
      </c>
      <c r="C379" s="57" t="s">
        <v>340</v>
      </c>
      <c r="D379" s="54">
        <v>362.3</v>
      </c>
      <c r="E379" s="62">
        <v>833</v>
      </c>
      <c r="F379" s="54">
        <f t="shared" si="28"/>
        <v>360.29000889999998</v>
      </c>
      <c r="G379" s="66">
        <v>25569.041962604166</v>
      </c>
      <c r="H379" s="66">
        <v>25569.041962604166</v>
      </c>
      <c r="I379" s="58">
        <v>23.33</v>
      </c>
      <c r="J379" s="53"/>
      <c r="K379" s="57" t="s">
        <v>345</v>
      </c>
      <c r="L379" s="52">
        <v>6337</v>
      </c>
      <c r="M379" s="58">
        <f t="shared" si="32"/>
        <v>79.605276207045478</v>
      </c>
      <c r="N379" s="58">
        <v>2526.81</v>
      </c>
      <c r="O379" s="60">
        <f t="shared" si="29"/>
        <v>2.5079052243738151</v>
      </c>
      <c r="P379" s="60">
        <f t="shared" si="30"/>
        <v>3.1504258811325535E-2</v>
      </c>
      <c r="Q379" s="63"/>
    </row>
    <row r="380" spans="1:17" ht="17.25" customHeight="1" x14ac:dyDescent="0.2">
      <c r="A380" s="52">
        <v>2511</v>
      </c>
      <c r="B380" s="53" t="s">
        <v>31</v>
      </c>
      <c r="C380" s="57" t="s">
        <v>340</v>
      </c>
      <c r="D380" s="54">
        <v>364.26</v>
      </c>
      <c r="E380" s="62">
        <v>833</v>
      </c>
      <c r="F380" s="54">
        <f t="shared" si="28"/>
        <v>362.23687689999997</v>
      </c>
      <c r="G380" s="66">
        <v>25569.041962604166</v>
      </c>
      <c r="H380" s="66">
        <v>25569.041962604166</v>
      </c>
      <c r="I380" s="58">
        <v>23.3</v>
      </c>
      <c r="J380" s="53"/>
      <c r="K380" s="57" t="s">
        <v>345</v>
      </c>
      <c r="L380" s="52">
        <v>4120</v>
      </c>
      <c r="M380" s="58">
        <f t="shared" si="32"/>
        <v>64.187226143524853</v>
      </c>
      <c r="N380" s="58">
        <v>2523.3000000000002</v>
      </c>
      <c r="O380" s="60">
        <f t="shared" si="29"/>
        <v>1.6327824674037965</v>
      </c>
      <c r="P380" s="60">
        <f t="shared" si="30"/>
        <v>2.5437810067580092E-2</v>
      </c>
      <c r="Q380" s="63"/>
    </row>
    <row r="381" spans="1:17" ht="17.25" customHeight="1" x14ac:dyDescent="0.2">
      <c r="A381" s="52">
        <v>2512</v>
      </c>
      <c r="B381" s="53" t="s">
        <v>157</v>
      </c>
      <c r="C381" s="57" t="s">
        <v>340</v>
      </c>
      <c r="D381" s="54">
        <v>254.62</v>
      </c>
      <c r="E381" s="62">
        <v>2483</v>
      </c>
      <c r="F381" s="54">
        <f t="shared" si="28"/>
        <v>254.97040989999999</v>
      </c>
      <c r="G381" s="66">
        <v>25569.041962604166</v>
      </c>
      <c r="H381" s="66">
        <v>25569.041962604166</v>
      </c>
      <c r="I381" s="62">
        <v>320</v>
      </c>
      <c r="J381" s="53"/>
      <c r="K381" s="57" t="s">
        <v>345</v>
      </c>
      <c r="L381" s="52">
        <v>7738459</v>
      </c>
      <c r="M381" s="58">
        <f t="shared" si="32"/>
        <v>2781.8085843565873</v>
      </c>
      <c r="N381" s="58">
        <v>32652519.809999999</v>
      </c>
      <c r="O381" s="60">
        <f t="shared" si="29"/>
        <v>0.23699423643347911</v>
      </c>
      <c r="P381" s="60">
        <f t="shared" si="30"/>
        <v>8.5194300487175396E-5</v>
      </c>
      <c r="Q381" s="63"/>
    </row>
    <row r="382" spans="1:17" ht="17.25" customHeight="1" x14ac:dyDescent="0.2">
      <c r="A382" s="52">
        <v>2513</v>
      </c>
      <c r="B382" s="53" t="s">
        <v>120</v>
      </c>
      <c r="C382" s="57" t="s">
        <v>340</v>
      </c>
      <c r="D382" s="74"/>
      <c r="E382" s="55"/>
      <c r="F382" s="54"/>
      <c r="G382" s="66">
        <v>25569.041962604166</v>
      </c>
      <c r="H382" s="66">
        <v>25569.041962604166</v>
      </c>
      <c r="I382" s="55"/>
      <c r="J382" s="53"/>
      <c r="K382" s="57"/>
      <c r="L382" s="52"/>
      <c r="M382" s="58"/>
      <c r="N382" s="59"/>
      <c r="O382" s="60"/>
      <c r="P382" s="60"/>
      <c r="Q382" s="63"/>
    </row>
    <row r="383" spans="1:17" ht="17.25" customHeight="1" x14ac:dyDescent="0.2">
      <c r="A383" s="52">
        <v>2514</v>
      </c>
      <c r="B383" s="53" t="s">
        <v>32</v>
      </c>
      <c r="C383" s="57" t="s">
        <v>340</v>
      </c>
      <c r="D383" s="54">
        <v>334.22</v>
      </c>
      <c r="E383" s="62">
        <v>833</v>
      </c>
      <c r="F383" s="54">
        <f t="shared" ref="F383:F446" si="33">0.9933*(D383 + E383/1000)-0.41</f>
        <v>332.39814490000003</v>
      </c>
      <c r="G383" s="66">
        <v>25569.041962604166</v>
      </c>
      <c r="H383" s="66">
        <v>25569.041962604166</v>
      </c>
      <c r="I383" s="62">
        <v>31</v>
      </c>
      <c r="J383" s="53"/>
      <c r="K383" s="57" t="s">
        <v>345</v>
      </c>
      <c r="L383" s="52">
        <v>2130</v>
      </c>
      <c r="M383" s="58">
        <f t="shared" ref="M383:M407" si="34">SQRT(L383)</f>
        <v>46.151923036857305</v>
      </c>
      <c r="N383" s="58">
        <v>6692.78</v>
      </c>
      <c r="O383" s="60">
        <f t="shared" ref="O383:O407" si="35">L383/N383</f>
        <v>0.31825340142661196</v>
      </c>
      <c r="P383" s="60">
        <f t="shared" ref="P383:P407" si="36">M383/N383</f>
        <v>6.8957776943000225E-3</v>
      </c>
      <c r="Q383" s="63"/>
    </row>
    <row r="384" spans="1:17" ht="17.25" customHeight="1" x14ac:dyDescent="0.2">
      <c r="A384" s="52">
        <v>2515</v>
      </c>
      <c r="B384" s="53" t="s">
        <v>32</v>
      </c>
      <c r="C384" s="57" t="s">
        <v>340</v>
      </c>
      <c r="D384" s="54">
        <v>336.3</v>
      </c>
      <c r="E384" s="62">
        <v>833</v>
      </c>
      <c r="F384" s="54">
        <f t="shared" si="33"/>
        <v>334.46420890000002</v>
      </c>
      <c r="G384" s="66">
        <v>25569.041962604166</v>
      </c>
      <c r="H384" s="66">
        <v>25569.041962604166</v>
      </c>
      <c r="I384" s="62">
        <v>30</v>
      </c>
      <c r="J384" s="53"/>
      <c r="K384" s="57" t="s">
        <v>345</v>
      </c>
      <c r="L384" s="52">
        <v>2100</v>
      </c>
      <c r="M384" s="58">
        <f t="shared" si="34"/>
        <v>45.825756949558397</v>
      </c>
      <c r="N384" s="58">
        <v>4789.09</v>
      </c>
      <c r="O384" s="60">
        <f t="shared" si="35"/>
        <v>0.43849666638129581</v>
      </c>
      <c r="P384" s="60">
        <f t="shared" si="36"/>
        <v>9.5687817413242175E-3</v>
      </c>
      <c r="Q384" s="63"/>
    </row>
    <row r="385" spans="1:17" ht="17.25" customHeight="1" x14ac:dyDescent="0.2">
      <c r="A385" s="52">
        <v>2516</v>
      </c>
      <c r="B385" s="53" t="s">
        <v>32</v>
      </c>
      <c r="C385" s="57" t="s">
        <v>340</v>
      </c>
      <c r="D385" s="54">
        <v>338.24</v>
      </c>
      <c r="E385" s="62">
        <v>833</v>
      </c>
      <c r="F385" s="54">
        <f t="shared" si="33"/>
        <v>336.39121089999998</v>
      </c>
      <c r="G385" s="66">
        <v>25569.041962604166</v>
      </c>
      <c r="H385" s="66">
        <v>25569.041962604166</v>
      </c>
      <c r="I385" s="62">
        <v>30</v>
      </c>
      <c r="J385" s="53"/>
      <c r="K385" s="57" t="s">
        <v>345</v>
      </c>
      <c r="L385" s="52">
        <v>2131</v>
      </c>
      <c r="M385" s="58">
        <f t="shared" si="34"/>
        <v>46.162755550335163</v>
      </c>
      <c r="N385" s="58">
        <v>2979.61</v>
      </c>
      <c r="O385" s="60">
        <f t="shared" si="35"/>
        <v>0.7151942703910914</v>
      </c>
      <c r="P385" s="60">
        <f t="shared" si="36"/>
        <v>1.5492885159579663E-2</v>
      </c>
      <c r="Q385" s="63"/>
    </row>
    <row r="386" spans="1:17" ht="17.25" customHeight="1" x14ac:dyDescent="0.2">
      <c r="A386" s="52">
        <v>2517</v>
      </c>
      <c r="B386" s="53" t="s">
        <v>32</v>
      </c>
      <c r="C386" s="57" t="s">
        <v>340</v>
      </c>
      <c r="D386" s="54">
        <v>340.23</v>
      </c>
      <c r="E386" s="62">
        <v>833</v>
      </c>
      <c r="F386" s="54">
        <f t="shared" si="33"/>
        <v>338.3678779</v>
      </c>
      <c r="G386" s="66">
        <v>25569.041962604166</v>
      </c>
      <c r="H386" s="66">
        <v>25569.041962604166</v>
      </c>
      <c r="I386" s="62">
        <v>28</v>
      </c>
      <c r="J386" s="53"/>
      <c r="K386" s="57" t="s">
        <v>345</v>
      </c>
      <c r="L386" s="52">
        <v>2362</v>
      </c>
      <c r="M386" s="58">
        <f t="shared" si="34"/>
        <v>48.60041152089147</v>
      </c>
      <c r="N386" s="58">
        <v>1799.3</v>
      </c>
      <c r="O386" s="60">
        <f t="shared" si="35"/>
        <v>1.3127327293947646</v>
      </c>
      <c r="P386" s="60">
        <f t="shared" si="36"/>
        <v>2.7010732796582823E-2</v>
      </c>
      <c r="Q386" s="63"/>
    </row>
    <row r="387" spans="1:17" ht="17.25" customHeight="1" x14ac:dyDescent="0.2">
      <c r="A387" s="52">
        <v>2518</v>
      </c>
      <c r="B387" s="53" t="s">
        <v>32</v>
      </c>
      <c r="C387" s="57" t="s">
        <v>340</v>
      </c>
      <c r="D387" s="54">
        <v>341.23</v>
      </c>
      <c r="E387" s="62">
        <v>833</v>
      </c>
      <c r="F387" s="54">
        <f t="shared" si="33"/>
        <v>339.36117790000003</v>
      </c>
      <c r="G387" s="66">
        <v>25569.041962604166</v>
      </c>
      <c r="H387" s="66">
        <v>25569.041962604166</v>
      </c>
      <c r="I387" s="62">
        <v>28</v>
      </c>
      <c r="J387" s="53"/>
      <c r="K387" s="57" t="s">
        <v>345</v>
      </c>
      <c r="L387" s="52">
        <v>10293</v>
      </c>
      <c r="M387" s="58">
        <f t="shared" si="34"/>
        <v>101.45442326483355</v>
      </c>
      <c r="N387" s="58">
        <v>5255.99</v>
      </c>
      <c r="O387" s="60">
        <f t="shared" si="35"/>
        <v>1.9583370592409803</v>
      </c>
      <c r="P387" s="60">
        <f t="shared" si="36"/>
        <v>1.9302628670304463E-2</v>
      </c>
      <c r="Q387" s="63"/>
    </row>
    <row r="388" spans="1:17" ht="17.25" customHeight="1" x14ac:dyDescent="0.2">
      <c r="A388" s="52">
        <v>2519</v>
      </c>
      <c r="B388" s="53" t="s">
        <v>32</v>
      </c>
      <c r="C388" s="57" t="s">
        <v>340</v>
      </c>
      <c r="D388" s="54">
        <v>342.23</v>
      </c>
      <c r="E388" s="62">
        <v>833</v>
      </c>
      <c r="F388" s="54">
        <f t="shared" si="33"/>
        <v>340.35447790000001</v>
      </c>
      <c r="G388" s="66">
        <v>25569.041962604166</v>
      </c>
      <c r="H388" s="66">
        <v>25569.041962604166</v>
      </c>
      <c r="I388" s="62">
        <v>27</v>
      </c>
      <c r="J388" s="53"/>
      <c r="K388" s="57" t="s">
        <v>345</v>
      </c>
      <c r="L388" s="52">
        <v>11653</v>
      </c>
      <c r="M388" s="58">
        <f t="shared" si="34"/>
        <v>107.94906206169649</v>
      </c>
      <c r="N388" s="58">
        <v>3542.13</v>
      </c>
      <c r="O388" s="60">
        <f t="shared" si="35"/>
        <v>3.2898284365621815</v>
      </c>
      <c r="P388" s="60">
        <f t="shared" si="36"/>
        <v>3.047574822541705E-2</v>
      </c>
      <c r="Q388" s="63"/>
    </row>
    <row r="389" spans="1:17" ht="17.25" customHeight="1" x14ac:dyDescent="0.2">
      <c r="A389" s="52">
        <v>2520</v>
      </c>
      <c r="B389" s="53" t="s">
        <v>32</v>
      </c>
      <c r="C389" s="57" t="s">
        <v>340</v>
      </c>
      <c r="D389" s="54">
        <v>343.23</v>
      </c>
      <c r="E389" s="62">
        <v>833</v>
      </c>
      <c r="F389" s="54">
        <f t="shared" si="33"/>
        <v>341.34777789999998</v>
      </c>
      <c r="G389" s="66">
        <v>25569.041962604166</v>
      </c>
      <c r="H389" s="66">
        <v>25569.041962604166</v>
      </c>
      <c r="I389" s="62">
        <v>28</v>
      </c>
      <c r="J389" s="53"/>
      <c r="K389" s="57" t="s">
        <v>345</v>
      </c>
      <c r="L389" s="52">
        <v>11921</v>
      </c>
      <c r="M389" s="58">
        <f t="shared" si="34"/>
        <v>109.1833320612629</v>
      </c>
      <c r="N389" s="58">
        <v>1967.47</v>
      </c>
      <c r="O389" s="60">
        <f t="shared" si="35"/>
        <v>6.0590504556613318</v>
      </c>
      <c r="P389" s="60">
        <f t="shared" si="36"/>
        <v>5.5494280503012958E-2</v>
      </c>
      <c r="Q389" s="63"/>
    </row>
    <row r="390" spans="1:17" ht="17.25" customHeight="1" x14ac:dyDescent="0.2">
      <c r="A390" s="52">
        <v>2521</v>
      </c>
      <c r="B390" s="53" t="s">
        <v>32</v>
      </c>
      <c r="C390" s="57" t="s">
        <v>340</v>
      </c>
      <c r="D390" s="54">
        <v>344.24</v>
      </c>
      <c r="E390" s="62">
        <v>833</v>
      </c>
      <c r="F390" s="54">
        <f t="shared" si="33"/>
        <v>342.35101090000001</v>
      </c>
      <c r="G390" s="66">
        <v>25569.041962604166</v>
      </c>
      <c r="H390" s="66">
        <v>25569.041962604166</v>
      </c>
      <c r="I390" s="62">
        <v>28</v>
      </c>
      <c r="J390" s="53"/>
      <c r="K390" s="57" t="s">
        <v>345</v>
      </c>
      <c r="L390" s="52">
        <v>11142</v>
      </c>
      <c r="M390" s="58">
        <f t="shared" si="34"/>
        <v>105.55567251455508</v>
      </c>
      <c r="N390" s="58">
        <v>1081.49</v>
      </c>
      <c r="O390" s="60">
        <f t="shared" si="35"/>
        <v>10.302453097116016</v>
      </c>
      <c r="P390" s="60">
        <f t="shared" si="36"/>
        <v>9.7602079089547836E-2</v>
      </c>
      <c r="Q390" s="63"/>
    </row>
    <row r="391" spans="1:17" ht="17.25" customHeight="1" x14ac:dyDescent="0.2">
      <c r="A391" s="52">
        <v>2522</v>
      </c>
      <c r="B391" s="53" t="s">
        <v>32</v>
      </c>
      <c r="C391" s="57" t="s">
        <v>340</v>
      </c>
      <c r="D391" s="54">
        <v>345.23</v>
      </c>
      <c r="E391" s="62">
        <v>833</v>
      </c>
      <c r="F391" s="54">
        <f t="shared" si="33"/>
        <v>343.33437789999999</v>
      </c>
      <c r="G391" s="66">
        <v>25569.041962604166</v>
      </c>
      <c r="H391" s="66">
        <v>25569.041962604166</v>
      </c>
      <c r="I391" s="62">
        <v>27</v>
      </c>
      <c r="J391" s="53"/>
      <c r="K391" s="57" t="s">
        <v>345</v>
      </c>
      <c r="L391" s="52">
        <v>29076</v>
      </c>
      <c r="M391" s="58">
        <f t="shared" si="34"/>
        <v>170.51686133634996</v>
      </c>
      <c r="N391" s="58">
        <v>1995.62</v>
      </c>
      <c r="O391" s="60">
        <f t="shared" si="35"/>
        <v>14.569908098736233</v>
      </c>
      <c r="P391" s="60">
        <f t="shared" si="36"/>
        <v>8.5445556436771514E-2</v>
      </c>
      <c r="Q391" s="63"/>
    </row>
    <row r="392" spans="1:17" ht="17.25" customHeight="1" x14ac:dyDescent="0.2">
      <c r="A392" s="52">
        <v>2523</v>
      </c>
      <c r="B392" s="53" t="s">
        <v>32</v>
      </c>
      <c r="C392" s="57" t="s">
        <v>340</v>
      </c>
      <c r="D392" s="54">
        <v>346.24</v>
      </c>
      <c r="E392" s="62">
        <v>833</v>
      </c>
      <c r="F392" s="54">
        <f t="shared" si="33"/>
        <v>344.33761090000002</v>
      </c>
      <c r="G392" s="66">
        <v>25569.041962604166</v>
      </c>
      <c r="H392" s="66">
        <v>25569.041962604166</v>
      </c>
      <c r="I392" s="62">
        <v>27</v>
      </c>
      <c r="J392" s="53"/>
      <c r="K392" s="57" t="s">
        <v>345</v>
      </c>
      <c r="L392" s="52">
        <v>16707</v>
      </c>
      <c r="M392" s="58">
        <f t="shared" si="34"/>
        <v>129.25556080881009</v>
      </c>
      <c r="N392" s="58">
        <v>990.73</v>
      </c>
      <c r="O392" s="60">
        <f t="shared" si="35"/>
        <v>16.863323004249391</v>
      </c>
      <c r="P392" s="60">
        <f t="shared" si="36"/>
        <v>0.130464971090822</v>
      </c>
      <c r="Q392" s="63"/>
    </row>
    <row r="393" spans="1:17" ht="17.25" customHeight="1" x14ac:dyDescent="0.2">
      <c r="A393" s="52">
        <v>2524</v>
      </c>
      <c r="B393" s="53" t="s">
        <v>32</v>
      </c>
      <c r="C393" s="57" t="s">
        <v>340</v>
      </c>
      <c r="D393" s="54">
        <v>347.24</v>
      </c>
      <c r="E393" s="62">
        <v>833</v>
      </c>
      <c r="F393" s="54">
        <f t="shared" si="33"/>
        <v>345.33091089999999</v>
      </c>
      <c r="G393" s="66">
        <v>25569.041962604166</v>
      </c>
      <c r="H393" s="66">
        <v>25569.041962604166</v>
      </c>
      <c r="I393" s="62">
        <v>25</v>
      </c>
      <c r="J393" s="53"/>
      <c r="K393" s="57" t="s">
        <v>345</v>
      </c>
      <c r="L393" s="52">
        <v>12069</v>
      </c>
      <c r="M393" s="58">
        <f t="shared" si="34"/>
        <v>109.85900054160332</v>
      </c>
      <c r="N393" s="58">
        <v>654.14</v>
      </c>
      <c r="O393" s="60">
        <f t="shared" si="35"/>
        <v>18.450178860794324</v>
      </c>
      <c r="P393" s="60">
        <f t="shared" si="36"/>
        <v>0.16794417180053708</v>
      </c>
      <c r="Q393" s="63"/>
    </row>
    <row r="394" spans="1:17" ht="17.25" customHeight="1" x14ac:dyDescent="0.2">
      <c r="A394" s="52">
        <v>2525</v>
      </c>
      <c r="B394" s="53" t="s">
        <v>32</v>
      </c>
      <c r="C394" s="57" t="s">
        <v>340</v>
      </c>
      <c r="D394" s="54">
        <v>348.25</v>
      </c>
      <c r="E394" s="62">
        <v>833</v>
      </c>
      <c r="F394" s="54">
        <f t="shared" si="33"/>
        <v>346.33414390000002</v>
      </c>
      <c r="G394" s="66">
        <v>25569.041962604166</v>
      </c>
      <c r="H394" s="66">
        <v>25569.041962604166</v>
      </c>
      <c r="I394" s="62">
        <v>27</v>
      </c>
      <c r="J394" s="53"/>
      <c r="K394" s="57" t="s">
        <v>345</v>
      </c>
      <c r="L394" s="52">
        <v>23497</v>
      </c>
      <c r="M394" s="58">
        <f t="shared" si="34"/>
        <v>153.28731193415845</v>
      </c>
      <c r="N394" s="58">
        <v>1226.3900000000001</v>
      </c>
      <c r="O394" s="60">
        <f t="shared" si="35"/>
        <v>19.159484340218036</v>
      </c>
      <c r="P394" s="60">
        <f t="shared" si="36"/>
        <v>0.12499067338624617</v>
      </c>
      <c r="Q394" s="63"/>
    </row>
    <row r="395" spans="1:17" ht="17.25" customHeight="1" x14ac:dyDescent="0.2">
      <c r="A395" s="52">
        <v>2526</v>
      </c>
      <c r="B395" s="53" t="s">
        <v>9</v>
      </c>
      <c r="C395" s="57" t="s">
        <v>340</v>
      </c>
      <c r="D395" s="54">
        <v>349.25</v>
      </c>
      <c r="E395" s="62">
        <v>833</v>
      </c>
      <c r="F395" s="54">
        <f t="shared" si="33"/>
        <v>347.32744389999999</v>
      </c>
      <c r="G395" s="66">
        <v>25569.041962604166</v>
      </c>
      <c r="H395" s="66">
        <v>25569.041962604166</v>
      </c>
      <c r="I395" s="62">
        <v>26</v>
      </c>
      <c r="J395" s="53"/>
      <c r="K395" s="57" t="s">
        <v>345</v>
      </c>
      <c r="L395" s="52">
        <v>20451</v>
      </c>
      <c r="M395" s="58">
        <f t="shared" si="34"/>
        <v>143.00699283601483</v>
      </c>
      <c r="N395" s="58">
        <v>1162.81</v>
      </c>
      <c r="O395" s="60">
        <f t="shared" si="35"/>
        <v>17.587568046370432</v>
      </c>
      <c r="P395" s="60">
        <f t="shared" si="36"/>
        <v>0.1229839723050325</v>
      </c>
      <c r="Q395" s="63" t="s">
        <v>346</v>
      </c>
    </row>
    <row r="396" spans="1:17" ht="17.25" customHeight="1" x14ac:dyDescent="0.2">
      <c r="A396" s="52">
        <v>2527</v>
      </c>
      <c r="B396" s="53" t="s">
        <v>32</v>
      </c>
      <c r="C396" s="57" t="s">
        <v>340</v>
      </c>
      <c r="D396" s="54">
        <v>350.24</v>
      </c>
      <c r="E396" s="62">
        <v>833</v>
      </c>
      <c r="F396" s="54">
        <f t="shared" si="33"/>
        <v>348.31081089999998</v>
      </c>
      <c r="G396" s="66">
        <v>25569.041962604166</v>
      </c>
      <c r="H396" s="66">
        <v>25569.041962604166</v>
      </c>
      <c r="I396" s="62">
        <v>25</v>
      </c>
      <c r="J396" s="53"/>
      <c r="K396" s="57" t="s">
        <v>345</v>
      </c>
      <c r="L396" s="52">
        <v>40273</v>
      </c>
      <c r="M396" s="58">
        <f t="shared" si="34"/>
        <v>200.68133944141394</v>
      </c>
      <c r="N396" s="58">
        <v>2294.4499999999998</v>
      </c>
      <c r="O396" s="60">
        <f t="shared" si="35"/>
        <v>17.552354594783065</v>
      </c>
      <c r="P396" s="60">
        <f t="shared" si="36"/>
        <v>8.7463810255797234E-2</v>
      </c>
      <c r="Q396" s="63"/>
    </row>
    <row r="397" spans="1:17" ht="17.25" customHeight="1" x14ac:dyDescent="0.2">
      <c r="A397" s="52">
        <v>2528</v>
      </c>
      <c r="B397" s="53" t="s">
        <v>32</v>
      </c>
      <c r="C397" s="57" t="s">
        <v>340</v>
      </c>
      <c r="D397" s="54">
        <v>349.25</v>
      </c>
      <c r="E397" s="62">
        <v>833</v>
      </c>
      <c r="F397" s="54">
        <f t="shared" si="33"/>
        <v>347.32744389999999</v>
      </c>
      <c r="G397" s="66">
        <v>25569.041962604166</v>
      </c>
      <c r="H397" s="66">
        <v>25569.041962604166</v>
      </c>
      <c r="I397" s="62">
        <v>26</v>
      </c>
      <c r="J397" s="53"/>
      <c r="K397" s="57" t="s">
        <v>345</v>
      </c>
      <c r="L397" s="52">
        <v>51280</v>
      </c>
      <c r="M397" s="58">
        <f t="shared" si="34"/>
        <v>226.45087767549057</v>
      </c>
      <c r="N397" s="58">
        <v>2779.04</v>
      </c>
      <c r="O397" s="60">
        <f t="shared" si="35"/>
        <v>18.452415222522887</v>
      </c>
      <c r="P397" s="60">
        <f t="shared" si="36"/>
        <v>8.1485289047833268E-2</v>
      </c>
      <c r="Q397" s="63"/>
    </row>
    <row r="398" spans="1:17" ht="17.25" customHeight="1" x14ac:dyDescent="0.2">
      <c r="A398" s="52">
        <v>2529</v>
      </c>
      <c r="B398" s="53" t="s">
        <v>32</v>
      </c>
      <c r="C398" s="57" t="s">
        <v>340</v>
      </c>
      <c r="D398" s="54">
        <v>351.25</v>
      </c>
      <c r="E398" s="62">
        <v>833</v>
      </c>
      <c r="F398" s="54">
        <f t="shared" si="33"/>
        <v>349.3140439</v>
      </c>
      <c r="G398" s="66">
        <v>25569.041962604166</v>
      </c>
      <c r="H398" s="66">
        <v>25569.041962604166</v>
      </c>
      <c r="I398" s="62">
        <v>25</v>
      </c>
      <c r="J398" s="53"/>
      <c r="K398" s="57" t="s">
        <v>345</v>
      </c>
      <c r="L398" s="52">
        <v>19159</v>
      </c>
      <c r="M398" s="58">
        <f t="shared" si="34"/>
        <v>138.41603953299631</v>
      </c>
      <c r="N398" s="58">
        <v>1179.6300000000001</v>
      </c>
      <c r="O398" s="60">
        <f t="shared" si="35"/>
        <v>16.241533362155927</v>
      </c>
      <c r="P398" s="60">
        <f t="shared" si="36"/>
        <v>0.11733852100488823</v>
      </c>
      <c r="Q398" s="63"/>
    </row>
    <row r="399" spans="1:17" ht="17.25" customHeight="1" x14ac:dyDescent="0.2">
      <c r="A399" s="52">
        <v>2530</v>
      </c>
      <c r="B399" s="53" t="s">
        <v>32</v>
      </c>
      <c r="C399" s="57" t="s">
        <v>340</v>
      </c>
      <c r="D399" s="54">
        <v>352.25</v>
      </c>
      <c r="E399" s="62">
        <v>833</v>
      </c>
      <c r="F399" s="54">
        <f t="shared" si="33"/>
        <v>350.30734389999998</v>
      </c>
      <c r="G399" s="66">
        <v>25569.041962604166</v>
      </c>
      <c r="H399" s="66">
        <v>25569.041962604166</v>
      </c>
      <c r="I399" s="62">
        <v>25</v>
      </c>
      <c r="J399" s="53"/>
      <c r="K399" s="57" t="s">
        <v>345</v>
      </c>
      <c r="L399" s="52">
        <v>16756</v>
      </c>
      <c r="M399" s="58">
        <f t="shared" si="34"/>
        <v>129.44496900227526</v>
      </c>
      <c r="N399" s="58">
        <v>1136.8699999999999</v>
      </c>
      <c r="O399" s="60">
        <f t="shared" si="35"/>
        <v>14.738712429741309</v>
      </c>
      <c r="P399" s="60">
        <f t="shared" si="36"/>
        <v>0.1138608363333321</v>
      </c>
      <c r="Q399" s="63"/>
    </row>
    <row r="400" spans="1:17" ht="17.25" customHeight="1" x14ac:dyDescent="0.2">
      <c r="A400" s="52">
        <v>2531</v>
      </c>
      <c r="B400" s="53" t="s">
        <v>32</v>
      </c>
      <c r="C400" s="57" t="s">
        <v>340</v>
      </c>
      <c r="D400" s="54">
        <v>353.25</v>
      </c>
      <c r="E400" s="62">
        <v>833</v>
      </c>
      <c r="F400" s="54">
        <f t="shared" si="33"/>
        <v>351.30064390000001</v>
      </c>
      <c r="G400" s="66">
        <v>25569.041962604166</v>
      </c>
      <c r="H400" s="66">
        <v>25569.041962604166</v>
      </c>
      <c r="I400" s="62">
        <v>26</v>
      </c>
      <c r="J400" s="53"/>
      <c r="K400" s="57" t="s">
        <v>345</v>
      </c>
      <c r="L400" s="52">
        <v>12254</v>
      </c>
      <c r="M400" s="58">
        <f t="shared" si="34"/>
        <v>110.69778678907723</v>
      </c>
      <c r="N400" s="58">
        <v>971.22</v>
      </c>
      <c r="O400" s="60">
        <f t="shared" si="35"/>
        <v>12.617120734745988</v>
      </c>
      <c r="P400" s="60">
        <f t="shared" si="36"/>
        <v>0.11397807581091537</v>
      </c>
      <c r="Q400" s="63"/>
    </row>
    <row r="401" spans="1:17" ht="17.25" customHeight="1" x14ac:dyDescent="0.2">
      <c r="A401" s="52">
        <v>2532</v>
      </c>
      <c r="B401" s="53" t="s">
        <v>32</v>
      </c>
      <c r="C401" s="57" t="s">
        <v>340</v>
      </c>
      <c r="D401" s="54">
        <v>354.25</v>
      </c>
      <c r="E401" s="62">
        <v>833</v>
      </c>
      <c r="F401" s="54">
        <f t="shared" si="33"/>
        <v>352.29394389999999</v>
      </c>
      <c r="G401" s="66">
        <v>25569.041962604166</v>
      </c>
      <c r="H401" s="66">
        <v>25569.041962604166</v>
      </c>
      <c r="I401" s="62">
        <v>26</v>
      </c>
      <c r="J401" s="53"/>
      <c r="K401" s="57" t="s">
        <v>345</v>
      </c>
      <c r="L401" s="52">
        <v>11451</v>
      </c>
      <c r="M401" s="58">
        <f t="shared" si="34"/>
        <v>107.00934538627924</v>
      </c>
      <c r="N401" s="58">
        <v>1044.23</v>
      </c>
      <c r="O401" s="60">
        <f t="shared" si="35"/>
        <v>10.965974928894974</v>
      </c>
      <c r="P401" s="60">
        <f t="shared" si="36"/>
        <v>0.10247679666958355</v>
      </c>
      <c r="Q401" s="63"/>
    </row>
    <row r="402" spans="1:17" ht="17.25" customHeight="1" x14ac:dyDescent="0.2">
      <c r="A402" s="52">
        <v>2533</v>
      </c>
      <c r="B402" s="53" t="s">
        <v>32</v>
      </c>
      <c r="C402" s="57" t="s">
        <v>340</v>
      </c>
      <c r="D402" s="54">
        <v>355.26</v>
      </c>
      <c r="E402" s="62">
        <v>833</v>
      </c>
      <c r="F402" s="54">
        <f t="shared" si="33"/>
        <v>353.29717689999995</v>
      </c>
      <c r="G402" s="66">
        <v>25569.041962604166</v>
      </c>
      <c r="H402" s="66">
        <v>25569.041962604166</v>
      </c>
      <c r="I402" s="62">
        <v>26</v>
      </c>
      <c r="J402" s="53"/>
      <c r="K402" s="57" t="s">
        <v>345</v>
      </c>
      <c r="L402" s="52">
        <v>10917</v>
      </c>
      <c r="M402" s="58">
        <f t="shared" si="34"/>
        <v>104.48444860360799</v>
      </c>
      <c r="N402" s="58">
        <v>1162.99</v>
      </c>
      <c r="O402" s="60">
        <f t="shared" si="35"/>
        <v>9.387011066303236</v>
      </c>
      <c r="P402" s="60">
        <f t="shared" si="36"/>
        <v>8.9841227012792874E-2</v>
      </c>
      <c r="Q402" s="63"/>
    </row>
    <row r="403" spans="1:17" ht="17.25" customHeight="1" x14ac:dyDescent="0.2">
      <c r="A403" s="52">
        <v>2534</v>
      </c>
      <c r="B403" s="53" t="s">
        <v>32</v>
      </c>
      <c r="C403" s="57" t="s">
        <v>340</v>
      </c>
      <c r="D403" s="54">
        <v>356.26</v>
      </c>
      <c r="E403" s="62">
        <v>833</v>
      </c>
      <c r="F403" s="54">
        <f t="shared" si="33"/>
        <v>354.29047689999999</v>
      </c>
      <c r="G403" s="66">
        <v>25569.041962604166</v>
      </c>
      <c r="H403" s="66">
        <v>25569.041962604166</v>
      </c>
      <c r="I403" s="62">
        <v>26</v>
      </c>
      <c r="J403" s="53"/>
      <c r="K403" s="57" t="s">
        <v>345</v>
      </c>
      <c r="L403" s="52">
        <v>14885</v>
      </c>
      <c r="M403" s="58">
        <f t="shared" si="34"/>
        <v>122.00409829181969</v>
      </c>
      <c r="N403" s="58">
        <v>1893.27</v>
      </c>
      <c r="O403" s="60">
        <f t="shared" si="35"/>
        <v>7.8620587660502732</v>
      </c>
      <c r="P403" s="60">
        <f t="shared" si="36"/>
        <v>6.4440939903880418E-2</v>
      </c>
      <c r="Q403" s="63"/>
    </row>
    <row r="404" spans="1:17" ht="17.25" customHeight="1" x14ac:dyDescent="0.2">
      <c r="A404" s="52">
        <v>2535</v>
      </c>
      <c r="B404" s="53" t="s">
        <v>32</v>
      </c>
      <c r="C404" s="57" t="s">
        <v>340</v>
      </c>
      <c r="D404" s="54">
        <v>358.26</v>
      </c>
      <c r="E404" s="62">
        <v>833</v>
      </c>
      <c r="F404" s="54">
        <f t="shared" si="33"/>
        <v>356.2770769</v>
      </c>
      <c r="G404" s="66">
        <v>25569.041962604166</v>
      </c>
      <c r="H404" s="66">
        <v>25569.041962604166</v>
      </c>
      <c r="I404" s="62">
        <v>28</v>
      </c>
      <c r="J404" s="53"/>
      <c r="K404" s="57" t="s">
        <v>345</v>
      </c>
      <c r="L404" s="52">
        <v>11220</v>
      </c>
      <c r="M404" s="58">
        <f t="shared" si="34"/>
        <v>105.92450141492289</v>
      </c>
      <c r="N404" s="58">
        <v>2180.2800000000002</v>
      </c>
      <c r="O404" s="60">
        <f t="shared" si="35"/>
        <v>5.1461280202542792</v>
      </c>
      <c r="P404" s="60">
        <f t="shared" si="36"/>
        <v>4.8582980816648726E-2</v>
      </c>
      <c r="Q404" s="63"/>
    </row>
    <row r="405" spans="1:17" ht="17.25" customHeight="1" x14ac:dyDescent="0.2">
      <c r="A405" s="52">
        <v>2536</v>
      </c>
      <c r="B405" s="53" t="s">
        <v>32</v>
      </c>
      <c r="C405" s="57" t="s">
        <v>340</v>
      </c>
      <c r="D405" s="54">
        <v>360.27</v>
      </c>
      <c r="E405" s="62">
        <v>833</v>
      </c>
      <c r="F405" s="54">
        <f t="shared" si="33"/>
        <v>358.2736099</v>
      </c>
      <c r="G405" s="66">
        <v>25569.041962604166</v>
      </c>
      <c r="H405" s="66">
        <v>25569.041962604166</v>
      </c>
      <c r="I405" s="62">
        <v>27</v>
      </c>
      <c r="J405" s="53"/>
      <c r="K405" s="57" t="s">
        <v>345</v>
      </c>
      <c r="L405" s="52">
        <v>7286</v>
      </c>
      <c r="M405" s="58">
        <f t="shared" si="34"/>
        <v>85.358069331493198</v>
      </c>
      <c r="N405" s="58">
        <v>2229.62</v>
      </c>
      <c r="O405" s="60">
        <f t="shared" si="35"/>
        <v>3.2678214224845492</v>
      </c>
      <c r="P405" s="60">
        <f t="shared" si="36"/>
        <v>3.8283684812431357E-2</v>
      </c>
      <c r="Q405" s="63"/>
    </row>
    <row r="406" spans="1:17" ht="17.25" customHeight="1" x14ac:dyDescent="0.2">
      <c r="A406" s="52">
        <v>2537</v>
      </c>
      <c r="B406" s="53" t="s">
        <v>32</v>
      </c>
      <c r="C406" s="57" t="s">
        <v>340</v>
      </c>
      <c r="D406" s="54">
        <v>362.3</v>
      </c>
      <c r="E406" s="62">
        <v>833</v>
      </c>
      <c r="F406" s="54">
        <f t="shared" si="33"/>
        <v>360.29000889999998</v>
      </c>
      <c r="G406" s="66">
        <v>25569.041962604166</v>
      </c>
      <c r="H406" s="66">
        <v>25569.041962604166</v>
      </c>
      <c r="I406" s="62">
        <v>26</v>
      </c>
      <c r="J406" s="53"/>
      <c r="K406" s="57" t="s">
        <v>345</v>
      </c>
      <c r="L406" s="52">
        <v>3662</v>
      </c>
      <c r="M406" s="58">
        <f t="shared" si="34"/>
        <v>60.514461081629072</v>
      </c>
      <c r="N406" s="58">
        <v>1752.61</v>
      </c>
      <c r="O406" s="60">
        <f t="shared" si="35"/>
        <v>2.0894551554538663</v>
      </c>
      <c r="P406" s="60">
        <f t="shared" si="36"/>
        <v>3.4528195709044841E-2</v>
      </c>
      <c r="Q406" s="63"/>
    </row>
    <row r="407" spans="1:17" ht="17.25" customHeight="1" x14ac:dyDescent="0.2">
      <c r="A407" s="52">
        <v>2538</v>
      </c>
      <c r="B407" s="53" t="s">
        <v>32</v>
      </c>
      <c r="C407" s="57" t="s">
        <v>340</v>
      </c>
      <c r="D407" s="54">
        <v>364.26</v>
      </c>
      <c r="E407" s="62">
        <v>833</v>
      </c>
      <c r="F407" s="54">
        <f t="shared" si="33"/>
        <v>362.23687689999997</v>
      </c>
      <c r="G407" s="66">
        <v>25569.041962604166</v>
      </c>
      <c r="H407" s="66">
        <v>25569.041962604166</v>
      </c>
      <c r="I407" s="62">
        <v>25</v>
      </c>
      <c r="J407" s="53"/>
      <c r="K407" s="57" t="s">
        <v>345</v>
      </c>
      <c r="L407" s="52">
        <v>2345</v>
      </c>
      <c r="M407" s="58">
        <f t="shared" si="34"/>
        <v>48.425200051213004</v>
      </c>
      <c r="N407" s="58">
        <v>1691.43</v>
      </c>
      <c r="O407" s="60">
        <f t="shared" si="35"/>
        <v>1.386400856080358</v>
      </c>
      <c r="P407" s="60">
        <f t="shared" si="36"/>
        <v>2.8629739363268361E-2</v>
      </c>
      <c r="Q407" s="63"/>
    </row>
    <row r="408" spans="1:17" ht="17.25" customHeight="1" x14ac:dyDescent="0.2">
      <c r="A408" s="52">
        <v>2539</v>
      </c>
      <c r="B408" s="53" t="s">
        <v>157</v>
      </c>
      <c r="C408" s="57" t="s">
        <v>340</v>
      </c>
      <c r="D408" s="54">
        <v>264.45</v>
      </c>
      <c r="E408" s="62">
        <v>2867</v>
      </c>
      <c r="F408" s="54">
        <f t="shared" si="33"/>
        <v>265.11597609999995</v>
      </c>
      <c r="G408" s="66">
        <v>25569.041962604166</v>
      </c>
      <c r="H408" s="66">
        <v>25569.041962604166</v>
      </c>
      <c r="I408" s="62">
        <v>280</v>
      </c>
      <c r="J408" s="53"/>
      <c r="K408" s="57"/>
      <c r="L408" s="52"/>
      <c r="M408" s="58"/>
      <c r="N408" s="59"/>
      <c r="O408" s="60"/>
      <c r="P408" s="60"/>
      <c r="Q408" s="63" t="s">
        <v>347</v>
      </c>
    </row>
    <row r="409" spans="1:17" ht="17.25" customHeight="1" x14ac:dyDescent="0.2">
      <c r="A409" s="52">
        <v>2540</v>
      </c>
      <c r="B409" s="53" t="s">
        <v>157</v>
      </c>
      <c r="C409" s="57" t="s">
        <v>340</v>
      </c>
      <c r="D409" s="54">
        <v>264.45</v>
      </c>
      <c r="E409" s="62">
        <v>2867</v>
      </c>
      <c r="F409" s="54">
        <f t="shared" si="33"/>
        <v>265.11597609999995</v>
      </c>
      <c r="G409" s="66">
        <v>25569.041962604166</v>
      </c>
      <c r="H409" s="66">
        <v>25569.041962604166</v>
      </c>
      <c r="I409" s="62">
        <v>280</v>
      </c>
      <c r="J409" s="53"/>
      <c r="K409" s="57" t="s">
        <v>345</v>
      </c>
      <c r="L409" s="52">
        <v>5243475</v>
      </c>
      <c r="M409" s="58">
        <f t="shared" ref="M409:M472" si="37">SQRT(L409)</f>
        <v>2289.8635330516968</v>
      </c>
      <c r="N409" s="58">
        <v>2107762.94</v>
      </c>
      <c r="O409" s="60">
        <f t="shared" ref="O409:O472" si="38">L409/N409</f>
        <v>2.4876967425947818</v>
      </c>
      <c r="P409" s="60">
        <f t="shared" ref="P409:P472" si="39">M409/N409</f>
        <v>1.0863951963457981E-3</v>
      </c>
      <c r="Q409" s="63"/>
    </row>
    <row r="410" spans="1:17" ht="17.25" customHeight="1" x14ac:dyDescent="0.2">
      <c r="A410" s="52">
        <v>2541</v>
      </c>
      <c r="B410" s="53" t="s">
        <v>33</v>
      </c>
      <c r="C410" s="57" t="s">
        <v>340</v>
      </c>
      <c r="D410" s="54">
        <v>334.22</v>
      </c>
      <c r="E410" s="62">
        <v>1021</v>
      </c>
      <c r="F410" s="54">
        <f t="shared" si="33"/>
        <v>332.5848853</v>
      </c>
      <c r="G410" s="66">
        <v>25569.041962604166</v>
      </c>
      <c r="H410" s="66">
        <v>25569.041962604166</v>
      </c>
      <c r="I410" s="62">
        <v>28</v>
      </c>
      <c r="J410" s="53"/>
      <c r="K410" s="57" t="s">
        <v>345</v>
      </c>
      <c r="L410" s="52">
        <v>1867</v>
      </c>
      <c r="M410" s="58">
        <f t="shared" si="37"/>
        <v>43.208795400936602</v>
      </c>
      <c r="N410" s="58">
        <v>5722.59</v>
      </c>
      <c r="O410" s="60">
        <f t="shared" si="38"/>
        <v>0.32625087591457713</v>
      </c>
      <c r="P410" s="60">
        <f t="shared" si="39"/>
        <v>7.5505663346380923E-3</v>
      </c>
      <c r="Q410" s="63"/>
    </row>
    <row r="411" spans="1:17" ht="17.25" customHeight="1" x14ac:dyDescent="0.2">
      <c r="A411" s="52">
        <v>2542</v>
      </c>
      <c r="B411" s="53" t="s">
        <v>33</v>
      </c>
      <c r="C411" s="57" t="s">
        <v>340</v>
      </c>
      <c r="D411" s="54">
        <v>336.2</v>
      </c>
      <c r="E411" s="62">
        <v>1021</v>
      </c>
      <c r="F411" s="54">
        <f t="shared" si="33"/>
        <v>334.55161929999997</v>
      </c>
      <c r="G411" s="66">
        <v>25569.041962604166</v>
      </c>
      <c r="H411" s="66">
        <v>25569.041962604166</v>
      </c>
      <c r="I411" s="62">
        <v>26</v>
      </c>
      <c r="J411" s="53"/>
      <c r="K411" s="57" t="s">
        <v>345</v>
      </c>
      <c r="L411" s="52">
        <v>2028</v>
      </c>
      <c r="M411" s="58">
        <f t="shared" si="37"/>
        <v>45.033320996790806</v>
      </c>
      <c r="N411" s="58">
        <v>4141.1899999999996</v>
      </c>
      <c r="O411" s="60">
        <f t="shared" si="38"/>
        <v>0.48971430917200132</v>
      </c>
      <c r="P411" s="60">
        <f t="shared" si="39"/>
        <v>1.0874488008710253E-2</v>
      </c>
      <c r="Q411" s="63"/>
    </row>
    <row r="412" spans="1:17" ht="17.25" customHeight="1" x14ac:dyDescent="0.2">
      <c r="A412" s="52">
        <v>2543</v>
      </c>
      <c r="B412" s="53" t="s">
        <v>33</v>
      </c>
      <c r="C412" s="57" t="s">
        <v>340</v>
      </c>
      <c r="D412" s="54">
        <v>338.24</v>
      </c>
      <c r="E412" s="62">
        <v>1021</v>
      </c>
      <c r="F412" s="54">
        <f t="shared" si="33"/>
        <v>336.5779513</v>
      </c>
      <c r="G412" s="66">
        <v>25569.041962604166</v>
      </c>
      <c r="H412" s="66">
        <v>25569.041962604166</v>
      </c>
      <c r="I412" s="62">
        <v>26</v>
      </c>
      <c r="J412" s="53"/>
      <c r="K412" s="57" t="s">
        <v>345</v>
      </c>
      <c r="L412" s="52">
        <v>2616</v>
      </c>
      <c r="M412" s="58">
        <f t="shared" si="37"/>
        <v>51.146847410177685</v>
      </c>
      <c r="N412" s="62">
        <v>3451</v>
      </c>
      <c r="O412" s="60">
        <f t="shared" si="38"/>
        <v>0.75804114749348017</v>
      </c>
      <c r="P412" s="60">
        <f t="shared" si="39"/>
        <v>1.4820877255919353E-2</v>
      </c>
      <c r="Q412" s="63"/>
    </row>
    <row r="413" spans="1:17" ht="17.25" customHeight="1" x14ac:dyDescent="0.2">
      <c r="A413" s="52">
        <v>2544</v>
      </c>
      <c r="B413" s="53" t="s">
        <v>33</v>
      </c>
      <c r="C413" s="57" t="s">
        <v>340</v>
      </c>
      <c r="D413" s="54">
        <v>340.23</v>
      </c>
      <c r="E413" s="62">
        <v>1021</v>
      </c>
      <c r="F413" s="54">
        <f t="shared" si="33"/>
        <v>338.55461830000002</v>
      </c>
      <c r="G413" s="66">
        <v>25569.041962604166</v>
      </c>
      <c r="H413" s="66">
        <v>25569.041962604166</v>
      </c>
      <c r="I413" s="62">
        <v>25</v>
      </c>
      <c r="J413" s="53"/>
      <c r="K413" s="57" t="s">
        <v>345</v>
      </c>
      <c r="L413" s="52">
        <v>5085</v>
      </c>
      <c r="M413" s="58">
        <f t="shared" si="37"/>
        <v>71.309185944028272</v>
      </c>
      <c r="N413" s="58">
        <v>3666.5</v>
      </c>
      <c r="O413" s="60">
        <f t="shared" si="38"/>
        <v>1.3868812218737214</v>
      </c>
      <c r="P413" s="60">
        <f t="shared" si="39"/>
        <v>1.9448843841273222E-2</v>
      </c>
      <c r="Q413" s="63"/>
    </row>
    <row r="414" spans="1:17" ht="17.25" customHeight="1" x14ac:dyDescent="0.2">
      <c r="A414" s="52">
        <v>2545</v>
      </c>
      <c r="B414" s="53" t="s">
        <v>33</v>
      </c>
      <c r="C414" s="57" t="s">
        <v>340</v>
      </c>
      <c r="D414" s="54">
        <v>341.23</v>
      </c>
      <c r="E414" s="62">
        <v>1021</v>
      </c>
      <c r="F414" s="54">
        <f t="shared" si="33"/>
        <v>339.54791829999999</v>
      </c>
      <c r="G414" s="66">
        <v>25569.041962604166</v>
      </c>
      <c r="H414" s="66">
        <v>25569.041962604166</v>
      </c>
      <c r="I414" s="62">
        <v>26</v>
      </c>
      <c r="J414" s="53"/>
      <c r="K414" s="57" t="s">
        <v>345</v>
      </c>
      <c r="L414" s="52">
        <v>6104</v>
      </c>
      <c r="M414" s="58">
        <f t="shared" si="37"/>
        <v>78.128099938498437</v>
      </c>
      <c r="N414" s="58">
        <v>2992.14</v>
      </c>
      <c r="O414" s="60">
        <f t="shared" si="38"/>
        <v>2.0400114967882521</v>
      </c>
      <c r="P414" s="60">
        <f t="shared" si="39"/>
        <v>2.6111111090556739E-2</v>
      </c>
      <c r="Q414" s="63"/>
    </row>
    <row r="415" spans="1:17" ht="17.25" customHeight="1" x14ac:dyDescent="0.2">
      <c r="A415" s="52">
        <v>2546</v>
      </c>
      <c r="B415" s="53" t="s">
        <v>33</v>
      </c>
      <c r="C415" s="57" t="s">
        <v>340</v>
      </c>
      <c r="D415" s="54">
        <v>342.23</v>
      </c>
      <c r="E415" s="62">
        <v>1021</v>
      </c>
      <c r="F415" s="54">
        <f t="shared" si="33"/>
        <v>340.54121829999997</v>
      </c>
      <c r="G415" s="66">
        <v>25569.041962604166</v>
      </c>
      <c r="H415" s="66">
        <v>25569.041962604166</v>
      </c>
      <c r="I415" s="62">
        <v>26</v>
      </c>
      <c r="J415" s="53"/>
      <c r="K415" s="57" t="s">
        <v>345</v>
      </c>
      <c r="L415" s="52">
        <v>11578</v>
      </c>
      <c r="M415" s="58">
        <f t="shared" si="37"/>
        <v>107.60111523585617</v>
      </c>
      <c r="N415" s="58">
        <v>3345.02</v>
      </c>
      <c r="O415" s="60">
        <f t="shared" si="38"/>
        <v>3.461264805591596</v>
      </c>
      <c r="P415" s="60">
        <f t="shared" si="39"/>
        <v>3.2167555122497374E-2</v>
      </c>
      <c r="Q415" s="63"/>
    </row>
    <row r="416" spans="1:17" ht="17.25" customHeight="1" x14ac:dyDescent="0.2">
      <c r="A416" s="52">
        <v>2547</v>
      </c>
      <c r="B416" s="53" t="s">
        <v>33</v>
      </c>
      <c r="C416" s="57" t="s">
        <v>340</v>
      </c>
      <c r="D416" s="54">
        <v>343.23</v>
      </c>
      <c r="E416" s="62">
        <v>1021</v>
      </c>
      <c r="F416" s="54">
        <f t="shared" si="33"/>
        <v>341.5345183</v>
      </c>
      <c r="G416" s="66">
        <v>25569.041962604166</v>
      </c>
      <c r="H416" s="66">
        <v>25569.041962604166</v>
      </c>
      <c r="I416" s="62">
        <v>26</v>
      </c>
      <c r="J416" s="53"/>
      <c r="K416" s="57" t="s">
        <v>345</v>
      </c>
      <c r="L416" s="52">
        <v>17118</v>
      </c>
      <c r="M416" s="58">
        <f t="shared" si="37"/>
        <v>130.83577492413914</v>
      </c>
      <c r="N416" s="58">
        <v>2686.83</v>
      </c>
      <c r="O416" s="60">
        <f t="shared" si="38"/>
        <v>6.3710766963298759</v>
      </c>
      <c r="P416" s="60">
        <f t="shared" si="39"/>
        <v>4.8695218872849846E-2</v>
      </c>
      <c r="Q416" s="63"/>
    </row>
    <row r="417" spans="1:17" ht="17.25" customHeight="1" x14ac:dyDescent="0.2">
      <c r="A417" s="52">
        <v>2548</v>
      </c>
      <c r="B417" s="53" t="s">
        <v>33</v>
      </c>
      <c r="C417" s="57" t="s">
        <v>340</v>
      </c>
      <c r="D417" s="54">
        <v>344.24</v>
      </c>
      <c r="E417" s="62">
        <v>1021</v>
      </c>
      <c r="F417" s="54">
        <f t="shared" si="33"/>
        <v>342.53775129999997</v>
      </c>
      <c r="G417" s="66">
        <v>25569.041962604166</v>
      </c>
      <c r="H417" s="66">
        <v>25569.041962604166</v>
      </c>
      <c r="I417" s="62">
        <v>25</v>
      </c>
      <c r="J417" s="53"/>
      <c r="K417" s="57" t="s">
        <v>345</v>
      </c>
      <c r="L417" s="52">
        <v>16624</v>
      </c>
      <c r="M417" s="58">
        <f t="shared" si="37"/>
        <v>128.93409169028959</v>
      </c>
      <c r="N417" s="58">
        <v>1553.19</v>
      </c>
      <c r="O417" s="60">
        <f t="shared" si="38"/>
        <v>10.70313355094998</v>
      </c>
      <c r="P417" s="60">
        <f t="shared" si="39"/>
        <v>8.3012440004306992E-2</v>
      </c>
      <c r="Q417" s="63"/>
    </row>
    <row r="418" spans="1:17" ht="17.25" customHeight="1" x14ac:dyDescent="0.2">
      <c r="A418" s="52">
        <v>2549</v>
      </c>
      <c r="B418" s="53" t="s">
        <v>33</v>
      </c>
      <c r="C418" s="57" t="s">
        <v>340</v>
      </c>
      <c r="D418" s="54">
        <v>345.23</v>
      </c>
      <c r="E418" s="62">
        <v>1021</v>
      </c>
      <c r="F418" s="54">
        <f t="shared" si="33"/>
        <v>343.52111830000001</v>
      </c>
      <c r="G418" s="66">
        <v>25569.041962604166</v>
      </c>
      <c r="H418" s="66">
        <v>25569.041962604166</v>
      </c>
      <c r="I418" s="62">
        <v>25</v>
      </c>
      <c r="J418" s="53"/>
      <c r="K418" s="57" t="s">
        <v>345</v>
      </c>
      <c r="L418" s="52">
        <v>25282</v>
      </c>
      <c r="M418" s="58">
        <f t="shared" si="37"/>
        <v>159.00314462299164</v>
      </c>
      <c r="N418" s="58">
        <v>1534.92</v>
      </c>
      <c r="O418" s="60">
        <f t="shared" si="38"/>
        <v>16.471216740937638</v>
      </c>
      <c r="P418" s="60">
        <f t="shared" si="39"/>
        <v>0.1035905093574855</v>
      </c>
      <c r="Q418" s="63"/>
    </row>
    <row r="419" spans="1:17" ht="17.25" customHeight="1" x14ac:dyDescent="0.2">
      <c r="A419" s="52">
        <v>2550</v>
      </c>
      <c r="B419" s="53" t="s">
        <v>33</v>
      </c>
      <c r="C419" s="57" t="s">
        <v>340</v>
      </c>
      <c r="D419" s="54">
        <v>346.24</v>
      </c>
      <c r="E419" s="62">
        <v>1021</v>
      </c>
      <c r="F419" s="54">
        <f t="shared" si="33"/>
        <v>344.52435129999998</v>
      </c>
      <c r="G419" s="66">
        <v>25569.041962604166</v>
      </c>
      <c r="H419" s="66">
        <v>25569.041962604166</v>
      </c>
      <c r="I419" s="62">
        <v>25</v>
      </c>
      <c r="J419" s="53"/>
      <c r="K419" s="57" t="s">
        <v>345</v>
      </c>
      <c r="L419" s="52">
        <v>53956</v>
      </c>
      <c r="M419" s="58">
        <f t="shared" si="37"/>
        <v>232.28430855311771</v>
      </c>
      <c r="N419" s="58">
        <v>2804.33</v>
      </c>
      <c r="O419" s="60">
        <f t="shared" si="38"/>
        <v>19.240246333348786</v>
      </c>
      <c r="P419" s="60">
        <f t="shared" si="39"/>
        <v>8.2830590035094909E-2</v>
      </c>
      <c r="Q419" s="63"/>
    </row>
    <row r="420" spans="1:17" ht="17.25" customHeight="1" x14ac:dyDescent="0.2">
      <c r="A420" s="52">
        <v>2551</v>
      </c>
      <c r="B420" s="53" t="s">
        <v>33</v>
      </c>
      <c r="C420" s="57" t="s">
        <v>340</v>
      </c>
      <c r="D420" s="54">
        <v>347.24</v>
      </c>
      <c r="E420" s="62">
        <v>1021</v>
      </c>
      <c r="F420" s="54">
        <f t="shared" si="33"/>
        <v>345.51765130000001</v>
      </c>
      <c r="G420" s="66">
        <v>25569.041962604166</v>
      </c>
      <c r="H420" s="66">
        <v>25569.041962604166</v>
      </c>
      <c r="I420" s="62">
        <v>24</v>
      </c>
      <c r="J420" s="53"/>
      <c r="K420" s="57" t="s">
        <v>345</v>
      </c>
      <c r="L420" s="52">
        <v>61372</v>
      </c>
      <c r="M420" s="58">
        <f t="shared" si="37"/>
        <v>247.73372802264936</v>
      </c>
      <c r="N420" s="58">
        <v>3033.79</v>
      </c>
      <c r="O420" s="60">
        <f t="shared" si="38"/>
        <v>20.229481935137237</v>
      </c>
      <c r="P420" s="60">
        <f t="shared" si="39"/>
        <v>8.1658166195632972E-2</v>
      </c>
      <c r="Q420" s="63"/>
    </row>
    <row r="421" spans="1:17" ht="17.25" customHeight="1" x14ac:dyDescent="0.2">
      <c r="A421" s="52">
        <v>2552</v>
      </c>
      <c r="B421" s="53" t="s">
        <v>33</v>
      </c>
      <c r="C421" s="57" t="s">
        <v>340</v>
      </c>
      <c r="D421" s="54">
        <v>348.25</v>
      </c>
      <c r="E421" s="62">
        <v>1021</v>
      </c>
      <c r="F421" s="54">
        <f t="shared" si="33"/>
        <v>346.52088429999998</v>
      </c>
      <c r="G421" s="66">
        <v>25569.041962604166</v>
      </c>
      <c r="H421" s="66">
        <v>25569.041962604166</v>
      </c>
      <c r="I421" s="62">
        <v>24</v>
      </c>
      <c r="J421" s="53"/>
      <c r="K421" s="57" t="s">
        <v>345</v>
      </c>
      <c r="L421" s="52">
        <v>33912</v>
      </c>
      <c r="M421" s="58">
        <f t="shared" si="37"/>
        <v>184.15211103867367</v>
      </c>
      <c r="N421" s="58">
        <v>1716.3</v>
      </c>
      <c r="O421" s="60">
        <f t="shared" si="38"/>
        <v>19.758783429470373</v>
      </c>
      <c r="P421" s="60">
        <f t="shared" si="39"/>
        <v>0.10729599198198081</v>
      </c>
      <c r="Q421" s="63"/>
    </row>
    <row r="422" spans="1:17" ht="17.25" customHeight="1" x14ac:dyDescent="0.2">
      <c r="A422" s="52">
        <v>2553</v>
      </c>
      <c r="B422" s="53" t="s">
        <v>33</v>
      </c>
      <c r="C422" s="57" t="s">
        <v>340</v>
      </c>
      <c r="D422" s="54">
        <v>349.25</v>
      </c>
      <c r="E422" s="62">
        <v>1021</v>
      </c>
      <c r="F422" s="54">
        <f t="shared" si="33"/>
        <v>347.51418429999995</v>
      </c>
      <c r="G422" s="66">
        <v>25569.041962604166</v>
      </c>
      <c r="H422" s="66">
        <v>25569.041962604166</v>
      </c>
      <c r="I422" s="62">
        <v>24</v>
      </c>
      <c r="J422" s="53"/>
      <c r="K422" s="57" t="s">
        <v>345</v>
      </c>
      <c r="L422" s="52">
        <v>18428</v>
      </c>
      <c r="M422" s="58">
        <f t="shared" si="37"/>
        <v>135.74976979722655</v>
      </c>
      <c r="N422" s="58">
        <v>974.85</v>
      </c>
      <c r="O422" s="60">
        <f t="shared" si="38"/>
        <v>18.903421039134226</v>
      </c>
      <c r="P422" s="60">
        <f t="shared" si="39"/>
        <v>0.13925195650328415</v>
      </c>
      <c r="Q422" s="63"/>
    </row>
    <row r="423" spans="1:17" ht="17.25" customHeight="1" x14ac:dyDescent="0.2">
      <c r="A423" s="52">
        <v>2554</v>
      </c>
      <c r="B423" s="53" t="s">
        <v>33</v>
      </c>
      <c r="C423" s="57" t="s">
        <v>340</v>
      </c>
      <c r="D423" s="54">
        <v>350.24</v>
      </c>
      <c r="E423" s="62">
        <v>1021</v>
      </c>
      <c r="F423" s="54">
        <f t="shared" si="33"/>
        <v>348.4975513</v>
      </c>
      <c r="G423" s="66">
        <v>25569.041962604166</v>
      </c>
      <c r="H423" s="66">
        <v>25569.041962604166</v>
      </c>
      <c r="I423" s="62">
        <v>24</v>
      </c>
      <c r="J423" s="53"/>
      <c r="K423" s="57" t="s">
        <v>345</v>
      </c>
      <c r="L423" s="52">
        <v>16041</v>
      </c>
      <c r="M423" s="58">
        <f t="shared" si="37"/>
        <v>126.65306944563167</v>
      </c>
      <c r="N423" s="58">
        <v>895.99</v>
      </c>
      <c r="O423" s="60">
        <f t="shared" si="38"/>
        <v>17.903101597116038</v>
      </c>
      <c r="P423" s="60">
        <f t="shared" si="39"/>
        <v>0.14135544977693018</v>
      </c>
      <c r="Q423" s="63"/>
    </row>
    <row r="424" spans="1:17" ht="17.25" customHeight="1" x14ac:dyDescent="0.2">
      <c r="A424" s="52">
        <v>2555</v>
      </c>
      <c r="B424" s="53" t="s">
        <v>33</v>
      </c>
      <c r="C424" s="57" t="s">
        <v>340</v>
      </c>
      <c r="D424" s="54">
        <v>351.25</v>
      </c>
      <c r="E424" s="62">
        <v>1021</v>
      </c>
      <c r="F424" s="54">
        <f t="shared" si="33"/>
        <v>349.50078429999996</v>
      </c>
      <c r="G424" s="66">
        <v>25569.041962604166</v>
      </c>
      <c r="H424" s="66">
        <v>25569.041962604166</v>
      </c>
      <c r="I424" s="62">
        <v>24</v>
      </c>
      <c r="J424" s="53"/>
      <c r="K424" s="57" t="s">
        <v>345</v>
      </c>
      <c r="L424" s="52">
        <v>16223</v>
      </c>
      <c r="M424" s="58">
        <f t="shared" si="37"/>
        <v>127.36954109990347</v>
      </c>
      <c r="N424" s="58">
        <v>1040.8800000000001</v>
      </c>
      <c r="O424" s="60">
        <f t="shared" si="38"/>
        <v>15.585850434247943</v>
      </c>
      <c r="P424" s="60">
        <f t="shared" si="39"/>
        <v>0.12236717114355493</v>
      </c>
      <c r="Q424" s="63"/>
    </row>
    <row r="425" spans="1:17" ht="17.25" customHeight="1" x14ac:dyDescent="0.2">
      <c r="A425" s="52">
        <v>2556</v>
      </c>
      <c r="B425" s="53" t="s">
        <v>33</v>
      </c>
      <c r="C425" s="57" t="s">
        <v>340</v>
      </c>
      <c r="D425" s="54">
        <v>352.25</v>
      </c>
      <c r="E425" s="62">
        <v>1021</v>
      </c>
      <c r="F425" s="54">
        <f t="shared" si="33"/>
        <v>350.4940843</v>
      </c>
      <c r="G425" s="66">
        <v>25569.041962604166</v>
      </c>
      <c r="H425" s="66">
        <v>25569.041962604166</v>
      </c>
      <c r="I425" s="62">
        <v>24</v>
      </c>
      <c r="J425" s="53"/>
      <c r="K425" s="57" t="s">
        <v>345</v>
      </c>
      <c r="L425" s="52">
        <v>15555</v>
      </c>
      <c r="M425" s="58">
        <f t="shared" si="37"/>
        <v>124.71968569556292</v>
      </c>
      <c r="N425" s="58">
        <v>1083.17</v>
      </c>
      <c r="O425" s="60">
        <f t="shared" si="38"/>
        <v>14.36062667909931</v>
      </c>
      <c r="P425" s="60">
        <f t="shared" si="39"/>
        <v>0.11514322377425788</v>
      </c>
      <c r="Q425" s="63"/>
    </row>
    <row r="426" spans="1:17" ht="17.25" customHeight="1" x14ac:dyDescent="0.2">
      <c r="A426" s="52">
        <v>2557</v>
      </c>
      <c r="B426" s="53" t="s">
        <v>33</v>
      </c>
      <c r="C426" s="57" t="s">
        <v>340</v>
      </c>
      <c r="D426" s="54">
        <v>353.25</v>
      </c>
      <c r="E426" s="62">
        <v>1021</v>
      </c>
      <c r="F426" s="54">
        <f t="shared" si="33"/>
        <v>351.48738429999997</v>
      </c>
      <c r="G426" s="66">
        <v>25569.041962604166</v>
      </c>
      <c r="H426" s="66">
        <v>25569.041962604166</v>
      </c>
      <c r="I426" s="62">
        <v>23</v>
      </c>
      <c r="J426" s="53"/>
      <c r="K426" s="57" t="s">
        <v>345</v>
      </c>
      <c r="L426" s="52">
        <v>19544</v>
      </c>
      <c r="M426" s="58">
        <f t="shared" si="37"/>
        <v>139.79985693841036</v>
      </c>
      <c r="N426" s="58">
        <v>1539.09</v>
      </c>
      <c r="O426" s="60">
        <f t="shared" si="38"/>
        <v>12.698412698412699</v>
      </c>
      <c r="P426" s="60">
        <f t="shared" si="39"/>
        <v>9.0832801810427174E-2</v>
      </c>
      <c r="Q426" s="63"/>
    </row>
    <row r="427" spans="1:17" ht="17.25" customHeight="1" x14ac:dyDescent="0.2">
      <c r="A427" s="52">
        <v>2558</v>
      </c>
      <c r="B427" s="53" t="s">
        <v>33</v>
      </c>
      <c r="C427" s="57" t="s">
        <v>340</v>
      </c>
      <c r="D427" s="54">
        <v>354.25</v>
      </c>
      <c r="E427" s="62">
        <v>1021</v>
      </c>
      <c r="F427" s="54">
        <f t="shared" si="33"/>
        <v>352.48068429999995</v>
      </c>
      <c r="G427" s="66">
        <v>25569.041962604166</v>
      </c>
      <c r="H427" s="66">
        <v>25569.041962604166</v>
      </c>
      <c r="I427" s="62">
        <v>24</v>
      </c>
      <c r="J427" s="53"/>
      <c r="K427" s="57" t="s">
        <v>345</v>
      </c>
      <c r="L427" s="52">
        <v>27670</v>
      </c>
      <c r="M427" s="58">
        <f t="shared" si="37"/>
        <v>166.34301909007183</v>
      </c>
      <c r="N427" s="58">
        <v>2568.85</v>
      </c>
      <c r="O427" s="60">
        <f t="shared" si="38"/>
        <v>10.771356832824027</v>
      </c>
      <c r="P427" s="60">
        <f t="shared" si="39"/>
        <v>6.4753885625891683E-2</v>
      </c>
      <c r="Q427" s="63"/>
    </row>
    <row r="428" spans="1:17" ht="17.25" customHeight="1" x14ac:dyDescent="0.2">
      <c r="A428" s="52">
        <v>2559</v>
      </c>
      <c r="B428" s="53" t="s">
        <v>33</v>
      </c>
      <c r="C428" s="57" t="s">
        <v>340</v>
      </c>
      <c r="D428" s="54">
        <v>355.26</v>
      </c>
      <c r="E428" s="62">
        <v>1021</v>
      </c>
      <c r="F428" s="54">
        <f t="shared" si="33"/>
        <v>353.48391729999997</v>
      </c>
      <c r="G428" s="66">
        <v>25569.041962604166</v>
      </c>
      <c r="H428" s="66">
        <v>25569.041962604166</v>
      </c>
      <c r="I428" s="62">
        <v>24</v>
      </c>
      <c r="J428" s="53"/>
      <c r="K428" s="57" t="s">
        <v>345</v>
      </c>
      <c r="L428" s="52">
        <v>23653</v>
      </c>
      <c r="M428" s="58">
        <f t="shared" si="37"/>
        <v>153.79531852432959</v>
      </c>
      <c r="N428" s="58">
        <v>2650.43</v>
      </c>
      <c r="O428" s="60">
        <f t="shared" si="38"/>
        <v>8.9242122976271787</v>
      </c>
      <c r="P428" s="60">
        <f t="shared" si="39"/>
        <v>5.8026553625007866E-2</v>
      </c>
      <c r="Q428" s="63"/>
    </row>
    <row r="429" spans="1:17" ht="17.25" customHeight="1" x14ac:dyDescent="0.2">
      <c r="A429" s="52">
        <v>2560</v>
      </c>
      <c r="B429" s="53" t="s">
        <v>33</v>
      </c>
      <c r="C429" s="57" t="s">
        <v>340</v>
      </c>
      <c r="D429" s="54">
        <v>356.26</v>
      </c>
      <c r="E429" s="62">
        <v>1021</v>
      </c>
      <c r="F429" s="54">
        <f t="shared" si="33"/>
        <v>354.47721729999995</v>
      </c>
      <c r="G429" s="66">
        <v>25569.041962604166</v>
      </c>
      <c r="H429" s="66">
        <v>25569.041962604166</v>
      </c>
      <c r="I429" s="62">
        <v>24</v>
      </c>
      <c r="J429" s="53"/>
      <c r="K429" s="57" t="s">
        <v>345</v>
      </c>
      <c r="L429" s="52">
        <v>23765</v>
      </c>
      <c r="M429" s="58">
        <f t="shared" si="37"/>
        <v>154.15900881881669</v>
      </c>
      <c r="N429" s="58">
        <v>3206.3</v>
      </c>
      <c r="O429" s="60">
        <f t="shared" si="38"/>
        <v>7.4119701837008387</v>
      </c>
      <c r="P429" s="60">
        <f t="shared" si="39"/>
        <v>4.8080032691518781E-2</v>
      </c>
      <c r="Q429" s="63"/>
    </row>
    <row r="430" spans="1:17" ht="17.25" customHeight="1" x14ac:dyDescent="0.2">
      <c r="A430" s="52">
        <v>2561</v>
      </c>
      <c r="B430" s="53" t="s">
        <v>33</v>
      </c>
      <c r="C430" s="57" t="s">
        <v>340</v>
      </c>
      <c r="D430" s="54">
        <v>358.26</v>
      </c>
      <c r="E430" s="62">
        <v>1021</v>
      </c>
      <c r="F430" s="54">
        <f t="shared" si="33"/>
        <v>356.46381729999996</v>
      </c>
      <c r="G430" s="66">
        <v>25569.041962604166</v>
      </c>
      <c r="H430" s="66">
        <v>25569.041962604166</v>
      </c>
      <c r="I430" s="62">
        <v>24</v>
      </c>
      <c r="J430" s="53"/>
      <c r="K430" s="57" t="s">
        <v>345</v>
      </c>
      <c r="L430" s="52">
        <v>11806</v>
      </c>
      <c r="M430" s="58">
        <f t="shared" si="37"/>
        <v>108.65541864076545</v>
      </c>
      <c r="N430" s="58">
        <v>2484.39</v>
      </c>
      <c r="O430" s="60">
        <f t="shared" si="38"/>
        <v>4.7520719371757254</v>
      </c>
      <c r="P430" s="60">
        <f t="shared" si="39"/>
        <v>4.3735250359551218E-2</v>
      </c>
      <c r="Q430" s="63"/>
    </row>
    <row r="431" spans="1:17" ht="17.25" customHeight="1" x14ac:dyDescent="0.2">
      <c r="A431" s="52">
        <v>2562</v>
      </c>
      <c r="B431" s="53" t="s">
        <v>33</v>
      </c>
      <c r="C431" s="57" t="s">
        <v>340</v>
      </c>
      <c r="D431" s="54">
        <v>360.27</v>
      </c>
      <c r="E431" s="62">
        <v>1021</v>
      </c>
      <c r="F431" s="54">
        <f t="shared" si="33"/>
        <v>358.46035029999996</v>
      </c>
      <c r="G431" s="66">
        <v>25569.041962604166</v>
      </c>
      <c r="H431" s="66">
        <v>25569.041962604166</v>
      </c>
      <c r="I431" s="62">
        <v>25</v>
      </c>
      <c r="J431" s="53"/>
      <c r="K431" s="57" t="s">
        <v>345</v>
      </c>
      <c r="L431" s="52">
        <v>9073</v>
      </c>
      <c r="M431" s="58">
        <f t="shared" si="37"/>
        <v>95.252296560240481</v>
      </c>
      <c r="N431" s="58">
        <v>2980.12</v>
      </c>
      <c r="O431" s="60">
        <f t="shared" si="38"/>
        <v>3.0445082748345706</v>
      </c>
      <c r="P431" s="60">
        <f t="shared" si="39"/>
        <v>3.1962570822732135E-2</v>
      </c>
      <c r="Q431" s="63"/>
    </row>
    <row r="432" spans="1:17" ht="17.25" customHeight="1" x14ac:dyDescent="0.2">
      <c r="A432" s="52">
        <v>2563</v>
      </c>
      <c r="B432" s="53" t="s">
        <v>33</v>
      </c>
      <c r="C432" s="57" t="s">
        <v>340</v>
      </c>
      <c r="D432" s="54">
        <v>362.3</v>
      </c>
      <c r="E432" s="62">
        <v>1021</v>
      </c>
      <c r="F432" s="54">
        <f t="shared" si="33"/>
        <v>360.47674929999999</v>
      </c>
      <c r="G432" s="66">
        <v>25569.041962604166</v>
      </c>
      <c r="H432" s="66">
        <v>25569.041962604166</v>
      </c>
      <c r="I432" s="62">
        <v>25</v>
      </c>
      <c r="J432" s="53"/>
      <c r="K432" s="57" t="s">
        <v>345</v>
      </c>
      <c r="L432" s="52">
        <v>2152</v>
      </c>
      <c r="M432" s="58">
        <f t="shared" si="37"/>
        <v>46.389654018972806</v>
      </c>
      <c r="N432" s="58">
        <v>1061.55</v>
      </c>
      <c r="O432" s="60">
        <f t="shared" si="38"/>
        <v>2.0272243417644011</v>
      </c>
      <c r="P432" s="60">
        <f t="shared" si="39"/>
        <v>4.36999237143543E-2</v>
      </c>
      <c r="Q432" s="63"/>
    </row>
    <row r="433" spans="1:17" ht="17.25" customHeight="1" x14ac:dyDescent="0.2">
      <c r="A433" s="52">
        <v>2564</v>
      </c>
      <c r="B433" s="53" t="s">
        <v>33</v>
      </c>
      <c r="C433" s="57" t="s">
        <v>340</v>
      </c>
      <c r="D433" s="54">
        <v>364.26</v>
      </c>
      <c r="E433" s="62">
        <v>1021</v>
      </c>
      <c r="F433" s="54">
        <f t="shared" si="33"/>
        <v>362.42361729999999</v>
      </c>
      <c r="G433" s="66">
        <v>25569.041962604166</v>
      </c>
      <c r="H433" s="66">
        <v>25569.041962604166</v>
      </c>
      <c r="I433" s="62">
        <v>25</v>
      </c>
      <c r="J433" s="53"/>
      <c r="K433" s="57" t="s">
        <v>345</v>
      </c>
      <c r="L433" s="52">
        <v>2972</v>
      </c>
      <c r="M433" s="58">
        <f t="shared" si="37"/>
        <v>54.516052681756044</v>
      </c>
      <c r="N433" s="58">
        <v>2226.85</v>
      </c>
      <c r="O433" s="60">
        <f t="shared" si="38"/>
        <v>1.3346206524911872</v>
      </c>
      <c r="P433" s="60">
        <f t="shared" si="39"/>
        <v>2.4481241521322066E-2</v>
      </c>
      <c r="Q433" s="63"/>
    </row>
    <row r="434" spans="1:17" ht="17.25" customHeight="1" x14ac:dyDescent="0.2">
      <c r="A434" s="52">
        <v>2565</v>
      </c>
      <c r="B434" s="53" t="s">
        <v>157</v>
      </c>
      <c r="C434" s="57" t="s">
        <v>340</v>
      </c>
      <c r="D434" s="54">
        <v>274.60000000000002</v>
      </c>
      <c r="E434" s="62">
        <v>2668</v>
      </c>
      <c r="F434" s="54">
        <f t="shared" si="33"/>
        <v>275.0003044</v>
      </c>
      <c r="G434" s="66">
        <v>25569.041962604166</v>
      </c>
      <c r="H434" s="66">
        <v>25569.041962604166</v>
      </c>
      <c r="I434" s="55" t="s">
        <v>348</v>
      </c>
      <c r="J434" s="53"/>
      <c r="K434" s="57" t="s">
        <v>345</v>
      </c>
      <c r="L434" s="52">
        <v>11334115</v>
      </c>
      <c r="M434" s="58">
        <f t="shared" si="37"/>
        <v>3366.617738918394</v>
      </c>
      <c r="N434" s="58">
        <v>25883193.52</v>
      </c>
      <c r="O434" s="60">
        <f t="shared" si="38"/>
        <v>0.43789476716781894</v>
      </c>
      <c r="P434" s="60">
        <f t="shared" si="39"/>
        <v>1.3006964292551463E-4</v>
      </c>
      <c r="Q434" s="63"/>
    </row>
    <row r="435" spans="1:17" ht="17.25" customHeight="1" x14ac:dyDescent="0.2">
      <c r="A435" s="52">
        <v>2566</v>
      </c>
      <c r="B435" s="53" t="s">
        <v>334</v>
      </c>
      <c r="C435" s="57" t="s">
        <v>340</v>
      </c>
      <c r="D435" s="54">
        <v>334.22</v>
      </c>
      <c r="E435" s="62">
        <v>972</v>
      </c>
      <c r="F435" s="54">
        <f t="shared" si="33"/>
        <v>332.5362136</v>
      </c>
      <c r="G435" s="66">
        <v>25569.041962604166</v>
      </c>
      <c r="H435" s="66">
        <v>25569.041962604166</v>
      </c>
      <c r="I435" s="62">
        <v>26</v>
      </c>
      <c r="J435" s="53"/>
      <c r="K435" s="57" t="s">
        <v>345</v>
      </c>
      <c r="L435" s="52">
        <v>2372</v>
      </c>
      <c r="M435" s="58">
        <f t="shared" si="37"/>
        <v>48.703182647543684</v>
      </c>
      <c r="N435" s="58">
        <v>6728.38</v>
      </c>
      <c r="O435" s="60">
        <f t="shared" si="38"/>
        <v>0.35253656898094338</v>
      </c>
      <c r="P435" s="60">
        <f t="shared" si="39"/>
        <v>7.2384708722669769E-3</v>
      </c>
      <c r="Q435" s="63"/>
    </row>
    <row r="436" spans="1:17" ht="17.25" customHeight="1" x14ac:dyDescent="0.2">
      <c r="A436" s="52">
        <v>2567</v>
      </c>
      <c r="B436" s="53" t="s">
        <v>334</v>
      </c>
      <c r="C436" s="57" t="s">
        <v>340</v>
      </c>
      <c r="D436" s="54">
        <v>336.2</v>
      </c>
      <c r="E436" s="62">
        <v>972</v>
      </c>
      <c r="F436" s="54">
        <f t="shared" si="33"/>
        <v>334.50294759999991</v>
      </c>
      <c r="G436" s="66">
        <v>25569.041962604166</v>
      </c>
      <c r="H436" s="66">
        <v>25569.041962604166</v>
      </c>
      <c r="I436" s="62">
        <v>25</v>
      </c>
      <c r="J436" s="53"/>
      <c r="K436" s="57" t="s">
        <v>345</v>
      </c>
      <c r="L436" s="52">
        <v>2327</v>
      </c>
      <c r="M436" s="58">
        <f t="shared" si="37"/>
        <v>48.238988380769349</v>
      </c>
      <c r="N436" s="58">
        <v>4700.16</v>
      </c>
      <c r="O436" s="60">
        <f t="shared" si="38"/>
        <v>0.49508952886710239</v>
      </c>
      <c r="P436" s="60">
        <f t="shared" si="39"/>
        <v>1.0263265161349688E-2</v>
      </c>
      <c r="Q436" s="63"/>
    </row>
    <row r="437" spans="1:17" ht="17.25" customHeight="1" x14ac:dyDescent="0.2">
      <c r="A437" s="52">
        <v>2568</v>
      </c>
      <c r="B437" s="53" t="s">
        <v>334</v>
      </c>
      <c r="C437" s="57" t="s">
        <v>340</v>
      </c>
      <c r="D437" s="54">
        <v>338.2</v>
      </c>
      <c r="E437" s="62">
        <v>972</v>
      </c>
      <c r="F437" s="54">
        <f t="shared" si="33"/>
        <v>336.48954759999992</v>
      </c>
      <c r="G437" s="66">
        <v>25569.041962604166</v>
      </c>
      <c r="H437" s="66">
        <v>25569.041962604166</v>
      </c>
      <c r="I437" s="62">
        <v>24</v>
      </c>
      <c r="J437" s="53"/>
      <c r="K437" s="57" t="s">
        <v>345</v>
      </c>
      <c r="L437" s="52">
        <v>3306</v>
      </c>
      <c r="M437" s="58">
        <f t="shared" si="37"/>
        <v>57.497826045860201</v>
      </c>
      <c r="N437" s="58">
        <v>4005.1</v>
      </c>
      <c r="O437" s="60">
        <f t="shared" si="38"/>
        <v>0.82544755436818062</v>
      </c>
      <c r="P437" s="60">
        <f t="shared" si="39"/>
        <v>1.4356152417133205E-2</v>
      </c>
      <c r="Q437" s="63"/>
    </row>
    <row r="438" spans="1:17" ht="17.25" customHeight="1" x14ac:dyDescent="0.2">
      <c r="A438" s="52">
        <v>2569</v>
      </c>
      <c r="B438" s="53" t="s">
        <v>334</v>
      </c>
      <c r="C438" s="57" t="s">
        <v>340</v>
      </c>
      <c r="D438" s="54">
        <v>340.2</v>
      </c>
      <c r="E438" s="62">
        <v>972</v>
      </c>
      <c r="F438" s="54">
        <f t="shared" si="33"/>
        <v>338.47614759999993</v>
      </c>
      <c r="G438" s="66">
        <v>25569.041962604166</v>
      </c>
      <c r="H438" s="66">
        <v>25569.041962604166</v>
      </c>
      <c r="I438" s="62">
        <v>23</v>
      </c>
      <c r="J438" s="53"/>
      <c r="K438" s="57" t="s">
        <v>345</v>
      </c>
      <c r="L438" s="52">
        <v>3292</v>
      </c>
      <c r="M438" s="58">
        <f t="shared" si="37"/>
        <v>57.375953151124207</v>
      </c>
      <c r="N438" s="58">
        <v>2207.5700000000002</v>
      </c>
      <c r="O438" s="60">
        <f t="shared" si="38"/>
        <v>1.4912324411003954</v>
      </c>
      <c r="P438" s="60">
        <f t="shared" si="39"/>
        <v>2.5990547593564055E-2</v>
      </c>
      <c r="Q438" s="63"/>
    </row>
    <row r="439" spans="1:17" ht="17.25" customHeight="1" x14ac:dyDescent="0.2">
      <c r="A439" s="52">
        <v>2570</v>
      </c>
      <c r="B439" s="53" t="s">
        <v>334</v>
      </c>
      <c r="C439" s="57" t="s">
        <v>340</v>
      </c>
      <c r="D439" s="54">
        <v>341.2</v>
      </c>
      <c r="E439" s="62">
        <v>972</v>
      </c>
      <c r="F439" s="54">
        <f t="shared" si="33"/>
        <v>339.46944759999991</v>
      </c>
      <c r="G439" s="66">
        <v>25569.041962604166</v>
      </c>
      <c r="H439" s="66">
        <v>25569.041962604166</v>
      </c>
      <c r="I439" s="62">
        <v>23</v>
      </c>
      <c r="J439" s="53"/>
      <c r="K439" s="57" t="s">
        <v>345</v>
      </c>
      <c r="L439" s="52">
        <v>5560</v>
      </c>
      <c r="M439" s="58">
        <f t="shared" si="37"/>
        <v>74.565407529228992</v>
      </c>
      <c r="N439" s="58">
        <v>2506.6999999999998</v>
      </c>
      <c r="O439" s="60">
        <f t="shared" si="38"/>
        <v>2.2180556109626202</v>
      </c>
      <c r="P439" s="60">
        <f t="shared" si="39"/>
        <v>2.9746442545669206E-2</v>
      </c>
      <c r="Q439" s="63"/>
    </row>
    <row r="440" spans="1:17" ht="17.25" customHeight="1" x14ac:dyDescent="0.2">
      <c r="A440" s="52">
        <v>2571</v>
      </c>
      <c r="B440" s="53" t="s">
        <v>334</v>
      </c>
      <c r="C440" s="57" t="s">
        <v>340</v>
      </c>
      <c r="D440" s="54">
        <v>342.2</v>
      </c>
      <c r="E440" s="62">
        <v>972</v>
      </c>
      <c r="F440" s="54">
        <f t="shared" si="33"/>
        <v>340.46274759999994</v>
      </c>
      <c r="G440" s="66">
        <v>25569.041962604166</v>
      </c>
      <c r="H440" s="66">
        <v>25569.041962604166</v>
      </c>
      <c r="I440" s="62">
        <v>22</v>
      </c>
      <c r="J440" s="53"/>
      <c r="K440" s="57" t="s">
        <v>345</v>
      </c>
      <c r="L440" s="52">
        <v>10296</v>
      </c>
      <c r="M440" s="58">
        <f t="shared" si="37"/>
        <v>101.46920715172658</v>
      </c>
      <c r="N440" s="58">
        <v>2867.69</v>
      </c>
      <c r="O440" s="60">
        <f t="shared" si="38"/>
        <v>3.590346236866607</v>
      </c>
      <c r="P440" s="60">
        <f t="shared" si="39"/>
        <v>3.5383603929199661E-2</v>
      </c>
      <c r="Q440" s="63"/>
    </row>
    <row r="441" spans="1:17" ht="17.25" customHeight="1" x14ac:dyDescent="0.2">
      <c r="A441" s="52">
        <v>2572</v>
      </c>
      <c r="B441" s="53" t="s">
        <v>334</v>
      </c>
      <c r="C441" s="57" t="s">
        <v>340</v>
      </c>
      <c r="D441" s="54">
        <v>343.2</v>
      </c>
      <c r="E441" s="62">
        <v>972</v>
      </c>
      <c r="F441" s="54">
        <f t="shared" si="33"/>
        <v>341.45604759999992</v>
      </c>
      <c r="G441" s="66">
        <v>25569.041962604166</v>
      </c>
      <c r="H441" s="66">
        <v>25569.041962604166</v>
      </c>
      <c r="I441" s="62">
        <v>22</v>
      </c>
      <c r="J441" s="53"/>
      <c r="K441" s="57" t="s">
        <v>345</v>
      </c>
      <c r="L441" s="52">
        <v>11784</v>
      </c>
      <c r="M441" s="58">
        <f t="shared" si="37"/>
        <v>108.55413396089529</v>
      </c>
      <c r="N441" s="58">
        <v>1768.07</v>
      </c>
      <c r="O441" s="60">
        <f t="shared" si="38"/>
        <v>6.6648944894715711</v>
      </c>
      <c r="P441" s="60">
        <f t="shared" si="39"/>
        <v>6.1396966161348411E-2</v>
      </c>
      <c r="Q441" s="63"/>
    </row>
    <row r="442" spans="1:17" ht="17.25" customHeight="1" x14ac:dyDescent="0.2">
      <c r="A442" s="52">
        <v>2573</v>
      </c>
      <c r="B442" s="53" t="s">
        <v>334</v>
      </c>
      <c r="C442" s="57" t="s">
        <v>340</v>
      </c>
      <c r="D442" s="54">
        <v>344.2</v>
      </c>
      <c r="E442" s="62">
        <v>972</v>
      </c>
      <c r="F442" s="54">
        <f t="shared" si="33"/>
        <v>342.44934759999995</v>
      </c>
      <c r="G442" s="66">
        <v>25569.041962604166</v>
      </c>
      <c r="H442" s="66">
        <v>25569.041962604166</v>
      </c>
      <c r="I442" s="62">
        <v>22</v>
      </c>
      <c r="J442" s="53"/>
      <c r="K442" s="57" t="s">
        <v>345</v>
      </c>
      <c r="L442" s="52">
        <v>14180</v>
      </c>
      <c r="M442" s="58">
        <f t="shared" si="37"/>
        <v>119.07980517283357</v>
      </c>
      <c r="N442" s="58">
        <v>1182.79</v>
      </c>
      <c r="O442" s="60">
        <f t="shared" si="38"/>
        <v>11.988603217815504</v>
      </c>
      <c r="P442" s="60">
        <f t="shared" si="39"/>
        <v>0.10067704763553427</v>
      </c>
      <c r="Q442" s="63"/>
    </row>
    <row r="443" spans="1:17" ht="17.25" customHeight="1" x14ac:dyDescent="0.2">
      <c r="A443" s="52">
        <v>2574</v>
      </c>
      <c r="B443" s="53" t="s">
        <v>334</v>
      </c>
      <c r="C443" s="57" t="s">
        <v>340</v>
      </c>
      <c r="D443" s="54">
        <v>345.2</v>
      </c>
      <c r="E443" s="62">
        <v>972</v>
      </c>
      <c r="F443" s="54">
        <f t="shared" si="33"/>
        <v>343.44264759999993</v>
      </c>
      <c r="G443" s="66">
        <v>25569.041962604166</v>
      </c>
      <c r="H443" s="66">
        <v>25569.041962604166</v>
      </c>
      <c r="I443" s="62">
        <v>22</v>
      </c>
      <c r="J443" s="53"/>
      <c r="K443" s="57" t="s">
        <v>345</v>
      </c>
      <c r="L443" s="52">
        <v>20575</v>
      </c>
      <c r="M443" s="58">
        <f t="shared" si="37"/>
        <v>143.43988287781053</v>
      </c>
      <c r="N443" s="58">
        <v>1100.9000000000001</v>
      </c>
      <c r="O443" s="60">
        <f t="shared" si="38"/>
        <v>18.689254246525568</v>
      </c>
      <c r="P443" s="60">
        <f t="shared" si="39"/>
        <v>0.13029328992443504</v>
      </c>
      <c r="Q443" s="63"/>
    </row>
    <row r="444" spans="1:17" ht="17.25" customHeight="1" x14ac:dyDescent="0.2">
      <c r="A444" s="52">
        <v>2575</v>
      </c>
      <c r="B444" s="53" t="s">
        <v>334</v>
      </c>
      <c r="C444" s="57" t="s">
        <v>340</v>
      </c>
      <c r="D444" s="54">
        <v>346.2</v>
      </c>
      <c r="E444" s="62">
        <v>972</v>
      </c>
      <c r="F444" s="54">
        <f t="shared" si="33"/>
        <v>344.43594759999991</v>
      </c>
      <c r="G444" s="66">
        <v>25569.041962604166</v>
      </c>
      <c r="H444" s="66">
        <v>25569.041962604166</v>
      </c>
      <c r="I444" s="62">
        <v>22</v>
      </c>
      <c r="J444" s="53"/>
      <c r="K444" s="57" t="s">
        <v>345</v>
      </c>
      <c r="L444" s="52">
        <v>15642</v>
      </c>
      <c r="M444" s="58">
        <f t="shared" si="37"/>
        <v>125.06798151405499</v>
      </c>
      <c r="N444" s="58">
        <v>714.5</v>
      </c>
      <c r="O444" s="60">
        <f t="shared" si="38"/>
        <v>21.89223233030091</v>
      </c>
      <c r="P444" s="60">
        <f t="shared" si="39"/>
        <v>0.1750426613212806</v>
      </c>
      <c r="Q444" s="63"/>
    </row>
    <row r="445" spans="1:17" ht="17.25" customHeight="1" x14ac:dyDescent="0.2">
      <c r="A445" s="52">
        <v>2576</v>
      </c>
      <c r="B445" s="53" t="s">
        <v>334</v>
      </c>
      <c r="C445" s="57" t="s">
        <v>340</v>
      </c>
      <c r="D445" s="54">
        <v>347.2</v>
      </c>
      <c r="E445" s="62">
        <v>972</v>
      </c>
      <c r="F445" s="54">
        <f t="shared" si="33"/>
        <v>345.42924759999994</v>
      </c>
      <c r="G445" s="66">
        <v>25569.041962604166</v>
      </c>
      <c r="H445" s="66">
        <v>25569.041962604166</v>
      </c>
      <c r="I445" s="62">
        <v>21</v>
      </c>
      <c r="J445" s="53"/>
      <c r="K445" s="57" t="s">
        <v>345</v>
      </c>
      <c r="L445" s="52">
        <v>27399</v>
      </c>
      <c r="M445" s="58">
        <f t="shared" si="37"/>
        <v>165.526432934441</v>
      </c>
      <c r="N445" s="58">
        <v>1210.52</v>
      </c>
      <c r="O445" s="60">
        <f t="shared" si="38"/>
        <v>22.634074612563197</v>
      </c>
      <c r="P445" s="60">
        <f t="shared" si="39"/>
        <v>0.13673994063248934</v>
      </c>
      <c r="Q445" s="63"/>
    </row>
    <row r="446" spans="1:17" ht="17.25" customHeight="1" x14ac:dyDescent="0.2">
      <c r="A446" s="52">
        <v>2577</v>
      </c>
      <c r="B446" s="53" t="s">
        <v>334</v>
      </c>
      <c r="C446" s="57" t="s">
        <v>340</v>
      </c>
      <c r="D446" s="54">
        <v>348.2</v>
      </c>
      <c r="E446" s="62">
        <v>972</v>
      </c>
      <c r="F446" s="54">
        <f t="shared" si="33"/>
        <v>346.42254759999992</v>
      </c>
      <c r="G446" s="66">
        <v>25569.041962604166</v>
      </c>
      <c r="H446" s="66">
        <v>25569.041962604166</v>
      </c>
      <c r="I446" s="62">
        <v>21</v>
      </c>
      <c r="J446" s="53"/>
      <c r="K446" s="57" t="s">
        <v>345</v>
      </c>
      <c r="L446" s="52">
        <v>16893</v>
      </c>
      <c r="M446" s="58">
        <f t="shared" si="37"/>
        <v>129.9730741346068</v>
      </c>
      <c r="N446" s="58">
        <v>751.57</v>
      </c>
      <c r="O446" s="60">
        <f t="shared" si="38"/>
        <v>22.476948254986226</v>
      </c>
      <c r="P446" s="60">
        <f t="shared" si="39"/>
        <v>0.17293542069881288</v>
      </c>
      <c r="Q446" s="63"/>
    </row>
    <row r="447" spans="1:17" ht="17.25" customHeight="1" x14ac:dyDescent="0.2">
      <c r="A447" s="52">
        <v>2578</v>
      </c>
      <c r="B447" s="53" t="s">
        <v>9</v>
      </c>
      <c r="C447" s="57" t="s">
        <v>340</v>
      </c>
      <c r="D447" s="54">
        <v>349.2</v>
      </c>
      <c r="E447" s="62">
        <v>972</v>
      </c>
      <c r="F447" s="54">
        <f t="shared" ref="F447:F510" si="40">0.9933*(D447 + E447/1000)-0.41</f>
        <v>347.41584759999995</v>
      </c>
      <c r="G447" s="66">
        <v>25569.041962604166</v>
      </c>
      <c r="H447" s="66">
        <v>25569.041962604166</v>
      </c>
      <c r="I447" s="62">
        <v>21</v>
      </c>
      <c r="J447" s="53"/>
      <c r="K447" s="57" t="s">
        <v>345</v>
      </c>
      <c r="L447" s="52">
        <v>16703</v>
      </c>
      <c r="M447" s="58">
        <f t="shared" si="37"/>
        <v>129.24008666044759</v>
      </c>
      <c r="N447" s="58">
        <v>830.56</v>
      </c>
      <c r="O447" s="60">
        <f t="shared" si="38"/>
        <v>20.11052783664034</v>
      </c>
      <c r="P447" s="60">
        <f t="shared" si="39"/>
        <v>0.15560596062951212</v>
      </c>
      <c r="Q447" s="63"/>
    </row>
    <row r="448" spans="1:17" ht="17.25" customHeight="1" x14ac:dyDescent="0.2">
      <c r="A448" s="52">
        <v>2579</v>
      </c>
      <c r="B448" s="53" t="s">
        <v>9</v>
      </c>
      <c r="C448" s="57" t="s">
        <v>340</v>
      </c>
      <c r="D448" s="54">
        <v>350.2</v>
      </c>
      <c r="E448" s="62">
        <v>972</v>
      </c>
      <c r="F448" s="54">
        <f t="shared" si="40"/>
        <v>348.40914759999993</v>
      </c>
      <c r="G448" s="66">
        <v>25569.041962604166</v>
      </c>
      <c r="H448" s="66">
        <v>25569.041962604166</v>
      </c>
      <c r="I448" s="62">
        <v>21</v>
      </c>
      <c r="J448" s="53"/>
      <c r="K448" s="57" t="s">
        <v>345</v>
      </c>
      <c r="L448" s="52">
        <v>20502</v>
      </c>
      <c r="M448" s="58">
        <f t="shared" si="37"/>
        <v>143.18519476538069</v>
      </c>
      <c r="N448" s="58">
        <v>1067.3399999999999</v>
      </c>
      <c r="O448" s="60">
        <f t="shared" si="38"/>
        <v>19.208499634605655</v>
      </c>
      <c r="P448" s="60">
        <f t="shared" si="39"/>
        <v>0.13415143699793947</v>
      </c>
      <c r="Q448" s="63"/>
    </row>
    <row r="449" spans="1:17" ht="17.25" customHeight="1" x14ac:dyDescent="0.2">
      <c r="A449" s="52">
        <v>2580</v>
      </c>
      <c r="B449" s="53" t="s">
        <v>334</v>
      </c>
      <c r="C449" s="57" t="s">
        <v>340</v>
      </c>
      <c r="D449" s="54">
        <v>351.2</v>
      </c>
      <c r="E449" s="62">
        <v>972</v>
      </c>
      <c r="F449" s="54">
        <f t="shared" si="40"/>
        <v>349.4024475999999</v>
      </c>
      <c r="G449" s="66">
        <v>25569.041962604166</v>
      </c>
      <c r="H449" s="66">
        <v>25569.041962604166</v>
      </c>
      <c r="I449" s="62">
        <v>22</v>
      </c>
      <c r="J449" s="53"/>
      <c r="K449" s="57" t="s">
        <v>345</v>
      </c>
      <c r="L449" s="52">
        <v>20952</v>
      </c>
      <c r="M449" s="58">
        <f t="shared" si="37"/>
        <v>144.74805698177784</v>
      </c>
      <c r="N449" s="58">
        <v>1293.94</v>
      </c>
      <c r="O449" s="60">
        <f t="shared" si="38"/>
        <v>16.192404593721502</v>
      </c>
      <c r="P449" s="60">
        <f t="shared" si="39"/>
        <v>0.11186612747250864</v>
      </c>
      <c r="Q449" s="63"/>
    </row>
    <row r="450" spans="1:17" ht="17.25" customHeight="1" x14ac:dyDescent="0.2">
      <c r="A450" s="52">
        <v>2581</v>
      </c>
      <c r="B450" s="53" t="s">
        <v>334</v>
      </c>
      <c r="C450" s="57" t="s">
        <v>340</v>
      </c>
      <c r="D450" s="54">
        <v>350.2</v>
      </c>
      <c r="E450" s="62">
        <v>972</v>
      </c>
      <c r="F450" s="54">
        <f t="shared" si="40"/>
        <v>348.40914759999993</v>
      </c>
      <c r="G450" s="66">
        <v>25569.041962604166</v>
      </c>
      <c r="H450" s="66">
        <v>25569.041962604166</v>
      </c>
      <c r="I450" s="62">
        <v>25</v>
      </c>
      <c r="J450" s="53"/>
      <c r="K450" s="57" t="s">
        <v>345</v>
      </c>
      <c r="L450" s="52">
        <v>31540</v>
      </c>
      <c r="M450" s="58">
        <f t="shared" si="37"/>
        <v>177.59504497592269</v>
      </c>
      <c r="N450" s="58">
        <v>1641.2</v>
      </c>
      <c r="O450" s="60">
        <f t="shared" si="38"/>
        <v>19.217645625152326</v>
      </c>
      <c r="P450" s="60">
        <f t="shared" si="39"/>
        <v>0.10821048316836625</v>
      </c>
      <c r="Q450" s="63"/>
    </row>
    <row r="451" spans="1:17" ht="17.25" customHeight="1" x14ac:dyDescent="0.2">
      <c r="A451" s="52">
        <v>2582</v>
      </c>
      <c r="B451" s="53" t="s">
        <v>334</v>
      </c>
      <c r="C451" s="57" t="s">
        <v>340</v>
      </c>
      <c r="D451" s="54">
        <v>349.2</v>
      </c>
      <c r="E451" s="62">
        <v>972</v>
      </c>
      <c r="F451" s="54">
        <f t="shared" si="40"/>
        <v>347.41584759999995</v>
      </c>
      <c r="G451" s="66">
        <v>25569.041962604166</v>
      </c>
      <c r="H451" s="66">
        <v>25569.041962604166</v>
      </c>
      <c r="I451" s="62">
        <v>29</v>
      </c>
      <c r="J451" s="53"/>
      <c r="K451" s="57" t="s">
        <v>345</v>
      </c>
      <c r="L451" s="52">
        <v>32186</v>
      </c>
      <c r="M451" s="58">
        <f t="shared" si="37"/>
        <v>179.404570733301</v>
      </c>
      <c r="N451" s="58">
        <v>1534.47</v>
      </c>
      <c r="O451" s="60">
        <f t="shared" si="38"/>
        <v>20.975320468956706</v>
      </c>
      <c r="P451" s="60">
        <f t="shared" si="39"/>
        <v>0.11691631034383272</v>
      </c>
      <c r="Q451" s="63"/>
    </row>
    <row r="452" spans="1:17" ht="17.25" customHeight="1" x14ac:dyDescent="0.2">
      <c r="A452" s="52">
        <v>2583</v>
      </c>
      <c r="B452" s="53" t="s">
        <v>334</v>
      </c>
      <c r="C452" s="57" t="s">
        <v>340</v>
      </c>
      <c r="D452" s="54">
        <v>353.2</v>
      </c>
      <c r="E452" s="62">
        <v>972</v>
      </c>
      <c r="F452" s="54">
        <f t="shared" si="40"/>
        <v>351.38904759999991</v>
      </c>
      <c r="G452" s="66">
        <v>25569.041962604166</v>
      </c>
      <c r="H452" s="66">
        <v>25569.041962604166</v>
      </c>
      <c r="I452" s="62">
        <v>29</v>
      </c>
      <c r="J452" s="53"/>
      <c r="K452" s="57" t="s">
        <v>345</v>
      </c>
      <c r="L452" s="52">
        <v>26391</v>
      </c>
      <c r="M452" s="58">
        <f t="shared" si="37"/>
        <v>162.45307014642722</v>
      </c>
      <c r="N452" s="58">
        <v>2149.36</v>
      </c>
      <c r="O452" s="60">
        <f t="shared" si="38"/>
        <v>12.278538727807346</v>
      </c>
      <c r="P452" s="60">
        <f t="shared" si="39"/>
        <v>7.5582066357626085E-2</v>
      </c>
      <c r="Q452" s="63"/>
    </row>
    <row r="453" spans="1:17" ht="17.25" customHeight="1" x14ac:dyDescent="0.2">
      <c r="A453" s="52">
        <v>2584</v>
      </c>
      <c r="B453" s="53" t="s">
        <v>334</v>
      </c>
      <c r="C453" s="57" t="s">
        <v>340</v>
      </c>
      <c r="D453" s="54">
        <v>352.2</v>
      </c>
      <c r="E453" s="62">
        <v>972</v>
      </c>
      <c r="F453" s="54">
        <f t="shared" si="40"/>
        <v>350.39574759999994</v>
      </c>
      <c r="G453" s="66">
        <v>25569.041962604166</v>
      </c>
      <c r="H453" s="66">
        <v>25569.041962604166</v>
      </c>
      <c r="I453" s="62">
        <v>30</v>
      </c>
      <c r="J453" s="53"/>
      <c r="K453" s="57" t="s">
        <v>345</v>
      </c>
      <c r="L453" s="52">
        <v>25468</v>
      </c>
      <c r="M453" s="58">
        <f t="shared" si="37"/>
        <v>159.58696688639708</v>
      </c>
      <c r="N453" s="58">
        <v>1751.32</v>
      </c>
      <c r="O453" s="60">
        <f t="shared" si="38"/>
        <v>14.542173903113081</v>
      </c>
      <c r="P453" s="60">
        <f t="shared" si="39"/>
        <v>9.1123819111525645E-2</v>
      </c>
      <c r="Q453" s="63"/>
    </row>
    <row r="454" spans="1:17" ht="17.25" customHeight="1" x14ac:dyDescent="0.2">
      <c r="A454" s="52">
        <v>2585</v>
      </c>
      <c r="B454" s="53" t="s">
        <v>334</v>
      </c>
      <c r="C454" s="57" t="s">
        <v>340</v>
      </c>
      <c r="D454" s="54">
        <v>354.2</v>
      </c>
      <c r="E454" s="62">
        <v>972</v>
      </c>
      <c r="F454" s="54">
        <f t="shared" si="40"/>
        <v>352.38234759999995</v>
      </c>
      <c r="G454" s="66">
        <v>25569.041962604166</v>
      </c>
      <c r="H454" s="66">
        <v>25569.041962604166</v>
      </c>
      <c r="I454" s="62">
        <v>32</v>
      </c>
      <c r="J454" s="53"/>
      <c r="K454" s="57" t="s">
        <v>345</v>
      </c>
      <c r="L454" s="52">
        <v>12170</v>
      </c>
      <c r="M454" s="58">
        <f t="shared" si="37"/>
        <v>110.3177229641729</v>
      </c>
      <c r="N454" s="58">
        <v>1152.56</v>
      </c>
      <c r="O454" s="60">
        <f t="shared" si="38"/>
        <v>10.559103213715556</v>
      </c>
      <c r="P454" s="60">
        <f t="shared" si="39"/>
        <v>9.5715383983630276E-2</v>
      </c>
      <c r="Q454" s="63"/>
    </row>
    <row r="455" spans="1:17" ht="17.25" customHeight="1" x14ac:dyDescent="0.2">
      <c r="A455" s="52">
        <v>2586</v>
      </c>
      <c r="B455" s="53" t="s">
        <v>334</v>
      </c>
      <c r="C455" s="57" t="s">
        <v>340</v>
      </c>
      <c r="D455" s="54">
        <v>355.2</v>
      </c>
      <c r="E455" s="62">
        <v>972</v>
      </c>
      <c r="F455" s="54">
        <f t="shared" si="40"/>
        <v>353.37564759999992</v>
      </c>
      <c r="G455" s="66">
        <v>25569.041962604166</v>
      </c>
      <c r="H455" s="66">
        <v>25569.041962604166</v>
      </c>
      <c r="I455" s="62">
        <v>33</v>
      </c>
      <c r="J455" s="53"/>
      <c r="K455" s="57" t="s">
        <v>345</v>
      </c>
      <c r="L455" s="52">
        <v>10884</v>
      </c>
      <c r="M455" s="58">
        <f t="shared" si="37"/>
        <v>104.32641084595981</v>
      </c>
      <c r="N455" s="58">
        <v>1245.74</v>
      </c>
      <c r="O455" s="60">
        <f t="shared" si="38"/>
        <v>8.7369756128887239</v>
      </c>
      <c r="P455" s="60">
        <f t="shared" si="39"/>
        <v>8.3746536874435923E-2</v>
      </c>
      <c r="Q455" s="63"/>
    </row>
    <row r="456" spans="1:17" ht="17.25" customHeight="1" x14ac:dyDescent="0.2">
      <c r="A456" s="52">
        <v>2587</v>
      </c>
      <c r="B456" s="53" t="s">
        <v>334</v>
      </c>
      <c r="C456" s="57" t="s">
        <v>340</v>
      </c>
      <c r="D456" s="54">
        <v>356.2</v>
      </c>
      <c r="E456" s="62">
        <v>972</v>
      </c>
      <c r="F456" s="54">
        <f t="shared" si="40"/>
        <v>354.36894759999996</v>
      </c>
      <c r="G456" s="66">
        <v>25569.041962604166</v>
      </c>
      <c r="H456" s="66">
        <v>25569.041962604166</v>
      </c>
      <c r="I456" s="62">
        <v>35</v>
      </c>
      <c r="J456" s="53"/>
      <c r="K456" s="57" t="s">
        <v>345</v>
      </c>
      <c r="L456" s="52">
        <v>15887</v>
      </c>
      <c r="M456" s="58">
        <f t="shared" si="37"/>
        <v>126.04364323519056</v>
      </c>
      <c r="N456" s="58">
        <v>2209.92</v>
      </c>
      <c r="O456" s="60">
        <f t="shared" si="38"/>
        <v>7.1889480162177817</v>
      </c>
      <c r="P456" s="60">
        <f t="shared" si="39"/>
        <v>5.703538736026216E-2</v>
      </c>
      <c r="Q456" s="63"/>
    </row>
    <row r="457" spans="1:17" ht="17.25" customHeight="1" x14ac:dyDescent="0.2">
      <c r="A457" s="52">
        <v>2588</v>
      </c>
      <c r="B457" s="53" t="s">
        <v>334</v>
      </c>
      <c r="C457" s="57" t="s">
        <v>340</v>
      </c>
      <c r="D457" s="54">
        <v>358.2</v>
      </c>
      <c r="E457" s="62">
        <v>972</v>
      </c>
      <c r="F457" s="54">
        <f t="shared" si="40"/>
        <v>356.35554759999991</v>
      </c>
      <c r="G457" s="66">
        <v>25569.041962604166</v>
      </c>
      <c r="H457" s="66">
        <v>25569.041962604166</v>
      </c>
      <c r="I457" s="62">
        <v>34</v>
      </c>
      <c r="J457" s="53"/>
      <c r="K457" s="57" t="s">
        <v>345</v>
      </c>
      <c r="L457" s="52">
        <v>10241</v>
      </c>
      <c r="M457" s="58">
        <f t="shared" si="37"/>
        <v>101.19782606360673</v>
      </c>
      <c r="N457" s="58">
        <v>2159.11</v>
      </c>
      <c r="O457" s="60">
        <f t="shared" si="38"/>
        <v>4.7431580604971488</v>
      </c>
      <c r="P457" s="60">
        <f t="shared" si="39"/>
        <v>4.6870157640697657E-2</v>
      </c>
      <c r="Q457" s="63"/>
    </row>
    <row r="458" spans="1:17" ht="17.25" customHeight="1" x14ac:dyDescent="0.2">
      <c r="A458" s="52">
        <v>2589</v>
      </c>
      <c r="B458" s="53" t="s">
        <v>334</v>
      </c>
      <c r="C458" s="57" t="s">
        <v>340</v>
      </c>
      <c r="D458" s="54">
        <v>360.2</v>
      </c>
      <c r="E458" s="62">
        <v>972</v>
      </c>
      <c r="F458" s="54">
        <f t="shared" si="40"/>
        <v>358.34214759999992</v>
      </c>
      <c r="G458" s="66">
        <v>25569.041962604166</v>
      </c>
      <c r="H458" s="66">
        <v>25569.041962604166</v>
      </c>
      <c r="I458" s="62">
        <v>30</v>
      </c>
      <c r="J458" s="53"/>
      <c r="K458" s="57" t="s">
        <v>345</v>
      </c>
      <c r="L458" s="52">
        <v>3469</v>
      </c>
      <c r="M458" s="58">
        <f t="shared" si="37"/>
        <v>58.898217290508889</v>
      </c>
      <c r="N458" s="58">
        <v>1165.3599999999999</v>
      </c>
      <c r="O458" s="60">
        <f t="shared" si="38"/>
        <v>2.9767625454795086</v>
      </c>
      <c r="P458" s="60">
        <f t="shared" si="39"/>
        <v>5.0540791935975916E-2</v>
      </c>
      <c r="Q458" s="63" t="s">
        <v>349</v>
      </c>
    </row>
    <row r="459" spans="1:17" ht="17.25" customHeight="1" x14ac:dyDescent="0.2">
      <c r="A459" s="52">
        <v>2590</v>
      </c>
      <c r="B459" s="53" t="s">
        <v>334</v>
      </c>
      <c r="C459" s="57" t="s">
        <v>340</v>
      </c>
      <c r="D459" s="54">
        <v>362.2</v>
      </c>
      <c r="E459" s="62">
        <v>972</v>
      </c>
      <c r="F459" s="54">
        <f t="shared" si="40"/>
        <v>360.32874759999993</v>
      </c>
      <c r="G459" s="66">
        <v>25569.041962604166</v>
      </c>
      <c r="H459" s="66">
        <v>25569.041962604166</v>
      </c>
      <c r="I459" s="62">
        <v>30</v>
      </c>
      <c r="J459" s="53"/>
      <c r="K459" s="57" t="s">
        <v>345</v>
      </c>
      <c r="L459" s="52">
        <v>2178</v>
      </c>
      <c r="M459" s="58">
        <f t="shared" si="37"/>
        <v>46.669047558312137</v>
      </c>
      <c r="N459" s="58">
        <v>1144.32</v>
      </c>
      <c r="O459" s="60">
        <f t="shared" si="38"/>
        <v>1.9033137583892619</v>
      </c>
      <c r="P459" s="60">
        <f t="shared" si="39"/>
        <v>4.0783214099475794E-2</v>
      </c>
      <c r="Q459" s="63"/>
    </row>
    <row r="460" spans="1:17" ht="17.25" customHeight="1" x14ac:dyDescent="0.2">
      <c r="A460" s="52">
        <v>2591</v>
      </c>
      <c r="B460" s="53" t="s">
        <v>334</v>
      </c>
      <c r="C460" s="57" t="s">
        <v>340</v>
      </c>
      <c r="D460" s="54">
        <v>364.2</v>
      </c>
      <c r="E460" s="62">
        <v>972</v>
      </c>
      <c r="F460" s="54">
        <f t="shared" si="40"/>
        <v>362.31534759999994</v>
      </c>
      <c r="G460" s="66">
        <v>25569.041962604166</v>
      </c>
      <c r="H460" s="66">
        <v>25569.041962604166</v>
      </c>
      <c r="I460" s="62">
        <v>30</v>
      </c>
      <c r="J460" s="53"/>
      <c r="K460" s="57" t="s">
        <v>345</v>
      </c>
      <c r="L460" s="52">
        <v>2137</v>
      </c>
      <c r="M460" s="58">
        <f t="shared" si="37"/>
        <v>46.227697325304881</v>
      </c>
      <c r="N460" s="58">
        <v>1670.61</v>
      </c>
      <c r="O460" s="60">
        <f t="shared" si="38"/>
        <v>1.2791734755568327</v>
      </c>
      <c r="P460" s="60">
        <f t="shared" si="39"/>
        <v>2.7671148457931463E-2</v>
      </c>
      <c r="Q460" s="63"/>
    </row>
    <row r="461" spans="1:17" ht="17.25" customHeight="1" x14ac:dyDescent="0.2">
      <c r="A461" s="52">
        <v>2592</v>
      </c>
      <c r="B461" s="53" t="s">
        <v>157</v>
      </c>
      <c r="C461" s="57" t="s">
        <v>340</v>
      </c>
      <c r="D461" s="54">
        <v>284.60000000000002</v>
      </c>
      <c r="E461" s="62">
        <v>2770</v>
      </c>
      <c r="F461" s="54">
        <f t="shared" si="40"/>
        <v>285.03462099999996</v>
      </c>
      <c r="G461" s="66">
        <v>25569.041962604166</v>
      </c>
      <c r="H461" s="66">
        <v>25569.041962604166</v>
      </c>
      <c r="I461" s="55" t="s">
        <v>350</v>
      </c>
      <c r="J461" s="53"/>
      <c r="K461" s="57" t="s">
        <v>345</v>
      </c>
      <c r="L461" s="52">
        <v>18874716</v>
      </c>
      <c r="M461" s="58">
        <f t="shared" si="37"/>
        <v>4344.5041143955659</v>
      </c>
      <c r="N461" s="58">
        <v>23457433.18</v>
      </c>
      <c r="O461" s="60">
        <f t="shared" si="38"/>
        <v>0.8046368865325273</v>
      </c>
      <c r="P461" s="60">
        <f t="shared" si="39"/>
        <v>1.8520799275257985E-4</v>
      </c>
      <c r="Q461" s="63"/>
    </row>
    <row r="462" spans="1:17" ht="17.25" customHeight="1" x14ac:dyDescent="0.2">
      <c r="A462" s="52">
        <v>2593</v>
      </c>
      <c r="B462" s="53" t="s">
        <v>336</v>
      </c>
      <c r="C462" s="57" t="s">
        <v>340</v>
      </c>
      <c r="D462" s="54">
        <v>334.2</v>
      </c>
      <c r="E462" s="62">
        <v>1069</v>
      </c>
      <c r="F462" s="54">
        <f t="shared" si="40"/>
        <v>332.61269769999996</v>
      </c>
      <c r="G462" s="66">
        <v>25569.041962604166</v>
      </c>
      <c r="H462" s="66">
        <v>25569.041962604166</v>
      </c>
      <c r="I462" s="62">
        <v>30</v>
      </c>
      <c r="J462" s="53"/>
      <c r="K462" s="57" t="s">
        <v>345</v>
      </c>
      <c r="L462" s="52">
        <v>2439</v>
      </c>
      <c r="M462" s="58">
        <f t="shared" si="37"/>
        <v>49.386232899462982</v>
      </c>
      <c r="N462" s="58">
        <v>6509.55</v>
      </c>
      <c r="O462" s="60">
        <f t="shared" si="38"/>
        <v>0.37468027743853261</v>
      </c>
      <c r="P462" s="60">
        <f t="shared" si="39"/>
        <v>7.5867353195632542E-3</v>
      </c>
      <c r="Q462" s="63"/>
    </row>
    <row r="463" spans="1:17" ht="17.25" customHeight="1" x14ac:dyDescent="0.2">
      <c r="A463" s="52">
        <v>2594</v>
      </c>
      <c r="B463" s="53" t="s">
        <v>336</v>
      </c>
      <c r="C463" s="57" t="s">
        <v>340</v>
      </c>
      <c r="D463" s="54">
        <v>336.2</v>
      </c>
      <c r="E463" s="62">
        <v>1069</v>
      </c>
      <c r="F463" s="54">
        <f t="shared" si="40"/>
        <v>334.59929769999997</v>
      </c>
      <c r="G463" s="66">
        <v>25569.041962604166</v>
      </c>
      <c r="H463" s="66">
        <v>25569.041962604166</v>
      </c>
      <c r="I463" s="62">
        <v>28</v>
      </c>
      <c r="J463" s="53"/>
      <c r="K463" s="57" t="s">
        <v>345</v>
      </c>
      <c r="L463" s="52">
        <v>2582</v>
      </c>
      <c r="M463" s="58">
        <f t="shared" si="37"/>
        <v>50.813384063650005</v>
      </c>
      <c r="N463" s="58">
        <v>4993.13</v>
      </c>
      <c r="O463" s="60">
        <f t="shared" si="38"/>
        <v>0.51711050984052087</v>
      </c>
      <c r="P463" s="60">
        <f t="shared" si="39"/>
        <v>1.0176659542942003E-2</v>
      </c>
      <c r="Q463" s="63"/>
    </row>
    <row r="464" spans="1:17" ht="17.25" customHeight="1" x14ac:dyDescent="0.2">
      <c r="A464" s="52">
        <v>2595</v>
      </c>
      <c r="B464" s="53" t="s">
        <v>336</v>
      </c>
      <c r="C464" s="57" t="s">
        <v>340</v>
      </c>
      <c r="D464" s="54">
        <v>338.2</v>
      </c>
      <c r="E464" s="62">
        <v>1069</v>
      </c>
      <c r="F464" s="54">
        <f t="shared" si="40"/>
        <v>336.58589769999998</v>
      </c>
      <c r="G464" s="66">
        <v>25569.041962604166</v>
      </c>
      <c r="H464" s="66">
        <v>25569.041962604166</v>
      </c>
      <c r="I464" s="62">
        <v>26</v>
      </c>
      <c r="J464" s="53"/>
      <c r="K464" s="57" t="s">
        <v>345</v>
      </c>
      <c r="L464" s="52">
        <v>2076</v>
      </c>
      <c r="M464" s="58">
        <f t="shared" si="37"/>
        <v>45.563142999578069</v>
      </c>
      <c r="N464" s="58">
        <v>2428.9699999999998</v>
      </c>
      <c r="O464" s="60">
        <f t="shared" si="38"/>
        <v>0.85468326080602075</v>
      </c>
      <c r="P464" s="60">
        <f t="shared" si="39"/>
        <v>1.8758215622085933E-2</v>
      </c>
      <c r="Q464" s="63"/>
    </row>
    <row r="465" spans="1:17" ht="17.25" customHeight="1" x14ac:dyDescent="0.2">
      <c r="A465" s="52">
        <v>2596</v>
      </c>
      <c r="B465" s="53" t="s">
        <v>336</v>
      </c>
      <c r="C465" s="57" t="s">
        <v>340</v>
      </c>
      <c r="D465" s="54">
        <v>340.2</v>
      </c>
      <c r="E465" s="62">
        <v>1069</v>
      </c>
      <c r="F465" s="54">
        <f t="shared" si="40"/>
        <v>338.57249769999999</v>
      </c>
      <c r="G465" s="66">
        <v>25569.041962604166</v>
      </c>
      <c r="H465" s="66">
        <v>25569.041962604166</v>
      </c>
      <c r="I465" s="62">
        <v>26</v>
      </c>
      <c r="J465" s="53"/>
      <c r="K465" s="57" t="s">
        <v>345</v>
      </c>
      <c r="L465" s="52">
        <v>3063</v>
      </c>
      <c r="M465" s="58">
        <f t="shared" si="37"/>
        <v>55.344376408086845</v>
      </c>
      <c r="N465" s="58">
        <v>2033.48</v>
      </c>
      <c r="O465" s="60">
        <f t="shared" si="38"/>
        <v>1.506284792572339</v>
      </c>
      <c r="P465" s="60">
        <f t="shared" si="39"/>
        <v>2.7216582611133053E-2</v>
      </c>
      <c r="Q465" s="63"/>
    </row>
    <row r="466" spans="1:17" ht="17.25" customHeight="1" x14ac:dyDescent="0.2">
      <c r="A466" s="52">
        <v>2597</v>
      </c>
      <c r="B466" s="53" t="s">
        <v>336</v>
      </c>
      <c r="C466" s="57" t="s">
        <v>340</v>
      </c>
      <c r="D466" s="54">
        <v>341.2</v>
      </c>
      <c r="E466" s="62">
        <v>1069</v>
      </c>
      <c r="F466" s="54">
        <f t="shared" si="40"/>
        <v>339.56579769999996</v>
      </c>
      <c r="G466" s="66">
        <v>25569.041962604166</v>
      </c>
      <c r="H466" s="66">
        <v>25569.041962604166</v>
      </c>
      <c r="I466" s="62">
        <v>25</v>
      </c>
      <c r="J466" s="53"/>
      <c r="K466" s="57" t="s">
        <v>345</v>
      </c>
      <c r="L466" s="52">
        <v>4267</v>
      </c>
      <c r="M466" s="58">
        <f t="shared" si="37"/>
        <v>65.322277976200425</v>
      </c>
      <c r="N466" s="58">
        <v>1928.9</v>
      </c>
      <c r="O466" s="60">
        <f t="shared" si="38"/>
        <v>2.2121416351288299</v>
      </c>
      <c r="P466" s="60">
        <f t="shared" si="39"/>
        <v>3.3865041202861955E-2</v>
      </c>
      <c r="Q466" s="63"/>
    </row>
    <row r="467" spans="1:17" ht="17.25" customHeight="1" x14ac:dyDescent="0.2">
      <c r="A467" s="52">
        <v>2598</v>
      </c>
      <c r="B467" s="53" t="s">
        <v>336</v>
      </c>
      <c r="C467" s="57" t="s">
        <v>340</v>
      </c>
      <c r="D467" s="54">
        <v>342.2</v>
      </c>
      <c r="E467" s="62">
        <v>974</v>
      </c>
      <c r="F467" s="54">
        <f t="shared" si="40"/>
        <v>340.46473419999995</v>
      </c>
      <c r="G467" s="66">
        <v>25569.041962604166</v>
      </c>
      <c r="H467" s="66">
        <v>25569.041962604166</v>
      </c>
      <c r="I467" s="62">
        <v>30</v>
      </c>
      <c r="J467" s="53"/>
      <c r="K467" s="57" t="s">
        <v>345</v>
      </c>
      <c r="L467" s="52">
        <v>10443</v>
      </c>
      <c r="M467" s="58">
        <f t="shared" si="37"/>
        <v>102.19099764656376</v>
      </c>
      <c r="N467" s="58">
        <v>2990.24</v>
      </c>
      <c r="O467" s="60">
        <f t="shared" si="38"/>
        <v>3.4923618171116702</v>
      </c>
      <c r="P467" s="60">
        <f t="shared" si="39"/>
        <v>3.4174848054525309E-2</v>
      </c>
      <c r="Q467" s="63" t="s">
        <v>351</v>
      </c>
    </row>
    <row r="468" spans="1:17" ht="17.25" customHeight="1" x14ac:dyDescent="0.2">
      <c r="A468" s="52">
        <v>2599</v>
      </c>
      <c r="B468" s="53" t="s">
        <v>336</v>
      </c>
      <c r="C468" s="57" t="s">
        <v>340</v>
      </c>
      <c r="D468" s="54">
        <v>343.2</v>
      </c>
      <c r="E468" s="62">
        <v>974</v>
      </c>
      <c r="F468" s="54">
        <f t="shared" si="40"/>
        <v>341.45803419999993</v>
      </c>
      <c r="G468" s="66">
        <v>25569.041962604166</v>
      </c>
      <c r="H468" s="66">
        <v>25569.041962604166</v>
      </c>
      <c r="I468" s="62">
        <v>29</v>
      </c>
      <c r="J468" s="53"/>
      <c r="K468" s="57" t="s">
        <v>345</v>
      </c>
      <c r="L468" s="52">
        <v>10389</v>
      </c>
      <c r="M468" s="58">
        <f t="shared" si="37"/>
        <v>101.92644406629714</v>
      </c>
      <c r="N468" s="58">
        <v>1633.16</v>
      </c>
      <c r="O468" s="60">
        <f t="shared" si="38"/>
        <v>6.3612873202870501</v>
      </c>
      <c r="P468" s="60">
        <f t="shared" si="39"/>
        <v>6.241056850908492E-2</v>
      </c>
      <c r="Q468" s="63"/>
    </row>
    <row r="469" spans="1:17" ht="17.25" customHeight="1" x14ac:dyDescent="0.2">
      <c r="A469" s="52">
        <v>2600</v>
      </c>
      <c r="B469" s="53" t="s">
        <v>336</v>
      </c>
      <c r="C469" s="57" t="s">
        <v>340</v>
      </c>
      <c r="D469" s="54">
        <v>344.2</v>
      </c>
      <c r="E469" s="62">
        <v>974</v>
      </c>
      <c r="F469" s="54">
        <f t="shared" si="40"/>
        <v>342.45133419999996</v>
      </c>
      <c r="G469" s="66">
        <v>25569.041962604166</v>
      </c>
      <c r="H469" s="66">
        <v>25569.041962604166</v>
      </c>
      <c r="I469" s="62">
        <v>30</v>
      </c>
      <c r="J469" s="53"/>
      <c r="K469" s="57" t="s">
        <v>345</v>
      </c>
      <c r="L469" s="52">
        <v>10401</v>
      </c>
      <c r="M469" s="58">
        <f t="shared" si="37"/>
        <v>101.98529305738157</v>
      </c>
      <c r="N469" s="58">
        <v>914.75</v>
      </c>
      <c r="O469" s="60">
        <f t="shared" si="38"/>
        <v>11.37031975949713</v>
      </c>
      <c r="P469" s="60">
        <f t="shared" si="39"/>
        <v>0.1114897983682772</v>
      </c>
      <c r="Q469" s="63"/>
    </row>
    <row r="470" spans="1:17" ht="17.25" customHeight="1" x14ac:dyDescent="0.2">
      <c r="A470" s="52">
        <v>2601</v>
      </c>
      <c r="B470" s="53" t="s">
        <v>336</v>
      </c>
      <c r="C470" s="57" t="s">
        <v>340</v>
      </c>
      <c r="D470" s="54">
        <v>345.2</v>
      </c>
      <c r="E470" s="62">
        <v>974</v>
      </c>
      <c r="F470" s="54">
        <f t="shared" si="40"/>
        <v>343.44463419999994</v>
      </c>
      <c r="G470" s="66">
        <v>25569.041962604166</v>
      </c>
      <c r="H470" s="66">
        <v>25569.041962604166</v>
      </c>
      <c r="I470" s="62">
        <v>30</v>
      </c>
      <c r="J470" s="53"/>
      <c r="K470" s="57" t="s">
        <v>345</v>
      </c>
      <c r="L470" s="52">
        <v>13267</v>
      </c>
      <c r="M470" s="58">
        <f t="shared" si="37"/>
        <v>115.18246394308467</v>
      </c>
      <c r="N470" s="58">
        <v>767.73</v>
      </c>
      <c r="O470" s="60">
        <f t="shared" si="38"/>
        <v>17.280814869811</v>
      </c>
      <c r="P470" s="60">
        <f t="shared" si="39"/>
        <v>0.15002991148331402</v>
      </c>
      <c r="Q470" s="63"/>
    </row>
    <row r="471" spans="1:17" ht="17.25" customHeight="1" x14ac:dyDescent="0.2">
      <c r="A471" s="52">
        <v>2602</v>
      </c>
      <c r="B471" s="53" t="s">
        <v>336</v>
      </c>
      <c r="C471" s="57" t="s">
        <v>340</v>
      </c>
      <c r="D471" s="54">
        <v>346.2</v>
      </c>
      <c r="E471" s="62">
        <v>974</v>
      </c>
      <c r="F471" s="54">
        <f t="shared" si="40"/>
        <v>344.43793419999992</v>
      </c>
      <c r="G471" s="66">
        <v>25569.041962604166</v>
      </c>
      <c r="H471" s="66">
        <v>25569.041962604166</v>
      </c>
      <c r="I471" s="62">
        <v>30</v>
      </c>
      <c r="J471" s="53"/>
      <c r="K471" s="57" t="s">
        <v>345</v>
      </c>
      <c r="L471" s="52">
        <v>28258</v>
      </c>
      <c r="M471" s="58">
        <f t="shared" si="37"/>
        <v>168.10116001979284</v>
      </c>
      <c r="N471" s="58">
        <v>1310.3699999999999</v>
      </c>
      <c r="O471" s="60">
        <f t="shared" si="38"/>
        <v>21.564901516365609</v>
      </c>
      <c r="P471" s="60">
        <f t="shared" si="39"/>
        <v>0.12828526295610618</v>
      </c>
      <c r="Q471" s="63"/>
    </row>
    <row r="472" spans="1:17" ht="17.25" customHeight="1" x14ac:dyDescent="0.2">
      <c r="A472" s="52">
        <v>2603</v>
      </c>
      <c r="B472" s="53" t="s">
        <v>336</v>
      </c>
      <c r="C472" s="57" t="s">
        <v>340</v>
      </c>
      <c r="D472" s="54">
        <v>347.2</v>
      </c>
      <c r="E472" s="62">
        <v>974</v>
      </c>
      <c r="F472" s="54">
        <f t="shared" si="40"/>
        <v>345.43123419999995</v>
      </c>
      <c r="G472" s="66">
        <v>25569.041962604166</v>
      </c>
      <c r="H472" s="66">
        <v>25569.041962604166</v>
      </c>
      <c r="I472" s="62">
        <v>33</v>
      </c>
      <c r="J472" s="53"/>
      <c r="K472" s="57" t="s">
        <v>345</v>
      </c>
      <c r="L472" s="52">
        <v>15411</v>
      </c>
      <c r="M472" s="58">
        <f t="shared" si="37"/>
        <v>124.14104881142256</v>
      </c>
      <c r="N472" s="58">
        <v>679.02</v>
      </c>
      <c r="O472" s="60">
        <f t="shared" si="38"/>
        <v>22.695944154811347</v>
      </c>
      <c r="P472" s="60">
        <f t="shared" si="39"/>
        <v>0.18282384732617973</v>
      </c>
      <c r="Q472" s="63"/>
    </row>
    <row r="473" spans="1:17" ht="17.25" customHeight="1" x14ac:dyDescent="0.2">
      <c r="A473" s="52">
        <v>2604</v>
      </c>
      <c r="B473" s="53" t="s">
        <v>336</v>
      </c>
      <c r="C473" s="57" t="s">
        <v>340</v>
      </c>
      <c r="D473" s="54">
        <v>348.2</v>
      </c>
      <c r="E473" s="62">
        <v>974</v>
      </c>
      <c r="F473" s="54">
        <f t="shared" si="40"/>
        <v>346.42453419999993</v>
      </c>
      <c r="G473" s="66">
        <v>25569.041962604166</v>
      </c>
      <c r="H473" s="66">
        <v>25569.041962604166</v>
      </c>
      <c r="I473" s="62">
        <v>34</v>
      </c>
      <c r="J473" s="53"/>
      <c r="K473" s="57" t="s">
        <v>345</v>
      </c>
      <c r="L473" s="52">
        <v>23031</v>
      </c>
      <c r="M473" s="58">
        <f t="shared" ref="M473:M536" si="41">SQRT(L473)</f>
        <v>151.75967843930087</v>
      </c>
      <c r="N473" s="58">
        <v>1033.72</v>
      </c>
      <c r="O473" s="60">
        <f t="shared" ref="O473:O536" si="42">L473/N473</f>
        <v>22.279727585806601</v>
      </c>
      <c r="P473" s="60">
        <f t="shared" ref="P473:P536" si="43">M473/N473</f>
        <v>0.146809269859634</v>
      </c>
      <c r="Q473" s="63"/>
    </row>
    <row r="474" spans="1:17" ht="17.25" customHeight="1" x14ac:dyDescent="0.2">
      <c r="A474" s="52">
        <v>2605</v>
      </c>
      <c r="B474" s="53" t="s">
        <v>336</v>
      </c>
      <c r="C474" s="57" t="s">
        <v>340</v>
      </c>
      <c r="D474" s="54">
        <v>349.2</v>
      </c>
      <c r="E474" s="62">
        <v>974</v>
      </c>
      <c r="F474" s="54">
        <f t="shared" si="40"/>
        <v>347.41783419999996</v>
      </c>
      <c r="G474" s="66">
        <v>25569.041962604166</v>
      </c>
      <c r="H474" s="66">
        <v>25569.041962604166</v>
      </c>
      <c r="I474" s="62">
        <v>33</v>
      </c>
      <c r="J474" s="53"/>
      <c r="K474" s="57" t="s">
        <v>345</v>
      </c>
      <c r="L474" s="52">
        <v>32483</v>
      </c>
      <c r="M474" s="58">
        <f t="shared" si="41"/>
        <v>180.23040808920121</v>
      </c>
      <c r="N474" s="58">
        <v>1548.15</v>
      </c>
      <c r="O474" s="60">
        <f t="shared" si="42"/>
        <v>20.981817007395922</v>
      </c>
      <c r="P474" s="60">
        <f t="shared" si="43"/>
        <v>0.11641663152097742</v>
      </c>
      <c r="Q474" s="63"/>
    </row>
    <row r="475" spans="1:17" ht="17.25" customHeight="1" x14ac:dyDescent="0.2">
      <c r="A475" s="52">
        <v>2606</v>
      </c>
      <c r="B475" s="53" t="s">
        <v>336</v>
      </c>
      <c r="C475" s="57" t="s">
        <v>340</v>
      </c>
      <c r="D475" s="54">
        <v>350.2</v>
      </c>
      <c r="E475" s="62">
        <v>974</v>
      </c>
      <c r="F475" s="54">
        <f t="shared" si="40"/>
        <v>348.41113419999994</v>
      </c>
      <c r="G475" s="66">
        <v>25569.041962604166</v>
      </c>
      <c r="H475" s="66">
        <v>25569.041962604166</v>
      </c>
      <c r="I475" s="62">
        <v>31</v>
      </c>
      <c r="J475" s="53"/>
      <c r="K475" s="57" t="s">
        <v>345</v>
      </c>
      <c r="L475" s="52">
        <v>15661</v>
      </c>
      <c r="M475" s="58">
        <f t="shared" si="41"/>
        <v>125.14391715141412</v>
      </c>
      <c r="N475" s="58">
        <v>834.05</v>
      </c>
      <c r="O475" s="60">
        <f t="shared" si="42"/>
        <v>18.777051735507463</v>
      </c>
      <c r="P475" s="60">
        <f t="shared" si="43"/>
        <v>0.15004366303148986</v>
      </c>
      <c r="Q475" s="63"/>
    </row>
    <row r="476" spans="1:17" ht="17.25" customHeight="1" x14ac:dyDescent="0.2">
      <c r="A476" s="52">
        <v>2607</v>
      </c>
      <c r="B476" s="53" t="s">
        <v>336</v>
      </c>
      <c r="C476" s="57" t="s">
        <v>340</v>
      </c>
      <c r="D476" s="54">
        <v>351.2</v>
      </c>
      <c r="E476" s="62">
        <v>974</v>
      </c>
      <c r="F476" s="54">
        <f t="shared" si="40"/>
        <v>349.40443419999991</v>
      </c>
      <c r="G476" s="66">
        <v>25569.041962604166</v>
      </c>
      <c r="H476" s="66">
        <v>25569.041962604166</v>
      </c>
      <c r="I476" s="62">
        <v>35</v>
      </c>
      <c r="J476" s="53"/>
      <c r="K476" s="57" t="s">
        <v>345</v>
      </c>
      <c r="L476" s="52">
        <v>13446</v>
      </c>
      <c r="M476" s="58">
        <f t="shared" si="41"/>
        <v>115.95688854052612</v>
      </c>
      <c r="N476" s="58">
        <v>826.52</v>
      </c>
      <c r="O476" s="60">
        <f t="shared" si="42"/>
        <v>16.268208875768281</v>
      </c>
      <c r="P476" s="60">
        <f t="shared" si="43"/>
        <v>0.14029532079142201</v>
      </c>
      <c r="Q476" s="63"/>
    </row>
    <row r="477" spans="1:17" ht="17.25" customHeight="1" x14ac:dyDescent="0.2">
      <c r="A477" s="52">
        <v>2608</v>
      </c>
      <c r="B477" s="53" t="s">
        <v>336</v>
      </c>
      <c r="C477" s="57" t="s">
        <v>340</v>
      </c>
      <c r="D477" s="54">
        <v>352.2</v>
      </c>
      <c r="E477" s="62">
        <v>974</v>
      </c>
      <c r="F477" s="54">
        <f t="shared" si="40"/>
        <v>350.39773419999995</v>
      </c>
      <c r="G477" s="66">
        <v>25569.041962604166</v>
      </c>
      <c r="H477" s="66">
        <v>25569.041962604166</v>
      </c>
      <c r="I477" s="62">
        <v>35</v>
      </c>
      <c r="J477" s="53"/>
      <c r="K477" s="57" t="s">
        <v>345</v>
      </c>
      <c r="L477" s="52">
        <v>16903</v>
      </c>
      <c r="M477" s="58">
        <f t="shared" si="41"/>
        <v>130.01153794952199</v>
      </c>
      <c r="N477" s="58">
        <v>1152.6400000000001</v>
      </c>
      <c r="O477" s="60">
        <f t="shared" si="42"/>
        <v>14.664596057745696</v>
      </c>
      <c r="P477" s="60">
        <f t="shared" si="43"/>
        <v>0.11279457415109834</v>
      </c>
      <c r="Q477" s="63"/>
    </row>
    <row r="478" spans="1:17" ht="17.25" customHeight="1" x14ac:dyDescent="0.2">
      <c r="A478" s="52">
        <v>2609</v>
      </c>
      <c r="B478" s="53" t="s">
        <v>336</v>
      </c>
      <c r="C478" s="57" t="s">
        <v>340</v>
      </c>
      <c r="D478" s="54">
        <v>353.2</v>
      </c>
      <c r="E478" s="62">
        <v>974</v>
      </c>
      <c r="F478" s="54">
        <f t="shared" si="40"/>
        <v>351.39103419999992</v>
      </c>
      <c r="G478" s="66">
        <v>25569.041962604166</v>
      </c>
      <c r="H478" s="66">
        <v>25569.041962604166</v>
      </c>
      <c r="I478" s="62">
        <v>35</v>
      </c>
      <c r="J478" s="53"/>
      <c r="K478" s="57" t="s">
        <v>345</v>
      </c>
      <c r="L478" s="52">
        <v>11713</v>
      </c>
      <c r="M478" s="58">
        <f t="shared" si="41"/>
        <v>108.22661410207751</v>
      </c>
      <c r="N478" s="58">
        <v>962.3</v>
      </c>
      <c r="O478" s="60">
        <f t="shared" si="42"/>
        <v>12.171879871142057</v>
      </c>
      <c r="P478" s="60">
        <f t="shared" si="43"/>
        <v>0.11246660511490961</v>
      </c>
      <c r="Q478" s="63"/>
    </row>
    <row r="479" spans="1:17" ht="17.25" customHeight="1" x14ac:dyDescent="0.2">
      <c r="A479" s="52">
        <v>2610</v>
      </c>
      <c r="B479" s="53" t="s">
        <v>336</v>
      </c>
      <c r="C479" s="57" t="s">
        <v>340</v>
      </c>
      <c r="D479" s="54">
        <v>354.2</v>
      </c>
      <c r="E479" s="62">
        <v>974</v>
      </c>
      <c r="F479" s="54">
        <f t="shared" si="40"/>
        <v>352.38433419999996</v>
      </c>
      <c r="G479" s="66">
        <v>25569.041962604166</v>
      </c>
      <c r="H479" s="66">
        <v>25569.041962604166</v>
      </c>
      <c r="I479" s="62">
        <v>36</v>
      </c>
      <c r="J479" s="53"/>
      <c r="K479" s="57" t="s">
        <v>345</v>
      </c>
      <c r="L479" s="52">
        <v>13142</v>
      </c>
      <c r="M479" s="58">
        <f t="shared" si="41"/>
        <v>114.63856244737195</v>
      </c>
      <c r="N479" s="58">
        <v>1295.28</v>
      </c>
      <c r="O479" s="60">
        <f t="shared" si="42"/>
        <v>10.146068803656352</v>
      </c>
      <c r="P479" s="60">
        <f t="shared" si="43"/>
        <v>8.8504850262006635E-2</v>
      </c>
      <c r="Q479" s="63"/>
    </row>
    <row r="480" spans="1:17" ht="17.25" customHeight="1" x14ac:dyDescent="0.2">
      <c r="A480" s="52">
        <v>2611</v>
      </c>
      <c r="B480" s="53" t="s">
        <v>336</v>
      </c>
      <c r="C480" s="57" t="s">
        <v>340</v>
      </c>
      <c r="D480" s="54">
        <v>355.2</v>
      </c>
      <c r="E480" s="62">
        <v>974</v>
      </c>
      <c r="F480" s="54">
        <f t="shared" si="40"/>
        <v>353.37763419999993</v>
      </c>
      <c r="G480" s="66">
        <v>25569.041962604166</v>
      </c>
      <c r="H480" s="66">
        <v>25569.041962604166</v>
      </c>
      <c r="I480" s="62">
        <v>36</v>
      </c>
      <c r="J480" s="53"/>
      <c r="K480" s="57" t="s">
        <v>345</v>
      </c>
      <c r="L480" s="52">
        <v>14191</v>
      </c>
      <c r="M480" s="58">
        <f t="shared" si="41"/>
        <v>119.12598373151006</v>
      </c>
      <c r="N480" s="58">
        <v>1683.09</v>
      </c>
      <c r="O480" s="60">
        <f t="shared" si="42"/>
        <v>8.4315158428842185</v>
      </c>
      <c r="P480" s="60">
        <f t="shared" si="43"/>
        <v>7.077814242346521E-2</v>
      </c>
      <c r="Q480" s="63"/>
    </row>
    <row r="481" spans="1:17" ht="17.25" customHeight="1" x14ac:dyDescent="0.2">
      <c r="A481" s="52">
        <v>2612</v>
      </c>
      <c r="B481" s="53" t="s">
        <v>336</v>
      </c>
      <c r="C481" s="57" t="s">
        <v>340</v>
      </c>
      <c r="D481" s="54">
        <v>356.2</v>
      </c>
      <c r="E481" s="62">
        <v>974</v>
      </c>
      <c r="F481" s="54">
        <f t="shared" si="40"/>
        <v>354.37093419999997</v>
      </c>
      <c r="G481" s="66">
        <v>25569.041962604166</v>
      </c>
      <c r="H481" s="66">
        <v>25569.041962604166</v>
      </c>
      <c r="I481" s="62">
        <v>36</v>
      </c>
      <c r="J481" s="53"/>
      <c r="K481" s="57" t="s">
        <v>345</v>
      </c>
      <c r="L481" s="52">
        <v>18954</v>
      </c>
      <c r="M481" s="58">
        <f t="shared" si="41"/>
        <v>137.67352686700519</v>
      </c>
      <c r="N481" s="58">
        <v>2698.2</v>
      </c>
      <c r="O481" s="60">
        <f t="shared" si="42"/>
        <v>7.0246831220813881</v>
      </c>
      <c r="P481" s="60">
        <f t="shared" si="43"/>
        <v>5.1024211276779037E-2</v>
      </c>
      <c r="Q481" s="63"/>
    </row>
    <row r="482" spans="1:17" ht="17.25" customHeight="1" x14ac:dyDescent="0.2">
      <c r="A482" s="52">
        <v>2613</v>
      </c>
      <c r="B482" s="53" t="s">
        <v>336</v>
      </c>
      <c r="C482" s="57" t="s">
        <v>340</v>
      </c>
      <c r="D482" s="54">
        <v>358.2</v>
      </c>
      <c r="E482" s="62">
        <v>974</v>
      </c>
      <c r="F482" s="54">
        <f t="shared" si="40"/>
        <v>356.35753419999992</v>
      </c>
      <c r="G482" s="66">
        <v>25569.041962604166</v>
      </c>
      <c r="H482" s="66">
        <v>25569.041962604166</v>
      </c>
      <c r="I482" s="62">
        <v>36</v>
      </c>
      <c r="J482" s="53"/>
      <c r="K482" s="57" t="s">
        <v>345</v>
      </c>
      <c r="L482" s="52">
        <v>11172</v>
      </c>
      <c r="M482" s="58">
        <f t="shared" si="41"/>
        <v>105.69768209379049</v>
      </c>
      <c r="N482" s="58">
        <v>2468.2399999999998</v>
      </c>
      <c r="O482" s="60">
        <f t="shared" si="42"/>
        <v>4.5263021424172694</v>
      </c>
      <c r="P482" s="60">
        <f t="shared" si="43"/>
        <v>4.282309746774645E-2</v>
      </c>
      <c r="Q482" s="63"/>
    </row>
    <row r="483" spans="1:17" ht="17.25" customHeight="1" x14ac:dyDescent="0.2">
      <c r="A483" s="52">
        <v>2614</v>
      </c>
      <c r="B483" s="53" t="s">
        <v>336</v>
      </c>
      <c r="C483" s="57" t="s">
        <v>340</v>
      </c>
      <c r="D483" s="54">
        <v>360.2</v>
      </c>
      <c r="E483" s="62">
        <v>974</v>
      </c>
      <c r="F483" s="54">
        <f t="shared" si="40"/>
        <v>358.34413419999993</v>
      </c>
      <c r="G483" s="66">
        <v>25569.041962604166</v>
      </c>
      <c r="H483" s="66">
        <v>25569.041962604166</v>
      </c>
      <c r="I483" s="62">
        <v>35</v>
      </c>
      <c r="J483" s="53"/>
      <c r="K483" s="57" t="s">
        <v>345</v>
      </c>
      <c r="L483" s="52">
        <v>6164</v>
      </c>
      <c r="M483" s="58">
        <f t="shared" si="41"/>
        <v>78.511145705562086</v>
      </c>
      <c r="N483" s="58">
        <v>2166.94</v>
      </c>
      <c r="O483" s="60">
        <f t="shared" si="42"/>
        <v>2.8445642242055618</v>
      </c>
      <c r="P483" s="60">
        <f t="shared" si="43"/>
        <v>3.6231342679336802E-2</v>
      </c>
      <c r="Q483" s="63"/>
    </row>
    <row r="484" spans="1:17" ht="17.25" customHeight="1" x14ac:dyDescent="0.2">
      <c r="A484" s="52">
        <v>2615</v>
      </c>
      <c r="B484" s="53" t="s">
        <v>336</v>
      </c>
      <c r="C484" s="57" t="s">
        <v>340</v>
      </c>
      <c r="D484" s="54">
        <v>362.2</v>
      </c>
      <c r="E484" s="62">
        <v>974</v>
      </c>
      <c r="F484" s="54">
        <f t="shared" si="40"/>
        <v>360.33073419999994</v>
      </c>
      <c r="G484" s="66">
        <v>25569.041962604166</v>
      </c>
      <c r="H484" s="66">
        <v>25569.041962604166</v>
      </c>
      <c r="I484" s="62">
        <v>35</v>
      </c>
      <c r="J484" s="53"/>
      <c r="K484" s="57" t="s">
        <v>345</v>
      </c>
      <c r="L484" s="52">
        <v>4004</v>
      </c>
      <c r="M484" s="58">
        <f t="shared" si="41"/>
        <v>63.2771680782255</v>
      </c>
      <c r="N484" s="58">
        <v>2150.2199999999998</v>
      </c>
      <c r="O484" s="60">
        <f t="shared" si="42"/>
        <v>1.8621350373450161</v>
      </c>
      <c r="P484" s="60">
        <f t="shared" si="43"/>
        <v>2.9428229705902424E-2</v>
      </c>
      <c r="Q484" s="63"/>
    </row>
    <row r="485" spans="1:17" ht="17.25" customHeight="1" x14ac:dyDescent="0.2">
      <c r="A485" s="52">
        <v>2616</v>
      </c>
      <c r="B485" s="53" t="s">
        <v>336</v>
      </c>
      <c r="C485" s="57" t="s">
        <v>340</v>
      </c>
      <c r="D485" s="54">
        <v>364.2</v>
      </c>
      <c r="E485" s="62">
        <v>974</v>
      </c>
      <c r="F485" s="54">
        <f t="shared" si="40"/>
        <v>362.31733419999995</v>
      </c>
      <c r="G485" s="66">
        <v>25569.041962604166</v>
      </c>
      <c r="H485" s="66">
        <v>25569.041962604166</v>
      </c>
      <c r="I485" s="62">
        <v>35</v>
      </c>
      <c r="J485" s="53"/>
      <c r="K485" s="57" t="s">
        <v>345</v>
      </c>
      <c r="L485" s="52">
        <v>4017</v>
      </c>
      <c r="M485" s="58">
        <f t="shared" si="41"/>
        <v>63.3798075099633</v>
      </c>
      <c r="N485" s="58">
        <v>3211.49</v>
      </c>
      <c r="O485" s="60">
        <f t="shared" si="42"/>
        <v>1.2508212698778449</v>
      </c>
      <c r="P485" s="60">
        <f t="shared" si="43"/>
        <v>1.9735327685891379E-2</v>
      </c>
      <c r="Q485" s="63"/>
    </row>
    <row r="486" spans="1:17" ht="17.25" customHeight="1" x14ac:dyDescent="0.2">
      <c r="A486" s="52">
        <v>2617</v>
      </c>
      <c r="B486" s="53" t="s">
        <v>157</v>
      </c>
      <c r="C486" s="57" t="s">
        <v>340</v>
      </c>
      <c r="D486" s="54">
        <v>294.89999999999998</v>
      </c>
      <c r="E486" s="62">
        <v>2480</v>
      </c>
      <c r="F486" s="54">
        <f t="shared" si="40"/>
        <v>294.97755399999994</v>
      </c>
      <c r="G486" s="66">
        <v>25569.041962604166</v>
      </c>
      <c r="H486" s="66">
        <v>25569.041962604166</v>
      </c>
      <c r="I486" s="62">
        <v>255</v>
      </c>
      <c r="J486" s="53"/>
      <c r="K486" s="57" t="s">
        <v>345</v>
      </c>
      <c r="L486" s="52">
        <v>34740251</v>
      </c>
      <c r="M486" s="58">
        <f t="shared" si="41"/>
        <v>5894.0861038841294</v>
      </c>
      <c r="N486" s="58">
        <v>22958592.440000001</v>
      </c>
      <c r="O486" s="60">
        <f t="shared" si="42"/>
        <v>1.5131698988424569</v>
      </c>
      <c r="P486" s="60">
        <f t="shared" si="43"/>
        <v>2.5672680584786449E-4</v>
      </c>
      <c r="Q486" s="63"/>
    </row>
    <row r="487" spans="1:17" ht="17.25" customHeight="1" x14ac:dyDescent="0.2">
      <c r="A487" s="52">
        <v>2618</v>
      </c>
      <c r="B487" s="53" t="s">
        <v>338</v>
      </c>
      <c r="C487" s="57" t="s">
        <v>340</v>
      </c>
      <c r="D487" s="54">
        <v>334.2</v>
      </c>
      <c r="E487" s="62">
        <v>943</v>
      </c>
      <c r="F487" s="54">
        <f t="shared" si="40"/>
        <v>332.48754189999994</v>
      </c>
      <c r="G487" s="66">
        <v>25569.041962604166</v>
      </c>
      <c r="H487" s="66">
        <v>25569.041962604166</v>
      </c>
      <c r="I487" s="62">
        <v>32</v>
      </c>
      <c r="J487" s="53"/>
      <c r="K487" s="57" t="s">
        <v>345</v>
      </c>
      <c r="L487" s="52">
        <v>2202</v>
      </c>
      <c r="M487" s="58">
        <f t="shared" si="41"/>
        <v>46.925472826600263</v>
      </c>
      <c r="N487" s="58">
        <v>6907.3</v>
      </c>
      <c r="O487" s="60">
        <f t="shared" si="42"/>
        <v>0.31879316085880155</v>
      </c>
      <c r="P487" s="60">
        <f t="shared" si="43"/>
        <v>6.7936057253341047E-3</v>
      </c>
      <c r="Q487" s="63"/>
    </row>
    <row r="488" spans="1:17" ht="17.25" customHeight="1" x14ac:dyDescent="0.2">
      <c r="A488" s="52">
        <v>2619</v>
      </c>
      <c r="B488" s="53" t="s">
        <v>338</v>
      </c>
      <c r="C488" s="57" t="s">
        <v>340</v>
      </c>
      <c r="D488" s="54">
        <v>336.2</v>
      </c>
      <c r="E488" s="62">
        <v>943</v>
      </c>
      <c r="F488" s="54">
        <f t="shared" si="40"/>
        <v>334.47414189999995</v>
      </c>
      <c r="G488" s="66">
        <v>25569.041962604166</v>
      </c>
      <c r="H488" s="66">
        <v>25569.041962604166</v>
      </c>
      <c r="I488" s="62">
        <v>34</v>
      </c>
      <c r="J488" s="53"/>
      <c r="K488" s="57" t="s">
        <v>345</v>
      </c>
      <c r="L488" s="52">
        <v>2131</v>
      </c>
      <c r="M488" s="58">
        <f t="shared" si="41"/>
        <v>46.162755550335163</v>
      </c>
      <c r="N488" s="58">
        <v>4753.93</v>
      </c>
      <c r="O488" s="60">
        <f t="shared" si="42"/>
        <v>0.44826070219797093</v>
      </c>
      <c r="P488" s="60">
        <f t="shared" si="43"/>
        <v>9.7104407406787985E-3</v>
      </c>
      <c r="Q488" s="63"/>
    </row>
    <row r="489" spans="1:17" ht="17.25" customHeight="1" x14ac:dyDescent="0.2">
      <c r="A489" s="52">
        <v>2620</v>
      </c>
      <c r="B489" s="53" t="s">
        <v>338</v>
      </c>
      <c r="C489" s="57" t="s">
        <v>340</v>
      </c>
      <c r="D489" s="54">
        <v>338.2</v>
      </c>
      <c r="E489" s="62">
        <v>943</v>
      </c>
      <c r="F489" s="54">
        <f t="shared" si="40"/>
        <v>336.46074189999996</v>
      </c>
      <c r="G489" s="66">
        <v>25569.041962604166</v>
      </c>
      <c r="H489" s="66">
        <v>25569.041962604166</v>
      </c>
      <c r="I489" s="62">
        <v>34</v>
      </c>
      <c r="J489" s="53"/>
      <c r="K489" s="57" t="s">
        <v>345</v>
      </c>
      <c r="L489" s="52">
        <v>2446</v>
      </c>
      <c r="M489" s="58">
        <f t="shared" si="41"/>
        <v>49.457052075512955</v>
      </c>
      <c r="N489" s="58">
        <v>3398.58</v>
      </c>
      <c r="O489" s="60">
        <f t="shared" si="42"/>
        <v>0.71971235045224768</v>
      </c>
      <c r="P489" s="60">
        <f t="shared" si="43"/>
        <v>1.4552269499471237E-2</v>
      </c>
      <c r="Q489" s="63"/>
    </row>
    <row r="490" spans="1:17" ht="17.25" customHeight="1" x14ac:dyDescent="0.2">
      <c r="A490" s="52">
        <v>2621</v>
      </c>
      <c r="B490" s="53" t="s">
        <v>338</v>
      </c>
      <c r="C490" s="57" t="s">
        <v>340</v>
      </c>
      <c r="D490" s="54">
        <v>340.2</v>
      </c>
      <c r="E490" s="62">
        <v>943</v>
      </c>
      <c r="F490" s="54">
        <f t="shared" si="40"/>
        <v>338.44734189999991</v>
      </c>
      <c r="G490" s="66">
        <v>25569.041962604166</v>
      </c>
      <c r="H490" s="66">
        <v>25569.041962604166</v>
      </c>
      <c r="I490" s="62">
        <v>34</v>
      </c>
      <c r="J490" s="53"/>
      <c r="K490" s="57" t="s">
        <v>345</v>
      </c>
      <c r="L490" s="52">
        <v>2727</v>
      </c>
      <c r="M490" s="58">
        <f t="shared" si="41"/>
        <v>52.220685556587632</v>
      </c>
      <c r="N490" s="58">
        <v>1931.91</v>
      </c>
      <c r="O490" s="60">
        <f t="shared" si="42"/>
        <v>1.4115564389645481</v>
      </c>
      <c r="P490" s="60">
        <f t="shared" si="43"/>
        <v>2.7030599539620184E-2</v>
      </c>
      <c r="Q490" s="63"/>
    </row>
    <row r="491" spans="1:17" ht="17.25" customHeight="1" x14ac:dyDescent="0.2">
      <c r="A491" s="52">
        <v>2622</v>
      </c>
      <c r="B491" s="53" t="s">
        <v>338</v>
      </c>
      <c r="C491" s="57" t="s">
        <v>340</v>
      </c>
      <c r="D491" s="54">
        <v>341.2</v>
      </c>
      <c r="E491" s="62">
        <v>943</v>
      </c>
      <c r="F491" s="54">
        <f t="shared" si="40"/>
        <v>339.44064189999995</v>
      </c>
      <c r="G491" s="66">
        <v>25569.041962604166</v>
      </c>
      <c r="H491" s="66">
        <v>25569.041962604166</v>
      </c>
      <c r="I491" s="62">
        <v>34</v>
      </c>
      <c r="J491" s="53"/>
      <c r="K491" s="57" t="s">
        <v>345</v>
      </c>
      <c r="L491" s="52">
        <v>5409</v>
      </c>
      <c r="M491" s="58">
        <f t="shared" si="41"/>
        <v>73.545904032787575</v>
      </c>
      <c r="N491" s="58">
        <v>2779.03</v>
      </c>
      <c r="O491" s="60">
        <f t="shared" si="42"/>
        <v>1.9463625797490489</v>
      </c>
      <c r="P491" s="60">
        <f t="shared" si="43"/>
        <v>2.6464595212281828E-2</v>
      </c>
      <c r="Q491" s="63"/>
    </row>
    <row r="492" spans="1:17" ht="17.25" customHeight="1" x14ac:dyDescent="0.2">
      <c r="A492" s="52">
        <v>2623</v>
      </c>
      <c r="B492" s="53" t="s">
        <v>338</v>
      </c>
      <c r="C492" s="57" t="s">
        <v>340</v>
      </c>
      <c r="D492" s="54">
        <v>342.2</v>
      </c>
      <c r="E492" s="62">
        <v>943</v>
      </c>
      <c r="F492" s="54">
        <f t="shared" si="40"/>
        <v>340.43394189999992</v>
      </c>
      <c r="G492" s="66">
        <v>25569.041962604166</v>
      </c>
      <c r="H492" s="66">
        <v>25569.041962604166</v>
      </c>
      <c r="I492" s="62">
        <v>34</v>
      </c>
      <c r="J492" s="53"/>
      <c r="K492" s="57" t="s">
        <v>345</v>
      </c>
      <c r="L492" s="52">
        <v>10406</v>
      </c>
      <c r="M492" s="58">
        <f t="shared" si="41"/>
        <v>102.00980345045274</v>
      </c>
      <c r="N492" s="58">
        <v>3173.76</v>
      </c>
      <c r="O492" s="60">
        <f t="shared" si="42"/>
        <v>3.2787608388788061</v>
      </c>
      <c r="P492" s="60">
        <f t="shared" si="43"/>
        <v>3.2141624902466706E-2</v>
      </c>
      <c r="Q492" s="63"/>
    </row>
    <row r="493" spans="1:17" ht="17.25" customHeight="1" x14ac:dyDescent="0.2">
      <c r="A493" s="52">
        <v>2624</v>
      </c>
      <c r="B493" s="53" t="s">
        <v>338</v>
      </c>
      <c r="C493" s="57" t="s">
        <v>340</v>
      </c>
      <c r="D493" s="54">
        <v>343.2</v>
      </c>
      <c r="E493" s="62">
        <v>943</v>
      </c>
      <c r="F493" s="54">
        <f t="shared" si="40"/>
        <v>341.42724189999996</v>
      </c>
      <c r="G493" s="66">
        <v>25569.041962604166</v>
      </c>
      <c r="H493" s="66">
        <v>25569.041962604166</v>
      </c>
      <c r="I493" s="62">
        <v>34</v>
      </c>
      <c r="J493" s="53"/>
      <c r="K493" s="57" t="s">
        <v>345</v>
      </c>
      <c r="L493" s="52">
        <v>10809</v>
      </c>
      <c r="M493" s="58">
        <f t="shared" si="41"/>
        <v>103.96634070698074</v>
      </c>
      <c r="N493" s="58">
        <v>1757.63</v>
      </c>
      <c r="O493" s="60">
        <f t="shared" si="42"/>
        <v>6.1497584815916886</v>
      </c>
      <c r="P493" s="60">
        <f t="shared" si="43"/>
        <v>5.915143728030401E-2</v>
      </c>
      <c r="Q493" s="63"/>
    </row>
    <row r="494" spans="1:17" ht="17.25" customHeight="1" x14ac:dyDescent="0.2">
      <c r="A494" s="52">
        <v>2625</v>
      </c>
      <c r="B494" s="53" t="s">
        <v>338</v>
      </c>
      <c r="C494" s="57" t="s">
        <v>340</v>
      </c>
      <c r="D494" s="54">
        <v>344.2</v>
      </c>
      <c r="E494" s="62">
        <v>943</v>
      </c>
      <c r="F494" s="54">
        <f t="shared" si="40"/>
        <v>342.42054189999993</v>
      </c>
      <c r="G494" s="66">
        <v>25569.041962604166</v>
      </c>
      <c r="H494" s="66">
        <v>25569.041962604166</v>
      </c>
      <c r="I494" s="62">
        <v>34</v>
      </c>
      <c r="J494" s="53"/>
      <c r="K494" s="57" t="s">
        <v>345</v>
      </c>
      <c r="L494" s="52">
        <v>13461</v>
      </c>
      <c r="M494" s="58">
        <f t="shared" si="41"/>
        <v>116.02154972245458</v>
      </c>
      <c r="N494" s="58">
        <v>1319.79</v>
      </c>
      <c r="O494" s="60">
        <f t="shared" si="42"/>
        <v>10.199349896574455</v>
      </c>
      <c r="P494" s="60">
        <f t="shared" si="43"/>
        <v>8.7909098964573593E-2</v>
      </c>
      <c r="Q494" s="63"/>
    </row>
    <row r="495" spans="1:17" ht="17.25" customHeight="1" x14ac:dyDescent="0.2">
      <c r="A495" s="52">
        <v>2626</v>
      </c>
      <c r="B495" s="53" t="s">
        <v>338</v>
      </c>
      <c r="C495" s="57" t="s">
        <v>340</v>
      </c>
      <c r="D495" s="54">
        <v>345.2</v>
      </c>
      <c r="E495" s="62">
        <v>943</v>
      </c>
      <c r="F495" s="54">
        <f t="shared" si="40"/>
        <v>343.41384189999991</v>
      </c>
      <c r="G495" s="66">
        <v>25569.041962604166</v>
      </c>
      <c r="H495" s="66">
        <v>25569.041962604166</v>
      </c>
      <c r="I495" s="62">
        <v>34</v>
      </c>
      <c r="J495" s="53"/>
      <c r="K495" s="57" t="s">
        <v>345</v>
      </c>
      <c r="L495" s="52">
        <v>19974</v>
      </c>
      <c r="M495" s="58">
        <f t="shared" si="41"/>
        <v>141.32940246105903</v>
      </c>
      <c r="N495" s="58">
        <v>1208.1500000000001</v>
      </c>
      <c r="O495" s="60">
        <f t="shared" si="42"/>
        <v>16.532715308529568</v>
      </c>
      <c r="P495" s="60">
        <f t="shared" si="43"/>
        <v>0.11698001279730084</v>
      </c>
      <c r="Q495" s="63"/>
    </row>
    <row r="496" spans="1:17" ht="17.25" customHeight="1" x14ac:dyDescent="0.2">
      <c r="A496" s="52">
        <v>2627</v>
      </c>
      <c r="B496" s="53" t="s">
        <v>338</v>
      </c>
      <c r="C496" s="57" t="s">
        <v>340</v>
      </c>
      <c r="D496" s="54">
        <v>346.2</v>
      </c>
      <c r="E496" s="62">
        <v>943</v>
      </c>
      <c r="F496" s="54">
        <f t="shared" si="40"/>
        <v>344.40714189999994</v>
      </c>
      <c r="G496" s="66">
        <v>25569.041962604166</v>
      </c>
      <c r="H496" s="66">
        <v>25569.041962604166</v>
      </c>
      <c r="I496" s="62">
        <v>34</v>
      </c>
      <c r="J496" s="53"/>
      <c r="K496" s="57" t="s">
        <v>345</v>
      </c>
      <c r="L496" s="52">
        <v>16302</v>
      </c>
      <c r="M496" s="58">
        <f t="shared" si="41"/>
        <v>127.67928571228772</v>
      </c>
      <c r="N496" s="58">
        <v>820.3</v>
      </c>
      <c r="O496" s="60">
        <f t="shared" si="42"/>
        <v>19.873217115689382</v>
      </c>
      <c r="P496" s="60">
        <f t="shared" si="43"/>
        <v>0.15564950105118583</v>
      </c>
      <c r="Q496" s="63"/>
    </row>
    <row r="497" spans="1:17" ht="17.25" customHeight="1" x14ac:dyDescent="0.2">
      <c r="A497" s="52">
        <v>2628</v>
      </c>
      <c r="B497" s="53" t="s">
        <v>338</v>
      </c>
      <c r="C497" s="57" t="s">
        <v>340</v>
      </c>
      <c r="D497" s="54">
        <v>347.2</v>
      </c>
      <c r="E497" s="62">
        <v>943</v>
      </c>
      <c r="F497" s="54">
        <f t="shared" si="40"/>
        <v>345.40044189999992</v>
      </c>
      <c r="G497" s="66">
        <v>25569.041962604166</v>
      </c>
      <c r="H497" s="66">
        <v>25569.041962604166</v>
      </c>
      <c r="I497" s="62">
        <v>34</v>
      </c>
      <c r="J497" s="53"/>
      <c r="K497" s="57" t="s">
        <v>345</v>
      </c>
      <c r="L497" s="52">
        <v>26739</v>
      </c>
      <c r="M497" s="58">
        <f t="shared" si="41"/>
        <v>163.52064089893972</v>
      </c>
      <c r="N497" s="58">
        <v>1250.06</v>
      </c>
      <c r="O497" s="60">
        <f t="shared" si="42"/>
        <v>21.390173271682961</v>
      </c>
      <c r="P497" s="60">
        <f t="shared" si="43"/>
        <v>0.13081023382792803</v>
      </c>
      <c r="Q497" s="63"/>
    </row>
    <row r="498" spans="1:17" ht="17.25" customHeight="1" x14ac:dyDescent="0.2">
      <c r="A498" s="52">
        <v>2629</v>
      </c>
      <c r="B498" s="53" t="s">
        <v>338</v>
      </c>
      <c r="C498" s="57" t="s">
        <v>340</v>
      </c>
      <c r="D498" s="54">
        <v>348.2</v>
      </c>
      <c r="E498" s="62">
        <v>943</v>
      </c>
      <c r="F498" s="54">
        <f t="shared" si="40"/>
        <v>346.39374189999995</v>
      </c>
      <c r="G498" s="66">
        <v>25569.041962604166</v>
      </c>
      <c r="H498" s="66">
        <v>25569.041962604166</v>
      </c>
      <c r="I498" s="62">
        <v>34</v>
      </c>
      <c r="J498" s="53"/>
      <c r="K498" s="57" t="s">
        <v>345</v>
      </c>
      <c r="L498" s="52">
        <v>53028</v>
      </c>
      <c r="M498" s="58">
        <f t="shared" si="41"/>
        <v>230.27809274874585</v>
      </c>
      <c r="N498" s="58">
        <v>2525.58</v>
      </c>
      <c r="O498" s="60">
        <f t="shared" si="42"/>
        <v>20.996365191361985</v>
      </c>
      <c r="P498" s="60">
        <f t="shared" si="43"/>
        <v>9.1178300726465156E-2</v>
      </c>
      <c r="Q498" s="63"/>
    </row>
    <row r="499" spans="1:17" ht="17.25" customHeight="1" x14ac:dyDescent="0.2">
      <c r="A499" s="52">
        <v>2630</v>
      </c>
      <c r="B499" s="53" t="s">
        <v>338</v>
      </c>
      <c r="C499" s="57" t="s">
        <v>340</v>
      </c>
      <c r="D499" s="54">
        <v>349.2</v>
      </c>
      <c r="E499" s="62">
        <v>943</v>
      </c>
      <c r="F499" s="54">
        <f t="shared" si="40"/>
        <v>347.38704189999993</v>
      </c>
      <c r="G499" s="66">
        <v>25569.041962604166</v>
      </c>
      <c r="H499" s="66">
        <v>25569.041962604166</v>
      </c>
      <c r="I499" s="62">
        <v>34</v>
      </c>
      <c r="J499" s="53"/>
      <c r="K499" s="57" t="s">
        <v>345</v>
      </c>
      <c r="L499" s="52">
        <v>18734</v>
      </c>
      <c r="M499" s="58">
        <f t="shared" si="41"/>
        <v>136.87220316777254</v>
      </c>
      <c r="N499" s="58">
        <v>974.63</v>
      </c>
      <c r="O499" s="60">
        <f t="shared" si="42"/>
        <v>19.22165334537209</v>
      </c>
      <c r="P499" s="60">
        <f t="shared" si="43"/>
        <v>0.14043504013602345</v>
      </c>
      <c r="Q499" s="63"/>
    </row>
    <row r="500" spans="1:17" ht="17.25" customHeight="1" x14ac:dyDescent="0.2">
      <c r="A500" s="52">
        <v>2631</v>
      </c>
      <c r="B500" s="53" t="s">
        <v>338</v>
      </c>
      <c r="C500" s="57" t="s">
        <v>340</v>
      </c>
      <c r="D500" s="54">
        <v>350.2</v>
      </c>
      <c r="E500" s="62">
        <v>943</v>
      </c>
      <c r="F500" s="54">
        <f t="shared" si="40"/>
        <v>348.38034189999991</v>
      </c>
      <c r="G500" s="66">
        <v>25569.041962604166</v>
      </c>
      <c r="H500" s="66">
        <v>25569.041962604166</v>
      </c>
      <c r="I500" s="62">
        <v>34</v>
      </c>
      <c r="J500" s="53"/>
      <c r="K500" s="57" t="s">
        <v>345</v>
      </c>
      <c r="L500" s="52">
        <v>16511</v>
      </c>
      <c r="M500" s="58">
        <f t="shared" si="41"/>
        <v>128.49513609471762</v>
      </c>
      <c r="N500" s="58">
        <v>992.39</v>
      </c>
      <c r="O500" s="60">
        <f t="shared" si="42"/>
        <v>16.637612229063173</v>
      </c>
      <c r="P500" s="60">
        <f t="shared" si="43"/>
        <v>0.12948048256705288</v>
      </c>
      <c r="Q500" s="63"/>
    </row>
    <row r="501" spans="1:17" ht="17.25" customHeight="1" x14ac:dyDescent="0.2">
      <c r="A501" s="52">
        <v>2632</v>
      </c>
      <c r="B501" s="53" t="s">
        <v>338</v>
      </c>
      <c r="C501" s="57" t="s">
        <v>340</v>
      </c>
      <c r="D501" s="54">
        <v>351.2</v>
      </c>
      <c r="E501" s="62">
        <v>943</v>
      </c>
      <c r="F501" s="54">
        <f t="shared" si="40"/>
        <v>349.37364189999994</v>
      </c>
      <c r="G501" s="66">
        <v>25569.041962604166</v>
      </c>
      <c r="H501" s="66">
        <v>25569.041962604166</v>
      </c>
      <c r="I501" s="62">
        <v>34</v>
      </c>
      <c r="J501" s="53"/>
      <c r="K501" s="57" t="s">
        <v>345</v>
      </c>
      <c r="L501" s="52">
        <v>11580</v>
      </c>
      <c r="M501" s="58">
        <f t="shared" si="41"/>
        <v>107.61040841851684</v>
      </c>
      <c r="N501" s="58">
        <v>800.03</v>
      </c>
      <c r="O501" s="60">
        <f t="shared" si="42"/>
        <v>14.474457207854705</v>
      </c>
      <c r="P501" s="60">
        <f t="shared" si="43"/>
        <v>0.13450796647440327</v>
      </c>
      <c r="Q501" s="63"/>
    </row>
    <row r="502" spans="1:17" ht="17.25" customHeight="1" x14ac:dyDescent="0.2">
      <c r="A502" s="52">
        <v>2633</v>
      </c>
      <c r="B502" s="53" t="s">
        <v>338</v>
      </c>
      <c r="C502" s="57" t="s">
        <v>340</v>
      </c>
      <c r="D502" s="54">
        <v>352.2</v>
      </c>
      <c r="E502" s="62">
        <v>943</v>
      </c>
      <c r="F502" s="54">
        <f t="shared" si="40"/>
        <v>350.36694189999992</v>
      </c>
      <c r="G502" s="66">
        <v>25569.041962604166</v>
      </c>
      <c r="H502" s="66">
        <v>25569.041962604166</v>
      </c>
      <c r="I502" s="62">
        <v>34</v>
      </c>
      <c r="J502" s="53"/>
      <c r="K502" s="57" t="s">
        <v>345</v>
      </c>
      <c r="L502" s="52">
        <v>13782</v>
      </c>
      <c r="M502" s="58">
        <f t="shared" si="41"/>
        <v>117.39676315810415</v>
      </c>
      <c r="N502" s="58">
        <v>1161.78</v>
      </c>
      <c r="O502" s="60">
        <f t="shared" si="42"/>
        <v>11.862831172855445</v>
      </c>
      <c r="P502" s="60">
        <f t="shared" si="43"/>
        <v>0.10104904814862035</v>
      </c>
      <c r="Q502" s="63"/>
    </row>
    <row r="503" spans="1:17" ht="17.25" customHeight="1" x14ac:dyDescent="0.2">
      <c r="A503" s="52">
        <v>2634</v>
      </c>
      <c r="B503" s="53" t="s">
        <v>338</v>
      </c>
      <c r="C503" s="57" t="s">
        <v>340</v>
      </c>
      <c r="D503" s="54">
        <v>353.2</v>
      </c>
      <c r="E503" s="62">
        <v>943</v>
      </c>
      <c r="F503" s="54">
        <f t="shared" si="40"/>
        <v>351.36024189999995</v>
      </c>
      <c r="G503" s="66">
        <v>25569.041962604166</v>
      </c>
      <c r="H503" s="66">
        <v>25569.041962604166</v>
      </c>
      <c r="I503" s="62">
        <v>34</v>
      </c>
      <c r="J503" s="53"/>
      <c r="K503" s="57" t="s">
        <v>345</v>
      </c>
      <c r="L503" s="52">
        <v>12350</v>
      </c>
      <c r="M503" s="58">
        <f t="shared" si="41"/>
        <v>111.13055385446434</v>
      </c>
      <c r="N503" s="58">
        <v>1154.53</v>
      </c>
      <c r="O503" s="60">
        <f t="shared" si="42"/>
        <v>10.69699358180385</v>
      </c>
      <c r="P503" s="60">
        <f t="shared" si="43"/>
        <v>9.6256098892592082E-2</v>
      </c>
      <c r="Q503" s="63"/>
    </row>
    <row r="504" spans="1:17" ht="17.25" customHeight="1" x14ac:dyDescent="0.2">
      <c r="A504" s="52">
        <v>2635</v>
      </c>
      <c r="B504" s="53" t="s">
        <v>338</v>
      </c>
      <c r="C504" s="57" t="s">
        <v>340</v>
      </c>
      <c r="D504" s="54">
        <v>354.2</v>
      </c>
      <c r="E504" s="62">
        <v>943</v>
      </c>
      <c r="F504" s="54">
        <f t="shared" si="40"/>
        <v>352.35354189999993</v>
      </c>
      <c r="G504" s="66">
        <v>25569.041962604166</v>
      </c>
      <c r="H504" s="66">
        <v>25569.041962604166</v>
      </c>
      <c r="I504" s="62">
        <v>34</v>
      </c>
      <c r="J504" s="53"/>
      <c r="K504" s="57" t="s">
        <v>345</v>
      </c>
      <c r="L504" s="52">
        <v>11470</v>
      </c>
      <c r="M504" s="58">
        <f t="shared" si="41"/>
        <v>107.09808588392231</v>
      </c>
      <c r="N504" s="58">
        <v>1295.02</v>
      </c>
      <c r="O504" s="60">
        <f t="shared" si="42"/>
        <v>8.8570060694043331</v>
      </c>
      <c r="P504" s="60">
        <f t="shared" si="43"/>
        <v>8.2699947401524546E-2</v>
      </c>
      <c r="Q504" s="63"/>
    </row>
    <row r="505" spans="1:17" ht="17.25" customHeight="1" x14ac:dyDescent="0.2">
      <c r="A505" s="52">
        <v>2636</v>
      </c>
      <c r="B505" s="53" t="s">
        <v>338</v>
      </c>
      <c r="C505" s="57" t="s">
        <v>340</v>
      </c>
      <c r="D505" s="54">
        <v>355.2</v>
      </c>
      <c r="E505" s="62">
        <v>943</v>
      </c>
      <c r="F505" s="54">
        <f t="shared" si="40"/>
        <v>353.34684189999996</v>
      </c>
      <c r="G505" s="66">
        <v>25569.041962604166</v>
      </c>
      <c r="H505" s="66">
        <v>25569.041962604166</v>
      </c>
      <c r="I505" s="62">
        <v>33</v>
      </c>
      <c r="J505" s="53"/>
      <c r="K505" s="57" t="s">
        <v>345</v>
      </c>
      <c r="L505" s="52">
        <v>12223</v>
      </c>
      <c r="M505" s="58">
        <f t="shared" si="41"/>
        <v>110.55767725490618</v>
      </c>
      <c r="N505" s="58">
        <v>1690.3</v>
      </c>
      <c r="O505" s="60">
        <f t="shared" si="42"/>
        <v>7.2312607229485888</v>
      </c>
      <c r="P505" s="60">
        <f t="shared" si="43"/>
        <v>6.5407133204109444E-2</v>
      </c>
      <c r="Q505" s="63"/>
    </row>
    <row r="506" spans="1:17" ht="17.25" customHeight="1" x14ac:dyDescent="0.2">
      <c r="A506" s="52">
        <v>2637</v>
      </c>
      <c r="B506" s="53" t="s">
        <v>338</v>
      </c>
      <c r="C506" s="57" t="s">
        <v>340</v>
      </c>
      <c r="D506" s="54">
        <v>356.2</v>
      </c>
      <c r="E506" s="62">
        <v>943</v>
      </c>
      <c r="F506" s="54">
        <f t="shared" si="40"/>
        <v>354.34014189999994</v>
      </c>
      <c r="G506" s="66">
        <v>25569.041962604166</v>
      </c>
      <c r="H506" s="66">
        <v>25569.041962604166</v>
      </c>
      <c r="I506" s="62">
        <v>33</v>
      </c>
      <c r="J506" s="53"/>
      <c r="K506" s="57" t="s">
        <v>345</v>
      </c>
      <c r="L506" s="52">
        <v>10767</v>
      </c>
      <c r="M506" s="58">
        <f t="shared" si="41"/>
        <v>103.76415566080611</v>
      </c>
      <c r="N506" s="58">
        <v>1806.84</v>
      </c>
      <c r="O506" s="60">
        <f t="shared" si="42"/>
        <v>5.9590223816165242</v>
      </c>
      <c r="P506" s="60">
        <f t="shared" si="43"/>
        <v>5.7428524750839101E-2</v>
      </c>
      <c r="Q506" s="63"/>
    </row>
    <row r="507" spans="1:17" ht="17.25" customHeight="1" x14ac:dyDescent="0.2">
      <c r="A507" s="52">
        <v>2638</v>
      </c>
      <c r="B507" s="53" t="s">
        <v>338</v>
      </c>
      <c r="C507" s="57" t="s">
        <v>340</v>
      </c>
      <c r="D507" s="54">
        <v>358.2</v>
      </c>
      <c r="E507" s="62">
        <v>943</v>
      </c>
      <c r="F507" s="54">
        <f t="shared" si="40"/>
        <v>356.32674189999994</v>
      </c>
      <c r="G507" s="66">
        <v>25569.041962604166</v>
      </c>
      <c r="H507" s="66">
        <v>25569.041962604166</v>
      </c>
      <c r="I507" s="62">
        <v>33</v>
      </c>
      <c r="J507" s="53"/>
      <c r="K507" s="57" t="s">
        <v>345</v>
      </c>
      <c r="L507" s="52">
        <v>10604</v>
      </c>
      <c r="M507" s="58">
        <f t="shared" si="41"/>
        <v>102.975725294848</v>
      </c>
      <c r="N507" s="58">
        <v>2712.31</v>
      </c>
      <c r="O507" s="60">
        <f t="shared" si="42"/>
        <v>3.9095826067079353</v>
      </c>
      <c r="P507" s="60">
        <f t="shared" si="43"/>
        <v>3.7966060404175044E-2</v>
      </c>
      <c r="Q507" s="63"/>
    </row>
    <row r="508" spans="1:17" ht="17.25" customHeight="1" x14ac:dyDescent="0.2">
      <c r="A508" s="52">
        <v>2639</v>
      </c>
      <c r="B508" s="53" t="s">
        <v>338</v>
      </c>
      <c r="C508" s="57" t="s">
        <v>340</v>
      </c>
      <c r="D508" s="54">
        <v>360.2</v>
      </c>
      <c r="E508" s="62">
        <v>943</v>
      </c>
      <c r="F508" s="54">
        <f t="shared" si="40"/>
        <v>358.31334189999995</v>
      </c>
      <c r="G508" s="66">
        <v>25569.041962604166</v>
      </c>
      <c r="H508" s="66">
        <v>25569.041962604166</v>
      </c>
      <c r="I508" s="62">
        <v>32</v>
      </c>
      <c r="J508" s="53"/>
      <c r="K508" s="57" t="s">
        <v>345</v>
      </c>
      <c r="L508" s="52">
        <v>3171</v>
      </c>
      <c r="M508" s="58">
        <f t="shared" si="41"/>
        <v>56.311632901204348</v>
      </c>
      <c r="N508" s="58">
        <v>1247.81</v>
      </c>
      <c r="O508" s="60">
        <f t="shared" si="42"/>
        <v>2.54125227398402</v>
      </c>
      <c r="P508" s="60">
        <f t="shared" si="43"/>
        <v>4.5128371227353803E-2</v>
      </c>
      <c r="Q508" s="63"/>
    </row>
    <row r="509" spans="1:17" ht="17.25" customHeight="1" x14ac:dyDescent="0.2">
      <c r="A509" s="52">
        <v>2640</v>
      </c>
      <c r="B509" s="53" t="s">
        <v>338</v>
      </c>
      <c r="C509" s="57" t="s">
        <v>340</v>
      </c>
      <c r="D509" s="54">
        <v>362.2</v>
      </c>
      <c r="E509" s="62">
        <v>943</v>
      </c>
      <c r="F509" s="54">
        <f t="shared" si="40"/>
        <v>360.29994189999991</v>
      </c>
      <c r="G509" s="66">
        <v>25569.041962604166</v>
      </c>
      <c r="H509" s="66">
        <v>25569.041962604166</v>
      </c>
      <c r="I509" s="62">
        <v>32</v>
      </c>
      <c r="J509" s="53"/>
      <c r="K509" s="57" t="s">
        <v>345</v>
      </c>
      <c r="L509" s="52">
        <v>2880</v>
      </c>
      <c r="M509" s="58">
        <f t="shared" si="41"/>
        <v>53.665631459994955</v>
      </c>
      <c r="N509" s="58">
        <v>1681.1</v>
      </c>
      <c r="O509" s="60">
        <f t="shared" si="42"/>
        <v>1.7131639997620607</v>
      </c>
      <c r="P509" s="60">
        <f t="shared" si="43"/>
        <v>3.1922926333945008E-2</v>
      </c>
      <c r="Q509" s="63"/>
    </row>
    <row r="510" spans="1:17" ht="17.25" customHeight="1" x14ac:dyDescent="0.2">
      <c r="A510" s="52">
        <v>2641</v>
      </c>
      <c r="B510" s="53" t="s">
        <v>338</v>
      </c>
      <c r="C510" s="57" t="s">
        <v>340</v>
      </c>
      <c r="D510" s="54">
        <v>364.2</v>
      </c>
      <c r="E510" s="62">
        <v>943</v>
      </c>
      <c r="F510" s="54">
        <f t="shared" si="40"/>
        <v>362.28654189999992</v>
      </c>
      <c r="G510" s="66">
        <v>25569.041962604166</v>
      </c>
      <c r="H510" s="66">
        <v>25569.041962604166</v>
      </c>
      <c r="I510" s="62">
        <v>32</v>
      </c>
      <c r="J510" s="53"/>
      <c r="K510" s="57" t="s">
        <v>345</v>
      </c>
      <c r="L510" s="52">
        <v>2155</v>
      </c>
      <c r="M510" s="58">
        <f t="shared" si="41"/>
        <v>46.421977553740639</v>
      </c>
      <c r="N510" s="58">
        <v>1903.8</v>
      </c>
      <c r="O510" s="60">
        <f t="shared" si="42"/>
        <v>1.1319466330496901</v>
      </c>
      <c r="P510" s="60">
        <f t="shared" si="43"/>
        <v>2.4383852061004643E-2</v>
      </c>
      <c r="Q510" s="63"/>
    </row>
    <row r="511" spans="1:17" ht="17.25" customHeight="1" x14ac:dyDescent="0.2">
      <c r="A511" s="52">
        <v>2642</v>
      </c>
      <c r="B511" s="53" t="s">
        <v>157</v>
      </c>
      <c r="C511" s="57" t="s">
        <v>340</v>
      </c>
      <c r="D511" s="54">
        <v>231.3</v>
      </c>
      <c r="E511" s="62">
        <v>675</v>
      </c>
      <c r="F511" s="54">
        <f t="shared" ref="F511:F574" si="44">0.9933*(D511 + E511/1000)-0.41</f>
        <v>230.01076750000001</v>
      </c>
      <c r="G511" s="66">
        <v>25569.041962604166</v>
      </c>
      <c r="H511" s="66">
        <v>25569.041962604166</v>
      </c>
      <c r="I511" s="62">
        <v>20</v>
      </c>
      <c r="J511" s="53"/>
      <c r="K511" s="57" t="s">
        <v>345</v>
      </c>
      <c r="L511" s="52">
        <v>7294402</v>
      </c>
      <c r="M511" s="58">
        <f t="shared" si="41"/>
        <v>2700.815062161791</v>
      </c>
      <c r="N511" s="58">
        <v>1784051.02</v>
      </c>
      <c r="O511" s="60">
        <f t="shared" si="42"/>
        <v>4.0886734281848058</v>
      </c>
      <c r="P511" s="60">
        <f t="shared" si="43"/>
        <v>1.513866493662155E-3</v>
      </c>
      <c r="Q511" s="63"/>
    </row>
    <row r="512" spans="1:17" ht="17.25" customHeight="1" x14ac:dyDescent="0.2">
      <c r="A512" s="52">
        <v>2643</v>
      </c>
      <c r="B512" s="53" t="s">
        <v>352</v>
      </c>
      <c r="C512" s="57" t="s">
        <v>340</v>
      </c>
      <c r="D512" s="54">
        <v>334.2</v>
      </c>
      <c r="E512" s="62">
        <v>857</v>
      </c>
      <c r="F512" s="54">
        <f t="shared" si="44"/>
        <v>332.4021181</v>
      </c>
      <c r="G512" s="66">
        <v>25569.041962604166</v>
      </c>
      <c r="H512" s="66">
        <v>25569.041962604166</v>
      </c>
      <c r="I512" s="62">
        <v>30</v>
      </c>
      <c r="J512" s="53"/>
      <c r="K512" s="57" t="s">
        <v>345</v>
      </c>
      <c r="L512" s="52">
        <v>1141</v>
      </c>
      <c r="M512" s="58">
        <f t="shared" si="41"/>
        <v>33.77869150810907</v>
      </c>
      <c r="N512" s="58">
        <v>3589.8</v>
      </c>
      <c r="O512" s="60">
        <f t="shared" si="42"/>
        <v>0.31784500529277393</v>
      </c>
      <c r="P512" s="60">
        <f t="shared" si="43"/>
        <v>9.4096304830656487E-3</v>
      </c>
      <c r="Q512" s="63"/>
    </row>
    <row r="513" spans="1:17" ht="17.25" customHeight="1" x14ac:dyDescent="0.2">
      <c r="A513" s="52">
        <v>2644</v>
      </c>
      <c r="B513" s="53" t="s">
        <v>352</v>
      </c>
      <c r="C513" s="57" t="s">
        <v>340</v>
      </c>
      <c r="D513" s="54">
        <v>336.2</v>
      </c>
      <c r="E513" s="62">
        <v>857</v>
      </c>
      <c r="F513" s="54">
        <f t="shared" si="44"/>
        <v>334.38871810000001</v>
      </c>
      <c r="G513" s="66">
        <v>25569.041962604166</v>
      </c>
      <c r="H513" s="66">
        <v>25569.041962604166</v>
      </c>
      <c r="I513" s="62">
        <v>30</v>
      </c>
      <c r="J513" s="53"/>
      <c r="K513" s="57" t="s">
        <v>345</v>
      </c>
      <c r="L513" s="52">
        <v>1696</v>
      </c>
      <c r="M513" s="58">
        <f t="shared" si="41"/>
        <v>41.182520563948003</v>
      </c>
      <c r="N513" s="58">
        <v>3761.75</v>
      </c>
      <c r="O513" s="60">
        <f t="shared" si="42"/>
        <v>0.45085399082873662</v>
      </c>
      <c r="P513" s="60">
        <f t="shared" si="43"/>
        <v>1.0947702681982589E-2</v>
      </c>
      <c r="Q513" s="63"/>
    </row>
    <row r="514" spans="1:17" ht="17.25" customHeight="1" x14ac:dyDescent="0.2">
      <c r="A514" s="52">
        <v>2645</v>
      </c>
      <c r="B514" s="53" t="s">
        <v>352</v>
      </c>
      <c r="C514" s="57" t="s">
        <v>340</v>
      </c>
      <c r="D514" s="54">
        <v>338.2</v>
      </c>
      <c r="E514" s="62">
        <v>857</v>
      </c>
      <c r="F514" s="54">
        <f t="shared" si="44"/>
        <v>336.37531809999996</v>
      </c>
      <c r="G514" s="66">
        <v>25569.041962604166</v>
      </c>
      <c r="H514" s="66">
        <v>25569.041962604166</v>
      </c>
      <c r="I514" s="62">
        <v>29</v>
      </c>
      <c r="J514" s="53"/>
      <c r="K514" s="57" t="s">
        <v>345</v>
      </c>
      <c r="L514" s="52">
        <v>1162</v>
      </c>
      <c r="M514" s="58">
        <f t="shared" si="41"/>
        <v>34.08812109811862</v>
      </c>
      <c r="N514" s="58">
        <v>1679.07</v>
      </c>
      <c r="O514" s="60">
        <f t="shared" si="42"/>
        <v>0.69204976564407683</v>
      </c>
      <c r="P514" s="60">
        <f t="shared" si="43"/>
        <v>2.0301786761789932E-2</v>
      </c>
      <c r="Q514" s="63"/>
    </row>
    <row r="515" spans="1:17" ht="17.25" customHeight="1" x14ac:dyDescent="0.2">
      <c r="A515" s="52">
        <v>2646</v>
      </c>
      <c r="B515" s="53" t="s">
        <v>352</v>
      </c>
      <c r="C515" s="57" t="s">
        <v>340</v>
      </c>
      <c r="D515" s="54">
        <v>340.2</v>
      </c>
      <c r="E515" s="62">
        <v>857</v>
      </c>
      <c r="F515" s="54">
        <f t="shared" si="44"/>
        <v>338.36191809999997</v>
      </c>
      <c r="G515" s="66">
        <v>25569.041962604166</v>
      </c>
      <c r="H515" s="66">
        <v>25569.041962604166</v>
      </c>
      <c r="I515" s="62">
        <v>28</v>
      </c>
      <c r="J515" s="53"/>
      <c r="K515" s="57" t="s">
        <v>345</v>
      </c>
      <c r="L515" s="52">
        <v>6743</v>
      </c>
      <c r="M515" s="58">
        <f t="shared" si="41"/>
        <v>82.11577193207161</v>
      </c>
      <c r="N515" s="58">
        <v>5002.79</v>
      </c>
      <c r="O515" s="60">
        <f t="shared" si="42"/>
        <v>1.3478479008713138</v>
      </c>
      <c r="P515" s="60">
        <f t="shared" si="43"/>
        <v>1.6413995376993961E-2</v>
      </c>
      <c r="Q515" s="63"/>
    </row>
    <row r="516" spans="1:17" ht="17.25" customHeight="1" x14ac:dyDescent="0.2">
      <c r="A516" s="52">
        <v>2647</v>
      </c>
      <c r="B516" s="53" t="s">
        <v>352</v>
      </c>
      <c r="C516" s="57" t="s">
        <v>340</v>
      </c>
      <c r="D516" s="54">
        <v>341.2</v>
      </c>
      <c r="E516" s="62">
        <v>857</v>
      </c>
      <c r="F516" s="54">
        <f t="shared" si="44"/>
        <v>339.3552181</v>
      </c>
      <c r="G516" s="66">
        <v>25569.041962604166</v>
      </c>
      <c r="H516" s="66">
        <v>25569.041962604166</v>
      </c>
      <c r="I516" s="62">
        <v>28</v>
      </c>
      <c r="J516" s="53"/>
      <c r="K516" s="57" t="s">
        <v>345</v>
      </c>
      <c r="L516" s="52">
        <v>6952</v>
      </c>
      <c r="M516" s="58">
        <f t="shared" si="41"/>
        <v>83.378654342703328</v>
      </c>
      <c r="N516" s="58">
        <v>3618.19</v>
      </c>
      <c r="O516" s="60">
        <f t="shared" si="42"/>
        <v>1.921402690295424</v>
      </c>
      <c r="P516" s="60">
        <f t="shared" si="43"/>
        <v>2.3044299592531993E-2</v>
      </c>
      <c r="Q516" s="63"/>
    </row>
    <row r="517" spans="1:17" ht="17.25" customHeight="1" x14ac:dyDescent="0.2">
      <c r="A517" s="52">
        <v>2648</v>
      </c>
      <c r="B517" s="53" t="s">
        <v>352</v>
      </c>
      <c r="C517" s="57" t="s">
        <v>340</v>
      </c>
      <c r="D517" s="54">
        <v>342.2</v>
      </c>
      <c r="E517" s="62">
        <v>857</v>
      </c>
      <c r="F517" s="54">
        <f t="shared" si="44"/>
        <v>340.34851809999998</v>
      </c>
      <c r="G517" s="66">
        <v>25569.041962604166</v>
      </c>
      <c r="H517" s="66">
        <v>25569.041962604166</v>
      </c>
      <c r="I517" s="62">
        <v>28</v>
      </c>
      <c r="J517" s="53"/>
      <c r="K517" s="57" t="s">
        <v>345</v>
      </c>
      <c r="L517" s="52">
        <v>5119</v>
      </c>
      <c r="M517" s="58">
        <f t="shared" si="41"/>
        <v>71.547187226333364</v>
      </c>
      <c r="N517" s="58">
        <v>1572.77</v>
      </c>
      <c r="O517" s="60">
        <f t="shared" si="42"/>
        <v>3.2547670670218785</v>
      </c>
      <c r="P517" s="60">
        <f t="shared" si="43"/>
        <v>4.5491195296409118E-2</v>
      </c>
      <c r="Q517" s="63"/>
    </row>
    <row r="518" spans="1:17" ht="17.25" customHeight="1" x14ac:dyDescent="0.2">
      <c r="A518" s="52">
        <v>2649</v>
      </c>
      <c r="B518" s="53" t="s">
        <v>352</v>
      </c>
      <c r="C518" s="57" t="s">
        <v>340</v>
      </c>
      <c r="D518" s="54">
        <v>343.2</v>
      </c>
      <c r="E518" s="62">
        <v>857</v>
      </c>
      <c r="F518" s="54">
        <f t="shared" si="44"/>
        <v>341.34181809999995</v>
      </c>
      <c r="G518" s="66">
        <v>25569.041962604166</v>
      </c>
      <c r="H518" s="66">
        <v>25569.041962604166</v>
      </c>
      <c r="I518" s="62">
        <v>28</v>
      </c>
      <c r="J518" s="53"/>
      <c r="K518" s="57" t="s">
        <v>345</v>
      </c>
      <c r="L518" s="52">
        <v>9631</v>
      </c>
      <c r="M518" s="58">
        <f t="shared" si="41"/>
        <v>98.137658419181776</v>
      </c>
      <c r="N518" s="58">
        <v>1668.53</v>
      </c>
      <c r="O518" s="60">
        <f t="shared" si="42"/>
        <v>5.7721467399447421</v>
      </c>
      <c r="P518" s="60">
        <f t="shared" si="43"/>
        <v>5.881683782681868E-2</v>
      </c>
      <c r="Q518" s="63"/>
    </row>
    <row r="519" spans="1:17" ht="17.25" customHeight="1" x14ac:dyDescent="0.2">
      <c r="A519" s="52">
        <v>2650</v>
      </c>
      <c r="B519" s="53" t="s">
        <v>352</v>
      </c>
      <c r="C519" s="57" t="s">
        <v>340</v>
      </c>
      <c r="D519" s="54">
        <v>344.2</v>
      </c>
      <c r="E519" s="62">
        <v>857</v>
      </c>
      <c r="F519" s="54">
        <f t="shared" si="44"/>
        <v>342.33511809999999</v>
      </c>
      <c r="G519" s="66">
        <v>25569.041962604166</v>
      </c>
      <c r="H519" s="66">
        <v>25569.041962604166</v>
      </c>
      <c r="I519" s="62">
        <v>27</v>
      </c>
      <c r="J519" s="53"/>
      <c r="K519" s="57" t="s">
        <v>345</v>
      </c>
      <c r="L519" s="52">
        <v>11697</v>
      </c>
      <c r="M519" s="58">
        <f t="shared" si="41"/>
        <v>108.15266986995744</v>
      </c>
      <c r="N519" s="58">
        <v>1267.6099999999999</v>
      </c>
      <c r="O519" s="60">
        <f t="shared" si="42"/>
        <v>9.2276015493724426</v>
      </c>
      <c r="P519" s="60">
        <f t="shared" si="43"/>
        <v>8.5320145683575738E-2</v>
      </c>
      <c r="Q519" s="63"/>
    </row>
    <row r="520" spans="1:17" ht="17.25" customHeight="1" x14ac:dyDescent="0.2">
      <c r="A520" s="52">
        <v>2651</v>
      </c>
      <c r="B520" s="53" t="s">
        <v>352</v>
      </c>
      <c r="C520" s="57" t="s">
        <v>340</v>
      </c>
      <c r="D520" s="54">
        <v>345.2</v>
      </c>
      <c r="E520" s="62">
        <v>857</v>
      </c>
      <c r="F520" s="54">
        <f t="shared" si="44"/>
        <v>343.32841809999996</v>
      </c>
      <c r="G520" s="66">
        <v>25569.041962604166</v>
      </c>
      <c r="H520" s="66">
        <v>25569.041962604166</v>
      </c>
      <c r="I520" s="62">
        <v>27</v>
      </c>
      <c r="J520" s="53"/>
      <c r="K520" s="57" t="s">
        <v>345</v>
      </c>
      <c r="L520" s="52">
        <v>11249</v>
      </c>
      <c r="M520" s="58">
        <f t="shared" si="41"/>
        <v>106.061303028013</v>
      </c>
      <c r="N520" s="58">
        <v>763.09</v>
      </c>
      <c r="O520" s="60">
        <f t="shared" si="42"/>
        <v>14.741380440052943</v>
      </c>
      <c r="P520" s="60">
        <f t="shared" si="43"/>
        <v>0.13898924507988966</v>
      </c>
      <c r="Q520" s="63"/>
    </row>
    <row r="521" spans="1:17" ht="17.25" customHeight="1" x14ac:dyDescent="0.2">
      <c r="A521" s="52">
        <v>2652</v>
      </c>
      <c r="B521" s="53" t="s">
        <v>352</v>
      </c>
      <c r="C521" s="57" t="s">
        <v>340</v>
      </c>
      <c r="D521" s="54">
        <v>346.2</v>
      </c>
      <c r="E521" s="62">
        <v>857</v>
      </c>
      <c r="F521" s="54">
        <f t="shared" si="44"/>
        <v>344.3217181</v>
      </c>
      <c r="G521" s="66">
        <v>25569.041962604166</v>
      </c>
      <c r="H521" s="66">
        <v>25569.041962604166</v>
      </c>
      <c r="I521" s="62">
        <v>26</v>
      </c>
      <c r="J521" s="53"/>
      <c r="K521" s="57" t="s">
        <v>345</v>
      </c>
      <c r="L521" s="52">
        <v>14097</v>
      </c>
      <c r="M521" s="58">
        <f t="shared" si="41"/>
        <v>118.73078791956196</v>
      </c>
      <c r="N521" s="58">
        <v>780.48</v>
      </c>
      <c r="O521" s="60">
        <f t="shared" si="42"/>
        <v>18.061961869618695</v>
      </c>
      <c r="P521" s="60">
        <f t="shared" si="43"/>
        <v>0.15212534327537153</v>
      </c>
      <c r="Q521" s="63"/>
    </row>
    <row r="522" spans="1:17" ht="17.25" customHeight="1" x14ac:dyDescent="0.2">
      <c r="A522" s="52">
        <v>2653</v>
      </c>
      <c r="B522" s="53" t="s">
        <v>352</v>
      </c>
      <c r="C522" s="57" t="s">
        <v>340</v>
      </c>
      <c r="D522" s="54">
        <v>347.2</v>
      </c>
      <c r="E522" s="62">
        <v>857</v>
      </c>
      <c r="F522" s="54">
        <f t="shared" si="44"/>
        <v>345.31501809999997</v>
      </c>
      <c r="G522" s="66">
        <v>25569.041962604166</v>
      </c>
      <c r="H522" s="66">
        <v>25569.041962604166</v>
      </c>
      <c r="I522" s="62">
        <v>26</v>
      </c>
      <c r="J522" s="53"/>
      <c r="K522" s="57" t="s">
        <v>345</v>
      </c>
      <c r="L522" s="52">
        <v>11388</v>
      </c>
      <c r="M522" s="58">
        <f t="shared" si="41"/>
        <v>106.7145725756328</v>
      </c>
      <c r="N522" s="62">
        <v>554</v>
      </c>
      <c r="O522" s="60">
        <f t="shared" si="42"/>
        <v>20.555956678700362</v>
      </c>
      <c r="P522" s="60">
        <f t="shared" si="43"/>
        <v>0.19262558226648521</v>
      </c>
      <c r="Q522" s="63"/>
    </row>
    <row r="523" spans="1:17" ht="17.25" customHeight="1" x14ac:dyDescent="0.2">
      <c r="A523" s="52">
        <v>2654</v>
      </c>
      <c r="B523" s="53" t="s">
        <v>352</v>
      </c>
      <c r="C523" s="57" t="s">
        <v>340</v>
      </c>
      <c r="D523" s="54">
        <v>348.2</v>
      </c>
      <c r="E523" s="62">
        <v>857</v>
      </c>
      <c r="F523" s="54">
        <f t="shared" si="44"/>
        <v>346.30831809999995</v>
      </c>
      <c r="G523" s="66">
        <v>25569.041962604166</v>
      </c>
      <c r="H523" s="66">
        <v>25569.041962604166</v>
      </c>
      <c r="I523" s="62">
        <v>26</v>
      </c>
      <c r="J523" s="53"/>
      <c r="K523" s="57" t="s">
        <v>345</v>
      </c>
      <c r="L523" s="52">
        <v>12512</v>
      </c>
      <c r="M523" s="58">
        <f t="shared" si="41"/>
        <v>111.85705163287651</v>
      </c>
      <c r="N523" s="58">
        <v>611.29999999999995</v>
      </c>
      <c r="O523" s="60">
        <f t="shared" si="42"/>
        <v>20.467855390152135</v>
      </c>
      <c r="P523" s="60">
        <f t="shared" si="43"/>
        <v>0.18298225361177248</v>
      </c>
      <c r="Q523" s="63"/>
    </row>
    <row r="524" spans="1:17" ht="17.25" customHeight="1" x14ac:dyDescent="0.2">
      <c r="A524" s="52">
        <v>2655</v>
      </c>
      <c r="B524" s="53" t="s">
        <v>9</v>
      </c>
      <c r="C524" s="57" t="s">
        <v>340</v>
      </c>
      <c r="D524" s="54">
        <v>349.2</v>
      </c>
      <c r="E524" s="62">
        <v>857</v>
      </c>
      <c r="F524" s="54">
        <f t="shared" si="44"/>
        <v>347.30161809999998</v>
      </c>
      <c r="G524" s="66">
        <v>25569.041962604166</v>
      </c>
      <c r="H524" s="66">
        <v>25569.041962604166</v>
      </c>
      <c r="I524" s="62">
        <v>26</v>
      </c>
      <c r="J524" s="53"/>
      <c r="K524" s="57" t="s">
        <v>345</v>
      </c>
      <c r="L524" s="52">
        <v>13420</v>
      </c>
      <c r="M524" s="58">
        <f t="shared" si="41"/>
        <v>115.84472366059664</v>
      </c>
      <c r="N524" s="58">
        <v>771.41</v>
      </c>
      <c r="O524" s="60">
        <f t="shared" si="42"/>
        <v>17.396715106104406</v>
      </c>
      <c r="P524" s="60">
        <f t="shared" si="43"/>
        <v>0.15017270149543907</v>
      </c>
      <c r="Q524" s="63" t="s">
        <v>353</v>
      </c>
    </row>
    <row r="525" spans="1:17" ht="17.25" customHeight="1" x14ac:dyDescent="0.2">
      <c r="A525" s="52">
        <v>2656</v>
      </c>
      <c r="B525" s="53" t="s">
        <v>9</v>
      </c>
      <c r="C525" s="57" t="s">
        <v>340</v>
      </c>
      <c r="D525" s="54">
        <v>350.2</v>
      </c>
      <c r="E525" s="62">
        <v>857</v>
      </c>
      <c r="F525" s="54">
        <f t="shared" si="44"/>
        <v>348.29491809999996</v>
      </c>
      <c r="G525" s="66">
        <v>25569.041962604166</v>
      </c>
      <c r="H525" s="66">
        <v>25569.041962604166</v>
      </c>
      <c r="I525" s="62">
        <v>25</v>
      </c>
      <c r="J525" s="53"/>
      <c r="K525" s="57" t="s">
        <v>345</v>
      </c>
      <c r="L525" s="52">
        <v>11119</v>
      </c>
      <c r="M525" s="58">
        <f t="shared" si="41"/>
        <v>105.44666898484751</v>
      </c>
      <c r="N525" s="58">
        <v>740.49</v>
      </c>
      <c r="O525" s="60">
        <f t="shared" si="42"/>
        <v>15.015732825561452</v>
      </c>
      <c r="P525" s="60">
        <f t="shared" si="43"/>
        <v>0.14240120593775407</v>
      </c>
      <c r="Q525" s="63" t="s">
        <v>353</v>
      </c>
    </row>
    <row r="526" spans="1:17" ht="17.25" customHeight="1" x14ac:dyDescent="0.2">
      <c r="A526" s="52">
        <v>2657</v>
      </c>
      <c r="B526" s="53" t="s">
        <v>352</v>
      </c>
      <c r="C526" s="57" t="s">
        <v>340</v>
      </c>
      <c r="D526" s="54">
        <v>351.2</v>
      </c>
      <c r="E526" s="62">
        <v>857</v>
      </c>
      <c r="F526" s="54">
        <f t="shared" si="44"/>
        <v>349.28821809999999</v>
      </c>
      <c r="G526" s="66">
        <v>25569.041962604166</v>
      </c>
      <c r="H526" s="66">
        <v>25569.041962604166</v>
      </c>
      <c r="I526" s="62">
        <v>25</v>
      </c>
      <c r="J526" s="53"/>
      <c r="K526" s="57" t="s">
        <v>345</v>
      </c>
      <c r="L526" s="52">
        <v>16123</v>
      </c>
      <c r="M526" s="58">
        <f t="shared" si="41"/>
        <v>126.97637575549241</v>
      </c>
      <c r="N526" s="58">
        <v>1054.05</v>
      </c>
      <c r="O526" s="60">
        <f t="shared" si="42"/>
        <v>15.296238318865329</v>
      </c>
      <c r="P526" s="60">
        <f t="shared" si="43"/>
        <v>0.1204652300701982</v>
      </c>
    </row>
    <row r="527" spans="1:17" ht="17.25" customHeight="1" x14ac:dyDescent="0.2">
      <c r="A527" s="52">
        <v>2658</v>
      </c>
      <c r="B527" s="53" t="s">
        <v>9</v>
      </c>
      <c r="C527" s="57" t="s">
        <v>340</v>
      </c>
      <c r="D527" s="54">
        <v>352.2</v>
      </c>
      <c r="E527" s="62">
        <v>857</v>
      </c>
      <c r="F527" s="54">
        <f t="shared" si="44"/>
        <v>350.28151809999997</v>
      </c>
      <c r="G527" s="66">
        <v>25569.041962604166</v>
      </c>
      <c r="H527" s="66">
        <v>25569.041962604166</v>
      </c>
      <c r="I527" s="62">
        <v>24</v>
      </c>
      <c r="J527" s="53"/>
      <c r="K527" s="57" t="s">
        <v>345</v>
      </c>
      <c r="L527" s="52">
        <v>12939</v>
      </c>
      <c r="M527" s="58">
        <f t="shared" si="41"/>
        <v>113.74972527439353</v>
      </c>
      <c r="N527" s="58">
        <v>973.48</v>
      </c>
      <c r="O527" s="60">
        <f t="shared" si="42"/>
        <v>13.29149032337593</v>
      </c>
      <c r="P527" s="60">
        <f t="shared" si="43"/>
        <v>0.11684854878825814</v>
      </c>
      <c r="Q527" s="63" t="s">
        <v>353</v>
      </c>
    </row>
    <row r="528" spans="1:17" ht="17.25" customHeight="1" x14ac:dyDescent="0.2">
      <c r="A528" s="52">
        <v>2659</v>
      </c>
      <c r="B528" s="53" t="s">
        <v>9</v>
      </c>
      <c r="C528" s="57" t="s">
        <v>340</v>
      </c>
      <c r="D528" s="54">
        <v>353.2</v>
      </c>
      <c r="E528" s="62">
        <v>857</v>
      </c>
      <c r="F528" s="54">
        <f t="shared" si="44"/>
        <v>351.2748181</v>
      </c>
      <c r="G528" s="66">
        <v>25569.041962604166</v>
      </c>
      <c r="H528" s="66">
        <v>25569.041962604166</v>
      </c>
      <c r="I528" s="62">
        <v>24</v>
      </c>
      <c r="J528" s="53"/>
      <c r="K528" s="57" t="s">
        <v>345</v>
      </c>
      <c r="L528" s="52">
        <v>9940</v>
      </c>
      <c r="M528" s="58">
        <f t="shared" si="41"/>
        <v>99.699548644916135</v>
      </c>
      <c r="N528" s="58">
        <v>882.01</v>
      </c>
      <c r="O528" s="60">
        <f t="shared" si="42"/>
        <v>11.269713495311844</v>
      </c>
      <c r="P528" s="60">
        <f t="shared" si="43"/>
        <v>0.11303675541651018</v>
      </c>
      <c r="Q528" s="63" t="s">
        <v>353</v>
      </c>
    </row>
    <row r="529" spans="1:17" ht="17.25" customHeight="1" x14ac:dyDescent="0.2">
      <c r="A529" s="52">
        <v>2660</v>
      </c>
      <c r="B529" s="53" t="s">
        <v>9</v>
      </c>
      <c r="C529" s="57" t="s">
        <v>340</v>
      </c>
      <c r="D529" s="54">
        <v>354.2</v>
      </c>
      <c r="E529" s="62">
        <v>857</v>
      </c>
      <c r="F529" s="54">
        <f t="shared" si="44"/>
        <v>352.26811809999998</v>
      </c>
      <c r="G529" s="66">
        <v>25569.041962604166</v>
      </c>
      <c r="H529" s="66">
        <v>25569.041962604166</v>
      </c>
      <c r="I529" s="62">
        <v>24</v>
      </c>
      <c r="J529" s="53"/>
      <c r="K529" s="57" t="s">
        <v>345</v>
      </c>
      <c r="L529" s="52">
        <v>12849</v>
      </c>
      <c r="M529" s="58">
        <f t="shared" si="41"/>
        <v>113.35342959081565</v>
      </c>
      <c r="N529" s="58">
        <v>1401.8</v>
      </c>
      <c r="O529" s="60">
        <f t="shared" si="42"/>
        <v>9.1660721928948501</v>
      </c>
      <c r="P529" s="60">
        <f t="shared" si="43"/>
        <v>8.0862769004719406E-2</v>
      </c>
      <c r="Q529" s="63" t="s">
        <v>353</v>
      </c>
    </row>
    <row r="530" spans="1:17" ht="17.25" customHeight="1" x14ac:dyDescent="0.2">
      <c r="A530" s="52">
        <v>2661</v>
      </c>
      <c r="B530" s="53" t="s">
        <v>352</v>
      </c>
      <c r="C530" s="57" t="s">
        <v>340</v>
      </c>
      <c r="D530" s="54">
        <v>355.2</v>
      </c>
      <c r="E530" s="62">
        <v>857</v>
      </c>
      <c r="F530" s="54">
        <f t="shared" si="44"/>
        <v>353.26141809999996</v>
      </c>
      <c r="G530" s="66">
        <v>25569.041962604166</v>
      </c>
      <c r="H530" s="66">
        <v>25569.041962604166</v>
      </c>
      <c r="I530" s="62">
        <v>24</v>
      </c>
      <c r="J530" s="53"/>
      <c r="K530" s="57" t="s">
        <v>345</v>
      </c>
      <c r="L530" s="52">
        <v>10714</v>
      </c>
      <c r="M530" s="58">
        <f t="shared" si="41"/>
        <v>103.50845376103345</v>
      </c>
      <c r="N530" s="58">
        <v>1480.19</v>
      </c>
      <c r="O530" s="60">
        <f t="shared" si="42"/>
        <v>7.2382599531141274</v>
      </c>
      <c r="P530" s="60">
        <f t="shared" si="43"/>
        <v>6.9929167040064757E-2</v>
      </c>
      <c r="Q530" s="63"/>
    </row>
    <row r="531" spans="1:17" ht="17.25" customHeight="1" x14ac:dyDescent="0.2">
      <c r="A531" s="52">
        <v>2662</v>
      </c>
      <c r="B531" s="53" t="s">
        <v>9</v>
      </c>
      <c r="C531" s="57" t="s">
        <v>340</v>
      </c>
      <c r="D531" s="54">
        <v>356.2</v>
      </c>
      <c r="E531" s="62">
        <v>857</v>
      </c>
      <c r="F531" s="54">
        <f t="shared" si="44"/>
        <v>354.25471809999999</v>
      </c>
      <c r="G531" s="66">
        <v>25569.041962604166</v>
      </c>
      <c r="H531" s="66">
        <v>25569.041962604166</v>
      </c>
      <c r="I531" s="62">
        <v>23</v>
      </c>
      <c r="J531" s="53"/>
      <c r="K531" s="57" t="s">
        <v>345</v>
      </c>
      <c r="L531" s="52">
        <v>5542</v>
      </c>
      <c r="M531" s="58">
        <f t="shared" si="41"/>
        <v>74.444610281739003</v>
      </c>
      <c r="N531" s="58">
        <v>842.37</v>
      </c>
      <c r="O531" s="60">
        <f t="shared" si="42"/>
        <v>6.5790567090470935</v>
      </c>
      <c r="P531" s="60">
        <f t="shared" si="43"/>
        <v>8.8375191758655935E-2</v>
      </c>
      <c r="Q531" s="63" t="s">
        <v>353</v>
      </c>
    </row>
    <row r="532" spans="1:17" ht="17.25" customHeight="1" x14ac:dyDescent="0.2">
      <c r="A532" s="52">
        <v>2663</v>
      </c>
      <c r="B532" s="53" t="s">
        <v>352</v>
      </c>
      <c r="C532" s="57" t="s">
        <v>340</v>
      </c>
      <c r="D532" s="54">
        <v>358.2</v>
      </c>
      <c r="E532" s="62">
        <v>857</v>
      </c>
      <c r="F532" s="54">
        <f t="shared" si="44"/>
        <v>356.2413181</v>
      </c>
      <c r="G532" s="66">
        <v>25569.041962604166</v>
      </c>
      <c r="H532" s="66">
        <v>25569.041962604166</v>
      </c>
      <c r="I532" s="62">
        <v>22</v>
      </c>
      <c r="J532" s="53"/>
      <c r="K532" s="57" t="s">
        <v>345</v>
      </c>
      <c r="L532" s="52">
        <v>4638</v>
      </c>
      <c r="M532" s="58">
        <f t="shared" si="41"/>
        <v>68.102863375925679</v>
      </c>
      <c r="N532" s="58">
        <v>1179.2</v>
      </c>
      <c r="O532" s="60">
        <f t="shared" si="42"/>
        <v>3.9331750339213025</v>
      </c>
      <c r="P532" s="60">
        <f t="shared" si="43"/>
        <v>5.7753445875106578E-2</v>
      </c>
      <c r="Q532" s="63"/>
    </row>
    <row r="533" spans="1:17" ht="17.25" customHeight="1" x14ac:dyDescent="0.2">
      <c r="A533" s="52">
        <v>2664</v>
      </c>
      <c r="B533" s="53" t="s">
        <v>352</v>
      </c>
      <c r="C533" s="57" t="s">
        <v>340</v>
      </c>
      <c r="D533" s="54">
        <v>360.2</v>
      </c>
      <c r="E533" s="62">
        <v>857</v>
      </c>
      <c r="F533" s="54">
        <f t="shared" si="44"/>
        <v>358.22791809999995</v>
      </c>
      <c r="G533" s="66">
        <v>25569.041962604166</v>
      </c>
      <c r="H533" s="66">
        <v>25569.041962604166</v>
      </c>
      <c r="I533" s="62">
        <v>22</v>
      </c>
      <c r="J533" s="53"/>
      <c r="K533" s="57" t="s">
        <v>345</v>
      </c>
      <c r="L533" s="52">
        <v>2549</v>
      </c>
      <c r="M533" s="58">
        <f t="shared" si="41"/>
        <v>50.487622245457352</v>
      </c>
      <c r="N533" s="58">
        <v>958.74</v>
      </c>
      <c r="O533" s="60">
        <f t="shared" si="42"/>
        <v>2.6586978742933431</v>
      </c>
      <c r="P533" s="60">
        <f t="shared" si="43"/>
        <v>5.2660389934139969E-2</v>
      </c>
      <c r="Q533" s="63"/>
    </row>
    <row r="534" spans="1:17" ht="17.25" customHeight="1" x14ac:dyDescent="0.2">
      <c r="A534" s="52">
        <v>2665</v>
      </c>
      <c r="B534" s="53" t="s">
        <v>352</v>
      </c>
      <c r="C534" s="57" t="s">
        <v>340</v>
      </c>
      <c r="D534" s="54">
        <v>362.2</v>
      </c>
      <c r="E534" s="62">
        <v>857</v>
      </c>
      <c r="F534" s="54">
        <f t="shared" si="44"/>
        <v>360.21451809999996</v>
      </c>
      <c r="G534" s="66">
        <v>25569.041962604166</v>
      </c>
      <c r="H534" s="66">
        <v>25569.041962604166</v>
      </c>
      <c r="I534" s="62">
        <v>21</v>
      </c>
      <c r="J534" s="53"/>
      <c r="K534" s="57" t="s">
        <v>345</v>
      </c>
      <c r="L534" s="52">
        <v>1602</v>
      </c>
      <c r="M534" s="58">
        <f t="shared" si="41"/>
        <v>40.024992192379003</v>
      </c>
      <c r="N534" s="58">
        <v>877.24</v>
      </c>
      <c r="O534" s="60">
        <f t="shared" si="42"/>
        <v>1.8261821166385481</v>
      </c>
      <c r="P534" s="60">
        <f t="shared" si="43"/>
        <v>4.5626045543270946E-2</v>
      </c>
      <c r="Q534" s="63"/>
    </row>
    <row r="535" spans="1:17" ht="17.25" customHeight="1" x14ac:dyDescent="0.2">
      <c r="A535" s="52">
        <v>2666</v>
      </c>
      <c r="B535" s="53" t="s">
        <v>352</v>
      </c>
      <c r="C535" s="57" t="s">
        <v>340</v>
      </c>
      <c r="D535" s="54">
        <v>364.2</v>
      </c>
      <c r="E535" s="62">
        <v>857</v>
      </c>
      <c r="F535" s="54">
        <f t="shared" si="44"/>
        <v>362.20111809999997</v>
      </c>
      <c r="G535" s="66">
        <v>25569.041962604166</v>
      </c>
      <c r="H535" s="66">
        <v>25569.041962604166</v>
      </c>
      <c r="I535" s="62">
        <v>21</v>
      </c>
      <c r="J535" s="53"/>
      <c r="K535" s="57" t="s">
        <v>345</v>
      </c>
      <c r="L535" s="52">
        <v>1556</v>
      </c>
      <c r="M535" s="58">
        <f t="shared" si="41"/>
        <v>39.446165846632042</v>
      </c>
      <c r="N535" s="58">
        <v>1339.73</v>
      </c>
      <c r="O535" s="60">
        <f t="shared" si="42"/>
        <v>1.1614280489352331</v>
      </c>
      <c r="P535" s="60">
        <f t="shared" si="43"/>
        <v>2.9443369818270875E-2</v>
      </c>
      <c r="Q535" s="63"/>
    </row>
    <row r="536" spans="1:17" ht="17.25" customHeight="1" x14ac:dyDescent="0.2">
      <c r="A536" s="52">
        <v>2667</v>
      </c>
      <c r="B536" s="53" t="s">
        <v>352</v>
      </c>
      <c r="C536" s="57" t="s">
        <v>340</v>
      </c>
      <c r="D536" s="54">
        <v>356.2</v>
      </c>
      <c r="E536" s="62">
        <v>857</v>
      </c>
      <c r="F536" s="54">
        <f t="shared" si="44"/>
        <v>354.25471809999999</v>
      </c>
      <c r="G536" s="66">
        <v>25569.041962604166</v>
      </c>
      <c r="H536" s="66">
        <v>25569.041962604166</v>
      </c>
      <c r="I536" s="62">
        <v>23</v>
      </c>
      <c r="J536" s="53"/>
      <c r="K536" s="57" t="s">
        <v>345</v>
      </c>
      <c r="L536" s="52">
        <v>10545</v>
      </c>
      <c r="M536" s="58">
        <f t="shared" si="41"/>
        <v>102.68885041717041</v>
      </c>
      <c r="N536" s="58">
        <v>1653.01</v>
      </c>
      <c r="O536" s="60">
        <f t="shared" si="42"/>
        <v>6.3792717527419676</v>
      </c>
      <c r="P536" s="60">
        <f t="shared" si="43"/>
        <v>6.2122340710080652E-2</v>
      </c>
      <c r="Q536" s="63"/>
    </row>
    <row r="537" spans="1:17" ht="17.25" customHeight="1" x14ac:dyDescent="0.2">
      <c r="A537" s="52">
        <v>2668</v>
      </c>
      <c r="B537" s="53" t="s">
        <v>352</v>
      </c>
      <c r="C537" s="57" t="s">
        <v>340</v>
      </c>
      <c r="D537" s="54">
        <v>354.2</v>
      </c>
      <c r="E537" s="62">
        <v>857</v>
      </c>
      <c r="F537" s="54">
        <f t="shared" si="44"/>
        <v>352.26811809999998</v>
      </c>
      <c r="G537" s="66">
        <v>25569.041962604166</v>
      </c>
      <c r="H537" s="66">
        <v>25569.041962604166</v>
      </c>
      <c r="I537" s="62">
        <v>24</v>
      </c>
      <c r="J537" s="53"/>
      <c r="K537" s="57" t="s">
        <v>345</v>
      </c>
      <c r="L537" s="52">
        <v>11210</v>
      </c>
      <c r="M537" s="58">
        <f t="shared" ref="M537:M600" si="45">SQRT(L537)</f>
        <v>105.87728746053141</v>
      </c>
      <c r="N537" s="58">
        <v>1174.1099999999999</v>
      </c>
      <c r="O537" s="60">
        <f t="shared" ref="O537:O600" si="46">L537/N537</f>
        <v>9.5476573745219788</v>
      </c>
      <c r="P537" s="60">
        <f t="shared" ref="P537:P600" si="47">M537/N537</f>
        <v>9.0176633757085289E-2</v>
      </c>
      <c r="Q537" s="63"/>
    </row>
    <row r="538" spans="1:17" ht="17.25" customHeight="1" x14ac:dyDescent="0.2">
      <c r="A538" s="52">
        <v>2669</v>
      </c>
      <c r="B538" s="53" t="s">
        <v>352</v>
      </c>
      <c r="C538" s="57" t="s">
        <v>340</v>
      </c>
      <c r="D538" s="54">
        <v>353.2</v>
      </c>
      <c r="E538" s="62">
        <v>857</v>
      </c>
      <c r="F538" s="54">
        <f t="shared" si="44"/>
        <v>351.2748181</v>
      </c>
      <c r="G538" s="66">
        <v>25569.041962604166</v>
      </c>
      <c r="H538" s="66">
        <v>25569.041962604166</v>
      </c>
      <c r="I538" s="62">
        <v>24</v>
      </c>
      <c r="J538" s="53"/>
      <c r="K538" s="57" t="s">
        <v>345</v>
      </c>
      <c r="L538" s="52">
        <v>21838</v>
      </c>
      <c r="M538" s="58">
        <f t="shared" si="45"/>
        <v>147.77685881084358</v>
      </c>
      <c r="N538" s="58">
        <v>1938.67</v>
      </c>
      <c r="O538" s="60">
        <f t="shared" si="46"/>
        <v>11.264423548102565</v>
      </c>
      <c r="P538" s="60">
        <f t="shared" si="47"/>
        <v>7.6225896522277417E-2</v>
      </c>
      <c r="Q538" s="63"/>
    </row>
    <row r="539" spans="1:17" ht="17.25" customHeight="1" x14ac:dyDescent="0.2">
      <c r="A539" s="52">
        <v>2670</v>
      </c>
      <c r="B539" s="53" t="s">
        <v>352</v>
      </c>
      <c r="C539" s="57" t="s">
        <v>340</v>
      </c>
      <c r="D539" s="54">
        <v>352.2</v>
      </c>
      <c r="E539" s="62">
        <v>857</v>
      </c>
      <c r="F539" s="54">
        <f t="shared" si="44"/>
        <v>350.28151809999997</v>
      </c>
      <c r="G539" s="66">
        <v>25569.041962604166</v>
      </c>
      <c r="H539" s="66">
        <v>25569.041962604166</v>
      </c>
      <c r="I539" s="62">
        <v>25</v>
      </c>
      <c r="J539" s="53"/>
      <c r="K539" s="57" t="s">
        <v>345</v>
      </c>
      <c r="L539" s="52">
        <v>20753</v>
      </c>
      <c r="M539" s="58">
        <f t="shared" si="45"/>
        <v>144.05901568454507</v>
      </c>
      <c r="N539" s="58">
        <v>1551.29</v>
      </c>
      <c r="O539" s="60">
        <f t="shared" si="46"/>
        <v>13.377898394239633</v>
      </c>
      <c r="P539" s="60">
        <f t="shared" si="47"/>
        <v>9.2864013617405566E-2</v>
      </c>
      <c r="Q539" s="63"/>
    </row>
    <row r="540" spans="1:17" ht="17.25" customHeight="1" x14ac:dyDescent="0.2">
      <c r="A540" s="52">
        <v>2671</v>
      </c>
      <c r="B540" s="53" t="s">
        <v>352</v>
      </c>
      <c r="C540" s="57" t="s">
        <v>340</v>
      </c>
      <c r="D540" s="54">
        <v>350.2</v>
      </c>
      <c r="E540" s="62">
        <v>857</v>
      </c>
      <c r="F540" s="54">
        <f t="shared" si="44"/>
        <v>348.29491809999996</v>
      </c>
      <c r="G540" s="66">
        <v>25569.041962604166</v>
      </c>
      <c r="H540" s="66">
        <v>25569.041962604166</v>
      </c>
      <c r="I540" s="62">
        <v>26</v>
      </c>
      <c r="J540" s="53"/>
      <c r="K540" s="57" t="s">
        <v>345</v>
      </c>
      <c r="L540" s="52">
        <v>22575</v>
      </c>
      <c r="M540" s="58">
        <f t="shared" si="45"/>
        <v>150.24979201316719</v>
      </c>
      <c r="N540" s="58">
        <v>1267.93</v>
      </c>
      <c r="O540" s="60">
        <f t="shared" si="46"/>
        <v>17.804610664626594</v>
      </c>
      <c r="P540" s="60">
        <f t="shared" si="47"/>
        <v>0.11850006862616011</v>
      </c>
      <c r="Q540" s="63"/>
    </row>
    <row r="541" spans="1:17" ht="17.25" customHeight="1" x14ac:dyDescent="0.2">
      <c r="A541" s="52">
        <v>2672</v>
      </c>
      <c r="B541" s="53" t="s">
        <v>352</v>
      </c>
      <c r="C541" s="57" t="s">
        <v>340</v>
      </c>
      <c r="D541" s="54">
        <v>349.2</v>
      </c>
      <c r="E541" s="62">
        <v>857</v>
      </c>
      <c r="F541" s="54">
        <f t="shared" si="44"/>
        <v>347.30161809999998</v>
      </c>
      <c r="G541" s="66">
        <v>25569.041962604166</v>
      </c>
      <c r="H541" s="66">
        <v>25569.041962604166</v>
      </c>
      <c r="I541" s="62">
        <v>26</v>
      </c>
      <c r="J541" s="53"/>
      <c r="K541" s="57" t="s">
        <v>345</v>
      </c>
      <c r="L541" s="52">
        <v>22078</v>
      </c>
      <c r="M541" s="58">
        <f t="shared" si="45"/>
        <v>148.58667504187582</v>
      </c>
      <c r="N541" s="58">
        <v>1108.31</v>
      </c>
      <c r="O541" s="60">
        <f t="shared" si="46"/>
        <v>19.920419377250049</v>
      </c>
      <c r="P541" s="60">
        <f t="shared" si="47"/>
        <v>0.13406598789316693</v>
      </c>
      <c r="Q541" s="63"/>
    </row>
    <row r="542" spans="1:17" ht="17.25" customHeight="1" x14ac:dyDescent="0.2">
      <c r="A542" s="52">
        <v>2673</v>
      </c>
      <c r="B542" s="53" t="s">
        <v>157</v>
      </c>
      <c r="C542" s="57" t="s">
        <v>340</v>
      </c>
      <c r="D542" s="54">
        <v>231.2</v>
      </c>
      <c r="E542" s="62">
        <v>854</v>
      </c>
      <c r="F542" s="54">
        <f t="shared" si="44"/>
        <v>230.08923819999998</v>
      </c>
      <c r="G542" s="66">
        <v>25569.041962604166</v>
      </c>
      <c r="H542" s="66">
        <v>25569.041962604166</v>
      </c>
      <c r="I542" s="62">
        <v>40</v>
      </c>
      <c r="J542" s="53"/>
      <c r="K542" s="57" t="s">
        <v>345</v>
      </c>
      <c r="L542" s="52">
        <v>2760671</v>
      </c>
      <c r="M542" s="58">
        <f t="shared" si="45"/>
        <v>1661.526707579508</v>
      </c>
      <c r="N542" s="58">
        <v>737893.33</v>
      </c>
      <c r="O542" s="60">
        <f t="shared" si="46"/>
        <v>3.7412873755072433</v>
      </c>
      <c r="P542" s="60">
        <f t="shared" si="47"/>
        <v>2.2517166642223316E-3</v>
      </c>
      <c r="Q542" s="63"/>
    </row>
    <row r="543" spans="1:17" ht="17.25" customHeight="1" x14ac:dyDescent="0.2">
      <c r="A543" s="52">
        <v>2674</v>
      </c>
      <c r="B543" s="53" t="s">
        <v>9</v>
      </c>
      <c r="C543" s="57" t="s">
        <v>340</v>
      </c>
      <c r="D543" s="54">
        <v>233.2</v>
      </c>
      <c r="E543" s="62">
        <v>854</v>
      </c>
      <c r="F543" s="54">
        <f t="shared" si="44"/>
        <v>232.07583819999999</v>
      </c>
      <c r="G543" s="66">
        <v>25569.041962604166</v>
      </c>
      <c r="H543" s="66">
        <v>25569.041962604166</v>
      </c>
      <c r="I543" s="62">
        <v>40</v>
      </c>
      <c r="J543" s="53"/>
      <c r="K543" s="57" t="s">
        <v>345</v>
      </c>
      <c r="L543" s="52">
        <v>41492</v>
      </c>
      <c r="M543" s="58">
        <f t="shared" si="45"/>
        <v>203.69585170051943</v>
      </c>
      <c r="N543" s="58">
        <v>13525.65</v>
      </c>
      <c r="O543" s="60">
        <f t="shared" si="46"/>
        <v>3.0676529408937836</v>
      </c>
      <c r="P543" s="60">
        <f t="shared" si="47"/>
        <v>1.5059967668875022E-2</v>
      </c>
      <c r="Q543" s="63"/>
    </row>
    <row r="544" spans="1:17" ht="17.25" customHeight="1" x14ac:dyDescent="0.2">
      <c r="A544" s="52">
        <v>2675</v>
      </c>
      <c r="B544" s="53" t="s">
        <v>9</v>
      </c>
      <c r="C544" s="57" t="s">
        <v>340</v>
      </c>
      <c r="D544" s="54">
        <v>235.2</v>
      </c>
      <c r="E544" s="62">
        <v>854</v>
      </c>
      <c r="F544" s="54">
        <f t="shared" si="44"/>
        <v>234.0624382</v>
      </c>
      <c r="G544" s="66">
        <v>25569.041962604166</v>
      </c>
      <c r="H544" s="66">
        <v>25569.041962604166</v>
      </c>
      <c r="I544" s="62">
        <v>40</v>
      </c>
      <c r="J544" s="53"/>
      <c r="K544" s="57" t="s">
        <v>345</v>
      </c>
      <c r="L544" s="52">
        <v>10283</v>
      </c>
      <c r="M544" s="58">
        <f t="shared" si="45"/>
        <v>101.4051280754578</v>
      </c>
      <c r="N544" s="58">
        <v>4529.04</v>
      </c>
      <c r="O544" s="60">
        <f t="shared" si="46"/>
        <v>2.2704590818363273</v>
      </c>
      <c r="P544" s="60">
        <f t="shared" si="47"/>
        <v>2.2389982882787037E-2</v>
      </c>
      <c r="Q544" s="63"/>
    </row>
    <row r="545" spans="1:17" ht="17.25" customHeight="1" x14ac:dyDescent="0.2">
      <c r="A545" s="52">
        <v>2676</v>
      </c>
      <c r="B545" s="53" t="s">
        <v>9</v>
      </c>
      <c r="C545" s="57" t="s">
        <v>340</v>
      </c>
      <c r="D545" s="54">
        <v>237.2</v>
      </c>
      <c r="E545" s="62">
        <v>854</v>
      </c>
      <c r="F545" s="54">
        <f t="shared" si="44"/>
        <v>236.04903819999998</v>
      </c>
      <c r="G545" s="66">
        <v>25569.041962604166</v>
      </c>
      <c r="H545" s="66">
        <v>25569.041962604166</v>
      </c>
      <c r="I545" s="62">
        <v>40</v>
      </c>
      <c r="J545" s="53"/>
      <c r="K545" s="57" t="s">
        <v>345</v>
      </c>
      <c r="L545" s="52">
        <v>10404</v>
      </c>
      <c r="M545" s="58">
        <f t="shared" si="45"/>
        <v>102</v>
      </c>
      <c r="N545" s="58">
        <v>6411.89</v>
      </c>
      <c r="O545" s="60">
        <f t="shared" si="46"/>
        <v>1.6226104939417239</v>
      </c>
      <c r="P545" s="60">
        <f t="shared" si="47"/>
        <v>1.5907946019036508E-2</v>
      </c>
      <c r="Q545" s="63"/>
    </row>
    <row r="546" spans="1:17" ht="17.25" customHeight="1" x14ac:dyDescent="0.2">
      <c r="A546" s="52">
        <v>2677</v>
      </c>
      <c r="B546" s="53" t="s">
        <v>9</v>
      </c>
      <c r="C546" s="57" t="s">
        <v>340</v>
      </c>
      <c r="D546" s="54">
        <v>239.2</v>
      </c>
      <c r="E546" s="62">
        <v>854</v>
      </c>
      <c r="F546" s="54">
        <f t="shared" si="44"/>
        <v>238.03563819999999</v>
      </c>
      <c r="G546" s="66">
        <v>25569.041962604166</v>
      </c>
      <c r="H546" s="66">
        <v>25569.041962604166</v>
      </c>
      <c r="I546" s="62">
        <v>40</v>
      </c>
      <c r="J546" s="53"/>
      <c r="K546" s="57" t="s">
        <v>345</v>
      </c>
      <c r="L546" s="52">
        <v>11434</v>
      </c>
      <c r="M546" s="58">
        <f t="shared" si="45"/>
        <v>106.92988356862641</v>
      </c>
      <c r="N546" s="58">
        <v>9943.56</v>
      </c>
      <c r="O546" s="60">
        <f t="shared" si="46"/>
        <v>1.1498899790417114</v>
      </c>
      <c r="P546" s="60">
        <f t="shared" si="47"/>
        <v>1.0753682138854335E-2</v>
      </c>
      <c r="Q546" s="63"/>
    </row>
    <row r="547" spans="1:17" ht="17.25" customHeight="1" x14ac:dyDescent="0.2">
      <c r="A547" s="52">
        <v>2678</v>
      </c>
      <c r="B547" s="53" t="s">
        <v>9</v>
      </c>
      <c r="C547" s="57" t="s">
        <v>340</v>
      </c>
      <c r="D547" s="54">
        <v>241.2</v>
      </c>
      <c r="E547" s="62">
        <v>854</v>
      </c>
      <c r="F547" s="54">
        <f t="shared" si="44"/>
        <v>240.0222382</v>
      </c>
      <c r="G547" s="66">
        <v>25569.041962604166</v>
      </c>
      <c r="H547" s="66">
        <v>25569.041962604166</v>
      </c>
      <c r="I547" s="62">
        <v>40</v>
      </c>
      <c r="J547" s="53"/>
      <c r="K547" s="57" t="s">
        <v>345</v>
      </c>
      <c r="L547" s="52">
        <v>8191</v>
      </c>
      <c r="M547" s="58">
        <f t="shared" si="45"/>
        <v>90.504143551552374</v>
      </c>
      <c r="N547" s="58">
        <v>9148.2099999999991</v>
      </c>
      <c r="O547" s="60">
        <f t="shared" si="46"/>
        <v>0.89536641594366562</v>
      </c>
      <c r="P547" s="60">
        <f t="shared" si="47"/>
        <v>9.8930986008795574E-3</v>
      </c>
      <c r="Q547" s="63"/>
    </row>
    <row r="548" spans="1:17" ht="17.25" customHeight="1" x14ac:dyDescent="0.2">
      <c r="A548" s="52">
        <v>2679</v>
      </c>
      <c r="B548" s="53" t="s">
        <v>9</v>
      </c>
      <c r="C548" s="57" t="s">
        <v>340</v>
      </c>
      <c r="D548" s="54">
        <v>242.2</v>
      </c>
      <c r="E548" s="62">
        <v>854</v>
      </c>
      <c r="F548" s="54">
        <f t="shared" si="44"/>
        <v>241.01553820000001</v>
      </c>
      <c r="G548" s="66">
        <v>25569.041962604166</v>
      </c>
      <c r="H548" s="66">
        <v>25569.041962604166</v>
      </c>
      <c r="I548" s="62">
        <v>40</v>
      </c>
      <c r="J548" s="53"/>
      <c r="K548" s="57" t="s">
        <v>345</v>
      </c>
      <c r="L548" s="52">
        <v>5096</v>
      </c>
      <c r="M548" s="58">
        <f t="shared" si="45"/>
        <v>71.386273190298994</v>
      </c>
      <c r="N548" s="58">
        <v>5509.61</v>
      </c>
      <c r="O548" s="60">
        <f t="shared" si="46"/>
        <v>0.9249293507162939</v>
      </c>
      <c r="P548" s="60">
        <f t="shared" si="47"/>
        <v>1.2956683538453539E-2</v>
      </c>
      <c r="Q548" s="63"/>
    </row>
    <row r="549" spans="1:17" ht="17.25" customHeight="1" x14ac:dyDescent="0.2">
      <c r="A549" s="52">
        <v>2680</v>
      </c>
      <c r="B549" s="53" t="s">
        <v>9</v>
      </c>
      <c r="C549" s="57" t="s">
        <v>340</v>
      </c>
      <c r="D549" s="54">
        <v>243.2</v>
      </c>
      <c r="E549" s="62">
        <v>854</v>
      </c>
      <c r="F549" s="54">
        <f t="shared" si="44"/>
        <v>242.00883819999999</v>
      </c>
      <c r="G549" s="66">
        <v>25569.041962604166</v>
      </c>
      <c r="H549" s="66">
        <v>25569.041962604166</v>
      </c>
      <c r="I549" s="62">
        <v>40</v>
      </c>
      <c r="J549" s="53"/>
      <c r="K549" s="57" t="s">
        <v>345</v>
      </c>
      <c r="L549" s="52">
        <v>5273</v>
      </c>
      <c r="M549" s="58">
        <f t="shared" si="45"/>
        <v>72.615425358528341</v>
      </c>
      <c r="N549" s="58">
        <v>5999.48</v>
      </c>
      <c r="O549" s="60">
        <f t="shared" si="46"/>
        <v>0.87890950549047586</v>
      </c>
      <c r="P549" s="60">
        <f t="shared" si="47"/>
        <v>1.2103619873477092E-2</v>
      </c>
      <c r="Q549" s="63"/>
    </row>
    <row r="550" spans="1:17" ht="17.25" customHeight="1" x14ac:dyDescent="0.2">
      <c r="A550" s="52">
        <v>2681</v>
      </c>
      <c r="B550" s="53" t="s">
        <v>9</v>
      </c>
      <c r="C550" s="57" t="s">
        <v>340</v>
      </c>
      <c r="D550" s="54">
        <v>244.5</v>
      </c>
      <c r="E550" s="62">
        <v>854</v>
      </c>
      <c r="F550" s="54">
        <f t="shared" si="44"/>
        <v>243.30012820000002</v>
      </c>
      <c r="G550" s="66">
        <v>25569.041962604166</v>
      </c>
      <c r="H550" s="66">
        <v>25569.041962604166</v>
      </c>
      <c r="I550" s="62">
        <v>40</v>
      </c>
      <c r="J550" s="53"/>
      <c r="K550" s="57" t="s">
        <v>345</v>
      </c>
      <c r="L550" s="52">
        <v>5132</v>
      </c>
      <c r="M550" s="58">
        <f t="shared" si="45"/>
        <v>71.637978754289264</v>
      </c>
      <c r="N550" s="58">
        <v>6167.35</v>
      </c>
      <c r="O550" s="60">
        <f t="shared" si="46"/>
        <v>0.83212400788020779</v>
      </c>
      <c r="P550" s="60">
        <f t="shared" si="47"/>
        <v>1.161568238453943E-2</v>
      </c>
      <c r="Q550" s="63"/>
    </row>
    <row r="551" spans="1:17" ht="17.25" customHeight="1" x14ac:dyDescent="0.2">
      <c r="A551" s="52">
        <v>2682</v>
      </c>
      <c r="B551" s="53" t="s">
        <v>9</v>
      </c>
      <c r="C551" s="57" t="s">
        <v>340</v>
      </c>
      <c r="D551" s="54">
        <v>246.2</v>
      </c>
      <c r="E551" s="62">
        <v>854</v>
      </c>
      <c r="F551" s="54">
        <f t="shared" si="44"/>
        <v>244.9887382</v>
      </c>
      <c r="G551" s="66">
        <v>25569.041962604166</v>
      </c>
      <c r="H551" s="66">
        <v>25569.041962604166</v>
      </c>
      <c r="I551" s="62">
        <v>40</v>
      </c>
      <c r="J551" s="53"/>
      <c r="K551" s="57" t="s">
        <v>345</v>
      </c>
      <c r="L551" s="52">
        <v>3094</v>
      </c>
      <c r="M551" s="58">
        <f t="shared" si="45"/>
        <v>55.623735940693521</v>
      </c>
      <c r="N551" s="58">
        <v>5248.38</v>
      </c>
      <c r="O551" s="60">
        <f t="shared" si="46"/>
        <v>0.58951524089338048</v>
      </c>
      <c r="P551" s="60">
        <f t="shared" si="47"/>
        <v>1.0598267644624345E-2</v>
      </c>
      <c r="Q551" s="63"/>
    </row>
    <row r="552" spans="1:17" ht="17.25" customHeight="1" x14ac:dyDescent="0.2">
      <c r="A552" s="52">
        <v>2683</v>
      </c>
      <c r="B552" s="53" t="s">
        <v>9</v>
      </c>
      <c r="C552" s="57" t="s">
        <v>340</v>
      </c>
      <c r="D552" s="54">
        <v>248.2</v>
      </c>
      <c r="E552" s="62">
        <v>854</v>
      </c>
      <c r="F552" s="54">
        <f t="shared" si="44"/>
        <v>246.97533819999998</v>
      </c>
      <c r="G552" s="66">
        <v>25569.041962604166</v>
      </c>
      <c r="H552" s="66">
        <v>25569.041962604166</v>
      </c>
      <c r="I552" s="62">
        <v>40</v>
      </c>
      <c r="J552" s="53"/>
      <c r="K552" s="57" t="s">
        <v>345</v>
      </c>
      <c r="L552" s="52">
        <v>3085</v>
      </c>
      <c r="M552" s="58">
        <f t="shared" si="45"/>
        <v>55.542776307995261</v>
      </c>
      <c r="N552" s="58">
        <v>7010.18</v>
      </c>
      <c r="O552" s="60">
        <f t="shared" si="46"/>
        <v>0.44007429195826636</v>
      </c>
      <c r="P552" s="60">
        <f t="shared" si="47"/>
        <v>7.9231597916166567E-3</v>
      </c>
      <c r="Q552" s="63"/>
    </row>
    <row r="553" spans="1:17" ht="17.25" customHeight="1" x14ac:dyDescent="0.2">
      <c r="A553" s="52">
        <v>2684</v>
      </c>
      <c r="B553" s="53" t="s">
        <v>9</v>
      </c>
      <c r="C553" s="57" t="s">
        <v>340</v>
      </c>
      <c r="D553" s="54">
        <v>250.2</v>
      </c>
      <c r="E553" s="62">
        <v>854</v>
      </c>
      <c r="F553" s="54">
        <f t="shared" si="44"/>
        <v>248.96193819999999</v>
      </c>
      <c r="G553" s="66">
        <v>25569.041962604166</v>
      </c>
      <c r="H553" s="66">
        <v>25569.041962604166</v>
      </c>
      <c r="I553" s="62">
        <v>40</v>
      </c>
      <c r="J553" s="53"/>
      <c r="K553" s="57" t="s">
        <v>345</v>
      </c>
      <c r="L553" s="52">
        <v>3031</v>
      </c>
      <c r="M553" s="58">
        <f t="shared" si="45"/>
        <v>55.054518434003214</v>
      </c>
      <c r="N553" s="62">
        <v>8900</v>
      </c>
      <c r="O553" s="60">
        <f t="shared" si="46"/>
        <v>0.34056179775280898</v>
      </c>
      <c r="P553" s="60">
        <f t="shared" si="47"/>
        <v>6.1859009476408107E-3</v>
      </c>
      <c r="Q553" s="63"/>
    </row>
    <row r="554" spans="1:17" ht="17.25" customHeight="1" x14ac:dyDescent="0.2">
      <c r="A554" s="52">
        <v>2685</v>
      </c>
      <c r="B554" s="53" t="s">
        <v>157</v>
      </c>
      <c r="C554" s="57" t="s">
        <v>340</v>
      </c>
      <c r="D554" s="54">
        <v>242.3</v>
      </c>
      <c r="E554" s="62">
        <v>865</v>
      </c>
      <c r="F554" s="54">
        <f t="shared" si="44"/>
        <v>241.12579450000001</v>
      </c>
      <c r="G554" s="66">
        <v>25569.041962604166</v>
      </c>
      <c r="H554" s="66">
        <v>25569.041962604166</v>
      </c>
      <c r="I554" s="62">
        <v>40</v>
      </c>
      <c r="J554" s="53"/>
      <c r="K554" s="57" t="s">
        <v>345</v>
      </c>
      <c r="L554" s="52">
        <v>2137901</v>
      </c>
      <c r="M554" s="58">
        <f t="shared" si="45"/>
        <v>1462.1562843964389</v>
      </c>
      <c r="N554" s="58">
        <v>2267646.52</v>
      </c>
      <c r="O554" s="60">
        <f t="shared" si="46"/>
        <v>0.9427840631881198</v>
      </c>
      <c r="P554" s="60">
        <f t="shared" si="47"/>
        <v>6.4479021377478131E-4</v>
      </c>
      <c r="Q554" s="63"/>
    </row>
    <row r="555" spans="1:17" ht="17.25" customHeight="1" x14ac:dyDescent="0.2">
      <c r="A555" s="52">
        <v>2686</v>
      </c>
      <c r="B555" s="53" t="s">
        <v>354</v>
      </c>
      <c r="C555" s="57" t="s">
        <v>340</v>
      </c>
      <c r="D555" s="54">
        <v>334.2</v>
      </c>
      <c r="E555" s="62">
        <v>827</v>
      </c>
      <c r="F555" s="54">
        <f t="shared" si="44"/>
        <v>332.37231909999997</v>
      </c>
      <c r="G555" s="66">
        <v>25569.041962604166</v>
      </c>
      <c r="H555" s="66">
        <v>25569.041962604166</v>
      </c>
      <c r="I555" s="62">
        <v>31</v>
      </c>
      <c r="J555" s="53"/>
      <c r="K555" s="57" t="s">
        <v>345</v>
      </c>
      <c r="L555" s="52">
        <v>2063</v>
      </c>
      <c r="M555" s="58">
        <f t="shared" si="45"/>
        <v>45.420259796703057</v>
      </c>
      <c r="N555" s="58">
        <v>7326.59</v>
      </c>
      <c r="O555" s="60">
        <f t="shared" si="46"/>
        <v>0.2815771047649725</v>
      </c>
      <c r="P555" s="60">
        <f t="shared" si="47"/>
        <v>6.1993723951665174E-3</v>
      </c>
      <c r="Q555" s="63"/>
    </row>
    <row r="556" spans="1:17" ht="17.25" customHeight="1" x14ac:dyDescent="0.2">
      <c r="A556" s="52">
        <v>2687</v>
      </c>
      <c r="B556" s="53" t="s">
        <v>354</v>
      </c>
      <c r="C556" s="57" t="s">
        <v>340</v>
      </c>
      <c r="D556" s="54">
        <v>336.2</v>
      </c>
      <c r="E556" s="62">
        <v>827</v>
      </c>
      <c r="F556" s="54">
        <f t="shared" si="44"/>
        <v>334.35891909999992</v>
      </c>
      <c r="G556" s="66">
        <v>25569.041962604166</v>
      </c>
      <c r="H556" s="66">
        <v>25569.041962604166</v>
      </c>
      <c r="I556" s="62">
        <v>31</v>
      </c>
      <c r="J556" s="53"/>
      <c r="K556" s="57" t="s">
        <v>345</v>
      </c>
      <c r="L556" s="52">
        <v>2119</v>
      </c>
      <c r="M556" s="58">
        <f t="shared" si="45"/>
        <v>46.032597145935618</v>
      </c>
      <c r="N556" s="58">
        <v>5208.93</v>
      </c>
      <c r="O556" s="60">
        <f t="shared" si="46"/>
        <v>0.40680139683197891</v>
      </c>
      <c r="P556" s="60">
        <f t="shared" si="47"/>
        <v>8.8372462570884269E-3</v>
      </c>
      <c r="Q556" s="63"/>
    </row>
    <row r="557" spans="1:17" ht="17.25" customHeight="1" x14ac:dyDescent="0.2">
      <c r="A557" s="52">
        <v>2688</v>
      </c>
      <c r="B557" s="53" t="s">
        <v>354</v>
      </c>
      <c r="C557" s="57" t="s">
        <v>340</v>
      </c>
      <c r="D557" s="54">
        <v>338.2</v>
      </c>
      <c r="E557" s="62">
        <v>827</v>
      </c>
      <c r="F557" s="54">
        <f t="shared" si="44"/>
        <v>336.34551909999993</v>
      </c>
      <c r="G557" s="66">
        <v>25569.041962604166</v>
      </c>
      <c r="H557" s="66">
        <v>25569.041962604166</v>
      </c>
      <c r="I557" s="62">
        <v>31</v>
      </c>
      <c r="J557" s="53"/>
      <c r="K557" s="57" t="s">
        <v>345</v>
      </c>
      <c r="L557" s="52">
        <v>2116</v>
      </c>
      <c r="M557" s="58">
        <f t="shared" si="45"/>
        <v>46</v>
      </c>
      <c r="N557" s="58">
        <v>3410.52</v>
      </c>
      <c r="O557" s="60">
        <f t="shared" si="46"/>
        <v>0.62043324771589081</v>
      </c>
      <c r="P557" s="60">
        <f t="shared" si="47"/>
        <v>1.348767929817154E-2</v>
      </c>
      <c r="Q557" s="63"/>
    </row>
    <row r="558" spans="1:17" ht="17.25" customHeight="1" x14ac:dyDescent="0.2">
      <c r="A558" s="52">
        <v>2689</v>
      </c>
      <c r="B558" s="53" t="s">
        <v>354</v>
      </c>
      <c r="C558" s="57" t="s">
        <v>340</v>
      </c>
      <c r="D558" s="54">
        <v>340.2</v>
      </c>
      <c r="E558" s="62">
        <v>827</v>
      </c>
      <c r="F558" s="54">
        <f t="shared" si="44"/>
        <v>338.33211909999994</v>
      </c>
      <c r="G558" s="66">
        <v>25569.041962604166</v>
      </c>
      <c r="H558" s="66">
        <v>25569.041962604166</v>
      </c>
      <c r="I558" s="62">
        <v>31</v>
      </c>
      <c r="J558" s="53"/>
      <c r="K558" s="57" t="s">
        <v>345</v>
      </c>
      <c r="L558" s="52">
        <v>2476</v>
      </c>
      <c r="M558" s="58">
        <f t="shared" si="45"/>
        <v>49.759421218498915</v>
      </c>
      <c r="N558" s="58">
        <v>2194.12</v>
      </c>
      <c r="O558" s="60">
        <f t="shared" si="46"/>
        <v>1.1284706397097699</v>
      </c>
      <c r="P558" s="60">
        <f t="shared" si="47"/>
        <v>2.267853226737777E-2</v>
      </c>
      <c r="Q558" s="63"/>
    </row>
    <row r="559" spans="1:17" ht="17.25" customHeight="1" x14ac:dyDescent="0.2">
      <c r="A559" s="52">
        <v>2690</v>
      </c>
      <c r="B559" s="53" t="s">
        <v>354</v>
      </c>
      <c r="C559" s="57" t="s">
        <v>340</v>
      </c>
      <c r="D559" s="54">
        <v>341.2</v>
      </c>
      <c r="E559" s="62">
        <v>827</v>
      </c>
      <c r="F559" s="54">
        <f t="shared" si="44"/>
        <v>339.32541909999998</v>
      </c>
      <c r="G559" s="66">
        <v>25569.041962604166</v>
      </c>
      <c r="H559" s="66">
        <v>25569.041962604166</v>
      </c>
      <c r="I559" s="62">
        <v>31</v>
      </c>
      <c r="J559" s="53"/>
      <c r="K559" s="57" t="s">
        <v>345</v>
      </c>
      <c r="L559" s="52">
        <v>5252</v>
      </c>
      <c r="M559" s="58">
        <f t="shared" si="45"/>
        <v>72.47068372797375</v>
      </c>
      <c r="N559" s="58">
        <v>3098.66</v>
      </c>
      <c r="O559" s="60">
        <f t="shared" si="46"/>
        <v>1.6949261939031712</v>
      </c>
      <c r="P559" s="60">
        <f t="shared" si="47"/>
        <v>2.3387749455562646E-2</v>
      </c>
      <c r="Q559" s="63"/>
    </row>
    <row r="560" spans="1:17" ht="17.25" customHeight="1" x14ac:dyDescent="0.2">
      <c r="A560" s="52">
        <v>2691</v>
      </c>
      <c r="B560" s="53" t="s">
        <v>354</v>
      </c>
      <c r="C560" s="57" t="s">
        <v>340</v>
      </c>
      <c r="D560" s="54">
        <v>342.2</v>
      </c>
      <c r="E560" s="62">
        <v>827</v>
      </c>
      <c r="F560" s="54">
        <f t="shared" si="44"/>
        <v>340.31871909999995</v>
      </c>
      <c r="G560" s="66">
        <v>25569.041962604166</v>
      </c>
      <c r="H560" s="66">
        <v>25569.041962604166</v>
      </c>
      <c r="I560" s="62">
        <v>30</v>
      </c>
      <c r="J560" s="53"/>
      <c r="K560" s="57" t="s">
        <v>345</v>
      </c>
      <c r="L560" s="52">
        <v>6227</v>
      </c>
      <c r="M560" s="58">
        <f t="shared" si="45"/>
        <v>78.911342657440571</v>
      </c>
      <c r="N560" s="58">
        <v>2374.13</v>
      </c>
      <c r="O560" s="60">
        <f t="shared" si="46"/>
        <v>2.6228555302363392</v>
      </c>
      <c r="P560" s="60">
        <f t="shared" si="47"/>
        <v>3.3238004093053275E-2</v>
      </c>
      <c r="Q560" s="63"/>
    </row>
    <row r="561" spans="1:17" ht="17.25" customHeight="1" x14ac:dyDescent="0.2">
      <c r="A561" s="52">
        <v>2692</v>
      </c>
      <c r="B561" s="53" t="s">
        <v>354</v>
      </c>
      <c r="C561" s="57" t="s">
        <v>340</v>
      </c>
      <c r="D561" s="54">
        <v>343.2</v>
      </c>
      <c r="E561" s="62">
        <v>827</v>
      </c>
      <c r="F561" s="54">
        <f t="shared" si="44"/>
        <v>341.31201909999993</v>
      </c>
      <c r="G561" s="66">
        <v>25569.041962604166</v>
      </c>
      <c r="H561" s="66">
        <v>25569.041962604166</v>
      </c>
      <c r="I561" s="62">
        <v>30</v>
      </c>
      <c r="J561" s="53"/>
      <c r="K561" s="57" t="s">
        <v>345</v>
      </c>
      <c r="L561" s="52">
        <v>8384</v>
      </c>
      <c r="M561" s="58">
        <f t="shared" si="45"/>
        <v>91.56418513807678</v>
      </c>
      <c r="N561" s="58">
        <v>1787.97</v>
      </c>
      <c r="O561" s="60">
        <f t="shared" si="46"/>
        <v>4.6891167077747387</v>
      </c>
      <c r="P561" s="60">
        <f t="shared" si="47"/>
        <v>5.1211253621748005E-2</v>
      </c>
      <c r="Q561" s="63"/>
    </row>
    <row r="562" spans="1:17" ht="17.25" customHeight="1" x14ac:dyDescent="0.2">
      <c r="A562" s="52">
        <v>2693</v>
      </c>
      <c r="B562" s="53" t="s">
        <v>354</v>
      </c>
      <c r="C562" s="57" t="s">
        <v>340</v>
      </c>
      <c r="D562" s="54">
        <v>344.2</v>
      </c>
      <c r="E562" s="62">
        <v>827</v>
      </c>
      <c r="F562" s="54">
        <f t="shared" si="44"/>
        <v>342.30531909999996</v>
      </c>
      <c r="G562" s="66">
        <v>25569.041962604166</v>
      </c>
      <c r="H562" s="66">
        <v>25569.041962604166</v>
      </c>
      <c r="I562" s="62">
        <v>30</v>
      </c>
      <c r="J562" s="53"/>
      <c r="K562" s="57" t="s">
        <v>345</v>
      </c>
      <c r="L562" s="52">
        <v>14022</v>
      </c>
      <c r="M562" s="58">
        <f t="shared" si="45"/>
        <v>118.41452613594331</v>
      </c>
      <c r="N562" s="58">
        <v>1455.72</v>
      </c>
      <c r="O562" s="60">
        <f t="shared" si="46"/>
        <v>9.6323468798944845</v>
      </c>
      <c r="P562" s="60">
        <f t="shared" si="47"/>
        <v>8.1344301195245855E-2</v>
      </c>
      <c r="Q562" s="63"/>
    </row>
    <row r="563" spans="1:17" ht="17.25" customHeight="1" x14ac:dyDescent="0.2">
      <c r="A563" s="52">
        <v>2694</v>
      </c>
      <c r="B563" s="53" t="s">
        <v>354</v>
      </c>
      <c r="C563" s="57" t="s">
        <v>340</v>
      </c>
      <c r="D563" s="54">
        <v>345.2</v>
      </c>
      <c r="E563" s="62">
        <v>827</v>
      </c>
      <c r="F563" s="54">
        <f t="shared" si="44"/>
        <v>343.29861909999994</v>
      </c>
      <c r="G563" s="66">
        <v>25569.041962604166</v>
      </c>
      <c r="H563" s="66">
        <v>25569.041962604166</v>
      </c>
      <c r="I563" s="62">
        <v>30</v>
      </c>
      <c r="J563" s="53"/>
      <c r="K563" s="57" t="s">
        <v>345</v>
      </c>
      <c r="L563" s="52">
        <v>13134</v>
      </c>
      <c r="M563" s="58">
        <f t="shared" si="45"/>
        <v>114.60366486286553</v>
      </c>
      <c r="N563" s="58">
        <v>961.21</v>
      </c>
      <c r="O563" s="60">
        <f t="shared" si="46"/>
        <v>13.664027631839035</v>
      </c>
      <c r="P563" s="60">
        <f t="shared" si="47"/>
        <v>0.11922853992661908</v>
      </c>
      <c r="Q563" s="63"/>
    </row>
    <row r="564" spans="1:17" ht="17.25" customHeight="1" x14ac:dyDescent="0.2">
      <c r="A564" s="52">
        <v>2695</v>
      </c>
      <c r="B564" s="53" t="s">
        <v>354</v>
      </c>
      <c r="C564" s="57" t="s">
        <v>340</v>
      </c>
      <c r="D564" s="54">
        <v>346.2</v>
      </c>
      <c r="E564" s="62">
        <v>827</v>
      </c>
      <c r="F564" s="54">
        <f t="shared" si="44"/>
        <v>344.29191909999997</v>
      </c>
      <c r="G564" s="66">
        <v>25569.041962604166</v>
      </c>
      <c r="H564" s="66">
        <v>25569.041962604166</v>
      </c>
      <c r="I564" s="62">
        <v>30</v>
      </c>
      <c r="J564" s="53"/>
      <c r="K564" s="57" t="s">
        <v>345</v>
      </c>
      <c r="L564" s="52">
        <v>11929</v>
      </c>
      <c r="M564" s="58">
        <f t="shared" si="45"/>
        <v>109.21996154549771</v>
      </c>
      <c r="N564" s="58">
        <v>696.59</v>
      </c>
      <c r="O564" s="60">
        <f t="shared" si="46"/>
        <v>17.124851060164517</v>
      </c>
      <c r="P564" s="60">
        <f t="shared" si="47"/>
        <v>0.15679231907649796</v>
      </c>
      <c r="Q564" s="63"/>
    </row>
    <row r="565" spans="1:17" ht="17.25" customHeight="1" x14ac:dyDescent="0.2">
      <c r="A565" s="52">
        <v>2696</v>
      </c>
      <c r="B565" s="53" t="s">
        <v>9</v>
      </c>
      <c r="C565" s="57" t="s">
        <v>340</v>
      </c>
      <c r="D565" s="54">
        <v>347.2</v>
      </c>
      <c r="E565" s="62">
        <v>827</v>
      </c>
      <c r="F565" s="54">
        <f t="shared" si="44"/>
        <v>345.28521909999995</v>
      </c>
      <c r="G565" s="66">
        <v>25569.041962604166</v>
      </c>
      <c r="H565" s="66">
        <v>25569.041962604166</v>
      </c>
      <c r="I565" s="62">
        <v>30</v>
      </c>
      <c r="J565" s="53"/>
      <c r="K565" s="57" t="s">
        <v>345</v>
      </c>
      <c r="L565" s="52">
        <v>11997</v>
      </c>
      <c r="M565" s="58">
        <f t="shared" si="45"/>
        <v>109.5308175811721</v>
      </c>
      <c r="N565" s="58">
        <v>760.28</v>
      </c>
      <c r="O565" s="60">
        <f t="shared" si="46"/>
        <v>15.779712737412533</v>
      </c>
      <c r="P565" s="60">
        <f t="shared" si="47"/>
        <v>0.14406641971533132</v>
      </c>
      <c r="Q565" s="63"/>
    </row>
    <row r="566" spans="1:17" ht="17.25" customHeight="1" x14ac:dyDescent="0.2">
      <c r="A566" s="52">
        <v>2697</v>
      </c>
      <c r="B566" s="53" t="s">
        <v>9</v>
      </c>
      <c r="C566" s="57" t="s">
        <v>340</v>
      </c>
      <c r="D566" s="54">
        <v>348.2</v>
      </c>
      <c r="E566" s="62">
        <v>827</v>
      </c>
      <c r="F566" s="54">
        <f t="shared" si="44"/>
        <v>346.27851909999993</v>
      </c>
      <c r="G566" s="66">
        <v>25569.041962604166</v>
      </c>
      <c r="H566" s="66">
        <v>25569.041962604166</v>
      </c>
      <c r="I566" s="62">
        <v>30</v>
      </c>
      <c r="J566" s="53"/>
      <c r="K566" s="57" t="s">
        <v>345</v>
      </c>
      <c r="L566" s="52">
        <v>24650</v>
      </c>
      <c r="M566" s="58">
        <f t="shared" si="45"/>
        <v>157.00318468107582</v>
      </c>
      <c r="N566" s="58">
        <v>1445.39</v>
      </c>
      <c r="O566" s="60">
        <f t="shared" si="46"/>
        <v>17.054220660167843</v>
      </c>
      <c r="P566" s="60">
        <f t="shared" si="47"/>
        <v>0.10862340591887021</v>
      </c>
      <c r="Q566" s="63"/>
    </row>
    <row r="567" spans="1:17" ht="17.25" customHeight="1" x14ac:dyDescent="0.2">
      <c r="A567" s="52">
        <v>2698</v>
      </c>
      <c r="B567" s="53" t="s">
        <v>354</v>
      </c>
      <c r="C567" s="57" t="s">
        <v>340</v>
      </c>
      <c r="D567" s="54">
        <v>349.2</v>
      </c>
      <c r="E567" s="62">
        <v>827</v>
      </c>
      <c r="F567" s="54">
        <f t="shared" si="44"/>
        <v>347.27181909999996</v>
      </c>
      <c r="G567" s="66">
        <v>25569.041962604166</v>
      </c>
      <c r="H567" s="66">
        <v>25569.041962604166</v>
      </c>
      <c r="I567" s="62">
        <v>30</v>
      </c>
      <c r="J567" s="53"/>
      <c r="K567" s="57" t="s">
        <v>345</v>
      </c>
      <c r="L567" s="52">
        <v>42422</v>
      </c>
      <c r="M567" s="58">
        <f t="shared" si="45"/>
        <v>205.966016614392</v>
      </c>
      <c r="N567" s="58">
        <v>2361.19</v>
      </c>
      <c r="O567" s="60">
        <f t="shared" si="46"/>
        <v>17.966364417941801</v>
      </c>
      <c r="P567" s="60">
        <f t="shared" si="47"/>
        <v>8.7229751360285282E-2</v>
      </c>
      <c r="Q567" s="63"/>
    </row>
    <row r="568" spans="1:17" ht="17.25" customHeight="1" x14ac:dyDescent="0.2">
      <c r="A568" s="52">
        <v>2699</v>
      </c>
      <c r="B568" s="53" t="s">
        <v>354</v>
      </c>
      <c r="C568" s="57" t="s">
        <v>340</v>
      </c>
      <c r="D568" s="54">
        <v>348.2</v>
      </c>
      <c r="E568" s="62">
        <v>827</v>
      </c>
      <c r="F568" s="54">
        <f t="shared" si="44"/>
        <v>346.27851909999993</v>
      </c>
      <c r="G568" s="66">
        <v>25569.041962604166</v>
      </c>
      <c r="H568" s="66">
        <v>25569.041962604166</v>
      </c>
      <c r="I568" s="62">
        <v>30</v>
      </c>
      <c r="J568" s="53"/>
      <c r="K568" s="57" t="s">
        <v>345</v>
      </c>
      <c r="L568" s="52">
        <v>26790</v>
      </c>
      <c r="M568" s="58">
        <f t="shared" si="45"/>
        <v>163.6765102267274</v>
      </c>
      <c r="N568" s="58">
        <v>1399.38</v>
      </c>
      <c r="O568" s="60">
        <f t="shared" si="46"/>
        <v>19.144192428075289</v>
      </c>
      <c r="P568" s="60">
        <f t="shared" si="47"/>
        <v>0.11696359118089968</v>
      </c>
      <c r="Q568" s="63"/>
    </row>
    <row r="569" spans="1:17" ht="17.25" customHeight="1" x14ac:dyDescent="0.2">
      <c r="A569" s="52">
        <v>2700</v>
      </c>
      <c r="B569" s="53" t="s">
        <v>354</v>
      </c>
      <c r="C569" s="57" t="s">
        <v>340</v>
      </c>
      <c r="D569" s="54">
        <v>347.2</v>
      </c>
      <c r="E569" s="62">
        <v>827</v>
      </c>
      <c r="F569" s="54">
        <f t="shared" si="44"/>
        <v>345.28521909999995</v>
      </c>
      <c r="G569" s="66">
        <v>25569.041962604166</v>
      </c>
      <c r="H569" s="66">
        <v>25569.041962604166</v>
      </c>
      <c r="I569" s="62">
        <v>30</v>
      </c>
      <c r="J569" s="53"/>
      <c r="K569" s="57" t="s">
        <v>345</v>
      </c>
      <c r="L569" s="52">
        <v>47424</v>
      </c>
      <c r="M569" s="58">
        <f t="shared" si="45"/>
        <v>217.77052142105919</v>
      </c>
      <c r="N569" s="58">
        <v>2401.3000000000002</v>
      </c>
      <c r="O569" s="60">
        <f t="shared" si="46"/>
        <v>19.749302461166867</v>
      </c>
      <c r="P569" s="60">
        <f t="shared" si="47"/>
        <v>9.0688594270211628E-2</v>
      </c>
      <c r="Q569" s="63"/>
    </row>
    <row r="570" spans="1:17" ht="17.25" customHeight="1" x14ac:dyDescent="0.2">
      <c r="A570" s="52">
        <v>2701</v>
      </c>
      <c r="B570" s="53" t="s">
        <v>354</v>
      </c>
      <c r="C570" s="57" t="s">
        <v>340</v>
      </c>
      <c r="D570" s="54">
        <v>350.2</v>
      </c>
      <c r="E570" s="62">
        <v>827</v>
      </c>
      <c r="F570" s="54">
        <f t="shared" si="44"/>
        <v>348.26511909999994</v>
      </c>
      <c r="G570" s="66">
        <v>25569.041962604166</v>
      </c>
      <c r="H570" s="66">
        <v>25569.041962604166</v>
      </c>
      <c r="I570" s="62">
        <v>30</v>
      </c>
      <c r="J570" s="53"/>
      <c r="K570" s="57" t="s">
        <v>345</v>
      </c>
      <c r="L570" s="52">
        <v>14151</v>
      </c>
      <c r="M570" s="58">
        <f t="shared" si="45"/>
        <v>118.95797577295941</v>
      </c>
      <c r="N570" s="58">
        <v>883.79</v>
      </c>
      <c r="O570" s="60">
        <f t="shared" si="46"/>
        <v>16.011722241709005</v>
      </c>
      <c r="P570" s="60">
        <f t="shared" si="47"/>
        <v>0.13459982096760478</v>
      </c>
      <c r="Q570" s="63"/>
    </row>
    <row r="571" spans="1:17" ht="17.25" customHeight="1" x14ac:dyDescent="0.2">
      <c r="A571" s="52">
        <v>2702</v>
      </c>
      <c r="B571" s="53" t="s">
        <v>354</v>
      </c>
      <c r="C571" s="57" t="s">
        <v>340</v>
      </c>
      <c r="D571" s="54">
        <v>351.2</v>
      </c>
      <c r="E571" s="62">
        <v>827</v>
      </c>
      <c r="F571" s="54">
        <f t="shared" si="44"/>
        <v>349.25841909999997</v>
      </c>
      <c r="G571" s="66">
        <v>25569.041962604166</v>
      </c>
      <c r="H571" s="66">
        <v>25569.041962604166</v>
      </c>
      <c r="I571" s="62">
        <v>29</v>
      </c>
      <c r="J571" s="53"/>
      <c r="K571" s="57" t="s">
        <v>345</v>
      </c>
      <c r="L571" s="52">
        <v>19864</v>
      </c>
      <c r="M571" s="58">
        <f t="shared" si="45"/>
        <v>140.93970341958294</v>
      </c>
      <c r="N571" s="58">
        <v>1401.19</v>
      </c>
      <c r="O571" s="60">
        <f t="shared" si="46"/>
        <v>14.176521385393844</v>
      </c>
      <c r="P571" s="60">
        <f t="shared" si="47"/>
        <v>0.10058571886723637</v>
      </c>
      <c r="Q571" s="63"/>
    </row>
    <row r="572" spans="1:17" ht="17.25" customHeight="1" x14ac:dyDescent="0.2">
      <c r="A572" s="52">
        <v>2703</v>
      </c>
      <c r="B572" s="53" t="s">
        <v>354</v>
      </c>
      <c r="C572" s="57" t="s">
        <v>340</v>
      </c>
      <c r="D572" s="54">
        <v>352.2</v>
      </c>
      <c r="E572" s="62">
        <v>827</v>
      </c>
      <c r="F572" s="54">
        <f t="shared" si="44"/>
        <v>350.25171909999995</v>
      </c>
      <c r="G572" s="66">
        <v>25569.041962604166</v>
      </c>
      <c r="H572" s="66">
        <v>25569.041962604166</v>
      </c>
      <c r="I572" s="62">
        <v>29</v>
      </c>
      <c r="J572" s="53"/>
      <c r="K572" s="57" t="s">
        <v>345</v>
      </c>
      <c r="L572" s="52">
        <v>17951</v>
      </c>
      <c r="M572" s="58">
        <f t="shared" si="45"/>
        <v>133.98134198462114</v>
      </c>
      <c r="N572" s="58">
        <v>1437.62</v>
      </c>
      <c r="O572" s="60">
        <f t="shared" si="46"/>
        <v>12.486609813441662</v>
      </c>
      <c r="P572" s="60">
        <f t="shared" si="47"/>
        <v>9.3196631922636816E-2</v>
      </c>
      <c r="Q572" s="63"/>
    </row>
    <row r="573" spans="1:17" ht="17.25" customHeight="1" x14ac:dyDescent="0.2">
      <c r="A573" s="52">
        <v>2704</v>
      </c>
      <c r="B573" s="53" t="s">
        <v>354</v>
      </c>
      <c r="C573" s="57" t="s">
        <v>340</v>
      </c>
      <c r="D573" s="54">
        <v>353.2</v>
      </c>
      <c r="E573" s="62">
        <v>827</v>
      </c>
      <c r="F573" s="54">
        <f t="shared" si="44"/>
        <v>351.24501909999992</v>
      </c>
      <c r="G573" s="66">
        <v>25569.041962604166</v>
      </c>
      <c r="H573" s="66">
        <v>25569.041962604166</v>
      </c>
      <c r="I573" s="62">
        <v>29</v>
      </c>
      <c r="J573" s="53"/>
      <c r="K573" s="57" t="s">
        <v>345</v>
      </c>
      <c r="L573" s="52">
        <v>14850</v>
      </c>
      <c r="M573" s="58">
        <f t="shared" si="45"/>
        <v>121.86057606953941</v>
      </c>
      <c r="N573" s="58">
        <v>1534.16</v>
      </c>
      <c r="O573" s="60">
        <f t="shared" si="46"/>
        <v>9.6795640611148759</v>
      </c>
      <c r="P573" s="60">
        <f t="shared" si="47"/>
        <v>7.9431464820839681E-2</v>
      </c>
      <c r="Q573" s="63"/>
    </row>
    <row r="574" spans="1:17" ht="17.25" customHeight="1" x14ac:dyDescent="0.2">
      <c r="A574" s="52">
        <v>2705</v>
      </c>
      <c r="B574" s="53" t="s">
        <v>354</v>
      </c>
      <c r="C574" s="57" t="s">
        <v>340</v>
      </c>
      <c r="D574" s="54">
        <v>354.2</v>
      </c>
      <c r="E574" s="62">
        <v>827</v>
      </c>
      <c r="F574" s="54">
        <f t="shared" si="44"/>
        <v>352.23831909999996</v>
      </c>
      <c r="G574" s="66">
        <v>25569.041962604166</v>
      </c>
      <c r="H574" s="66">
        <v>25569.041962604166</v>
      </c>
      <c r="I574" s="62">
        <v>28</v>
      </c>
      <c r="J574" s="53"/>
      <c r="K574" s="57" t="s">
        <v>345</v>
      </c>
      <c r="L574" s="52">
        <v>12083</v>
      </c>
      <c r="M574" s="58">
        <f t="shared" si="45"/>
        <v>109.92270011239717</v>
      </c>
      <c r="N574" s="58">
        <v>1344.91</v>
      </c>
      <c r="O574" s="60">
        <f t="shared" si="46"/>
        <v>8.9842442988750175</v>
      </c>
      <c r="P574" s="60">
        <f t="shared" si="47"/>
        <v>8.173238366314263E-2</v>
      </c>
      <c r="Q574" s="63"/>
    </row>
    <row r="575" spans="1:17" ht="17.25" customHeight="1" x14ac:dyDescent="0.2">
      <c r="A575" s="52">
        <v>2706</v>
      </c>
      <c r="B575" s="53" t="s">
        <v>354</v>
      </c>
      <c r="C575" s="57" t="s">
        <v>340</v>
      </c>
      <c r="D575" s="54">
        <v>355.2</v>
      </c>
      <c r="E575" s="62">
        <v>827</v>
      </c>
      <c r="F575" s="54">
        <f t="shared" ref="F575:F638" si="48">0.9933*(D575 + E575/1000)-0.41</f>
        <v>353.23161909999993</v>
      </c>
      <c r="G575" s="66">
        <v>25569.041962604166</v>
      </c>
      <c r="H575" s="66">
        <v>25569.041962604166</v>
      </c>
      <c r="I575" s="62">
        <v>28</v>
      </c>
      <c r="J575" s="53"/>
      <c r="K575" s="57" t="s">
        <v>345</v>
      </c>
      <c r="L575" s="52">
        <v>11230</v>
      </c>
      <c r="M575" s="58">
        <f t="shared" si="45"/>
        <v>105.97169433391164</v>
      </c>
      <c r="N575" s="58">
        <v>1474.9</v>
      </c>
      <c r="O575" s="60">
        <f t="shared" si="46"/>
        <v>7.6140755305444436</v>
      </c>
      <c r="P575" s="60">
        <f t="shared" si="47"/>
        <v>7.1850087689952977E-2</v>
      </c>
      <c r="Q575" s="63"/>
    </row>
    <row r="576" spans="1:17" ht="17.25" customHeight="1" x14ac:dyDescent="0.2">
      <c r="A576" s="52">
        <v>2707</v>
      </c>
      <c r="B576" s="53" t="s">
        <v>354</v>
      </c>
      <c r="C576" s="57" t="s">
        <v>340</v>
      </c>
      <c r="D576" s="54">
        <v>356.2</v>
      </c>
      <c r="E576" s="62">
        <v>827</v>
      </c>
      <c r="F576" s="54">
        <f t="shared" si="48"/>
        <v>354.22491909999997</v>
      </c>
      <c r="G576" s="66">
        <v>25569.041962604166</v>
      </c>
      <c r="H576" s="66">
        <v>25569.041962604166</v>
      </c>
      <c r="I576" s="62">
        <v>28</v>
      </c>
      <c r="J576" s="53"/>
      <c r="K576" s="57" t="s">
        <v>345</v>
      </c>
      <c r="L576" s="52">
        <v>10742</v>
      </c>
      <c r="M576" s="58">
        <f t="shared" si="45"/>
        <v>103.64362016062542</v>
      </c>
      <c r="N576" s="58">
        <v>1729.61</v>
      </c>
      <c r="O576" s="60">
        <f t="shared" si="46"/>
        <v>6.210648643335781</v>
      </c>
      <c r="P576" s="60">
        <f t="shared" si="47"/>
        <v>5.9923115708527021E-2</v>
      </c>
      <c r="Q576" s="63"/>
    </row>
    <row r="577" spans="1:17" ht="17.25" customHeight="1" x14ac:dyDescent="0.2">
      <c r="A577" s="52">
        <v>2708</v>
      </c>
      <c r="B577" s="53" t="s">
        <v>354</v>
      </c>
      <c r="C577" s="57" t="s">
        <v>340</v>
      </c>
      <c r="D577" s="54">
        <v>358.2</v>
      </c>
      <c r="E577" s="62">
        <v>827</v>
      </c>
      <c r="F577" s="54">
        <f t="shared" si="48"/>
        <v>356.21151909999998</v>
      </c>
      <c r="G577" s="66">
        <v>25569.041962604166</v>
      </c>
      <c r="H577" s="66">
        <v>25569.041962604166</v>
      </c>
      <c r="I577" s="62">
        <v>28</v>
      </c>
      <c r="J577" s="53"/>
      <c r="K577" s="57" t="s">
        <v>345</v>
      </c>
      <c r="L577" s="52">
        <v>6542</v>
      </c>
      <c r="M577" s="58">
        <f t="shared" si="45"/>
        <v>80.882631015564769</v>
      </c>
      <c r="N577" s="58">
        <v>1658.11</v>
      </c>
      <c r="O577" s="60">
        <f t="shared" si="46"/>
        <v>3.9454559709548827</v>
      </c>
      <c r="P577" s="60">
        <f t="shared" si="47"/>
        <v>4.8780015207413728E-2</v>
      </c>
      <c r="Q577" s="63"/>
    </row>
    <row r="578" spans="1:17" ht="17.25" customHeight="1" x14ac:dyDescent="0.2">
      <c r="A578" s="52">
        <v>2709</v>
      </c>
      <c r="B578" s="53" t="s">
        <v>354</v>
      </c>
      <c r="C578" s="57" t="s">
        <v>340</v>
      </c>
      <c r="D578" s="54">
        <v>360.2</v>
      </c>
      <c r="E578" s="62">
        <v>827</v>
      </c>
      <c r="F578" s="54">
        <f t="shared" si="48"/>
        <v>358.19811909999993</v>
      </c>
      <c r="G578" s="66">
        <v>25569.041962604166</v>
      </c>
      <c r="H578" s="66">
        <v>25569.041962604166</v>
      </c>
      <c r="I578" s="62">
        <v>28</v>
      </c>
      <c r="J578" s="53"/>
      <c r="K578" s="57" t="s">
        <v>345</v>
      </c>
      <c r="L578" s="52">
        <v>5368</v>
      </c>
      <c r="M578" s="58">
        <f t="shared" si="45"/>
        <v>73.266636336056806</v>
      </c>
      <c r="N578" s="58">
        <v>1980.82</v>
      </c>
      <c r="O578" s="60">
        <f t="shared" si="46"/>
        <v>2.7099887925202695</v>
      </c>
      <c r="P578" s="60">
        <f t="shared" si="47"/>
        <v>3.6988033408415104E-2</v>
      </c>
      <c r="Q578" s="63"/>
    </row>
    <row r="579" spans="1:17" ht="17.25" customHeight="1" x14ac:dyDescent="0.2">
      <c r="A579" s="52">
        <v>2710</v>
      </c>
      <c r="B579" s="53" t="s">
        <v>354</v>
      </c>
      <c r="C579" s="57" t="s">
        <v>340</v>
      </c>
      <c r="D579" s="54">
        <v>362.2</v>
      </c>
      <c r="E579" s="62">
        <v>827</v>
      </c>
      <c r="F579" s="54">
        <f t="shared" si="48"/>
        <v>360.18471909999994</v>
      </c>
      <c r="G579" s="66">
        <v>25569.041962604166</v>
      </c>
      <c r="H579" s="66">
        <v>25569.041962604166</v>
      </c>
      <c r="I579" s="62">
        <v>28</v>
      </c>
      <c r="J579" s="53"/>
      <c r="K579" s="57" t="s">
        <v>345</v>
      </c>
      <c r="L579" s="52">
        <v>5197</v>
      </c>
      <c r="M579" s="58">
        <f t="shared" si="45"/>
        <v>72.090221250874237</v>
      </c>
      <c r="N579" s="58">
        <v>3034.16</v>
      </c>
      <c r="O579" s="60">
        <f t="shared" si="46"/>
        <v>1.7128299100904369</v>
      </c>
      <c r="P579" s="60">
        <f t="shared" si="47"/>
        <v>2.3759531880610859E-2</v>
      </c>
      <c r="Q579" s="63"/>
    </row>
    <row r="580" spans="1:17" ht="17.25" customHeight="1" x14ac:dyDescent="0.2">
      <c r="A580" s="52">
        <v>2711</v>
      </c>
      <c r="B580" s="53" t="s">
        <v>354</v>
      </c>
      <c r="C580" s="57" t="s">
        <v>340</v>
      </c>
      <c r="D580" s="54">
        <v>364.2</v>
      </c>
      <c r="E580" s="62">
        <v>827</v>
      </c>
      <c r="F580" s="54">
        <f t="shared" si="48"/>
        <v>362.17131909999995</v>
      </c>
      <c r="G580" s="66">
        <v>25569.041962604166</v>
      </c>
      <c r="H580" s="66">
        <v>25569.041962604166</v>
      </c>
      <c r="I580" s="62">
        <v>28</v>
      </c>
      <c r="J580" s="53"/>
      <c r="K580" s="57" t="s">
        <v>345</v>
      </c>
      <c r="L580" s="52">
        <v>3088</v>
      </c>
      <c r="M580" s="58">
        <f t="shared" si="45"/>
        <v>55.569775957799216</v>
      </c>
      <c r="N580" s="58">
        <v>2654.89</v>
      </c>
      <c r="O580" s="60">
        <f t="shared" si="46"/>
        <v>1.163136702462249</v>
      </c>
      <c r="P580" s="60">
        <f t="shared" si="47"/>
        <v>2.0931102967655615E-2</v>
      </c>
      <c r="Q580" s="63"/>
    </row>
    <row r="581" spans="1:17" ht="17.25" customHeight="1" x14ac:dyDescent="0.2">
      <c r="A581" s="52">
        <v>2712</v>
      </c>
      <c r="B581" s="53" t="s">
        <v>157</v>
      </c>
      <c r="C581" s="57" t="s">
        <v>340</v>
      </c>
      <c r="D581" s="54">
        <v>240.2</v>
      </c>
      <c r="E581" s="62">
        <v>1923</v>
      </c>
      <c r="F581" s="54">
        <f t="shared" si="48"/>
        <v>240.09077589999998</v>
      </c>
      <c r="G581" s="66">
        <v>25569.041962604166</v>
      </c>
      <c r="H581" s="66">
        <v>25569.041962604166</v>
      </c>
      <c r="I581" s="62">
        <v>160</v>
      </c>
      <c r="J581" s="53"/>
      <c r="K581" s="57" t="s">
        <v>345</v>
      </c>
      <c r="L581" s="52">
        <v>2250722</v>
      </c>
      <c r="M581" s="58">
        <f t="shared" si="45"/>
        <v>1500.2406473629489</v>
      </c>
      <c r="N581" s="58">
        <v>2229253.4500000002</v>
      </c>
      <c r="O581" s="60">
        <f t="shared" si="46"/>
        <v>1.0096303764832122</v>
      </c>
      <c r="P581" s="60">
        <f t="shared" si="47"/>
        <v>6.7297895058228971E-4</v>
      </c>
      <c r="Q581" s="63"/>
    </row>
    <row r="582" spans="1:17" ht="17.25" customHeight="1" x14ac:dyDescent="0.2">
      <c r="A582" s="52">
        <v>2713</v>
      </c>
      <c r="B582" s="53" t="s">
        <v>355</v>
      </c>
      <c r="C582" s="57" t="s">
        <v>340</v>
      </c>
      <c r="D582" s="54">
        <v>334.2</v>
      </c>
      <c r="E582" s="62">
        <v>753</v>
      </c>
      <c r="F582" s="54">
        <f t="shared" si="48"/>
        <v>332.29881489999991</v>
      </c>
      <c r="G582" s="66">
        <v>25569.041962604166</v>
      </c>
      <c r="H582" s="66">
        <v>25569.041962604166</v>
      </c>
      <c r="I582" s="62">
        <v>30</v>
      </c>
      <c r="J582" s="53"/>
      <c r="K582" s="57" t="s">
        <v>345</v>
      </c>
      <c r="L582" s="52">
        <v>1045</v>
      </c>
      <c r="M582" s="58">
        <f t="shared" si="45"/>
        <v>32.326459750489228</v>
      </c>
      <c r="N582" s="58">
        <v>3698.23</v>
      </c>
      <c r="O582" s="60">
        <f t="shared" si="46"/>
        <v>0.28256760666589154</v>
      </c>
      <c r="P582" s="60">
        <f t="shared" si="47"/>
        <v>8.7410625489732184E-3</v>
      </c>
      <c r="Q582" s="63"/>
    </row>
    <row r="583" spans="1:17" ht="17.25" customHeight="1" x14ac:dyDescent="0.2">
      <c r="A583" s="52">
        <v>2714</v>
      </c>
      <c r="B583" s="53" t="s">
        <v>355</v>
      </c>
      <c r="C583" s="57" t="s">
        <v>340</v>
      </c>
      <c r="D583" s="54">
        <v>336.2</v>
      </c>
      <c r="E583" s="62">
        <v>753</v>
      </c>
      <c r="F583" s="54">
        <f t="shared" si="48"/>
        <v>334.28541489999992</v>
      </c>
      <c r="G583" s="66">
        <v>25569.041962604166</v>
      </c>
      <c r="H583" s="66">
        <v>25569.041962604166</v>
      </c>
      <c r="I583" s="62">
        <v>30</v>
      </c>
      <c r="J583" s="53"/>
      <c r="K583" s="57" t="s">
        <v>345</v>
      </c>
      <c r="L583" s="52">
        <v>1063</v>
      </c>
      <c r="M583" s="58">
        <f t="shared" si="45"/>
        <v>32.603680773802211</v>
      </c>
      <c r="N583" s="58">
        <v>2663.31</v>
      </c>
      <c r="O583" s="60">
        <f t="shared" si="46"/>
        <v>0.39912740161678512</v>
      </c>
      <c r="P583" s="60">
        <f t="shared" si="47"/>
        <v>1.2241789642888816E-2</v>
      </c>
      <c r="Q583" s="63"/>
    </row>
    <row r="584" spans="1:17" ht="17.25" customHeight="1" x14ac:dyDescent="0.2">
      <c r="A584" s="52">
        <v>2715</v>
      </c>
      <c r="B584" s="53" t="s">
        <v>355</v>
      </c>
      <c r="C584" s="57" t="s">
        <v>340</v>
      </c>
      <c r="D584" s="54">
        <v>338.2</v>
      </c>
      <c r="E584" s="62">
        <v>753</v>
      </c>
      <c r="F584" s="54">
        <f t="shared" si="48"/>
        <v>336.27201489999993</v>
      </c>
      <c r="G584" s="66">
        <v>25569.041962604166</v>
      </c>
      <c r="H584" s="66">
        <v>25569.041962604166</v>
      </c>
      <c r="I584" s="62">
        <v>29</v>
      </c>
      <c r="J584" s="53"/>
      <c r="K584" s="57" t="s">
        <v>345</v>
      </c>
      <c r="L584" s="52">
        <v>1112</v>
      </c>
      <c r="M584" s="58">
        <f t="shared" si="45"/>
        <v>33.346664001066131</v>
      </c>
      <c r="N584" s="58">
        <v>1694.98</v>
      </c>
      <c r="O584" s="60">
        <f t="shared" si="46"/>
        <v>0.65605493870134157</v>
      </c>
      <c r="P584" s="60">
        <f t="shared" si="47"/>
        <v>1.9673780222224529E-2</v>
      </c>
      <c r="Q584" s="63"/>
    </row>
    <row r="585" spans="1:17" ht="17.25" customHeight="1" x14ac:dyDescent="0.2">
      <c r="A585" s="52">
        <v>2716</v>
      </c>
      <c r="B585" s="53" t="s">
        <v>355</v>
      </c>
      <c r="C585" s="57" t="s">
        <v>340</v>
      </c>
      <c r="D585" s="54">
        <v>340.2</v>
      </c>
      <c r="E585" s="62">
        <v>753</v>
      </c>
      <c r="F585" s="54">
        <f t="shared" si="48"/>
        <v>338.25861489999994</v>
      </c>
      <c r="G585" s="66">
        <v>25569.041962604166</v>
      </c>
      <c r="H585" s="66">
        <v>25569.041962604166</v>
      </c>
      <c r="I585" s="62">
        <v>29</v>
      </c>
      <c r="J585" s="53"/>
      <c r="K585" s="57" t="s">
        <v>345</v>
      </c>
      <c r="L585" s="52">
        <v>1225</v>
      </c>
      <c r="M585" s="58">
        <f t="shared" si="45"/>
        <v>35</v>
      </c>
      <c r="N585" s="58">
        <v>1132.04</v>
      </c>
      <c r="O585" s="60">
        <f t="shared" si="46"/>
        <v>1.0821172396735097</v>
      </c>
      <c r="P585" s="60">
        <f t="shared" si="47"/>
        <v>3.0917635419243136E-2</v>
      </c>
      <c r="Q585" s="63"/>
    </row>
    <row r="586" spans="1:17" ht="17.25" customHeight="1" x14ac:dyDescent="0.2">
      <c r="A586" s="52">
        <v>2717</v>
      </c>
      <c r="B586" s="53" t="s">
        <v>355</v>
      </c>
      <c r="C586" s="57" t="s">
        <v>340</v>
      </c>
      <c r="D586" s="54">
        <v>341.2</v>
      </c>
      <c r="E586" s="62">
        <v>753</v>
      </c>
      <c r="F586" s="54">
        <f t="shared" si="48"/>
        <v>339.25191489999992</v>
      </c>
      <c r="G586" s="66">
        <v>25569.041962604166</v>
      </c>
      <c r="H586" s="66">
        <v>25569.041962604166</v>
      </c>
      <c r="I586" s="62">
        <v>28</v>
      </c>
      <c r="J586" s="53"/>
      <c r="K586" s="57" t="s">
        <v>345</v>
      </c>
      <c r="L586" s="52">
        <v>5116</v>
      </c>
      <c r="M586" s="58">
        <f t="shared" si="45"/>
        <v>71.526218968990662</v>
      </c>
      <c r="N586" s="58">
        <v>2929.48</v>
      </c>
      <c r="O586" s="60">
        <f t="shared" si="46"/>
        <v>1.7463850239632972</v>
      </c>
      <c r="P586" s="60">
        <f t="shared" si="47"/>
        <v>2.4416012046162002E-2</v>
      </c>
      <c r="Q586" s="63"/>
    </row>
    <row r="587" spans="1:17" ht="17.25" customHeight="1" x14ac:dyDescent="0.2">
      <c r="A587" s="52">
        <v>2718</v>
      </c>
      <c r="B587" s="53" t="s">
        <v>355</v>
      </c>
      <c r="C587" s="57" t="s">
        <v>340</v>
      </c>
      <c r="D587" s="54">
        <v>342.2</v>
      </c>
      <c r="E587" s="62">
        <v>753</v>
      </c>
      <c r="F587" s="54">
        <f t="shared" si="48"/>
        <v>340.24521489999995</v>
      </c>
      <c r="G587" s="66">
        <v>25569.041962604166</v>
      </c>
      <c r="H587" s="66">
        <v>25569.041962604166</v>
      </c>
      <c r="I587" s="62">
        <v>28</v>
      </c>
      <c r="J587" s="53"/>
      <c r="K587" s="57" t="s">
        <v>345</v>
      </c>
      <c r="L587" s="52">
        <v>5229</v>
      </c>
      <c r="M587" s="58">
        <f t="shared" si="45"/>
        <v>72.311824759163699</v>
      </c>
      <c r="N587" s="58">
        <v>2107.6799999999998</v>
      </c>
      <c r="O587" s="60">
        <f t="shared" si="46"/>
        <v>2.48092689592348</v>
      </c>
      <c r="P587" s="60">
        <f t="shared" si="47"/>
        <v>3.4308730338174533E-2</v>
      </c>
      <c r="Q587" s="63"/>
    </row>
    <row r="588" spans="1:17" ht="17.25" customHeight="1" x14ac:dyDescent="0.2">
      <c r="A588" s="52">
        <v>2719</v>
      </c>
      <c r="B588" s="53" t="s">
        <v>355</v>
      </c>
      <c r="C588" s="57" t="s">
        <v>340</v>
      </c>
      <c r="D588" s="54">
        <v>343.2</v>
      </c>
      <c r="E588" s="62">
        <v>753</v>
      </c>
      <c r="F588" s="54">
        <f t="shared" si="48"/>
        <v>341.23851489999993</v>
      </c>
      <c r="G588" s="66">
        <v>25569.041962604166</v>
      </c>
      <c r="H588" s="66">
        <v>25569.041962604166</v>
      </c>
      <c r="I588" s="62">
        <v>28</v>
      </c>
      <c r="J588" s="53"/>
      <c r="K588" s="57" t="s">
        <v>345</v>
      </c>
      <c r="L588" s="52">
        <v>5511</v>
      </c>
      <c r="M588" s="58">
        <f t="shared" si="45"/>
        <v>74.236109811869852</v>
      </c>
      <c r="N588" s="58">
        <v>1085.54</v>
      </c>
      <c r="O588" s="60">
        <f t="shared" si="46"/>
        <v>5.076736002358273</v>
      </c>
      <c r="P588" s="60">
        <f t="shared" si="47"/>
        <v>6.8386342107955356E-2</v>
      </c>
      <c r="Q588" s="63"/>
    </row>
    <row r="589" spans="1:17" ht="17.25" customHeight="1" x14ac:dyDescent="0.2">
      <c r="A589" s="52">
        <v>2720</v>
      </c>
      <c r="B589" s="53" t="s">
        <v>355</v>
      </c>
      <c r="C589" s="57" t="s">
        <v>340</v>
      </c>
      <c r="D589" s="54">
        <v>344.2</v>
      </c>
      <c r="E589" s="62">
        <v>753</v>
      </c>
      <c r="F589" s="54">
        <f t="shared" si="48"/>
        <v>342.23181489999996</v>
      </c>
      <c r="G589" s="66">
        <v>25569.041962604166</v>
      </c>
      <c r="H589" s="66">
        <v>25569.041962604166</v>
      </c>
      <c r="I589" s="62">
        <v>27</v>
      </c>
      <c r="J589" s="53"/>
      <c r="K589" s="57" t="s">
        <v>345</v>
      </c>
      <c r="L589" s="52">
        <v>10873</v>
      </c>
      <c r="M589" s="58">
        <f t="shared" si="45"/>
        <v>104.27367836611501</v>
      </c>
      <c r="N589" s="58">
        <v>1191.33</v>
      </c>
      <c r="O589" s="60">
        <f t="shared" si="46"/>
        <v>9.1267742774881864</v>
      </c>
      <c r="P589" s="60">
        <f t="shared" si="47"/>
        <v>8.7527115380385795E-2</v>
      </c>
      <c r="Q589" s="63"/>
    </row>
    <row r="590" spans="1:17" ht="17.25" customHeight="1" x14ac:dyDescent="0.2">
      <c r="A590" s="52">
        <v>2721</v>
      </c>
      <c r="B590" s="53" t="s">
        <v>355</v>
      </c>
      <c r="C590" s="57" t="s">
        <v>340</v>
      </c>
      <c r="D590" s="54">
        <v>345.2</v>
      </c>
      <c r="E590" s="62">
        <v>753</v>
      </c>
      <c r="F590" s="54">
        <f t="shared" si="48"/>
        <v>343.22511489999994</v>
      </c>
      <c r="G590" s="66">
        <v>25569.041962604166</v>
      </c>
      <c r="H590" s="66">
        <v>25569.041962604166</v>
      </c>
      <c r="I590" s="62">
        <v>27</v>
      </c>
      <c r="J590" s="53"/>
      <c r="K590" s="57" t="s">
        <v>345</v>
      </c>
      <c r="L590" s="52">
        <v>25388</v>
      </c>
      <c r="M590" s="58">
        <f t="shared" si="45"/>
        <v>159.3361227091961</v>
      </c>
      <c r="N590" s="58">
        <v>1702.42</v>
      </c>
      <c r="O590" s="60">
        <f t="shared" si="46"/>
        <v>14.912888711363822</v>
      </c>
      <c r="P590" s="60">
        <f t="shared" si="47"/>
        <v>9.3593897339784599E-2</v>
      </c>
      <c r="Q590" s="63"/>
    </row>
    <row r="591" spans="1:17" ht="17.25" customHeight="1" x14ac:dyDescent="0.2">
      <c r="A591" s="52">
        <v>2722</v>
      </c>
      <c r="B591" s="53" t="s">
        <v>355</v>
      </c>
      <c r="C591" s="57" t="s">
        <v>340</v>
      </c>
      <c r="D591" s="54">
        <v>346.2</v>
      </c>
      <c r="E591" s="62">
        <v>753</v>
      </c>
      <c r="F591" s="54">
        <f t="shared" si="48"/>
        <v>344.21841489999991</v>
      </c>
      <c r="G591" s="66">
        <v>25569.041962604166</v>
      </c>
      <c r="H591" s="66">
        <v>25569.041962604166</v>
      </c>
      <c r="I591" s="62">
        <v>27</v>
      </c>
      <c r="J591" s="53"/>
      <c r="K591" s="57" t="s">
        <v>345</v>
      </c>
      <c r="L591" s="52">
        <v>8319</v>
      </c>
      <c r="M591" s="58">
        <f t="shared" si="45"/>
        <v>91.208552230588552</v>
      </c>
      <c r="N591" s="58">
        <v>456.02</v>
      </c>
      <c r="O591" s="60">
        <f t="shared" si="46"/>
        <v>18.242620937678172</v>
      </c>
      <c r="P591" s="60">
        <f t="shared" si="47"/>
        <v>0.200009982523987</v>
      </c>
      <c r="Q591" s="63"/>
    </row>
    <row r="592" spans="1:17" ht="17.25" customHeight="1" x14ac:dyDescent="0.2">
      <c r="A592" s="52">
        <v>2723</v>
      </c>
      <c r="B592" s="53" t="s">
        <v>355</v>
      </c>
      <c r="C592" s="57" t="s">
        <v>340</v>
      </c>
      <c r="D592" s="54">
        <v>347.2</v>
      </c>
      <c r="E592" s="62">
        <v>753</v>
      </c>
      <c r="F592" s="54">
        <f t="shared" si="48"/>
        <v>345.21171489999995</v>
      </c>
      <c r="G592" s="66">
        <v>25569.041962604166</v>
      </c>
      <c r="H592" s="66">
        <v>25569.041962604166</v>
      </c>
      <c r="I592" s="62">
        <v>27</v>
      </c>
      <c r="J592" s="53"/>
      <c r="K592" s="57" t="s">
        <v>345</v>
      </c>
      <c r="L592" s="52">
        <v>12253</v>
      </c>
      <c r="M592" s="58">
        <f t="shared" si="45"/>
        <v>110.69326989478628</v>
      </c>
      <c r="N592" s="58">
        <v>633.11</v>
      </c>
      <c r="O592" s="60">
        <f t="shared" si="46"/>
        <v>19.353666819352085</v>
      </c>
      <c r="P592" s="60">
        <f t="shared" si="47"/>
        <v>0.17484050148439653</v>
      </c>
      <c r="Q592" s="63"/>
    </row>
    <row r="593" spans="1:17" ht="17.25" customHeight="1" x14ac:dyDescent="0.2">
      <c r="A593" s="52">
        <v>2724</v>
      </c>
      <c r="B593" s="53" t="s">
        <v>355</v>
      </c>
      <c r="C593" s="57" t="s">
        <v>340</v>
      </c>
      <c r="D593" s="54">
        <v>348.2</v>
      </c>
      <c r="E593" s="62">
        <v>753</v>
      </c>
      <c r="F593" s="54">
        <f t="shared" si="48"/>
        <v>346.20501489999992</v>
      </c>
      <c r="G593" s="66">
        <v>25569.041962604166</v>
      </c>
      <c r="H593" s="66">
        <v>25569.041962604166</v>
      </c>
      <c r="I593" s="62">
        <v>27</v>
      </c>
      <c r="J593" s="53"/>
      <c r="K593" s="57" t="s">
        <v>345</v>
      </c>
      <c r="L593" s="52">
        <v>13048</v>
      </c>
      <c r="M593" s="58">
        <f t="shared" si="45"/>
        <v>114.22784249034909</v>
      </c>
      <c r="N593" s="58">
        <v>655.28</v>
      </c>
      <c r="O593" s="60">
        <f t="shared" si="46"/>
        <v>19.912098644854108</v>
      </c>
      <c r="P593" s="60">
        <f t="shared" si="47"/>
        <v>0.17431913455370085</v>
      </c>
      <c r="Q593" s="63"/>
    </row>
    <row r="594" spans="1:17" ht="17.25" customHeight="1" x14ac:dyDescent="0.2">
      <c r="A594" s="52">
        <v>2725</v>
      </c>
      <c r="B594" s="53" t="s">
        <v>355</v>
      </c>
      <c r="C594" s="57" t="s">
        <v>340</v>
      </c>
      <c r="D594" s="54">
        <v>349.2</v>
      </c>
      <c r="E594" s="62">
        <v>753</v>
      </c>
      <c r="F594" s="54">
        <f t="shared" si="48"/>
        <v>347.19831489999996</v>
      </c>
      <c r="G594" s="66">
        <v>25569.041962604166</v>
      </c>
      <c r="H594" s="66">
        <v>25569.041962604166</v>
      </c>
      <c r="I594" s="62">
        <v>27</v>
      </c>
      <c r="J594" s="53"/>
      <c r="K594" s="57" t="s">
        <v>345</v>
      </c>
      <c r="L594" s="52">
        <v>9037</v>
      </c>
      <c r="M594" s="58">
        <f t="shared" si="45"/>
        <v>95.063136914368656</v>
      </c>
      <c r="N594" s="58">
        <v>490.55</v>
      </c>
      <c r="O594" s="60">
        <f t="shared" si="46"/>
        <v>18.422179186627254</v>
      </c>
      <c r="P594" s="60">
        <f t="shared" si="47"/>
        <v>0.19378888373125808</v>
      </c>
      <c r="Q594" s="63"/>
    </row>
    <row r="595" spans="1:17" ht="17.25" customHeight="1" x14ac:dyDescent="0.2">
      <c r="A595" s="52">
        <v>2726</v>
      </c>
      <c r="B595" s="53" t="s">
        <v>355</v>
      </c>
      <c r="C595" s="57" t="s">
        <v>340</v>
      </c>
      <c r="D595" s="54">
        <v>350.2</v>
      </c>
      <c r="E595" s="62">
        <v>753</v>
      </c>
      <c r="F595" s="54">
        <f t="shared" si="48"/>
        <v>348.19161489999993</v>
      </c>
      <c r="G595" s="66">
        <v>25569.041962604166</v>
      </c>
      <c r="H595" s="66">
        <v>25569.041962604166</v>
      </c>
      <c r="I595" s="62">
        <v>26</v>
      </c>
      <c r="J595" s="53"/>
      <c r="K595" s="57" t="s">
        <v>345</v>
      </c>
      <c r="L595" s="52">
        <v>33970</v>
      </c>
      <c r="M595" s="58">
        <f t="shared" si="45"/>
        <v>184.30952227163957</v>
      </c>
      <c r="N595" s="58">
        <v>2085.2399999999998</v>
      </c>
      <c r="O595" s="60">
        <f t="shared" si="46"/>
        <v>16.290690759816616</v>
      </c>
      <c r="P595" s="60">
        <f t="shared" si="47"/>
        <v>8.8387678287218538E-2</v>
      </c>
      <c r="Q595" s="63"/>
    </row>
    <row r="596" spans="1:17" ht="17.25" customHeight="1" x14ac:dyDescent="0.2">
      <c r="A596" s="52">
        <v>2727</v>
      </c>
      <c r="B596" s="53" t="s">
        <v>355</v>
      </c>
      <c r="C596" s="57" t="s">
        <v>340</v>
      </c>
      <c r="D596" s="54">
        <v>351.2</v>
      </c>
      <c r="E596" s="62">
        <v>753</v>
      </c>
      <c r="F596" s="54">
        <f t="shared" si="48"/>
        <v>349.18491489999991</v>
      </c>
      <c r="G596" s="66">
        <v>25569.041962604166</v>
      </c>
      <c r="H596" s="66">
        <v>25569.041962604166</v>
      </c>
      <c r="I596" s="62">
        <v>26</v>
      </c>
      <c r="J596" s="53"/>
      <c r="K596" s="57" t="s">
        <v>345</v>
      </c>
      <c r="L596" s="52">
        <v>16505</v>
      </c>
      <c r="M596" s="58">
        <f t="shared" si="45"/>
        <v>128.47178678604885</v>
      </c>
      <c r="N596" s="58">
        <v>1151.55</v>
      </c>
      <c r="O596" s="60">
        <f t="shared" si="46"/>
        <v>14.33285571620859</v>
      </c>
      <c r="P596" s="60">
        <f t="shared" si="47"/>
        <v>0.1115642280283521</v>
      </c>
      <c r="Q596" s="63"/>
    </row>
    <row r="597" spans="1:17" ht="17.25" customHeight="1" x14ac:dyDescent="0.2">
      <c r="A597" s="52">
        <v>2728</v>
      </c>
      <c r="B597" s="53" t="s">
        <v>355</v>
      </c>
      <c r="C597" s="57" t="s">
        <v>340</v>
      </c>
      <c r="D597" s="54">
        <v>352.2</v>
      </c>
      <c r="E597" s="62">
        <v>753</v>
      </c>
      <c r="F597" s="54">
        <f t="shared" si="48"/>
        <v>350.17821489999994</v>
      </c>
      <c r="G597" s="66">
        <v>25569.041962604166</v>
      </c>
      <c r="H597" s="66">
        <v>25569.041962604166</v>
      </c>
      <c r="I597" s="62">
        <v>26</v>
      </c>
      <c r="J597" s="53"/>
      <c r="K597" s="57" t="s">
        <v>345</v>
      </c>
      <c r="L597" s="52">
        <v>37677</v>
      </c>
      <c r="M597" s="58">
        <f t="shared" si="45"/>
        <v>194.10564133996724</v>
      </c>
      <c r="N597" s="58">
        <v>3089.92</v>
      </c>
      <c r="O597" s="60">
        <f t="shared" si="46"/>
        <v>12.193519573322286</v>
      </c>
      <c r="P597" s="60">
        <f t="shared" si="47"/>
        <v>6.2818986038462879E-2</v>
      </c>
      <c r="Q597" s="63"/>
    </row>
    <row r="598" spans="1:17" ht="17.25" customHeight="1" x14ac:dyDescent="0.2">
      <c r="A598" s="52">
        <v>2729</v>
      </c>
      <c r="B598" s="53" t="s">
        <v>355</v>
      </c>
      <c r="C598" s="57" t="s">
        <v>340</v>
      </c>
      <c r="D598" s="54">
        <v>353.2</v>
      </c>
      <c r="E598" s="62">
        <v>753</v>
      </c>
      <c r="F598" s="54">
        <f t="shared" si="48"/>
        <v>351.17151489999992</v>
      </c>
      <c r="G598" s="66">
        <v>25569.041962604166</v>
      </c>
      <c r="H598" s="66">
        <v>25569.041962604166</v>
      </c>
      <c r="I598" s="62">
        <v>26</v>
      </c>
      <c r="J598" s="53"/>
      <c r="K598" s="57" t="s">
        <v>345</v>
      </c>
      <c r="L598" s="52">
        <v>29842</v>
      </c>
      <c r="M598" s="58">
        <f t="shared" si="45"/>
        <v>172.74837191707482</v>
      </c>
      <c r="N598" s="58">
        <v>2851.09</v>
      </c>
      <c r="O598" s="60">
        <f t="shared" si="46"/>
        <v>10.466874072723064</v>
      </c>
      <c r="P598" s="60">
        <f t="shared" si="47"/>
        <v>6.0590290701828003E-2</v>
      </c>
      <c r="Q598" s="63"/>
    </row>
    <row r="599" spans="1:17" ht="17.25" customHeight="1" x14ac:dyDescent="0.2">
      <c r="A599" s="52">
        <v>2730</v>
      </c>
      <c r="B599" s="53" t="s">
        <v>355</v>
      </c>
      <c r="C599" s="57" t="s">
        <v>340</v>
      </c>
      <c r="D599" s="54">
        <v>354.2</v>
      </c>
      <c r="E599" s="62">
        <v>753</v>
      </c>
      <c r="F599" s="54">
        <f t="shared" si="48"/>
        <v>352.16481489999995</v>
      </c>
      <c r="G599" s="66">
        <v>25569.041962604166</v>
      </c>
      <c r="H599" s="66">
        <v>25569.041962604166</v>
      </c>
      <c r="I599" s="62">
        <v>26</v>
      </c>
      <c r="J599" s="53"/>
      <c r="K599" s="57" t="s">
        <v>345</v>
      </c>
      <c r="L599" s="52">
        <v>35476</v>
      </c>
      <c r="M599" s="58">
        <f t="shared" si="45"/>
        <v>188.35073665903195</v>
      </c>
      <c r="N599" s="58">
        <v>4016.56</v>
      </c>
      <c r="O599" s="60">
        <f t="shared" si="46"/>
        <v>8.8324337243810618</v>
      </c>
      <c r="P599" s="60">
        <f t="shared" si="47"/>
        <v>4.6893544888917865E-2</v>
      </c>
      <c r="Q599" s="63"/>
    </row>
    <row r="600" spans="1:17" ht="17.25" customHeight="1" x14ac:dyDescent="0.2">
      <c r="A600" s="52">
        <v>2731</v>
      </c>
      <c r="B600" s="53" t="s">
        <v>355</v>
      </c>
      <c r="C600" s="57" t="s">
        <v>340</v>
      </c>
      <c r="D600" s="54">
        <v>355.2</v>
      </c>
      <c r="E600" s="62">
        <v>753</v>
      </c>
      <c r="F600" s="54">
        <f t="shared" si="48"/>
        <v>353.15811489999993</v>
      </c>
      <c r="G600" s="66">
        <v>25569.041962604166</v>
      </c>
      <c r="H600" s="66">
        <v>25569.041962604166</v>
      </c>
      <c r="I600" s="62">
        <v>25</v>
      </c>
      <c r="J600" s="53"/>
      <c r="K600" s="57" t="s">
        <v>345</v>
      </c>
      <c r="L600" s="52">
        <v>25745</v>
      </c>
      <c r="M600" s="58">
        <f t="shared" si="45"/>
        <v>160.45248517863473</v>
      </c>
      <c r="N600" s="58">
        <v>3474.22</v>
      </c>
      <c r="O600" s="60">
        <f t="shared" si="46"/>
        <v>7.4102964118564749</v>
      </c>
      <c r="P600" s="60">
        <f t="shared" si="47"/>
        <v>4.6183743452813793E-2</v>
      </c>
      <c r="Q600" s="63"/>
    </row>
    <row r="601" spans="1:17" ht="17.25" customHeight="1" x14ac:dyDescent="0.2">
      <c r="A601" s="52">
        <v>2732</v>
      </c>
      <c r="B601" s="53" t="s">
        <v>355</v>
      </c>
      <c r="C601" s="57" t="s">
        <v>340</v>
      </c>
      <c r="D601" s="54">
        <v>356.2</v>
      </c>
      <c r="E601" s="62">
        <v>753</v>
      </c>
      <c r="F601" s="54">
        <f t="shared" si="48"/>
        <v>354.15141489999996</v>
      </c>
      <c r="G601" s="66">
        <v>25569.041962604166</v>
      </c>
      <c r="H601" s="66">
        <v>25569.041962604166</v>
      </c>
      <c r="I601" s="62">
        <v>25</v>
      </c>
      <c r="J601" s="53"/>
      <c r="K601" s="57" t="s">
        <v>345</v>
      </c>
      <c r="L601" s="52">
        <v>19955</v>
      </c>
      <c r="M601" s="58">
        <f t="shared" ref="M601:M655" si="49">SQRT(L601)</f>
        <v>141.26216761751888</v>
      </c>
      <c r="N601" s="58">
        <v>3337.88</v>
      </c>
      <c r="O601" s="60">
        <f t="shared" ref="O601:O655" si="50">L601/N601</f>
        <v>5.9783455366879572</v>
      </c>
      <c r="P601" s="60">
        <f t="shared" ref="P601:P655" si="51">M601/N601</f>
        <v>4.2320924544177407E-2</v>
      </c>
      <c r="Q601" s="63"/>
    </row>
    <row r="602" spans="1:17" ht="17.25" customHeight="1" x14ac:dyDescent="0.2">
      <c r="A602" s="52">
        <v>2733</v>
      </c>
      <c r="B602" s="53" t="s">
        <v>355</v>
      </c>
      <c r="C602" s="57" t="s">
        <v>340</v>
      </c>
      <c r="D602" s="54">
        <v>358.2</v>
      </c>
      <c r="E602" s="62">
        <v>753</v>
      </c>
      <c r="F602" s="54">
        <f t="shared" si="48"/>
        <v>356.13801489999992</v>
      </c>
      <c r="G602" s="66">
        <v>25569.041962604166</v>
      </c>
      <c r="H602" s="66">
        <v>25569.041962604166</v>
      </c>
      <c r="I602" s="62">
        <v>24</v>
      </c>
      <c r="J602" s="53"/>
      <c r="K602" s="57" t="s">
        <v>345</v>
      </c>
      <c r="L602" s="52">
        <v>8275</v>
      </c>
      <c r="M602" s="58">
        <f t="shared" si="49"/>
        <v>90.967026993301261</v>
      </c>
      <c r="N602" s="58">
        <v>2091.6999999999998</v>
      </c>
      <c r="O602" s="60">
        <f t="shared" si="50"/>
        <v>3.9561122531911845</v>
      </c>
      <c r="P602" s="60">
        <f t="shared" si="51"/>
        <v>4.3489519048286691E-2</v>
      </c>
      <c r="Q602" s="63"/>
    </row>
    <row r="603" spans="1:17" ht="17.25" customHeight="1" x14ac:dyDescent="0.2">
      <c r="A603" s="52">
        <v>2734</v>
      </c>
      <c r="B603" s="53" t="s">
        <v>355</v>
      </c>
      <c r="C603" s="57" t="s">
        <v>340</v>
      </c>
      <c r="D603" s="54">
        <v>360.2</v>
      </c>
      <c r="E603" s="62">
        <v>753</v>
      </c>
      <c r="F603" s="54">
        <f t="shared" si="48"/>
        <v>358.12461489999993</v>
      </c>
      <c r="G603" s="66">
        <v>25569.041962604166</v>
      </c>
      <c r="H603" s="66">
        <v>25569.041962604166</v>
      </c>
      <c r="I603" s="62">
        <v>24</v>
      </c>
      <c r="J603" s="53"/>
      <c r="K603" s="57" t="s">
        <v>345</v>
      </c>
      <c r="L603" s="52">
        <v>7177</v>
      </c>
      <c r="M603" s="58">
        <f t="shared" si="49"/>
        <v>84.717176534631989</v>
      </c>
      <c r="N603" s="58">
        <v>2781.93</v>
      </c>
      <c r="O603" s="60">
        <f t="shared" si="50"/>
        <v>2.5798636198610319</v>
      </c>
      <c r="P603" s="60">
        <f t="shared" si="51"/>
        <v>3.0452662911946739E-2</v>
      </c>
      <c r="Q603" s="63"/>
    </row>
    <row r="604" spans="1:17" ht="17.25" customHeight="1" x14ac:dyDescent="0.2">
      <c r="A604" s="52">
        <v>2735</v>
      </c>
      <c r="B604" s="53" t="s">
        <v>355</v>
      </c>
      <c r="C604" s="57" t="s">
        <v>340</v>
      </c>
      <c r="D604" s="54">
        <v>362.2</v>
      </c>
      <c r="E604" s="62">
        <v>753</v>
      </c>
      <c r="F604" s="54">
        <f t="shared" si="48"/>
        <v>360.11121489999994</v>
      </c>
      <c r="G604" s="66">
        <v>25569.041962604166</v>
      </c>
      <c r="H604" s="66">
        <v>25569.041962604166</v>
      </c>
      <c r="I604" s="62">
        <v>24</v>
      </c>
      <c r="J604" s="53"/>
      <c r="K604" s="57" t="s">
        <v>345</v>
      </c>
      <c r="L604" s="52">
        <v>5911</v>
      </c>
      <c r="M604" s="58">
        <f t="shared" si="49"/>
        <v>76.883028036101706</v>
      </c>
      <c r="N604" s="58">
        <v>3542.61</v>
      </c>
      <c r="O604" s="60">
        <f t="shared" si="50"/>
        <v>1.6685438137418456</v>
      </c>
      <c r="P604" s="60">
        <f t="shared" si="51"/>
        <v>2.1702368602838501E-2</v>
      </c>
      <c r="Q604" s="63"/>
    </row>
    <row r="605" spans="1:17" ht="17.25" customHeight="1" x14ac:dyDescent="0.2">
      <c r="A605" s="52">
        <v>2736</v>
      </c>
      <c r="B605" s="53" t="s">
        <v>355</v>
      </c>
      <c r="C605" s="57" t="s">
        <v>340</v>
      </c>
      <c r="D605" s="54">
        <v>364.2</v>
      </c>
      <c r="E605" s="62">
        <v>753</v>
      </c>
      <c r="F605" s="54">
        <f t="shared" si="48"/>
        <v>362.09781489999995</v>
      </c>
      <c r="G605" s="66">
        <v>25569.041962604166</v>
      </c>
      <c r="H605" s="66">
        <v>25569.041962604166</v>
      </c>
      <c r="I605" s="62">
        <v>23</v>
      </c>
      <c r="J605" s="53"/>
      <c r="K605" s="57" t="s">
        <v>345</v>
      </c>
      <c r="L605" s="52">
        <v>1695</v>
      </c>
      <c r="M605" s="58">
        <f t="shared" si="49"/>
        <v>41.1703777004778</v>
      </c>
      <c r="N605" s="58">
        <v>1450.1</v>
      </c>
      <c r="O605" s="60">
        <f t="shared" si="50"/>
        <v>1.1688849044893457</v>
      </c>
      <c r="P605" s="60">
        <f t="shared" si="51"/>
        <v>2.8391405903370664E-2</v>
      </c>
      <c r="Q605" s="63"/>
    </row>
    <row r="606" spans="1:17" ht="17.25" customHeight="1" x14ac:dyDescent="0.2">
      <c r="A606" s="52">
        <v>2737</v>
      </c>
      <c r="B606" s="53" t="s">
        <v>157</v>
      </c>
      <c r="C606" s="57" t="s">
        <v>340</v>
      </c>
      <c r="D606" s="54">
        <v>241.9</v>
      </c>
      <c r="E606" s="62">
        <v>1314</v>
      </c>
      <c r="F606" s="54">
        <f t="shared" si="48"/>
        <v>241.17446619999998</v>
      </c>
      <c r="G606" s="66">
        <v>25569.041962604166</v>
      </c>
      <c r="H606" s="66">
        <v>25569.041962604166</v>
      </c>
      <c r="I606" s="62">
        <v>80</v>
      </c>
      <c r="J606" s="53"/>
      <c r="K606" s="57" t="s">
        <v>345</v>
      </c>
      <c r="L606" s="52"/>
      <c r="M606" s="58">
        <f t="shared" si="49"/>
        <v>0</v>
      </c>
      <c r="N606" s="59"/>
      <c r="O606" s="71" t="e">
        <f t="shared" si="50"/>
        <v>#DIV/0!</v>
      </c>
      <c r="P606" s="60" t="e">
        <f t="shared" si="51"/>
        <v>#DIV/0!</v>
      </c>
      <c r="Q606" s="63"/>
    </row>
    <row r="607" spans="1:17" ht="17.25" customHeight="1" x14ac:dyDescent="0.2">
      <c r="A607" s="52">
        <v>2738</v>
      </c>
      <c r="B607" s="53" t="s">
        <v>356</v>
      </c>
      <c r="C607" s="57" t="s">
        <v>340</v>
      </c>
      <c r="D607" s="54">
        <v>334.2</v>
      </c>
      <c r="E607" s="62">
        <v>798</v>
      </c>
      <c r="F607" s="54">
        <f t="shared" si="48"/>
        <v>332.34351339999995</v>
      </c>
      <c r="G607" s="66">
        <v>25569.041962604166</v>
      </c>
      <c r="H607" s="66">
        <v>25569.041962604166</v>
      </c>
      <c r="I607" s="62">
        <v>29</v>
      </c>
      <c r="J607" s="53"/>
      <c r="K607" s="57" t="s">
        <v>345</v>
      </c>
      <c r="L607" s="52">
        <v>2843</v>
      </c>
      <c r="M607" s="58">
        <f t="shared" si="49"/>
        <v>53.319789947073126</v>
      </c>
      <c r="N607" s="58">
        <v>9735.08</v>
      </c>
      <c r="O607" s="60">
        <f t="shared" si="50"/>
        <v>0.29203663452175022</v>
      </c>
      <c r="P607" s="60">
        <f t="shared" si="51"/>
        <v>5.477077738146284E-3</v>
      </c>
      <c r="Q607" s="63"/>
    </row>
    <row r="608" spans="1:17" ht="17.25" customHeight="1" x14ac:dyDescent="0.2">
      <c r="A608" s="52">
        <v>2739</v>
      </c>
      <c r="B608" s="53" t="s">
        <v>356</v>
      </c>
      <c r="C608" s="57" t="s">
        <v>340</v>
      </c>
      <c r="D608" s="54">
        <v>336.2</v>
      </c>
      <c r="E608" s="62">
        <v>798</v>
      </c>
      <c r="F608" s="54">
        <f t="shared" si="48"/>
        <v>334.33011339999996</v>
      </c>
      <c r="G608" s="66">
        <v>25569.041962604166</v>
      </c>
      <c r="H608" s="66">
        <v>25569.041962604166</v>
      </c>
      <c r="I608" s="62">
        <v>29</v>
      </c>
      <c r="J608" s="53"/>
      <c r="K608" s="57" t="s">
        <v>345</v>
      </c>
      <c r="L608" s="52">
        <v>1316</v>
      </c>
      <c r="M608" s="58">
        <f t="shared" si="49"/>
        <v>36.276714294434107</v>
      </c>
      <c r="N608" s="58">
        <v>3284.13</v>
      </c>
      <c r="O608" s="60">
        <f t="shared" si="50"/>
        <v>0.40071495342754399</v>
      </c>
      <c r="P608" s="60">
        <f t="shared" si="51"/>
        <v>1.104606525759763E-2</v>
      </c>
      <c r="Q608" s="63"/>
    </row>
    <row r="609" spans="1:17" ht="17.25" customHeight="1" x14ac:dyDescent="0.2">
      <c r="A609" s="52">
        <v>2740</v>
      </c>
      <c r="B609" s="53" t="s">
        <v>356</v>
      </c>
      <c r="C609" s="57" t="s">
        <v>340</v>
      </c>
      <c r="D609" s="54">
        <v>338.2</v>
      </c>
      <c r="E609" s="62">
        <v>798</v>
      </c>
      <c r="F609" s="54">
        <f t="shared" si="48"/>
        <v>336.31671339999997</v>
      </c>
      <c r="G609" s="66">
        <v>25569.041962604166</v>
      </c>
      <c r="H609" s="66">
        <v>25569.041962604166</v>
      </c>
      <c r="I609" s="62">
        <v>29</v>
      </c>
      <c r="J609" s="53"/>
      <c r="K609" s="57" t="s">
        <v>345</v>
      </c>
      <c r="L609" s="52">
        <v>1489</v>
      </c>
      <c r="M609" s="58">
        <f t="shared" si="49"/>
        <v>38.587562763149478</v>
      </c>
      <c r="N609" s="58">
        <v>2256.87</v>
      </c>
      <c r="O609" s="60">
        <f t="shared" si="50"/>
        <v>0.65976330050025034</v>
      </c>
      <c r="P609" s="60">
        <f t="shared" si="51"/>
        <v>1.7097822543234425E-2</v>
      </c>
      <c r="Q609" s="63"/>
    </row>
    <row r="610" spans="1:17" ht="17.25" customHeight="1" x14ac:dyDescent="0.2">
      <c r="A610" s="52">
        <v>2741</v>
      </c>
      <c r="B610" s="53" t="s">
        <v>356</v>
      </c>
      <c r="C610" s="57" t="s">
        <v>340</v>
      </c>
      <c r="D610" s="54">
        <v>340.2</v>
      </c>
      <c r="E610" s="62">
        <v>798</v>
      </c>
      <c r="F610" s="54">
        <f t="shared" si="48"/>
        <v>338.30331339999998</v>
      </c>
      <c r="G610" s="66">
        <v>25569.041962604166</v>
      </c>
      <c r="H610" s="66">
        <v>25569.041962604166</v>
      </c>
      <c r="I610" s="62">
        <v>28</v>
      </c>
      <c r="J610" s="53"/>
      <c r="K610" s="57" t="s">
        <v>345</v>
      </c>
      <c r="L610" s="52">
        <v>2742</v>
      </c>
      <c r="M610" s="58">
        <f t="shared" si="49"/>
        <v>52.364109846344185</v>
      </c>
      <c r="N610" s="58">
        <v>2247.4899999999998</v>
      </c>
      <c r="O610" s="60">
        <f t="shared" si="50"/>
        <v>1.220027675317799</v>
      </c>
      <c r="P610" s="60">
        <f t="shared" si="51"/>
        <v>2.3298928959125154E-2</v>
      </c>
      <c r="Q610" s="63"/>
    </row>
    <row r="611" spans="1:17" ht="17.25" customHeight="1" x14ac:dyDescent="0.2">
      <c r="A611" s="52">
        <v>2742</v>
      </c>
      <c r="B611" s="53" t="s">
        <v>356</v>
      </c>
      <c r="C611" s="57" t="s">
        <v>340</v>
      </c>
      <c r="D611" s="54">
        <v>341.2</v>
      </c>
      <c r="E611" s="62">
        <v>798</v>
      </c>
      <c r="F611" s="54">
        <f t="shared" si="48"/>
        <v>339.29661339999996</v>
      </c>
      <c r="G611" s="66">
        <v>25569.041962604166</v>
      </c>
      <c r="H611" s="66">
        <v>25569.041962604166</v>
      </c>
      <c r="I611" s="62">
        <v>28</v>
      </c>
      <c r="J611" s="53"/>
      <c r="K611" s="57" t="s">
        <v>345</v>
      </c>
      <c r="L611" s="52">
        <v>5167</v>
      </c>
      <c r="M611" s="58">
        <f t="shared" si="49"/>
        <v>71.881847499907792</v>
      </c>
      <c r="N611" s="58">
        <v>3021.67</v>
      </c>
      <c r="O611" s="60">
        <f t="shared" si="50"/>
        <v>1.7099815664847584</v>
      </c>
      <c r="P611" s="60">
        <f t="shared" si="51"/>
        <v>2.378878153468373E-2</v>
      </c>
      <c r="Q611" s="63"/>
    </row>
    <row r="612" spans="1:17" ht="17.25" customHeight="1" x14ac:dyDescent="0.2">
      <c r="A612" s="52">
        <v>2743</v>
      </c>
      <c r="B612" s="53" t="s">
        <v>356</v>
      </c>
      <c r="C612" s="57" t="s">
        <v>340</v>
      </c>
      <c r="D612" s="54">
        <v>342.2</v>
      </c>
      <c r="E612" s="62">
        <v>798</v>
      </c>
      <c r="F612" s="54">
        <f t="shared" si="48"/>
        <v>340.28991339999993</v>
      </c>
      <c r="G612" s="66">
        <v>25569.041962604166</v>
      </c>
      <c r="H612" s="66">
        <v>25569.041962604166</v>
      </c>
      <c r="I612" s="62">
        <v>27</v>
      </c>
      <c r="J612" s="53"/>
      <c r="K612" s="57" t="s">
        <v>345</v>
      </c>
      <c r="L612" s="52">
        <v>11661</v>
      </c>
      <c r="M612" s="58">
        <f t="shared" si="49"/>
        <v>107.98611021793498</v>
      </c>
      <c r="N612" s="58">
        <v>4046.84</v>
      </c>
      <c r="O612" s="60">
        <f t="shared" si="50"/>
        <v>2.8815075466289746</v>
      </c>
      <c r="P612" s="60">
        <f t="shared" si="51"/>
        <v>2.6684057244154694E-2</v>
      </c>
      <c r="Q612" s="63"/>
    </row>
    <row r="613" spans="1:17" ht="17.25" customHeight="1" x14ac:dyDescent="0.2">
      <c r="A613" s="52">
        <v>2744</v>
      </c>
      <c r="B613" s="53" t="s">
        <v>356</v>
      </c>
      <c r="C613" s="57" t="s">
        <v>340</v>
      </c>
      <c r="D613" s="54">
        <v>343.2</v>
      </c>
      <c r="E613" s="62">
        <v>798</v>
      </c>
      <c r="F613" s="54">
        <f t="shared" si="48"/>
        <v>341.28321339999997</v>
      </c>
      <c r="G613" s="66">
        <v>25569.041962604166</v>
      </c>
      <c r="H613" s="66">
        <v>25569.041962604166</v>
      </c>
      <c r="I613" s="62">
        <v>26</v>
      </c>
      <c r="J613" s="53"/>
      <c r="K613" s="57" t="s">
        <v>345</v>
      </c>
      <c r="L613" s="52">
        <v>11282</v>
      </c>
      <c r="M613" s="58">
        <f t="shared" si="49"/>
        <v>106.21675950620975</v>
      </c>
      <c r="N613" s="58">
        <v>2208.2199999999998</v>
      </c>
      <c r="O613" s="60">
        <f t="shared" si="50"/>
        <v>5.109092391156679</v>
      </c>
      <c r="P613" s="60">
        <f t="shared" si="51"/>
        <v>4.8100623808411194E-2</v>
      </c>
      <c r="Q613" s="63"/>
    </row>
    <row r="614" spans="1:17" ht="17.25" customHeight="1" x14ac:dyDescent="0.2">
      <c r="A614" s="52">
        <v>2745</v>
      </c>
      <c r="B614" s="53" t="s">
        <v>356</v>
      </c>
      <c r="C614" s="57" t="s">
        <v>340</v>
      </c>
      <c r="D614" s="54">
        <v>344.2</v>
      </c>
      <c r="E614" s="62">
        <v>798</v>
      </c>
      <c r="F614" s="54">
        <f t="shared" si="48"/>
        <v>342.27651339999994</v>
      </c>
      <c r="G614" s="66">
        <v>25569.041962604166</v>
      </c>
      <c r="H614" s="66">
        <v>25569.041962604166</v>
      </c>
      <c r="I614" s="62">
        <v>26</v>
      </c>
      <c r="J614" s="53"/>
      <c r="K614" s="57" t="s">
        <v>345</v>
      </c>
      <c r="L614" s="52">
        <v>17109</v>
      </c>
      <c r="M614" s="58">
        <f t="shared" si="49"/>
        <v>130.80137613954986</v>
      </c>
      <c r="N614" s="58">
        <v>1861.85</v>
      </c>
      <c r="O614" s="60">
        <f t="shared" si="50"/>
        <v>9.1892472540752479</v>
      </c>
      <c r="P614" s="60">
        <f t="shared" si="51"/>
        <v>7.0253444767059567E-2</v>
      </c>
      <c r="Q614" s="63"/>
    </row>
    <row r="615" spans="1:17" ht="17.25" customHeight="1" x14ac:dyDescent="0.2">
      <c r="A615" s="52">
        <v>2746</v>
      </c>
      <c r="B615" s="53" t="s">
        <v>356</v>
      </c>
      <c r="C615" s="57" t="s">
        <v>340</v>
      </c>
      <c r="D615" s="54">
        <v>345.2</v>
      </c>
      <c r="E615" s="62">
        <v>798</v>
      </c>
      <c r="F615" s="54">
        <f t="shared" si="48"/>
        <v>343.26981339999998</v>
      </c>
      <c r="G615" s="66">
        <v>25569.041962604166</v>
      </c>
      <c r="H615" s="66">
        <v>25569.041962604166</v>
      </c>
      <c r="I615" s="62">
        <v>25</v>
      </c>
      <c r="J615" s="53"/>
      <c r="K615" s="57" t="s">
        <v>345</v>
      </c>
      <c r="L615" s="52">
        <v>28252</v>
      </c>
      <c r="M615" s="58">
        <f t="shared" si="49"/>
        <v>168.08331267558955</v>
      </c>
      <c r="N615" s="58">
        <v>2044.73</v>
      </c>
      <c r="O615" s="60">
        <f t="shared" si="50"/>
        <v>13.816983171372259</v>
      </c>
      <c r="P615" s="60">
        <f t="shared" si="51"/>
        <v>8.2203182168594166E-2</v>
      </c>
      <c r="Q615" s="63"/>
    </row>
    <row r="616" spans="1:17" ht="17.25" customHeight="1" x14ac:dyDescent="0.2">
      <c r="A616" s="52">
        <v>2747</v>
      </c>
      <c r="B616" s="53" t="s">
        <v>356</v>
      </c>
      <c r="C616" s="57" t="s">
        <v>340</v>
      </c>
      <c r="D616" s="54">
        <v>346.2</v>
      </c>
      <c r="E616" s="62">
        <v>798</v>
      </c>
      <c r="F616" s="54">
        <f t="shared" si="48"/>
        <v>344.26311339999995</v>
      </c>
      <c r="G616" s="66">
        <v>25569.041962604166</v>
      </c>
      <c r="H616" s="66">
        <v>25569.041962604166</v>
      </c>
      <c r="I616" s="62">
        <v>25</v>
      </c>
      <c r="J616" s="53"/>
      <c r="K616" s="57" t="s">
        <v>345</v>
      </c>
      <c r="L616" s="52">
        <v>24492</v>
      </c>
      <c r="M616" s="58">
        <f t="shared" si="49"/>
        <v>156.49920127591707</v>
      </c>
      <c r="N616" s="58">
        <v>1451.97</v>
      </c>
      <c r="O616" s="60">
        <f t="shared" si="50"/>
        <v>16.868117109857643</v>
      </c>
      <c r="P616" s="60">
        <f t="shared" si="51"/>
        <v>0.1077840460036482</v>
      </c>
      <c r="Q616" s="63"/>
    </row>
    <row r="617" spans="1:17" ht="17.25" customHeight="1" x14ac:dyDescent="0.2">
      <c r="A617" s="52">
        <v>2748</v>
      </c>
      <c r="B617" s="53" t="s">
        <v>356</v>
      </c>
      <c r="C617" s="57" t="s">
        <v>340</v>
      </c>
      <c r="D617" s="54">
        <v>347.2</v>
      </c>
      <c r="E617" s="62">
        <v>798</v>
      </c>
      <c r="F617" s="54">
        <f t="shared" si="48"/>
        <v>345.25641339999993</v>
      </c>
      <c r="G617" s="66">
        <v>25569.041962604166</v>
      </c>
      <c r="H617" s="66">
        <v>25569.041962604166</v>
      </c>
      <c r="I617" s="62">
        <v>25</v>
      </c>
      <c r="J617" s="53"/>
      <c r="K617" s="57" t="s">
        <v>345</v>
      </c>
      <c r="L617" s="52">
        <v>12414</v>
      </c>
      <c r="M617" s="58">
        <f t="shared" si="49"/>
        <v>111.41813137905338</v>
      </c>
      <c r="N617" s="58">
        <v>684.89</v>
      </c>
      <c r="O617" s="60">
        <f t="shared" si="50"/>
        <v>18.125538407627502</v>
      </c>
      <c r="P617" s="60">
        <f t="shared" si="51"/>
        <v>0.16268033024143055</v>
      </c>
      <c r="Q617" s="63"/>
    </row>
    <row r="618" spans="1:17" ht="17.25" customHeight="1" x14ac:dyDescent="0.2">
      <c r="A618" s="52">
        <v>2749</v>
      </c>
      <c r="B618" s="53" t="s">
        <v>356</v>
      </c>
      <c r="C618" s="57" t="s">
        <v>340</v>
      </c>
      <c r="D618" s="54">
        <v>348.2</v>
      </c>
      <c r="E618" s="62">
        <v>798</v>
      </c>
      <c r="F618" s="54">
        <f t="shared" si="48"/>
        <v>346.24971339999996</v>
      </c>
      <c r="G618" s="66">
        <v>25569.041962604166</v>
      </c>
      <c r="H618" s="66">
        <v>25569.041962604166</v>
      </c>
      <c r="I618" s="62">
        <v>24</v>
      </c>
      <c r="J618" s="53"/>
      <c r="K618" s="57" t="s">
        <v>345</v>
      </c>
      <c r="L618" s="52">
        <v>32683</v>
      </c>
      <c r="M618" s="58">
        <f t="shared" si="49"/>
        <v>180.78440198202941</v>
      </c>
      <c r="N618" s="58">
        <v>1787.53</v>
      </c>
      <c r="O618" s="60">
        <f t="shared" si="50"/>
        <v>18.283888941724054</v>
      </c>
      <c r="P618" s="60">
        <f t="shared" si="51"/>
        <v>0.10113642958833105</v>
      </c>
      <c r="Q618" s="63"/>
    </row>
    <row r="619" spans="1:17" ht="17.25" customHeight="1" x14ac:dyDescent="0.2">
      <c r="A619" s="52">
        <v>2750</v>
      </c>
      <c r="B619" s="53" t="s">
        <v>356</v>
      </c>
      <c r="C619" s="57" t="s">
        <v>340</v>
      </c>
      <c r="D619" s="54">
        <v>349.2</v>
      </c>
      <c r="E619" s="62">
        <v>798</v>
      </c>
      <c r="F619" s="54">
        <f t="shared" si="48"/>
        <v>347.24301339999994</v>
      </c>
      <c r="G619" s="66">
        <v>25569.041962604166</v>
      </c>
      <c r="H619" s="66">
        <v>25569.041962604166</v>
      </c>
      <c r="I619" s="62">
        <v>24</v>
      </c>
      <c r="J619" s="53"/>
      <c r="K619" s="57" t="s">
        <v>345</v>
      </c>
      <c r="L619" s="52">
        <v>22818</v>
      </c>
      <c r="M619" s="58">
        <f t="shared" si="49"/>
        <v>151.05628090218559</v>
      </c>
      <c r="N619" s="58">
        <v>1299.07</v>
      </c>
      <c r="O619" s="60">
        <f t="shared" si="50"/>
        <v>17.564873332460916</v>
      </c>
      <c r="P619" s="60">
        <f t="shared" si="51"/>
        <v>0.11628032431061112</v>
      </c>
      <c r="Q619" s="63"/>
    </row>
    <row r="620" spans="1:17" ht="17.25" customHeight="1" x14ac:dyDescent="0.2">
      <c r="A620" s="52">
        <v>2751</v>
      </c>
      <c r="B620" s="53" t="s">
        <v>356</v>
      </c>
      <c r="C620" s="57" t="s">
        <v>340</v>
      </c>
      <c r="D620" s="54">
        <v>350.2</v>
      </c>
      <c r="E620" s="62">
        <v>798</v>
      </c>
      <c r="F620" s="54">
        <f t="shared" si="48"/>
        <v>348.23631339999997</v>
      </c>
      <c r="G620" s="66">
        <v>25569.041962604166</v>
      </c>
      <c r="H620" s="66">
        <v>25569.041962604166</v>
      </c>
      <c r="I620" s="62">
        <v>24</v>
      </c>
      <c r="J620" s="53"/>
      <c r="K620" s="57" t="s">
        <v>345</v>
      </c>
      <c r="L620" s="52">
        <v>28867</v>
      </c>
      <c r="M620" s="58">
        <f t="shared" si="49"/>
        <v>169.90291345353674</v>
      </c>
      <c r="N620" s="58">
        <v>1745.6</v>
      </c>
      <c r="O620" s="60">
        <f t="shared" si="50"/>
        <v>16.537007332722276</v>
      </c>
      <c r="P620" s="60">
        <f t="shared" si="51"/>
        <v>9.7332099824436732E-2</v>
      </c>
      <c r="Q620" s="63"/>
    </row>
    <row r="621" spans="1:17" ht="17.25" customHeight="1" x14ac:dyDescent="0.2">
      <c r="A621" s="52">
        <v>2752</v>
      </c>
      <c r="B621" s="53" t="s">
        <v>356</v>
      </c>
      <c r="C621" s="57" t="s">
        <v>340</v>
      </c>
      <c r="D621" s="54">
        <v>351.2</v>
      </c>
      <c r="E621" s="62">
        <v>798</v>
      </c>
      <c r="F621" s="54">
        <f t="shared" si="48"/>
        <v>349.22961339999995</v>
      </c>
      <c r="G621" s="66">
        <v>25569.041962604166</v>
      </c>
      <c r="H621" s="66">
        <v>25569.041962604166</v>
      </c>
      <c r="I621" s="62">
        <v>24</v>
      </c>
      <c r="J621" s="53"/>
      <c r="K621" s="57" t="s">
        <v>345</v>
      </c>
      <c r="L621" s="52">
        <v>10880</v>
      </c>
      <c r="M621" s="58">
        <f t="shared" si="49"/>
        <v>104.30723848324239</v>
      </c>
      <c r="N621" s="58">
        <v>704.52</v>
      </c>
      <c r="O621" s="60">
        <f t="shared" si="50"/>
        <v>15.443138590813604</v>
      </c>
      <c r="P621" s="60">
        <f t="shared" si="51"/>
        <v>0.14805433271339691</v>
      </c>
      <c r="Q621" s="63"/>
    </row>
    <row r="622" spans="1:17" ht="17.25" customHeight="1" x14ac:dyDescent="0.2">
      <c r="A622" s="52">
        <v>2753</v>
      </c>
      <c r="B622" s="53" t="s">
        <v>356</v>
      </c>
      <c r="C622" s="57" t="s">
        <v>340</v>
      </c>
      <c r="D622" s="54">
        <v>352.2</v>
      </c>
      <c r="E622" s="62">
        <v>798</v>
      </c>
      <c r="F622" s="54">
        <f t="shared" si="48"/>
        <v>350.22291339999992</v>
      </c>
      <c r="G622" s="66">
        <v>25569.041962604166</v>
      </c>
      <c r="H622" s="66">
        <v>25569.041962604166</v>
      </c>
      <c r="I622" s="62">
        <v>23</v>
      </c>
      <c r="J622" s="53"/>
      <c r="K622" s="57" t="s">
        <v>345</v>
      </c>
      <c r="L622" s="52">
        <v>13009</v>
      </c>
      <c r="M622" s="58">
        <f t="shared" si="49"/>
        <v>114.05700329221349</v>
      </c>
      <c r="N622" s="58">
        <v>946.5</v>
      </c>
      <c r="O622" s="60">
        <f t="shared" si="50"/>
        <v>13.744321183306921</v>
      </c>
      <c r="P622" s="60">
        <f t="shared" si="51"/>
        <v>0.12050396544343739</v>
      </c>
      <c r="Q622" s="63"/>
    </row>
    <row r="623" spans="1:17" ht="17.25" customHeight="1" x14ac:dyDescent="0.2">
      <c r="A623" s="52">
        <v>2754</v>
      </c>
      <c r="B623" s="53" t="s">
        <v>356</v>
      </c>
      <c r="C623" s="57" t="s">
        <v>340</v>
      </c>
      <c r="D623" s="54">
        <v>353.2</v>
      </c>
      <c r="E623" s="62">
        <v>798</v>
      </c>
      <c r="F623" s="54">
        <f t="shared" si="48"/>
        <v>351.21621339999996</v>
      </c>
      <c r="G623" s="66">
        <v>25569.041962604166</v>
      </c>
      <c r="H623" s="66">
        <v>25569.041962604166</v>
      </c>
      <c r="I623" s="62">
        <v>23</v>
      </c>
      <c r="J623" s="53"/>
      <c r="K623" s="57" t="s">
        <v>345</v>
      </c>
      <c r="L623" s="52">
        <v>39222</v>
      </c>
      <c r="M623" s="58">
        <f t="shared" si="49"/>
        <v>198.04544932918807</v>
      </c>
      <c r="N623" s="58">
        <v>3349.1</v>
      </c>
      <c r="O623" s="60">
        <f t="shared" si="50"/>
        <v>11.71120599564062</v>
      </c>
      <c r="P623" s="60">
        <f t="shared" si="51"/>
        <v>5.913393130368997E-2</v>
      </c>
      <c r="Q623" s="63"/>
    </row>
    <row r="624" spans="1:17" ht="17.25" customHeight="1" x14ac:dyDescent="0.2">
      <c r="A624" s="52">
        <v>2755</v>
      </c>
      <c r="B624" s="53" t="s">
        <v>356</v>
      </c>
      <c r="C624" s="57" t="s">
        <v>340</v>
      </c>
      <c r="D624" s="54">
        <v>354.2</v>
      </c>
      <c r="E624" s="62">
        <v>798</v>
      </c>
      <c r="F624" s="54">
        <f t="shared" si="48"/>
        <v>352.20951339999993</v>
      </c>
      <c r="G624" s="66">
        <v>25569.041962604166</v>
      </c>
      <c r="H624" s="66">
        <v>25569.041962604166</v>
      </c>
      <c r="I624" s="62">
        <v>23</v>
      </c>
      <c r="J624" s="53"/>
      <c r="K624" s="57" t="s">
        <v>345</v>
      </c>
      <c r="L624" s="52">
        <v>10642</v>
      </c>
      <c r="M624" s="58">
        <f t="shared" si="49"/>
        <v>103.16006979447037</v>
      </c>
      <c r="N624" s="58">
        <v>1060.46</v>
      </c>
      <c r="O624" s="60">
        <f t="shared" si="50"/>
        <v>10.035267714010901</v>
      </c>
      <c r="P624" s="60">
        <f t="shared" si="51"/>
        <v>9.7278605317004288E-2</v>
      </c>
      <c r="Q624" s="63"/>
    </row>
    <row r="625" spans="1:17" ht="17.25" customHeight="1" x14ac:dyDescent="0.2">
      <c r="A625" s="52">
        <v>2756</v>
      </c>
      <c r="B625" s="53" t="s">
        <v>356</v>
      </c>
      <c r="C625" s="57" t="s">
        <v>340</v>
      </c>
      <c r="D625" s="54">
        <v>355.2</v>
      </c>
      <c r="E625" s="62">
        <v>798</v>
      </c>
      <c r="F625" s="54">
        <f t="shared" si="48"/>
        <v>353.20281339999997</v>
      </c>
      <c r="G625" s="66">
        <v>25569.041962604166</v>
      </c>
      <c r="H625" s="66">
        <v>25569.041962604166</v>
      </c>
      <c r="I625" s="62">
        <v>23</v>
      </c>
      <c r="J625" s="53"/>
      <c r="K625" s="57" t="s">
        <v>345</v>
      </c>
      <c r="L625" s="52">
        <v>13057</v>
      </c>
      <c r="M625" s="58">
        <f t="shared" si="49"/>
        <v>114.26723064816089</v>
      </c>
      <c r="N625" s="58">
        <v>1563.92</v>
      </c>
      <c r="O625" s="60">
        <f t="shared" si="50"/>
        <v>8.3488925264719427</v>
      </c>
      <c r="P625" s="60">
        <f t="shared" si="51"/>
        <v>7.306462648227588E-2</v>
      </c>
      <c r="Q625" s="63"/>
    </row>
    <row r="626" spans="1:17" ht="17.25" customHeight="1" x14ac:dyDescent="0.2">
      <c r="A626" s="52">
        <v>2757</v>
      </c>
      <c r="B626" s="53" t="s">
        <v>356</v>
      </c>
      <c r="C626" s="57" t="s">
        <v>340</v>
      </c>
      <c r="D626" s="54">
        <v>356.2</v>
      </c>
      <c r="E626" s="62">
        <v>798</v>
      </c>
      <c r="F626" s="54">
        <f t="shared" si="48"/>
        <v>354.19611339999994</v>
      </c>
      <c r="G626" s="66">
        <v>25569.041962604166</v>
      </c>
      <c r="H626" s="66">
        <v>25569.041962604166</v>
      </c>
      <c r="I626" s="62">
        <v>23</v>
      </c>
      <c r="J626" s="53"/>
      <c r="K626" s="57" t="s">
        <v>345</v>
      </c>
      <c r="L626" s="52">
        <v>10358</v>
      </c>
      <c r="M626" s="58">
        <f t="shared" si="49"/>
        <v>101.7742600071354</v>
      </c>
      <c r="N626" s="58">
        <v>1507.36</v>
      </c>
      <c r="O626" s="60">
        <f t="shared" si="50"/>
        <v>6.8716166012100635</v>
      </c>
      <c r="P626" s="60">
        <f t="shared" si="51"/>
        <v>6.7518217285277182E-2</v>
      </c>
      <c r="Q626" s="63"/>
    </row>
    <row r="627" spans="1:17" ht="17.25" customHeight="1" x14ac:dyDescent="0.2">
      <c r="A627" s="52">
        <v>2758</v>
      </c>
      <c r="B627" s="53" t="s">
        <v>356</v>
      </c>
      <c r="C627" s="57" t="s">
        <v>340</v>
      </c>
      <c r="D627" s="54">
        <v>358.2</v>
      </c>
      <c r="E627" s="62">
        <v>798</v>
      </c>
      <c r="F627" s="54">
        <f t="shared" si="48"/>
        <v>356.18271339999995</v>
      </c>
      <c r="G627" s="66">
        <v>25569.041962604166</v>
      </c>
      <c r="H627" s="66">
        <v>25569.041962604166</v>
      </c>
      <c r="I627" s="62">
        <v>23</v>
      </c>
      <c r="J627" s="53"/>
      <c r="K627" s="57" t="s">
        <v>345</v>
      </c>
      <c r="L627" s="52">
        <v>9165</v>
      </c>
      <c r="M627" s="58">
        <f t="shared" si="49"/>
        <v>95.73400649716902</v>
      </c>
      <c r="N627" s="58">
        <v>1929.25</v>
      </c>
      <c r="O627" s="60">
        <f t="shared" si="50"/>
        <v>4.7505507321497991</v>
      </c>
      <c r="P627" s="60">
        <f t="shared" si="51"/>
        <v>4.9622395489008174E-2</v>
      </c>
      <c r="Q627" s="63"/>
    </row>
    <row r="628" spans="1:17" ht="17.25" customHeight="1" x14ac:dyDescent="0.2">
      <c r="A628" s="52">
        <v>2759</v>
      </c>
      <c r="B628" s="53" t="s">
        <v>356</v>
      </c>
      <c r="C628" s="57" t="s">
        <v>340</v>
      </c>
      <c r="D628" s="54">
        <v>360.2</v>
      </c>
      <c r="E628" s="62">
        <v>798</v>
      </c>
      <c r="F628" s="54">
        <f t="shared" si="48"/>
        <v>358.16931339999996</v>
      </c>
      <c r="G628" s="66">
        <v>25569.041962604166</v>
      </c>
      <c r="H628" s="66">
        <v>25569.041962604166</v>
      </c>
      <c r="I628" s="62">
        <v>22</v>
      </c>
      <c r="J628" s="53"/>
      <c r="K628" s="57" t="s">
        <v>345</v>
      </c>
      <c r="L628" s="52">
        <v>3751</v>
      </c>
      <c r="M628" s="58">
        <f t="shared" si="49"/>
        <v>61.245407991130243</v>
      </c>
      <c r="N628" s="58">
        <v>1249.92</v>
      </c>
      <c r="O628" s="60">
        <f t="shared" si="50"/>
        <v>3.0009920634920633</v>
      </c>
      <c r="P628" s="60">
        <f t="shared" si="51"/>
        <v>4.8999462358495137E-2</v>
      </c>
      <c r="Q628" s="63"/>
    </row>
    <row r="629" spans="1:17" ht="17.25" customHeight="1" x14ac:dyDescent="0.2">
      <c r="A629" s="52">
        <v>2760</v>
      </c>
      <c r="B629" s="53" t="s">
        <v>356</v>
      </c>
      <c r="C629" s="57" t="s">
        <v>340</v>
      </c>
      <c r="D629" s="54">
        <v>362.2</v>
      </c>
      <c r="E629" s="62">
        <v>798</v>
      </c>
      <c r="F629" s="54">
        <f t="shared" si="48"/>
        <v>360.15591339999997</v>
      </c>
      <c r="G629" s="66">
        <v>25569.041962604166</v>
      </c>
      <c r="H629" s="66">
        <v>25569.041962604166</v>
      </c>
      <c r="I629" s="62">
        <v>22</v>
      </c>
      <c r="J629" s="53"/>
      <c r="K629" s="57" t="s">
        <v>345</v>
      </c>
      <c r="L629" s="52">
        <v>3878</v>
      </c>
      <c r="M629" s="58">
        <f t="shared" si="49"/>
        <v>62.273589907761057</v>
      </c>
      <c r="N629" s="58">
        <v>2105.1</v>
      </c>
      <c r="O629" s="60">
        <f t="shared" si="50"/>
        <v>1.8421927699396703</v>
      </c>
      <c r="P629" s="60">
        <f t="shared" si="51"/>
        <v>2.9582247830393357E-2</v>
      </c>
      <c r="Q629" s="63"/>
    </row>
    <row r="630" spans="1:17" ht="17.25" customHeight="1" x14ac:dyDescent="0.2">
      <c r="A630" s="52">
        <v>2761</v>
      </c>
      <c r="B630" s="53" t="s">
        <v>356</v>
      </c>
      <c r="C630" s="57" t="s">
        <v>340</v>
      </c>
      <c r="D630" s="54">
        <v>364.2</v>
      </c>
      <c r="E630" s="62">
        <v>798</v>
      </c>
      <c r="F630" s="54">
        <f t="shared" si="48"/>
        <v>362.14251339999993</v>
      </c>
      <c r="G630" s="66">
        <v>25569.041962604166</v>
      </c>
      <c r="H630" s="66">
        <v>25569.041962604166</v>
      </c>
      <c r="I630" s="62">
        <v>22</v>
      </c>
      <c r="J630" s="53"/>
      <c r="K630" s="57" t="s">
        <v>345</v>
      </c>
      <c r="L630" s="52">
        <v>1555</v>
      </c>
      <c r="M630" s="58">
        <f t="shared" si="49"/>
        <v>39.433488306260706</v>
      </c>
      <c r="N630" s="58">
        <v>1273.98</v>
      </c>
      <c r="O630" s="60">
        <f t="shared" si="50"/>
        <v>1.2205843105857235</v>
      </c>
      <c r="P630" s="60">
        <f t="shared" si="51"/>
        <v>3.0952988513368109E-2</v>
      </c>
      <c r="Q630" s="63"/>
    </row>
    <row r="631" spans="1:17" ht="17.25" customHeight="1" x14ac:dyDescent="0.2">
      <c r="A631" s="52">
        <v>2762</v>
      </c>
      <c r="B631" s="53" t="s">
        <v>157</v>
      </c>
      <c r="C631" s="57" t="s">
        <v>340</v>
      </c>
      <c r="D631" s="54">
        <v>242.5</v>
      </c>
      <c r="E631" s="62">
        <v>644</v>
      </c>
      <c r="F631" s="54">
        <f t="shared" si="48"/>
        <v>241.1049352</v>
      </c>
      <c r="G631" s="66">
        <v>25569.041962604166</v>
      </c>
      <c r="H631" s="56" t="s">
        <v>357</v>
      </c>
      <c r="I631" s="62">
        <v>19</v>
      </c>
      <c r="J631" s="53"/>
      <c r="K631" s="57" t="s">
        <v>345</v>
      </c>
      <c r="L631" s="52"/>
      <c r="M631" s="58">
        <f t="shared" si="49"/>
        <v>0</v>
      </c>
      <c r="N631" s="59"/>
      <c r="O631" s="71" t="e">
        <f t="shared" si="50"/>
        <v>#DIV/0!</v>
      </c>
      <c r="P631" s="60" t="e">
        <f t="shared" si="51"/>
        <v>#DIV/0!</v>
      </c>
      <c r="Q631" s="63"/>
    </row>
    <row r="632" spans="1:17" ht="17.25" customHeight="1" x14ac:dyDescent="0.2">
      <c r="A632" s="52">
        <v>2763</v>
      </c>
      <c r="B632" s="53" t="s">
        <v>358</v>
      </c>
      <c r="C632" s="57" t="s">
        <v>340</v>
      </c>
      <c r="D632" s="54">
        <v>334.2</v>
      </c>
      <c r="E632" s="62">
        <v>827</v>
      </c>
      <c r="F632" s="54">
        <f t="shared" si="48"/>
        <v>332.37231909999997</v>
      </c>
      <c r="G632" s="66">
        <v>25569.041962604166</v>
      </c>
      <c r="H632" s="66">
        <v>25569.041962604166</v>
      </c>
      <c r="I632" s="62">
        <v>31</v>
      </c>
      <c r="J632" s="53"/>
      <c r="K632" s="57" t="s">
        <v>345</v>
      </c>
      <c r="L632" s="52">
        <v>1198</v>
      </c>
      <c r="M632" s="58">
        <f t="shared" si="49"/>
        <v>34.612136599753562</v>
      </c>
      <c r="N632" s="58">
        <v>3945.55</v>
      </c>
      <c r="O632" s="60">
        <f t="shared" si="50"/>
        <v>0.30363320703070545</v>
      </c>
      <c r="P632" s="60">
        <f t="shared" si="51"/>
        <v>8.7724491134958532E-3</v>
      </c>
      <c r="Q632" s="63"/>
    </row>
    <row r="633" spans="1:17" ht="17.25" customHeight="1" x14ac:dyDescent="0.2">
      <c r="A633" s="52">
        <v>2764</v>
      </c>
      <c r="B633" s="53" t="s">
        <v>358</v>
      </c>
      <c r="C633" s="57" t="s">
        <v>340</v>
      </c>
      <c r="D633" s="54">
        <v>336.2</v>
      </c>
      <c r="E633" s="62">
        <v>827</v>
      </c>
      <c r="F633" s="54">
        <f t="shared" si="48"/>
        <v>334.35891909999992</v>
      </c>
      <c r="G633" s="66">
        <v>25569.041962604166</v>
      </c>
      <c r="H633" s="66">
        <v>25569.041962604166</v>
      </c>
      <c r="I633" s="62">
        <v>31</v>
      </c>
      <c r="J633" s="53"/>
      <c r="K633" s="57" t="s">
        <v>345</v>
      </c>
      <c r="L633" s="52">
        <v>1045</v>
      </c>
      <c r="M633" s="58">
        <f t="shared" si="49"/>
        <v>32.326459750489228</v>
      </c>
      <c r="N633" s="58">
        <v>2596.94</v>
      </c>
      <c r="O633" s="60">
        <f t="shared" si="50"/>
        <v>0.40239666684636533</v>
      </c>
      <c r="P633" s="60">
        <f t="shared" si="51"/>
        <v>1.2447903975636413E-2</v>
      </c>
      <c r="Q633" s="63"/>
    </row>
    <row r="634" spans="1:17" ht="17.25" customHeight="1" x14ac:dyDescent="0.2">
      <c r="A634" s="52">
        <v>2765</v>
      </c>
      <c r="B634" s="53" t="s">
        <v>358</v>
      </c>
      <c r="C634" s="57" t="s">
        <v>340</v>
      </c>
      <c r="D634" s="54">
        <v>338.2</v>
      </c>
      <c r="E634" s="62">
        <v>827</v>
      </c>
      <c r="F634" s="54">
        <f t="shared" si="48"/>
        <v>336.34551909999993</v>
      </c>
      <c r="G634" s="66">
        <v>25569.041962604166</v>
      </c>
      <c r="H634" s="66">
        <v>25569.041962604166</v>
      </c>
      <c r="I634" s="62">
        <v>31</v>
      </c>
      <c r="J634" s="53"/>
      <c r="K634" s="57" t="s">
        <v>345</v>
      </c>
      <c r="L634" s="52">
        <v>1085</v>
      </c>
      <c r="M634" s="58">
        <f t="shared" si="49"/>
        <v>32.939338184001208</v>
      </c>
      <c r="N634" s="58">
        <v>1628.33</v>
      </c>
      <c r="O634" s="60">
        <f t="shared" si="50"/>
        <v>0.6663268502084958</v>
      </c>
      <c r="P634" s="60">
        <f t="shared" si="51"/>
        <v>2.0228908258154803E-2</v>
      </c>
      <c r="Q634" s="63"/>
    </row>
    <row r="635" spans="1:17" ht="17.25" customHeight="1" x14ac:dyDescent="0.2">
      <c r="A635" s="52">
        <v>2766</v>
      </c>
      <c r="B635" s="53" t="s">
        <v>358</v>
      </c>
      <c r="C635" s="57" t="s">
        <v>340</v>
      </c>
      <c r="D635" s="54">
        <v>340.2</v>
      </c>
      <c r="E635" s="62">
        <v>827</v>
      </c>
      <c r="F635" s="54">
        <f t="shared" si="48"/>
        <v>338.33211909999994</v>
      </c>
      <c r="G635" s="66">
        <v>25569.041962604166</v>
      </c>
      <c r="H635" s="66">
        <v>25569.041962604166</v>
      </c>
      <c r="I635" s="62">
        <v>30</v>
      </c>
      <c r="J635" s="53"/>
      <c r="K635" s="57" t="s">
        <v>345</v>
      </c>
      <c r="L635" s="52">
        <v>1100</v>
      </c>
      <c r="M635" s="58">
        <f t="shared" si="49"/>
        <v>33.166247903554002</v>
      </c>
      <c r="N635" s="58">
        <v>918.24</v>
      </c>
      <c r="O635" s="60">
        <f t="shared" si="50"/>
        <v>1.1979438926642272</v>
      </c>
      <c r="P635" s="60">
        <f t="shared" si="51"/>
        <v>3.6119367380591134E-2</v>
      </c>
      <c r="Q635" s="63"/>
    </row>
    <row r="636" spans="1:17" ht="17.25" customHeight="1" x14ac:dyDescent="0.2">
      <c r="A636" s="52">
        <v>2767</v>
      </c>
      <c r="B636" s="53" t="s">
        <v>358</v>
      </c>
      <c r="C636" s="57" t="s">
        <v>340</v>
      </c>
      <c r="D636" s="54">
        <v>341.2</v>
      </c>
      <c r="E636" s="62">
        <v>827</v>
      </c>
      <c r="F636" s="54">
        <f t="shared" si="48"/>
        <v>339.32541909999998</v>
      </c>
      <c r="G636" s="66">
        <v>25569.041962604166</v>
      </c>
      <c r="H636" s="66">
        <v>25569.041962604166</v>
      </c>
      <c r="I636" s="62">
        <v>30</v>
      </c>
      <c r="J636" s="53"/>
      <c r="K636" s="57" t="s">
        <v>345</v>
      </c>
      <c r="L636" s="52">
        <v>3197</v>
      </c>
      <c r="M636" s="58">
        <f t="shared" si="49"/>
        <v>56.542019772908716</v>
      </c>
      <c r="N636" s="58">
        <v>1734.66</v>
      </c>
      <c r="O636" s="60">
        <f t="shared" si="50"/>
        <v>1.8430124635375231</v>
      </c>
      <c r="P636" s="60">
        <f t="shared" si="51"/>
        <v>3.2595447968425346E-2</v>
      </c>
      <c r="Q636" s="63"/>
    </row>
    <row r="637" spans="1:17" ht="17.25" customHeight="1" x14ac:dyDescent="0.2">
      <c r="A637" s="52">
        <v>2768</v>
      </c>
      <c r="B637" s="53" t="s">
        <v>358</v>
      </c>
      <c r="C637" s="57" t="s">
        <v>340</v>
      </c>
      <c r="D637" s="54">
        <v>342.2</v>
      </c>
      <c r="E637" s="62">
        <v>827</v>
      </c>
      <c r="F637" s="54">
        <f t="shared" si="48"/>
        <v>340.31871909999995</v>
      </c>
      <c r="G637" s="66">
        <v>25569.041962604166</v>
      </c>
      <c r="H637" s="66">
        <v>25569.041962604166</v>
      </c>
      <c r="I637" s="62">
        <v>30</v>
      </c>
      <c r="J637" s="53"/>
      <c r="K637" s="57" t="s">
        <v>345</v>
      </c>
      <c r="L637" s="52">
        <v>1903</v>
      </c>
      <c r="M637" s="58">
        <f t="shared" si="49"/>
        <v>43.623388222374473</v>
      </c>
      <c r="N637" s="58">
        <v>673.43</v>
      </c>
      <c r="O637" s="60">
        <f t="shared" si="50"/>
        <v>2.82583193501923</v>
      </c>
      <c r="P637" s="60">
        <f t="shared" si="51"/>
        <v>6.4777910432226776E-2</v>
      </c>
      <c r="Q637" s="63"/>
    </row>
    <row r="638" spans="1:17" ht="17.25" customHeight="1" x14ac:dyDescent="0.2">
      <c r="A638" s="52">
        <v>2769</v>
      </c>
      <c r="B638" s="53" t="s">
        <v>358</v>
      </c>
      <c r="C638" s="57" t="s">
        <v>340</v>
      </c>
      <c r="D638" s="54">
        <v>343.2</v>
      </c>
      <c r="E638" s="62">
        <v>827</v>
      </c>
      <c r="F638" s="54">
        <f t="shared" si="48"/>
        <v>341.31201909999993</v>
      </c>
      <c r="G638" s="66">
        <v>25569.041962604166</v>
      </c>
      <c r="H638" s="66">
        <v>25569.041962604166</v>
      </c>
      <c r="I638" s="62">
        <v>30</v>
      </c>
      <c r="J638" s="53"/>
      <c r="K638" s="57" t="s">
        <v>345</v>
      </c>
      <c r="L638" s="52">
        <v>1865</v>
      </c>
      <c r="M638" s="58">
        <f t="shared" si="49"/>
        <v>43.185645763378368</v>
      </c>
      <c r="N638" s="58">
        <v>366.32</v>
      </c>
      <c r="O638" s="60">
        <f t="shared" si="50"/>
        <v>5.091177112906748</v>
      </c>
      <c r="P638" s="60">
        <f t="shared" si="51"/>
        <v>0.11789049400354436</v>
      </c>
      <c r="Q638" s="63"/>
    </row>
    <row r="639" spans="1:17" ht="17.25" customHeight="1" x14ac:dyDescent="0.2">
      <c r="A639" s="52">
        <v>2770</v>
      </c>
      <c r="B639" s="53" t="s">
        <v>358</v>
      </c>
      <c r="C639" s="57" t="s">
        <v>340</v>
      </c>
      <c r="D639" s="54">
        <v>344.2</v>
      </c>
      <c r="E639" s="62">
        <v>827</v>
      </c>
      <c r="F639" s="54">
        <f t="shared" ref="F639:F666" si="52">0.9933*(D639 + E639/1000)-0.41</f>
        <v>342.30531909999996</v>
      </c>
      <c r="G639" s="66">
        <v>25569.041962604166</v>
      </c>
      <c r="H639" s="66">
        <v>25569.041962604166</v>
      </c>
      <c r="I639" s="62">
        <v>30</v>
      </c>
      <c r="J639" s="53"/>
      <c r="K639" s="57" t="s">
        <v>345</v>
      </c>
      <c r="L639" s="52">
        <v>5428</v>
      </c>
      <c r="M639" s="58">
        <f t="shared" si="49"/>
        <v>73.674961825575451</v>
      </c>
      <c r="N639" s="58">
        <v>541.89</v>
      </c>
      <c r="O639" s="60">
        <f t="shared" si="50"/>
        <v>10.016793076085552</v>
      </c>
      <c r="P639" s="60">
        <f t="shared" si="51"/>
        <v>0.13595925709198445</v>
      </c>
      <c r="Q639" s="63"/>
    </row>
    <row r="640" spans="1:17" ht="17.25" customHeight="1" x14ac:dyDescent="0.2">
      <c r="A640" s="52">
        <v>2771</v>
      </c>
      <c r="B640" s="53" t="s">
        <v>358</v>
      </c>
      <c r="C640" s="57" t="s">
        <v>340</v>
      </c>
      <c r="D640" s="54">
        <v>345.2</v>
      </c>
      <c r="E640" s="62">
        <v>827</v>
      </c>
      <c r="F640" s="54">
        <f t="shared" si="52"/>
        <v>343.29861909999994</v>
      </c>
      <c r="G640" s="66">
        <v>25569.041962604166</v>
      </c>
      <c r="H640" s="66">
        <v>25569.041962604166</v>
      </c>
      <c r="I640" s="62">
        <v>29</v>
      </c>
      <c r="J640" s="53"/>
      <c r="K640" s="57" t="s">
        <v>345</v>
      </c>
      <c r="L640" s="52">
        <v>4620</v>
      </c>
      <c r="M640" s="58">
        <f t="shared" si="49"/>
        <v>67.970581871865718</v>
      </c>
      <c r="N640" s="58">
        <v>319.22000000000003</v>
      </c>
      <c r="O640" s="60">
        <f t="shared" si="50"/>
        <v>14.472777394900067</v>
      </c>
      <c r="P640" s="60">
        <f t="shared" si="51"/>
        <v>0.21292707810245509</v>
      </c>
      <c r="Q640" s="63"/>
    </row>
    <row r="641" spans="1:17" ht="17.25" customHeight="1" x14ac:dyDescent="0.2">
      <c r="A641" s="52">
        <v>2772</v>
      </c>
      <c r="B641" s="53" t="s">
        <v>358</v>
      </c>
      <c r="C641" s="57" t="s">
        <v>340</v>
      </c>
      <c r="D641" s="54">
        <v>346.2</v>
      </c>
      <c r="E641" s="62">
        <v>827</v>
      </c>
      <c r="F641" s="54">
        <f t="shared" si="52"/>
        <v>344.29191909999997</v>
      </c>
      <c r="G641" s="66">
        <v>25569.041962604166</v>
      </c>
      <c r="H641" s="66">
        <v>25569.041962604166</v>
      </c>
      <c r="I641" s="62">
        <v>29</v>
      </c>
      <c r="J641" s="53"/>
      <c r="K641" s="57" t="s">
        <v>345</v>
      </c>
      <c r="L641" s="52">
        <v>4828</v>
      </c>
      <c r="M641" s="58">
        <f t="shared" si="49"/>
        <v>69.483811064160832</v>
      </c>
      <c r="N641" s="58">
        <v>252.45</v>
      </c>
      <c r="O641" s="60">
        <f t="shared" si="50"/>
        <v>19.124579124579125</v>
      </c>
      <c r="P641" s="60">
        <f t="shared" si="51"/>
        <v>0.2752379127120651</v>
      </c>
      <c r="Q641" s="63"/>
    </row>
    <row r="642" spans="1:17" ht="17.25" customHeight="1" x14ac:dyDescent="0.2">
      <c r="A642" s="52">
        <v>2773</v>
      </c>
      <c r="B642" s="53" t="s">
        <v>358</v>
      </c>
      <c r="C642" s="57" t="s">
        <v>340</v>
      </c>
      <c r="D642" s="54">
        <v>347.2</v>
      </c>
      <c r="E642" s="62">
        <v>827</v>
      </c>
      <c r="F642" s="54">
        <f t="shared" si="52"/>
        <v>345.28521909999995</v>
      </c>
      <c r="G642" s="66">
        <v>25569.041962604166</v>
      </c>
      <c r="H642" s="66">
        <v>25569.041962604166</v>
      </c>
      <c r="I642" s="62">
        <v>29</v>
      </c>
      <c r="J642" s="53"/>
      <c r="K642" s="57" t="s">
        <v>345</v>
      </c>
      <c r="L642" s="52">
        <v>21659</v>
      </c>
      <c r="M642" s="58">
        <f t="shared" si="49"/>
        <v>147.16996976285617</v>
      </c>
      <c r="N642" s="58">
        <v>1079.02</v>
      </c>
      <c r="O642" s="60">
        <f t="shared" si="50"/>
        <v>20.072843876851216</v>
      </c>
      <c r="P642" s="60">
        <f t="shared" si="51"/>
        <v>0.13639225386263107</v>
      </c>
      <c r="Q642" s="63"/>
    </row>
    <row r="643" spans="1:17" ht="17.25" customHeight="1" x14ac:dyDescent="0.2">
      <c r="A643" s="52">
        <v>2774</v>
      </c>
      <c r="B643" s="53" t="s">
        <v>358</v>
      </c>
      <c r="C643" s="57" t="s">
        <v>340</v>
      </c>
      <c r="D643" s="54">
        <v>348.2</v>
      </c>
      <c r="E643" s="62">
        <v>827</v>
      </c>
      <c r="F643" s="54">
        <f t="shared" si="52"/>
        <v>346.27851909999993</v>
      </c>
      <c r="G643" s="66">
        <v>25569.041962604166</v>
      </c>
      <c r="H643" s="66">
        <v>25569.041962604166</v>
      </c>
      <c r="I643" s="62">
        <v>29</v>
      </c>
      <c r="J643" s="53"/>
      <c r="K643" s="57" t="s">
        <v>345</v>
      </c>
      <c r="L643" s="52">
        <v>6268</v>
      </c>
      <c r="M643" s="58">
        <f t="shared" si="49"/>
        <v>79.170701651557948</v>
      </c>
      <c r="N643" s="58">
        <v>316.42</v>
      </c>
      <c r="O643" s="60">
        <f t="shared" si="50"/>
        <v>19.809114468112003</v>
      </c>
      <c r="P643" s="60">
        <f t="shared" si="51"/>
        <v>0.25020764064078738</v>
      </c>
      <c r="Q643" s="63"/>
    </row>
    <row r="644" spans="1:17" ht="17.25" customHeight="1" x14ac:dyDescent="0.2">
      <c r="A644" s="52">
        <v>2775</v>
      </c>
      <c r="B644" s="53" t="s">
        <v>358</v>
      </c>
      <c r="C644" s="57" t="s">
        <v>340</v>
      </c>
      <c r="D644" s="54">
        <v>349.2</v>
      </c>
      <c r="E644" s="62">
        <v>827</v>
      </c>
      <c r="F644" s="54">
        <f t="shared" si="52"/>
        <v>347.27181909999996</v>
      </c>
      <c r="G644" s="66">
        <v>25569.041962604166</v>
      </c>
      <c r="H644" s="66">
        <v>25569.041962604166</v>
      </c>
      <c r="I644" s="62">
        <v>28</v>
      </c>
      <c r="J644" s="53"/>
      <c r="K644" s="57" t="s">
        <v>345</v>
      </c>
      <c r="L644" s="52">
        <v>24072</v>
      </c>
      <c r="M644" s="58">
        <f t="shared" si="49"/>
        <v>155.15153882575578</v>
      </c>
      <c r="N644" s="58">
        <v>1288.83</v>
      </c>
      <c r="O644" s="60">
        <f t="shared" si="50"/>
        <v>18.677405088335934</v>
      </c>
      <c r="P644" s="60">
        <f t="shared" si="51"/>
        <v>0.12038169411462783</v>
      </c>
      <c r="Q644" s="63"/>
    </row>
    <row r="645" spans="1:17" ht="17.25" customHeight="1" x14ac:dyDescent="0.2">
      <c r="A645" s="52">
        <v>2776</v>
      </c>
      <c r="B645" s="53" t="s">
        <v>358</v>
      </c>
      <c r="C645" s="57" t="s">
        <v>340</v>
      </c>
      <c r="D645" s="54">
        <v>350.2</v>
      </c>
      <c r="E645" s="62">
        <v>827</v>
      </c>
      <c r="F645" s="54">
        <f t="shared" si="52"/>
        <v>348.26511909999994</v>
      </c>
      <c r="G645" s="66">
        <v>25569.041962604166</v>
      </c>
      <c r="H645" s="66">
        <v>25569.041962604166</v>
      </c>
      <c r="I645" s="62">
        <v>28</v>
      </c>
      <c r="J645" s="53"/>
      <c r="K645" s="57" t="s">
        <v>345</v>
      </c>
      <c r="L645" s="52">
        <v>4953</v>
      </c>
      <c r="M645" s="58">
        <f t="shared" si="49"/>
        <v>70.377553239651633</v>
      </c>
      <c r="N645" s="58">
        <v>291.48</v>
      </c>
      <c r="O645" s="60">
        <f t="shared" si="50"/>
        <v>16.992589543021818</v>
      </c>
      <c r="P645" s="60">
        <f t="shared" si="51"/>
        <v>0.24144899560742292</v>
      </c>
      <c r="Q645" s="63"/>
    </row>
    <row r="646" spans="1:17" ht="17.25" customHeight="1" x14ac:dyDescent="0.2">
      <c r="A646" s="52">
        <v>2777</v>
      </c>
      <c r="B646" s="53" t="s">
        <v>358</v>
      </c>
      <c r="C646" s="57" t="s">
        <v>340</v>
      </c>
      <c r="D646" s="54">
        <v>351.2</v>
      </c>
      <c r="E646" s="62">
        <v>827</v>
      </c>
      <c r="F646" s="54">
        <f t="shared" si="52"/>
        <v>349.25841909999997</v>
      </c>
      <c r="G646" s="66">
        <v>25569.041962604166</v>
      </c>
      <c r="H646" s="66">
        <v>25569.041962604166</v>
      </c>
      <c r="I646" s="62">
        <v>28</v>
      </c>
      <c r="J646" s="53"/>
      <c r="K646" s="57" t="s">
        <v>345</v>
      </c>
      <c r="L646" s="52">
        <v>4594</v>
      </c>
      <c r="M646" s="58">
        <f t="shared" si="49"/>
        <v>67.779052811322174</v>
      </c>
      <c r="N646" s="58">
        <v>319.81</v>
      </c>
      <c r="O646" s="60">
        <f t="shared" si="50"/>
        <v>14.364779087583253</v>
      </c>
      <c r="P646" s="60">
        <f t="shared" si="51"/>
        <v>0.21193537666527679</v>
      </c>
      <c r="Q646" s="63"/>
    </row>
    <row r="647" spans="1:17" ht="17.25" customHeight="1" x14ac:dyDescent="0.2">
      <c r="A647" s="52">
        <v>2778</v>
      </c>
      <c r="B647" s="53" t="s">
        <v>358</v>
      </c>
      <c r="C647" s="57" t="s">
        <v>340</v>
      </c>
      <c r="D647" s="54">
        <v>352.2</v>
      </c>
      <c r="E647" s="62">
        <v>827</v>
      </c>
      <c r="F647" s="54">
        <f t="shared" si="52"/>
        <v>350.25171909999995</v>
      </c>
      <c r="G647" s="66">
        <v>25569.041962604166</v>
      </c>
      <c r="H647" s="66">
        <v>25569.041962604166</v>
      </c>
      <c r="I647" s="62">
        <v>28</v>
      </c>
      <c r="J647" s="53"/>
      <c r="K647" s="57" t="s">
        <v>345</v>
      </c>
      <c r="L647" s="52">
        <v>5471</v>
      </c>
      <c r="M647" s="58">
        <f t="shared" si="49"/>
        <v>73.966208500909389</v>
      </c>
      <c r="N647" s="58">
        <v>431.59</v>
      </c>
      <c r="O647" s="60">
        <f t="shared" si="50"/>
        <v>12.676382678004588</v>
      </c>
      <c r="P647" s="60">
        <f t="shared" si="51"/>
        <v>0.17138072823955466</v>
      </c>
      <c r="Q647" s="63"/>
    </row>
    <row r="648" spans="1:17" ht="17.25" customHeight="1" x14ac:dyDescent="0.2">
      <c r="A648" s="52">
        <v>2779</v>
      </c>
      <c r="B648" s="53" t="s">
        <v>358</v>
      </c>
      <c r="C648" s="57" t="s">
        <v>340</v>
      </c>
      <c r="D648" s="54">
        <v>353.2</v>
      </c>
      <c r="E648" s="62">
        <v>827</v>
      </c>
      <c r="F648" s="54">
        <f t="shared" si="52"/>
        <v>351.24501909999992</v>
      </c>
      <c r="G648" s="66">
        <v>25569.041962604166</v>
      </c>
      <c r="H648" s="66">
        <v>25569.041962604166</v>
      </c>
      <c r="I648" s="62">
        <v>27</v>
      </c>
      <c r="J648" s="53"/>
      <c r="K648" s="57" t="s">
        <v>345</v>
      </c>
      <c r="L648" s="52">
        <v>2869</v>
      </c>
      <c r="M648" s="58">
        <f t="shared" si="49"/>
        <v>53.563046963368315</v>
      </c>
      <c r="N648" s="58">
        <v>280.95999999999998</v>
      </c>
      <c r="O648" s="60">
        <f t="shared" si="50"/>
        <v>10.211417995444192</v>
      </c>
      <c r="P648" s="60">
        <f t="shared" si="51"/>
        <v>0.19064296328078131</v>
      </c>
      <c r="Q648" s="63"/>
    </row>
    <row r="649" spans="1:17" ht="17.25" customHeight="1" x14ac:dyDescent="0.2">
      <c r="A649" s="52">
        <v>2780</v>
      </c>
      <c r="B649" s="53" t="s">
        <v>358</v>
      </c>
      <c r="C649" s="57" t="s">
        <v>340</v>
      </c>
      <c r="D649" s="54">
        <v>354.2</v>
      </c>
      <c r="E649" s="62">
        <v>827</v>
      </c>
      <c r="F649" s="54">
        <f t="shared" si="52"/>
        <v>352.23831909999996</v>
      </c>
      <c r="G649" s="66">
        <v>25569.041962604166</v>
      </c>
      <c r="H649" s="66">
        <v>25569.041962604166</v>
      </c>
      <c r="I649" s="62">
        <v>27</v>
      </c>
      <c r="J649" s="53"/>
      <c r="K649" s="57" t="s">
        <v>345</v>
      </c>
      <c r="L649" s="52">
        <v>2552</v>
      </c>
      <c r="M649" s="58">
        <f t="shared" si="49"/>
        <v>50.517323761260357</v>
      </c>
      <c r="N649" s="58">
        <v>280.02999999999997</v>
      </c>
      <c r="O649" s="60">
        <f t="shared" si="50"/>
        <v>9.1133092882905409</v>
      </c>
      <c r="P649" s="60">
        <f t="shared" si="51"/>
        <v>0.18039968489540537</v>
      </c>
      <c r="Q649" s="63"/>
    </row>
    <row r="650" spans="1:17" ht="17.25" customHeight="1" x14ac:dyDescent="0.2">
      <c r="A650" s="52">
        <v>2781</v>
      </c>
      <c r="B650" s="53" t="s">
        <v>358</v>
      </c>
      <c r="C650" s="57" t="s">
        <v>340</v>
      </c>
      <c r="D650" s="54">
        <v>355.2</v>
      </c>
      <c r="E650" s="62">
        <v>827</v>
      </c>
      <c r="F650" s="54">
        <f t="shared" si="52"/>
        <v>353.23161909999993</v>
      </c>
      <c r="G650" s="66">
        <v>25569.041962604166</v>
      </c>
      <c r="H650" s="66">
        <v>25569.041962604166</v>
      </c>
      <c r="I650" s="62">
        <v>27</v>
      </c>
      <c r="J650" s="53"/>
      <c r="K650" s="57" t="s">
        <v>345</v>
      </c>
      <c r="L650" s="52">
        <v>4083</v>
      </c>
      <c r="M650" s="58">
        <f t="shared" si="49"/>
        <v>63.898356786383793</v>
      </c>
      <c r="N650" s="58">
        <v>577.84</v>
      </c>
      <c r="O650" s="60">
        <f t="shared" si="50"/>
        <v>7.0659698186349162</v>
      </c>
      <c r="P650" s="60">
        <f t="shared" si="51"/>
        <v>0.11058140105631972</v>
      </c>
      <c r="Q650" s="63"/>
    </row>
    <row r="651" spans="1:17" ht="17.25" customHeight="1" x14ac:dyDescent="0.2">
      <c r="A651" s="52">
        <v>2782</v>
      </c>
      <c r="B651" s="53" t="s">
        <v>358</v>
      </c>
      <c r="C651" s="57" t="s">
        <v>340</v>
      </c>
      <c r="D651" s="54">
        <v>356.2</v>
      </c>
      <c r="E651" s="62">
        <v>827</v>
      </c>
      <c r="F651" s="54">
        <f t="shared" si="52"/>
        <v>354.22491909999997</v>
      </c>
      <c r="G651" s="66">
        <v>25569.041962604166</v>
      </c>
      <c r="H651" s="66">
        <v>25569.041962604166</v>
      </c>
      <c r="I651" s="62">
        <v>27</v>
      </c>
      <c r="J651" s="53"/>
      <c r="K651" s="57" t="s">
        <v>345</v>
      </c>
      <c r="L651" s="52">
        <v>2218</v>
      </c>
      <c r="M651" s="58">
        <f t="shared" si="49"/>
        <v>47.095647357266465</v>
      </c>
      <c r="N651" s="58">
        <v>355.55</v>
      </c>
      <c r="O651" s="60">
        <f t="shared" si="50"/>
        <v>6.2382224722261279</v>
      </c>
      <c r="P651" s="60">
        <f t="shared" si="51"/>
        <v>0.13245857785759096</v>
      </c>
      <c r="Q651" s="63"/>
    </row>
    <row r="652" spans="1:17" ht="17.25" customHeight="1" x14ac:dyDescent="0.2">
      <c r="A652" s="52">
        <v>2783</v>
      </c>
      <c r="B652" s="53" t="s">
        <v>358</v>
      </c>
      <c r="C652" s="57" t="s">
        <v>340</v>
      </c>
      <c r="D652" s="54">
        <v>358.2</v>
      </c>
      <c r="E652" s="62">
        <v>827</v>
      </c>
      <c r="F652" s="54">
        <f t="shared" si="52"/>
        <v>356.21151909999998</v>
      </c>
      <c r="G652" s="66">
        <v>25569.041962604166</v>
      </c>
      <c r="H652" s="66">
        <v>25569.041962604166</v>
      </c>
      <c r="I652" s="62">
        <v>26</v>
      </c>
      <c r="J652" s="53"/>
      <c r="K652" s="57" t="s">
        <v>345</v>
      </c>
      <c r="L652" s="52">
        <v>1567</v>
      </c>
      <c r="M652" s="58">
        <f t="shared" si="49"/>
        <v>39.585350825778974</v>
      </c>
      <c r="N652" s="58">
        <v>409.12</v>
      </c>
      <c r="O652" s="60">
        <f t="shared" si="50"/>
        <v>3.8301720766523268</v>
      </c>
      <c r="P652" s="60">
        <f t="shared" si="51"/>
        <v>9.6757310387609929E-2</v>
      </c>
      <c r="Q652" s="63"/>
    </row>
    <row r="653" spans="1:17" ht="17.25" customHeight="1" x14ac:dyDescent="0.2">
      <c r="A653" s="52">
        <v>2784</v>
      </c>
      <c r="B653" s="53" t="s">
        <v>358</v>
      </c>
      <c r="C653" s="57" t="s">
        <v>340</v>
      </c>
      <c r="D653" s="54">
        <v>360.2</v>
      </c>
      <c r="E653" s="62">
        <v>827</v>
      </c>
      <c r="F653" s="54">
        <f t="shared" si="52"/>
        <v>358.19811909999993</v>
      </c>
      <c r="G653" s="66">
        <v>25569.041962604166</v>
      </c>
      <c r="H653" s="66">
        <v>25569.041962604166</v>
      </c>
      <c r="I653" s="62">
        <v>26</v>
      </c>
      <c r="J653" s="53"/>
      <c r="K653" s="57" t="s">
        <v>345</v>
      </c>
      <c r="L653" s="52">
        <v>1534</v>
      </c>
      <c r="M653" s="58">
        <f t="shared" si="49"/>
        <v>39.166312055132281</v>
      </c>
      <c r="N653" s="58">
        <v>600.51</v>
      </c>
      <c r="O653" s="60">
        <f t="shared" si="50"/>
        <v>2.5544953456228874</v>
      </c>
      <c r="P653" s="60">
        <f t="shared" si="51"/>
        <v>6.5221748272522154E-2</v>
      </c>
      <c r="Q653" s="63"/>
    </row>
    <row r="654" spans="1:17" ht="17.25" customHeight="1" x14ac:dyDescent="0.2">
      <c r="A654" s="52">
        <v>2785</v>
      </c>
      <c r="B654" s="53" t="s">
        <v>358</v>
      </c>
      <c r="C654" s="57" t="s">
        <v>340</v>
      </c>
      <c r="D654" s="54">
        <v>362.2</v>
      </c>
      <c r="E654" s="62">
        <v>827</v>
      </c>
      <c r="F654" s="54">
        <f t="shared" si="52"/>
        <v>360.18471909999994</v>
      </c>
      <c r="G654" s="66">
        <v>25569.041962604166</v>
      </c>
      <c r="H654" s="66">
        <v>25569.041962604166</v>
      </c>
      <c r="I654" s="62">
        <v>26</v>
      </c>
      <c r="J654" s="53"/>
      <c r="K654" s="57" t="s">
        <v>345</v>
      </c>
      <c r="L654" s="52">
        <v>1603</v>
      </c>
      <c r="M654" s="58">
        <f t="shared" si="49"/>
        <v>40.037482438335203</v>
      </c>
      <c r="N654" s="58">
        <v>895.4</v>
      </c>
      <c r="O654" s="60">
        <f t="shared" si="50"/>
        <v>1.7902613357158812</v>
      </c>
      <c r="P654" s="60">
        <f t="shared" si="51"/>
        <v>4.4714633055991965E-2</v>
      </c>
      <c r="Q654" s="63"/>
    </row>
    <row r="655" spans="1:17" ht="17.25" customHeight="1" x14ac:dyDescent="0.2">
      <c r="A655" s="52">
        <v>2786</v>
      </c>
      <c r="B655" s="53" t="s">
        <v>358</v>
      </c>
      <c r="C655" s="57" t="s">
        <v>340</v>
      </c>
      <c r="D655" s="54">
        <v>364.2</v>
      </c>
      <c r="E655" s="62">
        <v>827</v>
      </c>
      <c r="F655" s="54">
        <f t="shared" si="52"/>
        <v>362.17131909999995</v>
      </c>
      <c r="G655" s="66">
        <v>25569.041962604166</v>
      </c>
      <c r="H655" s="66">
        <v>25569.041962604166</v>
      </c>
      <c r="I655" s="62">
        <v>25</v>
      </c>
      <c r="J655" s="53"/>
      <c r="K655" s="57" t="s">
        <v>345</v>
      </c>
      <c r="L655" s="52">
        <v>1534</v>
      </c>
      <c r="M655" s="58">
        <f t="shared" si="49"/>
        <v>39.166312055132281</v>
      </c>
      <c r="N655" s="58">
        <v>1266.99</v>
      </c>
      <c r="O655" s="60">
        <f t="shared" si="50"/>
        <v>1.210743573351013</v>
      </c>
      <c r="P655" s="60">
        <f t="shared" si="51"/>
        <v>3.091288175528795E-2</v>
      </c>
      <c r="Q655" s="63"/>
    </row>
    <row r="656" spans="1:17" ht="17.25" customHeight="1" x14ac:dyDescent="0.2">
      <c r="A656" s="52">
        <v>2787</v>
      </c>
      <c r="B656" s="53"/>
      <c r="C656" s="53"/>
      <c r="D656" s="54"/>
      <c r="E656" s="55"/>
      <c r="F656" s="54">
        <f t="shared" si="52"/>
        <v>-0.41</v>
      </c>
      <c r="G656" s="66"/>
      <c r="H656" s="66"/>
      <c r="I656" s="55"/>
      <c r="J656" s="53"/>
      <c r="K656" s="57" t="s">
        <v>345</v>
      </c>
      <c r="L656" s="52"/>
      <c r="M656" s="58"/>
      <c r="N656" s="59"/>
      <c r="O656" s="60"/>
      <c r="P656" s="60"/>
      <c r="Q656" s="63"/>
    </row>
    <row r="657" spans="1:17" ht="17.25" customHeight="1" x14ac:dyDescent="0.2">
      <c r="A657" s="52">
        <v>2788</v>
      </c>
      <c r="B657" s="53"/>
      <c r="C657" s="53"/>
      <c r="D657" s="54"/>
      <c r="E657" s="55"/>
      <c r="F657" s="54">
        <f t="shared" si="52"/>
        <v>-0.41</v>
      </c>
      <c r="G657" s="66"/>
      <c r="H657" s="66"/>
      <c r="I657" s="55"/>
      <c r="J657" s="53"/>
      <c r="K657" s="57" t="s">
        <v>345</v>
      </c>
      <c r="L657" s="52"/>
      <c r="M657" s="58"/>
      <c r="N657" s="59"/>
      <c r="O657" s="60"/>
      <c r="P657" s="60"/>
      <c r="Q657" s="63"/>
    </row>
    <row r="658" spans="1:17" ht="17.25" customHeight="1" x14ac:dyDescent="0.2">
      <c r="A658" s="52">
        <v>2789</v>
      </c>
      <c r="B658" s="53"/>
      <c r="C658" s="53"/>
      <c r="D658" s="54"/>
      <c r="E658" s="55"/>
      <c r="F658" s="54">
        <f t="shared" si="52"/>
        <v>-0.41</v>
      </c>
      <c r="G658" s="66"/>
      <c r="H658" s="66"/>
      <c r="I658" s="55"/>
      <c r="J658" s="53"/>
      <c r="K658" s="57" t="s">
        <v>345</v>
      </c>
      <c r="L658" s="52"/>
      <c r="M658" s="58"/>
      <c r="N658" s="59"/>
      <c r="O658" s="60"/>
      <c r="P658" s="60"/>
      <c r="Q658" s="63"/>
    </row>
    <row r="659" spans="1:17" ht="17.25" customHeight="1" x14ac:dyDescent="0.2">
      <c r="A659" s="52">
        <v>2790</v>
      </c>
      <c r="B659" s="53"/>
      <c r="C659" s="53"/>
      <c r="D659" s="54"/>
      <c r="E659" s="55"/>
      <c r="F659" s="54">
        <f t="shared" si="52"/>
        <v>-0.41</v>
      </c>
      <c r="G659" s="66"/>
      <c r="H659" s="66"/>
      <c r="I659" s="55"/>
      <c r="J659" s="53"/>
      <c r="K659" s="57" t="s">
        <v>345</v>
      </c>
      <c r="L659" s="52"/>
      <c r="M659" s="58"/>
      <c r="N659" s="59"/>
      <c r="O659" s="60"/>
      <c r="P659" s="60"/>
      <c r="Q659" s="63"/>
    </row>
    <row r="660" spans="1:17" ht="17.25" customHeight="1" x14ac:dyDescent="0.2">
      <c r="A660" s="52">
        <v>2791</v>
      </c>
      <c r="B660" s="53"/>
      <c r="C660" s="53"/>
      <c r="D660" s="54"/>
      <c r="E660" s="55"/>
      <c r="F660" s="54">
        <f t="shared" si="52"/>
        <v>-0.41</v>
      </c>
      <c r="G660" s="66"/>
      <c r="H660" s="66"/>
      <c r="I660" s="55"/>
      <c r="J660" s="53"/>
      <c r="K660" s="57" t="s">
        <v>345</v>
      </c>
      <c r="L660" s="52"/>
      <c r="M660" s="58"/>
      <c r="N660" s="59"/>
      <c r="O660" s="60"/>
      <c r="P660" s="60"/>
      <c r="Q660" s="63"/>
    </row>
    <row r="661" spans="1:17" ht="17.25" customHeight="1" x14ac:dyDescent="0.2">
      <c r="A661" s="52">
        <v>2792</v>
      </c>
      <c r="B661" s="53"/>
      <c r="C661" s="53"/>
      <c r="D661" s="54"/>
      <c r="E661" s="55"/>
      <c r="F661" s="54">
        <f t="shared" si="52"/>
        <v>-0.41</v>
      </c>
      <c r="G661" s="66"/>
      <c r="H661" s="66"/>
      <c r="I661" s="55"/>
      <c r="J661" s="53"/>
      <c r="K661" s="57" t="s">
        <v>345</v>
      </c>
      <c r="L661" s="52"/>
      <c r="M661" s="58"/>
      <c r="N661" s="59"/>
      <c r="O661" s="60"/>
      <c r="P661" s="60"/>
      <c r="Q661" s="63"/>
    </row>
    <row r="662" spans="1:17" ht="17.25" customHeight="1" x14ac:dyDescent="0.2">
      <c r="A662" s="52">
        <v>2793</v>
      </c>
      <c r="B662" s="53"/>
      <c r="C662" s="53"/>
      <c r="D662" s="54"/>
      <c r="E662" s="55"/>
      <c r="F662" s="54">
        <f t="shared" si="52"/>
        <v>-0.41</v>
      </c>
      <c r="G662" s="66"/>
      <c r="H662" s="66"/>
      <c r="I662" s="55"/>
      <c r="J662" s="53"/>
      <c r="K662" s="57" t="s">
        <v>345</v>
      </c>
      <c r="L662" s="52"/>
      <c r="M662" s="58"/>
      <c r="N662" s="59"/>
      <c r="O662" s="60"/>
      <c r="P662" s="60"/>
      <c r="Q662" s="63"/>
    </row>
    <row r="663" spans="1:17" ht="17.25" customHeight="1" x14ac:dyDescent="0.2">
      <c r="A663" s="52">
        <v>2794</v>
      </c>
      <c r="B663" s="53"/>
      <c r="C663" s="53"/>
      <c r="D663" s="54"/>
      <c r="E663" s="55"/>
      <c r="F663" s="54">
        <f t="shared" si="52"/>
        <v>-0.41</v>
      </c>
      <c r="G663" s="66"/>
      <c r="H663" s="66"/>
      <c r="I663" s="55"/>
      <c r="J663" s="53"/>
      <c r="K663" s="57" t="s">
        <v>345</v>
      </c>
      <c r="L663" s="52"/>
      <c r="M663" s="58"/>
      <c r="N663" s="59"/>
      <c r="O663" s="60"/>
      <c r="P663" s="60"/>
      <c r="Q663" s="63"/>
    </row>
    <row r="664" spans="1:17" ht="17.25" customHeight="1" x14ac:dyDescent="0.2">
      <c r="A664" s="52">
        <v>2795</v>
      </c>
      <c r="B664" s="53"/>
      <c r="C664" s="53"/>
      <c r="D664" s="54"/>
      <c r="E664" s="55"/>
      <c r="F664" s="54">
        <f t="shared" si="52"/>
        <v>-0.41</v>
      </c>
      <c r="G664" s="66"/>
      <c r="H664" s="66"/>
      <c r="I664" s="55"/>
      <c r="J664" s="53"/>
      <c r="K664" s="57" t="s">
        <v>345</v>
      </c>
      <c r="L664" s="52"/>
      <c r="M664" s="58"/>
      <c r="N664" s="59"/>
      <c r="O664" s="60"/>
      <c r="P664" s="60"/>
      <c r="Q664" s="63"/>
    </row>
    <row r="665" spans="1:17" ht="17.25" customHeight="1" x14ac:dyDescent="0.2">
      <c r="A665" s="52">
        <v>2796</v>
      </c>
      <c r="B665" s="53"/>
      <c r="C665" s="53"/>
      <c r="D665" s="54"/>
      <c r="E665" s="55"/>
      <c r="F665" s="54">
        <f t="shared" si="52"/>
        <v>-0.41</v>
      </c>
      <c r="G665" s="66"/>
      <c r="H665" s="66"/>
      <c r="I665" s="55"/>
      <c r="J665" s="53"/>
      <c r="K665" s="57" t="s">
        <v>345</v>
      </c>
      <c r="L665" s="52"/>
      <c r="M665" s="58"/>
      <c r="N665" s="59"/>
      <c r="O665" s="60"/>
      <c r="P665" s="60"/>
      <c r="Q665" s="63"/>
    </row>
    <row r="666" spans="1:17" ht="17.25" customHeight="1" x14ac:dyDescent="0.2">
      <c r="A666" s="52">
        <v>2797</v>
      </c>
      <c r="B666" s="53"/>
      <c r="C666" s="53"/>
      <c r="D666" s="54"/>
      <c r="E666" s="55"/>
      <c r="F666" s="54">
        <f t="shared" si="52"/>
        <v>-0.41</v>
      </c>
      <c r="G666" s="66"/>
      <c r="H666" s="66"/>
      <c r="I666" s="55"/>
      <c r="J666" s="53"/>
      <c r="K666" s="57" t="s">
        <v>345</v>
      </c>
      <c r="L666" s="52"/>
      <c r="M666" s="58"/>
      <c r="N666" s="59"/>
      <c r="O666" s="60"/>
      <c r="P666" s="60"/>
      <c r="Q666" s="63"/>
    </row>
    <row r="667" spans="1:17" ht="17.25" customHeight="1" x14ac:dyDescent="0.2">
      <c r="A667" s="75"/>
      <c r="B667" s="63"/>
      <c r="C667" s="63"/>
      <c r="D667" s="76"/>
      <c r="E667" s="75"/>
      <c r="F667" s="76"/>
      <c r="G667" s="77"/>
      <c r="H667" s="77"/>
      <c r="I667" s="75"/>
      <c r="J667" s="63"/>
      <c r="K667" s="63"/>
      <c r="L667" s="75"/>
      <c r="M667" s="76"/>
      <c r="N667" s="76"/>
      <c r="O667" s="78"/>
      <c r="P667" s="78"/>
      <c r="Q667" s="63"/>
    </row>
    <row r="668" spans="1:17" ht="17.25" customHeight="1" x14ac:dyDescent="0.2">
      <c r="A668" s="75"/>
      <c r="B668" s="63"/>
      <c r="C668" s="63"/>
      <c r="D668" s="76"/>
      <c r="E668" s="75"/>
      <c r="F668" s="76"/>
      <c r="G668" s="77"/>
      <c r="H668" s="77"/>
      <c r="I668" s="75"/>
      <c r="J668" s="63"/>
      <c r="K668" s="63"/>
      <c r="L668" s="75"/>
      <c r="M668" s="76"/>
      <c r="N668" s="76"/>
      <c r="O668" s="78"/>
      <c r="P668" s="78"/>
      <c r="Q668" s="63"/>
    </row>
    <row r="669" spans="1:17" ht="17.25" customHeight="1" x14ac:dyDescent="0.2">
      <c r="A669" s="75"/>
      <c r="B669" s="63"/>
      <c r="C669" s="63"/>
      <c r="D669" s="76"/>
      <c r="E669" s="75"/>
      <c r="F669" s="76"/>
      <c r="G669" s="77"/>
      <c r="H669" s="77"/>
      <c r="I669" s="75"/>
      <c r="J669" s="63"/>
      <c r="K669" s="63"/>
      <c r="L669" s="75"/>
      <c r="M669" s="76"/>
      <c r="N669" s="76"/>
      <c r="O669" s="78"/>
      <c r="P669" s="78"/>
      <c r="Q669" s="63"/>
    </row>
    <row r="670" spans="1:17" ht="17.25" customHeight="1" x14ac:dyDescent="0.2">
      <c r="A670" s="75"/>
      <c r="B670" s="63"/>
      <c r="C670" s="63"/>
      <c r="D670" s="76"/>
      <c r="E670" s="75"/>
      <c r="F670" s="76"/>
      <c r="G670" s="77"/>
      <c r="H670" s="77"/>
      <c r="I670" s="75"/>
      <c r="J670" s="63"/>
      <c r="K670" s="63"/>
      <c r="L670" s="75"/>
      <c r="M670" s="76"/>
      <c r="N670" s="76"/>
      <c r="O670" s="78"/>
      <c r="P670" s="78"/>
      <c r="Q670" s="63"/>
    </row>
    <row r="671" spans="1:17" ht="17.25" customHeight="1" x14ac:dyDescent="0.2">
      <c r="A671" s="75"/>
      <c r="B671" s="63"/>
      <c r="C671" s="63"/>
      <c r="D671" s="76"/>
      <c r="E671" s="75"/>
      <c r="F671" s="76"/>
      <c r="G671" s="77"/>
      <c r="H671" s="77"/>
      <c r="I671" s="75"/>
      <c r="J671" s="63"/>
      <c r="K671" s="63"/>
      <c r="L671" s="75"/>
      <c r="M671" s="76"/>
      <c r="N671" s="76"/>
      <c r="O671" s="78"/>
      <c r="P671" s="78"/>
      <c r="Q671" s="63"/>
    </row>
    <row r="672" spans="1:17" ht="17.25" customHeight="1" x14ac:dyDescent="0.2">
      <c r="A672" s="75"/>
      <c r="B672" s="63"/>
      <c r="C672" s="63"/>
      <c r="D672" s="76"/>
      <c r="E672" s="75"/>
      <c r="F672" s="76"/>
      <c r="G672" s="77"/>
      <c r="H672" s="77"/>
      <c r="I672" s="75"/>
      <c r="J672" s="63"/>
      <c r="K672" s="63"/>
      <c r="L672" s="75"/>
      <c r="M672" s="76"/>
      <c r="N672" s="76"/>
      <c r="O672" s="78"/>
      <c r="P672" s="78"/>
      <c r="Q672" s="63"/>
    </row>
    <row r="673" spans="1:17" ht="17.25" customHeight="1" x14ac:dyDescent="0.2">
      <c r="A673" s="75"/>
      <c r="B673" s="63"/>
      <c r="C673" s="63"/>
      <c r="D673" s="76"/>
      <c r="E673" s="75"/>
      <c r="F673" s="76"/>
      <c r="G673" s="77"/>
      <c r="H673" s="77"/>
      <c r="I673" s="75"/>
      <c r="J673" s="63"/>
      <c r="K673" s="63"/>
      <c r="L673" s="75"/>
      <c r="M673" s="76"/>
      <c r="N673" s="76"/>
      <c r="O673" s="78"/>
      <c r="P673" s="78"/>
      <c r="Q673" s="63"/>
    </row>
    <row r="674" spans="1:17" ht="17.25" customHeight="1" x14ac:dyDescent="0.2">
      <c r="A674" s="75"/>
      <c r="B674" s="63"/>
      <c r="C674" s="63"/>
      <c r="D674" s="76"/>
      <c r="E674" s="75"/>
      <c r="F674" s="76"/>
      <c r="G674" s="77"/>
      <c r="H674" s="77"/>
      <c r="I674" s="75"/>
      <c r="J674" s="63"/>
      <c r="K674" s="63"/>
      <c r="L674" s="75"/>
      <c r="M674" s="76"/>
      <c r="N674" s="76"/>
      <c r="O674" s="78"/>
      <c r="P674" s="78"/>
      <c r="Q674" s="63"/>
    </row>
    <row r="675" spans="1:17" ht="17.25" customHeight="1" x14ac:dyDescent="0.2">
      <c r="A675" s="75"/>
      <c r="B675" s="63"/>
      <c r="C675" s="63"/>
      <c r="D675" s="76"/>
      <c r="E675" s="75"/>
      <c r="F675" s="76"/>
      <c r="G675" s="77"/>
      <c r="H675" s="77"/>
      <c r="I675" s="75"/>
      <c r="J675" s="63"/>
      <c r="K675" s="63"/>
      <c r="L675" s="75"/>
      <c r="M675" s="76"/>
      <c r="N675" s="76"/>
      <c r="O675" s="78"/>
      <c r="P675" s="78"/>
      <c r="Q675" s="63"/>
    </row>
    <row r="676" spans="1:17" ht="17.25" customHeight="1" x14ac:dyDescent="0.2">
      <c r="A676" s="75"/>
      <c r="B676" s="63"/>
      <c r="C676" s="63"/>
      <c r="D676" s="76"/>
      <c r="E676" s="75"/>
      <c r="F676" s="76"/>
      <c r="G676" s="77"/>
      <c r="H676" s="77"/>
      <c r="I676" s="75"/>
      <c r="J676" s="63"/>
      <c r="K676" s="63"/>
      <c r="L676" s="75"/>
      <c r="M676" s="76"/>
      <c r="N676" s="76"/>
      <c r="O676" s="78"/>
      <c r="P676" s="78"/>
      <c r="Q676" s="63"/>
    </row>
    <row r="677" spans="1:17" ht="17.25" customHeight="1" x14ac:dyDescent="0.2">
      <c r="A677" s="75"/>
      <c r="B677" s="63"/>
      <c r="C677" s="63"/>
      <c r="D677" s="76"/>
      <c r="E677" s="75"/>
      <c r="F677" s="76"/>
      <c r="G677" s="77"/>
      <c r="H677" s="77"/>
      <c r="I677" s="75"/>
      <c r="J677" s="63"/>
      <c r="K677" s="63"/>
      <c r="L677" s="75"/>
      <c r="M677" s="76"/>
      <c r="N677" s="76"/>
      <c r="O677" s="78"/>
      <c r="P677" s="78"/>
      <c r="Q677" s="63"/>
    </row>
    <row r="678" spans="1:17" ht="17.25" customHeight="1" x14ac:dyDescent="0.2">
      <c r="A678" s="75"/>
      <c r="B678" s="63"/>
      <c r="C678" s="63"/>
      <c r="D678" s="76"/>
      <c r="E678" s="75"/>
      <c r="F678" s="76"/>
      <c r="G678" s="77"/>
      <c r="H678" s="77"/>
      <c r="I678" s="75"/>
      <c r="J678" s="63"/>
      <c r="K678" s="63"/>
      <c r="L678" s="75"/>
      <c r="M678" s="76"/>
      <c r="N678" s="76"/>
      <c r="O678" s="78"/>
      <c r="P678" s="78"/>
      <c r="Q678" s="63"/>
    </row>
    <row r="679" spans="1:17" ht="17.25" customHeight="1" x14ac:dyDescent="0.2">
      <c r="A679" s="75"/>
      <c r="B679" s="63"/>
      <c r="C679" s="63"/>
      <c r="D679" s="76"/>
      <c r="E679" s="75"/>
      <c r="F679" s="76"/>
      <c r="G679" s="77"/>
      <c r="H679" s="77"/>
      <c r="I679" s="75"/>
      <c r="J679" s="63"/>
      <c r="K679" s="63"/>
      <c r="L679" s="75"/>
      <c r="M679" s="76"/>
      <c r="N679" s="76"/>
      <c r="O679" s="78"/>
      <c r="P679" s="78"/>
      <c r="Q679" s="63"/>
    </row>
    <row r="680" spans="1:17" ht="17.25" customHeight="1" x14ac:dyDescent="0.2">
      <c r="A680" s="75"/>
      <c r="B680" s="63"/>
      <c r="C680" s="63"/>
      <c r="D680" s="76"/>
      <c r="E680" s="75"/>
      <c r="F680" s="76"/>
      <c r="G680" s="77"/>
      <c r="H680" s="77"/>
      <c r="I680" s="75"/>
      <c r="J680" s="63"/>
      <c r="K680" s="63"/>
      <c r="L680" s="75"/>
      <c r="M680" s="76"/>
      <c r="N680" s="76"/>
      <c r="O680" s="78"/>
      <c r="P680" s="78"/>
      <c r="Q680" s="63"/>
    </row>
    <row r="681" spans="1:17" ht="17.25" customHeight="1" x14ac:dyDescent="0.2">
      <c r="A681" s="75"/>
      <c r="B681" s="63"/>
      <c r="C681" s="63"/>
      <c r="D681" s="76"/>
      <c r="E681" s="75"/>
      <c r="F681" s="76"/>
      <c r="G681" s="77"/>
      <c r="H681" s="77"/>
      <c r="I681" s="75"/>
      <c r="J681" s="63"/>
      <c r="K681" s="63"/>
      <c r="L681" s="75"/>
      <c r="M681" s="76"/>
      <c r="N681" s="76"/>
      <c r="O681" s="78"/>
      <c r="P681" s="78"/>
      <c r="Q681" s="63"/>
    </row>
    <row r="682" spans="1:17" ht="17.25" customHeight="1" x14ac:dyDescent="0.2">
      <c r="A682" s="75"/>
      <c r="B682" s="63"/>
      <c r="C682" s="63"/>
      <c r="D682" s="76"/>
      <c r="E682" s="75"/>
      <c r="F682" s="76"/>
      <c r="G682" s="77"/>
      <c r="H682" s="77"/>
      <c r="I682" s="75"/>
      <c r="J682" s="63"/>
      <c r="K682" s="63"/>
      <c r="L682" s="75"/>
      <c r="M682" s="76"/>
      <c r="N682" s="76"/>
      <c r="O682" s="78"/>
      <c r="P682" s="78"/>
      <c r="Q682" s="63"/>
    </row>
    <row r="683" spans="1:17" ht="17.25" customHeight="1" x14ac:dyDescent="0.2">
      <c r="A683" s="75"/>
      <c r="B683" s="63"/>
      <c r="C683" s="63"/>
      <c r="D683" s="76"/>
      <c r="E683" s="75"/>
      <c r="F683" s="76"/>
      <c r="G683" s="77"/>
      <c r="H683" s="77"/>
      <c r="I683" s="75"/>
      <c r="J683" s="63"/>
      <c r="K683" s="63"/>
      <c r="L683" s="75"/>
      <c r="M683" s="76"/>
      <c r="N683" s="76"/>
      <c r="O683" s="78"/>
      <c r="P683" s="78"/>
      <c r="Q683" s="63"/>
    </row>
    <row r="684" spans="1:17" ht="17.25" customHeight="1" x14ac:dyDescent="0.2">
      <c r="A684" s="75"/>
      <c r="B684" s="63"/>
      <c r="C684" s="63"/>
      <c r="D684" s="76"/>
      <c r="E684" s="75"/>
      <c r="F684" s="76"/>
      <c r="G684" s="77"/>
      <c r="H684" s="77"/>
      <c r="I684" s="75"/>
      <c r="J684" s="63"/>
      <c r="K684" s="63"/>
      <c r="L684" s="75"/>
      <c r="M684" s="76"/>
      <c r="N684" s="76"/>
      <c r="O684" s="78"/>
      <c r="P684" s="78"/>
      <c r="Q684" s="63"/>
    </row>
    <row r="685" spans="1:17" ht="17.25" customHeight="1" x14ac:dyDescent="0.2">
      <c r="A685" s="75"/>
      <c r="B685" s="63"/>
      <c r="C685" s="63"/>
      <c r="D685" s="76"/>
      <c r="E685" s="75"/>
      <c r="F685" s="76"/>
      <c r="G685" s="77"/>
      <c r="H685" s="77"/>
      <c r="I685" s="75"/>
      <c r="J685" s="63"/>
      <c r="K685" s="63"/>
      <c r="L685" s="75"/>
      <c r="M685" s="76"/>
      <c r="N685" s="76"/>
      <c r="O685" s="78"/>
      <c r="P685" s="78"/>
      <c r="Q685" s="63"/>
    </row>
    <row r="686" spans="1:17" ht="17.25" customHeight="1" x14ac:dyDescent="0.2">
      <c r="A686" s="75"/>
      <c r="B686" s="63"/>
      <c r="C686" s="63"/>
      <c r="D686" s="76"/>
      <c r="E686" s="75"/>
      <c r="F686" s="76"/>
      <c r="G686" s="77"/>
      <c r="H686" s="77"/>
      <c r="I686" s="75"/>
      <c r="J686" s="63"/>
      <c r="K686" s="63"/>
      <c r="L686" s="75"/>
      <c r="M686" s="76"/>
      <c r="N686" s="76"/>
      <c r="O686" s="78"/>
      <c r="P686" s="78"/>
      <c r="Q686" s="63"/>
    </row>
    <row r="687" spans="1:17" ht="17.25" customHeight="1" x14ac:dyDescent="0.2">
      <c r="A687" s="75"/>
      <c r="B687" s="63"/>
      <c r="C687" s="63"/>
      <c r="D687" s="76"/>
      <c r="E687" s="75"/>
      <c r="F687" s="76"/>
      <c r="G687" s="77"/>
      <c r="H687" s="77"/>
      <c r="I687" s="75"/>
      <c r="J687" s="63"/>
      <c r="K687" s="63"/>
      <c r="L687" s="75"/>
      <c r="M687" s="76"/>
      <c r="N687" s="76"/>
      <c r="O687" s="78"/>
      <c r="P687" s="78"/>
      <c r="Q687" s="63"/>
    </row>
    <row r="688" spans="1:17" ht="17.25" customHeight="1" x14ac:dyDescent="0.2">
      <c r="A688" s="75"/>
      <c r="B688" s="63"/>
      <c r="C688" s="63"/>
      <c r="D688" s="76"/>
      <c r="E688" s="75"/>
      <c r="F688" s="76"/>
      <c r="G688" s="77"/>
      <c r="H688" s="77"/>
      <c r="I688" s="75"/>
      <c r="J688" s="63"/>
      <c r="K688" s="63"/>
      <c r="L688" s="75"/>
      <c r="M688" s="76"/>
      <c r="N688" s="76"/>
      <c r="O688" s="78"/>
      <c r="P688" s="78"/>
      <c r="Q688" s="63"/>
    </row>
    <row r="689" spans="1:17" ht="17.25" customHeight="1" x14ac:dyDescent="0.2">
      <c r="A689" s="75"/>
      <c r="B689" s="63"/>
      <c r="C689" s="63"/>
      <c r="D689" s="76"/>
      <c r="E689" s="75"/>
      <c r="F689" s="76"/>
      <c r="G689" s="77"/>
      <c r="H689" s="77"/>
      <c r="I689" s="75"/>
      <c r="J689" s="63"/>
      <c r="K689" s="63"/>
      <c r="L689" s="75"/>
      <c r="M689" s="76"/>
      <c r="N689" s="76"/>
      <c r="O689" s="78"/>
      <c r="P689" s="78"/>
      <c r="Q689" s="63"/>
    </row>
    <row r="690" spans="1:17" ht="17.25" customHeight="1" x14ac:dyDescent="0.2">
      <c r="A690" s="75"/>
      <c r="B690" s="63"/>
      <c r="C690" s="63"/>
      <c r="D690" s="76"/>
      <c r="E690" s="75"/>
      <c r="F690" s="76"/>
      <c r="G690" s="77"/>
      <c r="H690" s="77"/>
      <c r="I690" s="75"/>
      <c r="J690" s="63"/>
      <c r="K690" s="63"/>
      <c r="L690" s="75"/>
      <c r="M690" s="76"/>
      <c r="N690" s="76"/>
      <c r="O690" s="78"/>
      <c r="P690" s="78"/>
      <c r="Q690" s="63"/>
    </row>
    <row r="691" spans="1:17" ht="17.25" customHeight="1" x14ac:dyDescent="0.2">
      <c r="A691" s="75"/>
      <c r="B691" s="63"/>
      <c r="C691" s="63"/>
      <c r="D691" s="76"/>
      <c r="E691" s="75"/>
      <c r="F691" s="76"/>
      <c r="G691" s="77"/>
      <c r="H691" s="77"/>
      <c r="I691" s="75"/>
      <c r="J691" s="63"/>
      <c r="K691" s="63"/>
      <c r="L691" s="75"/>
      <c r="M691" s="76"/>
      <c r="N691" s="76"/>
      <c r="O691" s="78"/>
      <c r="P691" s="78"/>
      <c r="Q691" s="63"/>
    </row>
    <row r="692" spans="1:17" ht="17.25" customHeight="1" x14ac:dyDescent="0.2">
      <c r="A692" s="75"/>
      <c r="B692" s="63"/>
      <c r="C692" s="63"/>
      <c r="D692" s="76"/>
      <c r="E692" s="75"/>
      <c r="F692" s="76"/>
      <c r="G692" s="77"/>
      <c r="H692" s="77"/>
      <c r="I692" s="75"/>
      <c r="J692" s="63"/>
      <c r="K692" s="63"/>
      <c r="L692" s="75"/>
      <c r="M692" s="76"/>
      <c r="N692" s="76"/>
      <c r="O692" s="78"/>
      <c r="P692" s="78"/>
      <c r="Q692" s="63"/>
    </row>
    <row r="693" spans="1:17" ht="17.25" customHeight="1" x14ac:dyDescent="0.2">
      <c r="A693" s="75"/>
      <c r="B693" s="63"/>
      <c r="C693" s="63"/>
      <c r="D693" s="76"/>
      <c r="E693" s="75"/>
      <c r="F693" s="76"/>
      <c r="G693" s="77"/>
      <c r="H693" s="77"/>
      <c r="I693" s="75"/>
      <c r="J693" s="63"/>
      <c r="K693" s="63"/>
      <c r="L693" s="75"/>
      <c r="M693" s="76"/>
      <c r="N693" s="76"/>
      <c r="O693" s="78"/>
      <c r="P693" s="78"/>
      <c r="Q693" s="63"/>
    </row>
    <row r="694" spans="1:17" ht="17.25" customHeight="1" x14ac:dyDescent="0.2">
      <c r="A694" s="75"/>
      <c r="B694" s="63"/>
      <c r="C694" s="63"/>
      <c r="D694" s="76"/>
      <c r="E694" s="75"/>
      <c r="F694" s="76"/>
      <c r="G694" s="77"/>
      <c r="H694" s="77"/>
      <c r="I694" s="75"/>
      <c r="J694" s="63"/>
      <c r="K694" s="63"/>
      <c r="L694" s="75"/>
      <c r="M694" s="76"/>
      <c r="N694" s="76"/>
      <c r="O694" s="78"/>
      <c r="P694" s="78"/>
      <c r="Q694" s="63"/>
    </row>
    <row r="695" spans="1:17" ht="17.25" customHeight="1" x14ac:dyDescent="0.2">
      <c r="A695" s="75"/>
      <c r="B695" s="63"/>
      <c r="C695" s="63"/>
      <c r="D695" s="76"/>
      <c r="E695" s="75"/>
      <c r="F695" s="76"/>
      <c r="G695" s="77"/>
      <c r="H695" s="77"/>
      <c r="I695" s="75"/>
      <c r="J695" s="63"/>
      <c r="K695" s="63"/>
      <c r="L695" s="75"/>
      <c r="M695" s="76"/>
      <c r="N695" s="76"/>
      <c r="O695" s="78"/>
      <c r="P695" s="78"/>
      <c r="Q695" s="63"/>
    </row>
    <row r="696" spans="1:17" ht="17.25" customHeight="1" x14ac:dyDescent="0.2">
      <c r="A696" s="75"/>
      <c r="B696" s="63"/>
      <c r="C696" s="63"/>
      <c r="D696" s="76"/>
      <c r="E696" s="75"/>
      <c r="F696" s="76"/>
      <c r="G696" s="77"/>
      <c r="H696" s="77"/>
      <c r="I696" s="75"/>
      <c r="J696" s="63"/>
      <c r="K696" s="63"/>
      <c r="L696" s="75"/>
      <c r="M696" s="76"/>
      <c r="N696" s="76"/>
      <c r="O696" s="78"/>
      <c r="P696" s="78"/>
      <c r="Q696" s="63"/>
    </row>
    <row r="697" spans="1:17" ht="17.25" customHeight="1" x14ac:dyDescent="0.2">
      <c r="A697" s="75"/>
      <c r="B697" s="63"/>
      <c r="C697" s="63"/>
      <c r="D697" s="76"/>
      <c r="E697" s="75"/>
      <c r="F697" s="76"/>
      <c r="G697" s="77"/>
      <c r="H697" s="77"/>
      <c r="I697" s="75"/>
      <c r="J697" s="63"/>
      <c r="K697" s="63"/>
      <c r="L697" s="75"/>
      <c r="M697" s="76"/>
      <c r="N697" s="76"/>
      <c r="O697" s="78"/>
      <c r="P697" s="78"/>
      <c r="Q697" s="63"/>
    </row>
    <row r="698" spans="1:17" ht="17.25" customHeight="1" x14ac:dyDescent="0.2">
      <c r="A698" s="75"/>
      <c r="B698" s="63"/>
      <c r="C698" s="63"/>
      <c r="D698" s="76"/>
      <c r="E698" s="75"/>
      <c r="F698" s="76"/>
      <c r="G698" s="77"/>
      <c r="H698" s="77"/>
      <c r="I698" s="75"/>
      <c r="J698" s="63"/>
      <c r="K698" s="63"/>
      <c r="L698" s="75"/>
      <c r="M698" s="76"/>
      <c r="N698" s="76"/>
      <c r="O698" s="78"/>
      <c r="P698" s="78"/>
      <c r="Q698" s="63"/>
    </row>
    <row r="699" spans="1:17" ht="17.25" customHeight="1" x14ac:dyDescent="0.2">
      <c r="A699" s="75"/>
      <c r="B699" s="63"/>
      <c r="C699" s="63"/>
      <c r="D699" s="76"/>
      <c r="E699" s="75"/>
      <c r="F699" s="76"/>
      <c r="G699" s="77"/>
      <c r="H699" s="77"/>
      <c r="I699" s="75"/>
      <c r="J699" s="63"/>
      <c r="K699" s="63"/>
      <c r="L699" s="75"/>
      <c r="M699" s="76"/>
      <c r="N699" s="76"/>
      <c r="O699" s="78"/>
      <c r="P699" s="78"/>
      <c r="Q699" s="63"/>
    </row>
    <row r="700" spans="1:17" ht="17.25" customHeight="1" x14ac:dyDescent="0.2">
      <c r="A700" s="75"/>
      <c r="B700" s="63"/>
      <c r="C700" s="63"/>
      <c r="D700" s="76"/>
      <c r="E700" s="75"/>
      <c r="F700" s="76"/>
      <c r="G700" s="77"/>
      <c r="H700" s="77"/>
      <c r="I700" s="75"/>
      <c r="J700" s="63"/>
      <c r="K700" s="63"/>
      <c r="L700" s="75"/>
      <c r="M700" s="76"/>
      <c r="N700" s="76"/>
      <c r="O700" s="78"/>
      <c r="P700" s="78"/>
      <c r="Q700" s="63"/>
    </row>
    <row r="701" spans="1:17" ht="17.25" customHeight="1" x14ac:dyDescent="0.2">
      <c r="A701" s="75"/>
      <c r="B701" s="63"/>
      <c r="C701" s="63"/>
      <c r="D701" s="76"/>
      <c r="E701" s="75"/>
      <c r="F701" s="76"/>
      <c r="G701" s="79"/>
      <c r="H701" s="79"/>
      <c r="I701" s="75"/>
      <c r="J701" s="63"/>
      <c r="K701" s="63"/>
      <c r="L701" s="80"/>
      <c r="M701" s="76"/>
      <c r="N701" s="76"/>
      <c r="O701" s="78"/>
      <c r="P701" s="78"/>
      <c r="Q701" s="63"/>
    </row>
    <row r="702" spans="1:17" ht="17.25" customHeight="1" x14ac:dyDescent="0.2">
      <c r="A702" s="75"/>
      <c r="B702" s="63"/>
      <c r="C702" s="63"/>
      <c r="D702" s="76"/>
      <c r="E702" s="75"/>
      <c r="F702" s="76"/>
      <c r="G702" s="79"/>
      <c r="H702" s="79"/>
      <c r="I702" s="75"/>
      <c r="J702" s="63"/>
      <c r="K702" s="63"/>
      <c r="L702" s="80"/>
      <c r="M702" s="76"/>
      <c r="N702" s="76"/>
      <c r="O702" s="78"/>
      <c r="P702" s="78"/>
      <c r="Q702" s="63"/>
    </row>
    <row r="703" spans="1:17" ht="17.25" customHeight="1" x14ac:dyDescent="0.2">
      <c r="A703" s="75"/>
      <c r="B703" s="63"/>
      <c r="C703" s="63"/>
      <c r="D703" s="76"/>
      <c r="E703" s="75"/>
      <c r="F703" s="76"/>
      <c r="G703" s="79"/>
      <c r="H703" s="79"/>
      <c r="I703" s="75"/>
      <c r="J703" s="63"/>
      <c r="K703" s="63"/>
      <c r="L703" s="80"/>
      <c r="M703" s="76"/>
      <c r="N703" s="76"/>
      <c r="O703" s="78"/>
      <c r="P703" s="78"/>
      <c r="Q703" s="63"/>
    </row>
    <row r="704" spans="1:17" ht="17.25" customHeight="1" x14ac:dyDescent="0.2">
      <c r="A704" s="75"/>
      <c r="B704" s="63"/>
      <c r="C704" s="63"/>
      <c r="D704" s="76"/>
      <c r="E704" s="75"/>
      <c r="F704" s="76"/>
      <c r="G704" s="79"/>
      <c r="H704" s="79"/>
      <c r="I704" s="75"/>
      <c r="J704" s="63"/>
      <c r="K704" s="63"/>
      <c r="L704" s="80"/>
      <c r="M704" s="76"/>
      <c r="N704" s="76"/>
      <c r="O704" s="78"/>
      <c r="P704" s="78"/>
      <c r="Q704" s="63"/>
    </row>
    <row r="705" spans="1:17" ht="17.25" customHeight="1" x14ac:dyDescent="0.2">
      <c r="A705" s="75"/>
      <c r="B705" s="63"/>
      <c r="C705" s="63"/>
      <c r="D705" s="76"/>
      <c r="E705" s="75"/>
      <c r="F705" s="76"/>
      <c r="G705" s="79"/>
      <c r="H705" s="79"/>
      <c r="I705" s="75"/>
      <c r="J705" s="63"/>
      <c r="K705" s="63"/>
      <c r="L705" s="80"/>
      <c r="M705" s="76"/>
      <c r="N705" s="76"/>
      <c r="O705" s="78"/>
      <c r="P705" s="78"/>
      <c r="Q705" s="63"/>
    </row>
    <row r="706" spans="1:17" ht="17.25" customHeight="1" x14ac:dyDescent="0.2">
      <c r="A706" s="75"/>
      <c r="B706" s="63"/>
      <c r="C706" s="63"/>
      <c r="D706" s="76"/>
      <c r="E706" s="75"/>
      <c r="F706" s="76"/>
      <c r="G706" s="79"/>
      <c r="H706" s="79"/>
      <c r="I706" s="75"/>
      <c r="J706" s="63"/>
      <c r="K706" s="63"/>
      <c r="L706" s="80"/>
      <c r="M706" s="76"/>
      <c r="N706" s="76"/>
      <c r="O706" s="78"/>
      <c r="P706" s="78"/>
      <c r="Q706" s="63"/>
    </row>
    <row r="707" spans="1:17" ht="17.25" customHeight="1" x14ac:dyDescent="0.2">
      <c r="A707" s="75"/>
      <c r="B707" s="63"/>
      <c r="C707" s="63"/>
      <c r="D707" s="76"/>
      <c r="E707" s="75"/>
      <c r="F707" s="76"/>
      <c r="G707" s="79"/>
      <c r="H707" s="79"/>
      <c r="I707" s="75"/>
      <c r="J707" s="63"/>
      <c r="K707" s="63"/>
      <c r="L707" s="80"/>
      <c r="M707" s="76"/>
      <c r="N707" s="76"/>
      <c r="O707" s="78"/>
      <c r="P707" s="78"/>
      <c r="Q707" s="63"/>
    </row>
    <row r="708" spans="1:17" ht="17.25" customHeight="1" x14ac:dyDescent="0.2">
      <c r="A708" s="75"/>
      <c r="B708" s="63"/>
      <c r="C708" s="63"/>
      <c r="D708" s="76"/>
      <c r="E708" s="75"/>
      <c r="F708" s="76"/>
      <c r="G708" s="79"/>
      <c r="H708" s="79"/>
      <c r="I708" s="75"/>
      <c r="J708" s="63"/>
      <c r="K708" s="63"/>
      <c r="L708" s="80"/>
      <c r="M708" s="76"/>
      <c r="N708" s="76"/>
      <c r="O708" s="78"/>
      <c r="P708" s="78"/>
      <c r="Q708" s="63"/>
    </row>
    <row r="709" spans="1:17" ht="17.25" customHeight="1" x14ac:dyDescent="0.2">
      <c r="A709" s="75"/>
      <c r="B709" s="63"/>
      <c r="C709" s="63"/>
      <c r="D709" s="76"/>
      <c r="E709" s="75"/>
      <c r="F709" s="76"/>
      <c r="G709" s="79"/>
      <c r="H709" s="79"/>
      <c r="I709" s="75"/>
      <c r="J709" s="63"/>
      <c r="K709" s="63"/>
      <c r="L709" s="80"/>
      <c r="M709" s="76"/>
      <c r="N709" s="76"/>
      <c r="O709" s="78"/>
      <c r="P709" s="78"/>
      <c r="Q709" s="63"/>
    </row>
    <row r="710" spans="1:17" ht="17.25" customHeight="1" x14ac:dyDescent="0.2">
      <c r="A710" s="75"/>
      <c r="B710" s="63"/>
      <c r="C710" s="63"/>
      <c r="D710" s="76"/>
      <c r="E710" s="75"/>
      <c r="F710" s="76"/>
      <c r="G710" s="79"/>
      <c r="H710" s="79"/>
      <c r="I710" s="75"/>
      <c r="J710" s="63"/>
      <c r="K710" s="63"/>
      <c r="L710" s="80"/>
      <c r="M710" s="76"/>
      <c r="N710" s="76"/>
      <c r="O710" s="78"/>
      <c r="P710" s="78"/>
      <c r="Q710" s="63"/>
    </row>
    <row r="711" spans="1:17" ht="17.25" customHeight="1" x14ac:dyDescent="0.2">
      <c r="A711" s="75"/>
      <c r="B711" s="63"/>
      <c r="C711" s="63"/>
      <c r="D711" s="76"/>
      <c r="E711" s="75"/>
      <c r="F711" s="76"/>
      <c r="G711" s="79"/>
      <c r="H711" s="79"/>
      <c r="I711" s="75"/>
      <c r="J711" s="63"/>
      <c r="K711" s="63"/>
      <c r="L711" s="80"/>
      <c r="M711" s="76"/>
      <c r="N711" s="76"/>
      <c r="O711" s="78"/>
      <c r="P711" s="78"/>
      <c r="Q711" s="63"/>
    </row>
    <row r="712" spans="1:17" ht="17.25" customHeight="1" x14ac:dyDescent="0.2">
      <c r="A712" s="75"/>
      <c r="B712" s="63"/>
      <c r="C712" s="63"/>
      <c r="D712" s="76"/>
      <c r="E712" s="75"/>
      <c r="F712" s="76"/>
      <c r="G712" s="79"/>
      <c r="H712" s="79"/>
      <c r="I712" s="75"/>
      <c r="J712" s="63"/>
      <c r="K712" s="63"/>
      <c r="L712" s="80"/>
      <c r="M712" s="76"/>
      <c r="N712" s="76"/>
      <c r="O712" s="78"/>
      <c r="P712" s="78"/>
      <c r="Q712" s="63"/>
    </row>
    <row r="713" spans="1:17" ht="17.25" customHeight="1" x14ac:dyDescent="0.2">
      <c r="A713" s="75"/>
      <c r="B713" s="63"/>
      <c r="C713" s="63"/>
      <c r="D713" s="76"/>
      <c r="E713" s="75"/>
      <c r="F713" s="76"/>
      <c r="G713" s="79"/>
      <c r="H713" s="79"/>
      <c r="I713" s="75"/>
      <c r="J713" s="63"/>
      <c r="K713" s="63"/>
      <c r="L713" s="80"/>
      <c r="M713" s="76"/>
      <c r="N713" s="76"/>
      <c r="O713" s="78"/>
      <c r="P713" s="78"/>
      <c r="Q713" s="63"/>
    </row>
    <row r="714" spans="1:17" ht="17.25" customHeight="1" x14ac:dyDescent="0.2">
      <c r="A714" s="75"/>
      <c r="B714" s="63"/>
      <c r="C714" s="63"/>
      <c r="D714" s="76"/>
      <c r="E714" s="75"/>
      <c r="F714" s="76"/>
      <c r="G714" s="79"/>
      <c r="H714" s="79"/>
      <c r="I714" s="75"/>
      <c r="J714" s="63"/>
      <c r="K714" s="63"/>
      <c r="L714" s="80"/>
      <c r="M714" s="76"/>
      <c r="N714" s="76"/>
      <c r="O714" s="78"/>
      <c r="P714" s="78"/>
      <c r="Q714" s="63"/>
    </row>
    <row r="715" spans="1:17" ht="17.25" customHeight="1" x14ac:dyDescent="0.2">
      <c r="A715" s="75"/>
      <c r="B715" s="63"/>
      <c r="C715" s="63"/>
      <c r="D715" s="76"/>
      <c r="E715" s="75"/>
      <c r="F715" s="76"/>
      <c r="G715" s="79"/>
      <c r="H715" s="79"/>
      <c r="I715" s="75"/>
      <c r="J715" s="63"/>
      <c r="K715" s="63"/>
      <c r="L715" s="80"/>
      <c r="M715" s="76"/>
      <c r="N715" s="76"/>
      <c r="O715" s="78"/>
      <c r="P715" s="78"/>
      <c r="Q715" s="63"/>
    </row>
    <row r="716" spans="1:17" ht="17.25" customHeight="1" x14ac:dyDescent="0.2">
      <c r="A716" s="75"/>
      <c r="B716" s="63"/>
      <c r="C716" s="63"/>
      <c r="D716" s="76"/>
      <c r="E716" s="75"/>
      <c r="F716" s="76"/>
      <c r="G716" s="79"/>
      <c r="H716" s="79"/>
      <c r="I716" s="75"/>
      <c r="J716" s="63"/>
      <c r="K716" s="63"/>
      <c r="L716" s="80"/>
      <c r="M716" s="76"/>
      <c r="N716" s="76"/>
      <c r="O716" s="78"/>
      <c r="P716" s="78"/>
      <c r="Q716" s="63"/>
    </row>
    <row r="717" spans="1:17" ht="17.25" customHeight="1" x14ac:dyDescent="0.2">
      <c r="A717" s="75"/>
      <c r="B717" s="63"/>
      <c r="C717" s="63"/>
      <c r="D717" s="76"/>
      <c r="E717" s="75"/>
      <c r="F717" s="76"/>
      <c r="G717" s="79"/>
      <c r="H717" s="79"/>
      <c r="I717" s="75"/>
      <c r="J717" s="63"/>
      <c r="K717" s="63"/>
      <c r="L717" s="80"/>
      <c r="M717" s="76"/>
      <c r="N717" s="76"/>
      <c r="O717" s="78"/>
      <c r="P717" s="78"/>
      <c r="Q717" s="63"/>
    </row>
    <row r="718" spans="1:17" ht="17.25" customHeight="1" x14ac:dyDescent="0.2">
      <c r="A718" s="75"/>
      <c r="B718" s="63"/>
      <c r="C718" s="63"/>
      <c r="D718" s="76"/>
      <c r="E718" s="75"/>
      <c r="F718" s="76"/>
      <c r="G718" s="79"/>
      <c r="H718" s="79"/>
      <c r="I718" s="75"/>
      <c r="J718" s="63"/>
      <c r="K718" s="63"/>
      <c r="L718" s="80"/>
      <c r="M718" s="76"/>
      <c r="N718" s="76"/>
      <c r="O718" s="78"/>
      <c r="P718" s="78"/>
      <c r="Q718" s="63"/>
    </row>
    <row r="719" spans="1:17" ht="17.25" customHeight="1" x14ac:dyDescent="0.2">
      <c r="A719" s="75"/>
      <c r="B719" s="63"/>
      <c r="C719" s="63"/>
      <c r="D719" s="76"/>
      <c r="E719" s="75"/>
      <c r="F719" s="76"/>
      <c r="G719" s="79"/>
      <c r="H719" s="79"/>
      <c r="I719" s="75"/>
      <c r="J719" s="63"/>
      <c r="K719" s="63"/>
      <c r="L719" s="80"/>
      <c r="M719" s="76"/>
      <c r="N719" s="76"/>
      <c r="O719" s="78"/>
      <c r="P719" s="78"/>
      <c r="Q719" s="63"/>
    </row>
    <row r="720" spans="1:17" ht="17.25" customHeight="1" x14ac:dyDescent="0.2">
      <c r="A720" s="75"/>
      <c r="B720" s="63"/>
      <c r="C720" s="63"/>
      <c r="D720" s="76"/>
      <c r="E720" s="75"/>
      <c r="F720" s="76"/>
      <c r="G720" s="79"/>
      <c r="H720" s="79"/>
      <c r="I720" s="75"/>
      <c r="J720" s="63"/>
      <c r="K720" s="63"/>
      <c r="L720" s="80"/>
      <c r="M720" s="76"/>
      <c r="N720" s="76"/>
      <c r="O720" s="78"/>
      <c r="P720" s="78"/>
      <c r="Q720" s="63"/>
    </row>
    <row r="721" spans="1:17" ht="17.25" customHeight="1" x14ac:dyDescent="0.2">
      <c r="A721" s="75"/>
      <c r="B721" s="63"/>
      <c r="C721" s="63"/>
      <c r="D721" s="76"/>
      <c r="E721" s="75"/>
      <c r="F721" s="76"/>
      <c r="G721" s="79"/>
      <c r="H721" s="79"/>
      <c r="I721" s="75"/>
      <c r="J721" s="63"/>
      <c r="K721" s="63"/>
      <c r="L721" s="80"/>
      <c r="M721" s="76"/>
      <c r="N721" s="76"/>
      <c r="O721" s="78"/>
      <c r="P721" s="78"/>
      <c r="Q721" s="63"/>
    </row>
    <row r="722" spans="1:17" ht="17.25" customHeight="1" x14ac:dyDescent="0.2">
      <c r="A722" s="75"/>
      <c r="B722" s="63"/>
      <c r="C722" s="63"/>
      <c r="D722" s="76"/>
      <c r="E722" s="75"/>
      <c r="F722" s="76"/>
      <c r="G722" s="79"/>
      <c r="H722" s="79"/>
      <c r="I722" s="75"/>
      <c r="J722" s="63"/>
      <c r="K722" s="63"/>
      <c r="L722" s="80"/>
      <c r="M722" s="76"/>
      <c r="N722" s="76"/>
      <c r="O722" s="78"/>
      <c r="P722" s="78"/>
      <c r="Q722" s="63"/>
    </row>
    <row r="723" spans="1:17" ht="17.25" customHeight="1" x14ac:dyDescent="0.2">
      <c r="A723" s="75"/>
      <c r="B723" s="63"/>
      <c r="C723" s="63"/>
      <c r="D723" s="76"/>
      <c r="E723" s="75"/>
      <c r="F723" s="76"/>
      <c r="G723" s="79"/>
      <c r="H723" s="79"/>
      <c r="I723" s="75"/>
      <c r="J723" s="63"/>
      <c r="K723" s="63"/>
      <c r="L723" s="80"/>
      <c r="M723" s="76"/>
      <c r="N723" s="76"/>
      <c r="O723" s="78"/>
      <c r="P723" s="78"/>
      <c r="Q723" s="63"/>
    </row>
    <row r="724" spans="1:17" ht="17.25" customHeight="1" x14ac:dyDescent="0.2">
      <c r="A724" s="75"/>
      <c r="B724" s="63"/>
      <c r="C724" s="63"/>
      <c r="D724" s="76"/>
      <c r="E724" s="75"/>
      <c r="F724" s="76"/>
      <c r="G724" s="79"/>
      <c r="H724" s="79"/>
      <c r="I724" s="75"/>
      <c r="J724" s="63"/>
      <c r="K724" s="63"/>
      <c r="L724" s="80"/>
      <c r="M724" s="76"/>
      <c r="N724" s="76"/>
      <c r="O724" s="78"/>
      <c r="P724" s="78"/>
      <c r="Q724" s="63"/>
    </row>
    <row r="725" spans="1:17" ht="17.25" customHeight="1" x14ac:dyDescent="0.2">
      <c r="A725" s="75"/>
      <c r="B725" s="63"/>
      <c r="C725" s="63"/>
      <c r="D725" s="76"/>
      <c r="E725" s="75"/>
      <c r="F725" s="76"/>
      <c r="G725" s="79"/>
      <c r="H725" s="79"/>
      <c r="I725" s="75"/>
      <c r="J725" s="63"/>
      <c r="K725" s="63"/>
      <c r="L725" s="80"/>
      <c r="M725" s="76"/>
      <c r="N725" s="76"/>
      <c r="O725" s="78"/>
      <c r="P725" s="78"/>
      <c r="Q725" s="63"/>
    </row>
    <row r="726" spans="1:17" ht="17.25" customHeight="1" x14ac:dyDescent="0.2">
      <c r="A726" s="75"/>
      <c r="B726" s="63"/>
      <c r="C726" s="63"/>
      <c r="D726" s="76"/>
      <c r="E726" s="75"/>
      <c r="F726" s="76"/>
      <c r="G726" s="79"/>
      <c r="H726" s="79"/>
      <c r="I726" s="75"/>
      <c r="J726" s="63"/>
      <c r="K726" s="63"/>
      <c r="L726" s="80"/>
      <c r="M726" s="76"/>
      <c r="N726" s="76"/>
      <c r="O726" s="78"/>
      <c r="P726" s="78"/>
      <c r="Q726" s="63"/>
    </row>
    <row r="727" spans="1:17" ht="17.25" customHeight="1" x14ac:dyDescent="0.2">
      <c r="A727" s="75"/>
      <c r="B727" s="63"/>
      <c r="C727" s="63"/>
      <c r="D727" s="76"/>
      <c r="E727" s="75"/>
      <c r="F727" s="76"/>
      <c r="G727" s="79"/>
      <c r="H727" s="79"/>
      <c r="I727" s="75"/>
      <c r="J727" s="63"/>
      <c r="K727" s="63"/>
      <c r="L727" s="80"/>
      <c r="M727" s="76"/>
      <c r="N727" s="76"/>
      <c r="O727" s="78"/>
      <c r="P727" s="78"/>
      <c r="Q727" s="63"/>
    </row>
    <row r="728" spans="1:17" ht="17.25" customHeight="1" x14ac:dyDescent="0.2">
      <c r="A728" s="75"/>
      <c r="B728" s="63"/>
      <c r="C728" s="63"/>
      <c r="D728" s="76"/>
      <c r="E728" s="75"/>
      <c r="F728" s="76"/>
      <c r="G728" s="79"/>
      <c r="H728" s="79"/>
      <c r="I728" s="75"/>
      <c r="J728" s="63"/>
      <c r="K728" s="63"/>
      <c r="L728" s="80"/>
      <c r="M728" s="76"/>
      <c r="N728" s="76"/>
      <c r="O728" s="78"/>
      <c r="P728" s="78"/>
      <c r="Q728" s="63"/>
    </row>
    <row r="729" spans="1:17" ht="17.25" customHeight="1" x14ac:dyDescent="0.2">
      <c r="A729" s="75"/>
      <c r="B729" s="63"/>
      <c r="C729" s="63"/>
      <c r="D729" s="76"/>
      <c r="E729" s="75"/>
      <c r="F729" s="76"/>
      <c r="G729" s="79"/>
      <c r="H729" s="79"/>
      <c r="I729" s="75"/>
      <c r="J729" s="63"/>
      <c r="K729" s="63"/>
      <c r="L729" s="80"/>
      <c r="M729" s="76"/>
      <c r="N729" s="76"/>
      <c r="O729" s="78"/>
      <c r="P729" s="78"/>
      <c r="Q729" s="63"/>
    </row>
    <row r="730" spans="1:17" ht="17.25" customHeight="1" x14ac:dyDescent="0.2">
      <c r="A730" s="75"/>
      <c r="B730" s="63"/>
      <c r="C730" s="63"/>
      <c r="D730" s="76"/>
      <c r="E730" s="75"/>
      <c r="F730" s="76"/>
      <c r="G730" s="79"/>
      <c r="H730" s="79"/>
      <c r="I730" s="75"/>
      <c r="J730" s="63"/>
      <c r="K730" s="63"/>
      <c r="L730" s="80"/>
      <c r="M730" s="76"/>
      <c r="N730" s="76"/>
      <c r="O730" s="78"/>
      <c r="P730" s="78"/>
      <c r="Q730" s="63"/>
    </row>
    <row r="731" spans="1:17" ht="17.25" customHeight="1" x14ac:dyDescent="0.2">
      <c r="A731" s="75"/>
      <c r="B731" s="63"/>
      <c r="C731" s="63"/>
      <c r="D731" s="76"/>
      <c r="E731" s="75"/>
      <c r="F731" s="76"/>
      <c r="G731" s="79"/>
      <c r="H731" s="79"/>
      <c r="I731" s="75"/>
      <c r="J731" s="63"/>
      <c r="K731" s="63"/>
      <c r="L731" s="80"/>
      <c r="M731" s="76"/>
      <c r="N731" s="76"/>
      <c r="O731" s="78"/>
      <c r="P731" s="78"/>
      <c r="Q731" s="63"/>
    </row>
    <row r="732" spans="1:17" ht="17.25" customHeight="1" x14ac:dyDescent="0.2">
      <c r="A732" s="75"/>
      <c r="B732" s="63"/>
      <c r="C732" s="63"/>
      <c r="D732" s="76"/>
      <c r="E732" s="75"/>
      <c r="F732" s="76"/>
      <c r="G732" s="79"/>
      <c r="H732" s="79"/>
      <c r="I732" s="75"/>
      <c r="J732" s="63"/>
      <c r="K732" s="63"/>
      <c r="L732" s="80"/>
      <c r="M732" s="76"/>
      <c r="N732" s="76"/>
      <c r="O732" s="78"/>
      <c r="P732" s="78"/>
      <c r="Q732" s="63"/>
    </row>
    <row r="733" spans="1:17" ht="17.25" customHeight="1" x14ac:dyDescent="0.2">
      <c r="A733" s="75"/>
      <c r="B733" s="63"/>
      <c r="C733" s="63"/>
      <c r="D733" s="76"/>
      <c r="E733" s="75"/>
      <c r="F733" s="76"/>
      <c r="G733" s="79"/>
      <c r="H733" s="79"/>
      <c r="I733" s="75"/>
      <c r="J733" s="63"/>
      <c r="K733" s="63"/>
      <c r="L733" s="80"/>
      <c r="M733" s="76"/>
      <c r="N733" s="76"/>
      <c r="O733" s="78"/>
      <c r="P733" s="78"/>
      <c r="Q733" s="63"/>
    </row>
    <row r="734" spans="1:17" ht="17.25" customHeight="1" x14ac:dyDescent="0.2">
      <c r="A734" s="75"/>
      <c r="B734" s="63"/>
      <c r="C734" s="63"/>
      <c r="D734" s="76"/>
      <c r="E734" s="75"/>
      <c r="F734" s="76"/>
      <c r="G734" s="79"/>
      <c r="H734" s="79"/>
      <c r="I734" s="75"/>
      <c r="J734" s="63"/>
      <c r="K734" s="63"/>
      <c r="L734" s="80"/>
      <c r="M734" s="76"/>
      <c r="N734" s="76"/>
      <c r="O734" s="78"/>
      <c r="P734" s="78"/>
      <c r="Q734" s="63"/>
    </row>
    <row r="735" spans="1:17" ht="17.25" customHeight="1" x14ac:dyDescent="0.2">
      <c r="A735" s="75"/>
      <c r="B735" s="63"/>
      <c r="C735" s="63"/>
      <c r="D735" s="76"/>
      <c r="E735" s="75"/>
      <c r="F735" s="76"/>
      <c r="G735" s="79"/>
      <c r="H735" s="79"/>
      <c r="I735" s="75"/>
      <c r="J735" s="63"/>
      <c r="K735" s="63"/>
      <c r="L735" s="80"/>
      <c r="M735" s="76"/>
      <c r="N735" s="76"/>
      <c r="O735" s="78"/>
      <c r="P735" s="78"/>
      <c r="Q735" s="63"/>
    </row>
    <row r="736" spans="1:17" ht="17.25" customHeight="1" x14ac:dyDescent="0.2">
      <c r="A736" s="75"/>
      <c r="B736" s="63"/>
      <c r="C736" s="63"/>
      <c r="D736" s="76"/>
      <c r="E736" s="75"/>
      <c r="F736" s="76"/>
      <c r="G736" s="79"/>
      <c r="H736" s="79"/>
      <c r="I736" s="75"/>
      <c r="J736" s="63"/>
      <c r="K736" s="63"/>
      <c r="L736" s="80"/>
      <c r="M736" s="76"/>
      <c r="N736" s="76"/>
      <c r="O736" s="78"/>
      <c r="P736" s="78"/>
      <c r="Q736" s="63"/>
    </row>
    <row r="737" spans="1:17" ht="17.25" customHeight="1" x14ac:dyDescent="0.2">
      <c r="A737" s="75"/>
      <c r="B737" s="63"/>
      <c r="C737" s="63"/>
      <c r="D737" s="76"/>
      <c r="E737" s="75"/>
      <c r="F737" s="76"/>
      <c r="G737" s="79"/>
      <c r="H737" s="79"/>
      <c r="I737" s="75"/>
      <c r="J737" s="63"/>
      <c r="K737" s="63"/>
      <c r="L737" s="80"/>
      <c r="M737" s="76"/>
      <c r="N737" s="76"/>
      <c r="O737" s="78"/>
      <c r="P737" s="78"/>
      <c r="Q737" s="63"/>
    </row>
    <row r="738" spans="1:17" ht="17.25" customHeight="1" x14ac:dyDescent="0.2">
      <c r="A738" s="75"/>
      <c r="B738" s="63"/>
      <c r="C738" s="63"/>
      <c r="D738" s="76"/>
      <c r="E738" s="75"/>
      <c r="F738" s="76"/>
      <c r="G738" s="79"/>
      <c r="H738" s="79"/>
      <c r="I738" s="75"/>
      <c r="J738" s="63"/>
      <c r="K738" s="63"/>
      <c r="L738" s="80"/>
      <c r="M738" s="76"/>
      <c r="N738" s="76"/>
      <c r="O738" s="78"/>
      <c r="P738" s="78"/>
      <c r="Q738" s="63"/>
    </row>
    <row r="739" spans="1:17" ht="17.25" customHeight="1" x14ac:dyDescent="0.2">
      <c r="A739" s="75"/>
      <c r="B739" s="63"/>
      <c r="C739" s="63"/>
      <c r="D739" s="76"/>
      <c r="E739" s="75"/>
      <c r="F739" s="76"/>
      <c r="G739" s="79"/>
      <c r="H739" s="79"/>
      <c r="I739" s="75"/>
      <c r="J739" s="63"/>
      <c r="K739" s="63"/>
      <c r="L739" s="80"/>
      <c r="M739" s="76"/>
      <c r="N739" s="76"/>
      <c r="O739" s="78"/>
      <c r="P739" s="78"/>
      <c r="Q739" s="63"/>
    </row>
    <row r="740" spans="1:17" ht="17.25" customHeight="1" x14ac:dyDescent="0.2">
      <c r="A740" s="75"/>
      <c r="B740" s="63"/>
      <c r="C740" s="63"/>
      <c r="D740" s="76"/>
      <c r="E740" s="75"/>
      <c r="F740" s="76"/>
      <c r="G740" s="79"/>
      <c r="H740" s="79"/>
      <c r="I740" s="75"/>
      <c r="J740" s="63"/>
      <c r="K740" s="63"/>
      <c r="L740" s="80"/>
      <c r="M740" s="76"/>
      <c r="N740" s="76"/>
      <c r="O740" s="78"/>
      <c r="P740" s="78"/>
      <c r="Q740" s="63"/>
    </row>
    <row r="741" spans="1:17" ht="17.25" customHeight="1" x14ac:dyDescent="0.2">
      <c r="A741" s="75"/>
      <c r="B741" s="63"/>
      <c r="C741" s="63"/>
      <c r="D741" s="76"/>
      <c r="E741" s="75"/>
      <c r="F741" s="76"/>
      <c r="G741" s="79"/>
      <c r="H741" s="79"/>
      <c r="I741" s="75"/>
      <c r="J741" s="63"/>
      <c r="K741" s="63"/>
      <c r="L741" s="80"/>
      <c r="M741" s="76"/>
      <c r="N741" s="76"/>
      <c r="O741" s="78"/>
      <c r="P741" s="78"/>
      <c r="Q741" s="63"/>
    </row>
    <row r="742" spans="1:17" ht="17.25" customHeight="1" x14ac:dyDescent="0.2">
      <c r="A742" s="75"/>
      <c r="B742" s="63"/>
      <c r="C742" s="63"/>
      <c r="D742" s="76"/>
      <c r="E742" s="75"/>
      <c r="F742" s="76"/>
      <c r="G742" s="79"/>
      <c r="H742" s="79"/>
      <c r="I742" s="75"/>
      <c r="J742" s="63"/>
      <c r="K742" s="63"/>
      <c r="L742" s="80"/>
      <c r="M742" s="76"/>
      <c r="N742" s="76"/>
      <c r="O742" s="78"/>
      <c r="P742" s="78"/>
      <c r="Q742" s="63"/>
    </row>
    <row r="743" spans="1:17" ht="17.25" customHeight="1" x14ac:dyDescent="0.2">
      <c r="A743" s="75"/>
      <c r="B743" s="63"/>
      <c r="C743" s="63"/>
      <c r="D743" s="76"/>
      <c r="E743" s="75"/>
      <c r="F743" s="76"/>
      <c r="G743" s="79"/>
      <c r="H743" s="79"/>
      <c r="I743" s="75"/>
      <c r="J743" s="63"/>
      <c r="K743" s="63"/>
      <c r="L743" s="80"/>
      <c r="M743" s="76"/>
      <c r="N743" s="76"/>
      <c r="O743" s="78"/>
      <c r="P743" s="78"/>
      <c r="Q743" s="63"/>
    </row>
    <row r="744" spans="1:17" ht="17.25" customHeight="1" x14ac:dyDescent="0.2">
      <c r="A744" s="75"/>
      <c r="B744" s="63"/>
      <c r="C744" s="63"/>
      <c r="D744" s="76"/>
      <c r="E744" s="75"/>
      <c r="F744" s="76"/>
      <c r="G744" s="79"/>
      <c r="H744" s="79"/>
      <c r="I744" s="75"/>
      <c r="J744" s="63"/>
      <c r="K744" s="63"/>
      <c r="L744" s="80"/>
      <c r="M744" s="76"/>
      <c r="N744" s="76"/>
      <c r="O744" s="78"/>
      <c r="P744" s="78"/>
      <c r="Q744" s="63"/>
    </row>
    <row r="745" spans="1:17" ht="17.25" customHeight="1" x14ac:dyDescent="0.2">
      <c r="A745" s="75"/>
      <c r="B745" s="63"/>
      <c r="C745" s="63"/>
      <c r="D745" s="76"/>
      <c r="E745" s="75"/>
      <c r="F745" s="76"/>
      <c r="G745" s="79"/>
      <c r="H745" s="79"/>
      <c r="I745" s="75"/>
      <c r="J745" s="63"/>
      <c r="K745" s="63"/>
      <c r="L745" s="80"/>
      <c r="M745" s="76"/>
      <c r="N745" s="76"/>
      <c r="O745" s="78"/>
      <c r="P745" s="78"/>
      <c r="Q745" s="63"/>
    </row>
    <row r="746" spans="1:17" ht="17.25" customHeight="1" x14ac:dyDescent="0.2">
      <c r="A746" s="75"/>
      <c r="B746" s="63"/>
      <c r="C746" s="63"/>
      <c r="D746" s="76"/>
      <c r="E746" s="75"/>
      <c r="F746" s="76"/>
      <c r="G746" s="79"/>
      <c r="H746" s="79"/>
      <c r="I746" s="75"/>
      <c r="J746" s="63"/>
      <c r="K746" s="63"/>
      <c r="L746" s="80"/>
      <c r="M746" s="76"/>
      <c r="N746" s="76"/>
      <c r="O746" s="78"/>
      <c r="P746" s="78"/>
      <c r="Q746" s="63"/>
    </row>
    <row r="747" spans="1:17" ht="17.25" customHeight="1" x14ac:dyDescent="0.2">
      <c r="A747" s="75"/>
      <c r="B747" s="63"/>
      <c r="C747" s="63"/>
      <c r="D747" s="76"/>
      <c r="E747" s="75"/>
      <c r="F747" s="76"/>
      <c r="G747" s="79"/>
      <c r="H747" s="79"/>
      <c r="I747" s="75"/>
      <c r="J747" s="63"/>
      <c r="K747" s="63"/>
      <c r="L747" s="80"/>
      <c r="M747" s="76"/>
      <c r="N747" s="76"/>
      <c r="O747" s="78"/>
      <c r="P747" s="78"/>
      <c r="Q747" s="63"/>
    </row>
    <row r="748" spans="1:17" ht="17.25" customHeight="1" x14ac:dyDescent="0.2">
      <c r="A748" s="75"/>
      <c r="B748" s="63"/>
      <c r="C748" s="63"/>
      <c r="D748" s="76"/>
      <c r="E748" s="75"/>
      <c r="F748" s="76"/>
      <c r="G748" s="79"/>
      <c r="H748" s="79"/>
      <c r="I748" s="75"/>
      <c r="J748" s="63"/>
      <c r="K748" s="63"/>
      <c r="L748" s="80"/>
      <c r="M748" s="76"/>
      <c r="N748" s="76"/>
      <c r="O748" s="78"/>
      <c r="P748" s="78"/>
      <c r="Q748" s="63"/>
    </row>
    <row r="749" spans="1:17" ht="17.25" customHeight="1" x14ac:dyDescent="0.2">
      <c r="A749" s="75"/>
      <c r="B749" s="63"/>
      <c r="C749" s="63"/>
      <c r="D749" s="76"/>
      <c r="E749" s="75"/>
      <c r="F749" s="76"/>
      <c r="G749" s="79"/>
      <c r="H749" s="79"/>
      <c r="I749" s="75"/>
      <c r="J749" s="63"/>
      <c r="K749" s="63"/>
      <c r="L749" s="80"/>
      <c r="M749" s="76"/>
      <c r="N749" s="76"/>
      <c r="O749" s="78"/>
      <c r="P749" s="78"/>
      <c r="Q749" s="63"/>
    </row>
    <row r="750" spans="1:17" ht="17.25" customHeight="1" x14ac:dyDescent="0.2">
      <c r="A750" s="75"/>
      <c r="B750" s="63"/>
      <c r="C750" s="63"/>
      <c r="D750" s="76"/>
      <c r="E750" s="75"/>
      <c r="F750" s="76"/>
      <c r="G750" s="79"/>
      <c r="H750" s="79"/>
      <c r="I750" s="75"/>
      <c r="J750" s="63"/>
      <c r="K750" s="63"/>
      <c r="L750" s="80"/>
      <c r="M750" s="76"/>
      <c r="N750" s="76"/>
      <c r="O750" s="78"/>
      <c r="P750" s="78"/>
      <c r="Q750" s="63"/>
    </row>
    <row r="751" spans="1:17" ht="17.25" customHeight="1" x14ac:dyDescent="0.2">
      <c r="A751" s="75"/>
      <c r="B751" s="63"/>
      <c r="C751" s="63"/>
      <c r="D751" s="76"/>
      <c r="E751" s="75"/>
      <c r="F751" s="76"/>
      <c r="G751" s="79"/>
      <c r="H751" s="79"/>
      <c r="I751" s="75"/>
      <c r="J751" s="63"/>
      <c r="K751" s="63"/>
      <c r="L751" s="80"/>
      <c r="M751" s="76"/>
      <c r="N751" s="76"/>
      <c r="O751" s="78"/>
      <c r="P751" s="78"/>
      <c r="Q751" s="63"/>
    </row>
    <row r="752" spans="1:17" ht="17.25" customHeight="1" x14ac:dyDescent="0.2">
      <c r="A752" s="75"/>
      <c r="B752" s="63"/>
      <c r="C752" s="63"/>
      <c r="D752" s="76"/>
      <c r="E752" s="75"/>
      <c r="F752" s="76"/>
      <c r="G752" s="79"/>
      <c r="H752" s="79"/>
      <c r="I752" s="75"/>
      <c r="J752" s="63"/>
      <c r="K752" s="63"/>
      <c r="L752" s="80"/>
      <c r="M752" s="76"/>
      <c r="N752" s="76"/>
      <c r="O752" s="78"/>
      <c r="P752" s="78"/>
      <c r="Q752" s="63"/>
    </row>
    <row r="753" spans="1:17" ht="17.25" customHeight="1" x14ac:dyDescent="0.2">
      <c r="A753" s="75"/>
      <c r="B753" s="63"/>
      <c r="C753" s="63"/>
      <c r="D753" s="76"/>
      <c r="E753" s="75"/>
      <c r="F753" s="76"/>
      <c r="G753" s="79"/>
      <c r="H753" s="79"/>
      <c r="I753" s="75"/>
      <c r="J753" s="63"/>
      <c r="K753" s="63"/>
      <c r="L753" s="80"/>
      <c r="M753" s="76"/>
      <c r="N753" s="76"/>
      <c r="O753" s="78"/>
      <c r="P753" s="78"/>
      <c r="Q753" s="63"/>
    </row>
    <row r="754" spans="1:17" ht="17.25" customHeight="1" x14ac:dyDescent="0.2">
      <c r="A754" s="75"/>
      <c r="B754" s="63"/>
      <c r="C754" s="63"/>
      <c r="D754" s="76"/>
      <c r="E754" s="75"/>
      <c r="F754" s="76"/>
      <c r="G754" s="79"/>
      <c r="H754" s="79"/>
      <c r="I754" s="75"/>
      <c r="J754" s="63"/>
      <c r="K754" s="63"/>
      <c r="L754" s="80"/>
      <c r="M754" s="76"/>
      <c r="N754" s="76"/>
      <c r="O754" s="78"/>
      <c r="P754" s="78"/>
      <c r="Q754" s="63"/>
    </row>
    <row r="755" spans="1:17" ht="17.25" customHeight="1" x14ac:dyDescent="0.2">
      <c r="A755" s="75"/>
      <c r="B755" s="63"/>
      <c r="C755" s="63"/>
      <c r="D755" s="76"/>
      <c r="E755" s="75"/>
      <c r="F755" s="76"/>
      <c r="G755" s="79"/>
      <c r="H755" s="79"/>
      <c r="I755" s="75"/>
      <c r="J755" s="63"/>
      <c r="K755" s="63"/>
      <c r="L755" s="80"/>
      <c r="M755" s="76"/>
      <c r="N755" s="76"/>
      <c r="O755" s="78"/>
      <c r="P755" s="78"/>
      <c r="Q755" s="63"/>
    </row>
    <row r="756" spans="1:17" ht="17.25" customHeight="1" x14ac:dyDescent="0.2">
      <c r="A756" s="75"/>
      <c r="B756" s="63"/>
      <c r="C756" s="63"/>
      <c r="D756" s="76"/>
      <c r="E756" s="75"/>
      <c r="F756" s="76"/>
      <c r="G756" s="79"/>
      <c r="H756" s="79"/>
      <c r="I756" s="75"/>
      <c r="J756" s="63"/>
      <c r="K756" s="63"/>
      <c r="L756" s="80"/>
      <c r="M756" s="76"/>
      <c r="N756" s="76"/>
      <c r="O756" s="78"/>
      <c r="P756" s="78"/>
      <c r="Q756" s="63"/>
    </row>
    <row r="757" spans="1:17" ht="17.25" customHeight="1" x14ac:dyDescent="0.2">
      <c r="A757" s="75"/>
      <c r="B757" s="63"/>
      <c r="C757" s="63"/>
      <c r="D757" s="76"/>
      <c r="E757" s="75"/>
      <c r="F757" s="76"/>
      <c r="G757" s="79"/>
      <c r="H757" s="79"/>
      <c r="I757" s="75"/>
      <c r="J757" s="63"/>
      <c r="K757" s="63"/>
      <c r="L757" s="80"/>
      <c r="M757" s="76"/>
      <c r="N757" s="76"/>
      <c r="O757" s="78"/>
      <c r="P757" s="78"/>
      <c r="Q757" s="63"/>
    </row>
    <row r="758" spans="1:17" ht="17.25" customHeight="1" x14ac:dyDescent="0.2">
      <c r="A758" s="75"/>
      <c r="B758" s="63"/>
      <c r="C758" s="63"/>
      <c r="D758" s="76"/>
      <c r="E758" s="75"/>
      <c r="F758" s="76"/>
      <c r="G758" s="79"/>
      <c r="H758" s="79"/>
      <c r="I758" s="75"/>
      <c r="J758" s="63"/>
      <c r="K758" s="63"/>
      <c r="L758" s="80"/>
      <c r="M758" s="76"/>
      <c r="N758" s="76"/>
      <c r="O758" s="78"/>
      <c r="P758" s="78"/>
      <c r="Q758" s="63"/>
    </row>
    <row r="759" spans="1:17" ht="17.25" customHeight="1" x14ac:dyDescent="0.2">
      <c r="A759" s="75"/>
      <c r="B759" s="63"/>
      <c r="C759" s="63"/>
      <c r="D759" s="76"/>
      <c r="E759" s="75"/>
      <c r="F759" s="76"/>
      <c r="G759" s="79"/>
      <c r="H759" s="79"/>
      <c r="I759" s="75"/>
      <c r="J759" s="63"/>
      <c r="K759" s="63"/>
      <c r="L759" s="80"/>
      <c r="M759" s="76"/>
      <c r="N759" s="76"/>
      <c r="O759" s="78"/>
      <c r="P759" s="78"/>
      <c r="Q759" s="63"/>
    </row>
    <row r="760" spans="1:17" ht="17.25" customHeight="1" x14ac:dyDescent="0.2">
      <c r="A760" s="75"/>
      <c r="B760" s="63"/>
      <c r="C760" s="63"/>
      <c r="D760" s="76"/>
      <c r="E760" s="75"/>
      <c r="F760" s="76"/>
      <c r="G760" s="79"/>
      <c r="H760" s="79"/>
      <c r="I760" s="75"/>
      <c r="J760" s="63"/>
      <c r="K760" s="63"/>
      <c r="L760" s="80"/>
      <c r="M760" s="76"/>
      <c r="N760" s="76"/>
      <c r="O760" s="78"/>
      <c r="P760" s="78"/>
      <c r="Q760" s="63"/>
    </row>
    <row r="761" spans="1:17" ht="17.25" customHeight="1" x14ac:dyDescent="0.2">
      <c r="A761" s="75"/>
      <c r="B761" s="63"/>
      <c r="C761" s="63"/>
      <c r="D761" s="76"/>
      <c r="E761" s="75"/>
      <c r="F761" s="76"/>
      <c r="G761" s="79"/>
      <c r="H761" s="79"/>
      <c r="I761" s="75"/>
      <c r="J761" s="63"/>
      <c r="K761" s="63"/>
      <c r="L761" s="80"/>
      <c r="M761" s="76"/>
      <c r="N761" s="76"/>
      <c r="O761" s="78"/>
      <c r="P761" s="78"/>
      <c r="Q761" s="63"/>
    </row>
    <row r="762" spans="1:17" ht="17.25" customHeight="1" x14ac:dyDescent="0.2">
      <c r="A762" s="75"/>
      <c r="B762" s="63"/>
      <c r="C762" s="63"/>
      <c r="D762" s="76"/>
      <c r="E762" s="75"/>
      <c r="F762" s="76"/>
      <c r="G762" s="79"/>
      <c r="H762" s="79"/>
      <c r="I762" s="75"/>
      <c r="J762" s="63"/>
      <c r="K762" s="63"/>
      <c r="L762" s="80"/>
      <c r="M762" s="76"/>
      <c r="N762" s="76"/>
      <c r="O762" s="78"/>
      <c r="P762" s="78"/>
      <c r="Q762" s="63"/>
    </row>
    <row r="763" spans="1:17" ht="17.25" customHeight="1" x14ac:dyDescent="0.2">
      <c r="A763" s="75"/>
      <c r="B763" s="63"/>
      <c r="C763" s="63"/>
      <c r="D763" s="76"/>
      <c r="E763" s="75"/>
      <c r="F763" s="76"/>
      <c r="G763" s="79"/>
      <c r="H763" s="79"/>
      <c r="I763" s="75"/>
      <c r="J763" s="63"/>
      <c r="K763" s="63"/>
      <c r="L763" s="80"/>
      <c r="M763" s="76"/>
      <c r="N763" s="76"/>
      <c r="O763" s="78"/>
      <c r="P763" s="78"/>
      <c r="Q763" s="63"/>
    </row>
    <row r="764" spans="1:17" ht="17.25" customHeight="1" x14ac:dyDescent="0.2">
      <c r="A764" s="75"/>
      <c r="B764" s="63"/>
      <c r="C764" s="63"/>
      <c r="D764" s="76"/>
      <c r="E764" s="75"/>
      <c r="F764" s="76"/>
      <c r="G764" s="79"/>
      <c r="H764" s="79"/>
      <c r="I764" s="75"/>
      <c r="J764" s="63"/>
      <c r="K764" s="63"/>
      <c r="L764" s="80"/>
      <c r="M764" s="76"/>
      <c r="N764" s="76"/>
      <c r="O764" s="78"/>
      <c r="P764" s="78"/>
      <c r="Q764" s="63"/>
    </row>
    <row r="765" spans="1:17" ht="17.25" customHeight="1" x14ac:dyDescent="0.2">
      <c r="A765" s="75"/>
      <c r="B765" s="63"/>
      <c r="C765" s="63"/>
      <c r="D765" s="76"/>
      <c r="E765" s="75"/>
      <c r="F765" s="76"/>
      <c r="G765" s="79"/>
      <c r="H765" s="79"/>
      <c r="I765" s="75"/>
      <c r="J765" s="63"/>
      <c r="K765" s="63"/>
      <c r="L765" s="80"/>
      <c r="M765" s="76"/>
      <c r="N765" s="76"/>
      <c r="O765" s="78"/>
      <c r="P765" s="78"/>
      <c r="Q765" s="63"/>
    </row>
    <row r="766" spans="1:17" ht="17.25" customHeight="1" x14ac:dyDescent="0.2">
      <c r="A766" s="75"/>
      <c r="B766" s="63"/>
      <c r="C766" s="63"/>
      <c r="D766" s="76"/>
      <c r="E766" s="75"/>
      <c r="F766" s="76"/>
      <c r="G766" s="79"/>
      <c r="H766" s="79"/>
      <c r="I766" s="75"/>
      <c r="J766" s="63"/>
      <c r="K766" s="63"/>
      <c r="L766" s="80"/>
      <c r="M766" s="76"/>
      <c r="N766" s="76"/>
      <c r="O766" s="78"/>
      <c r="P766" s="78"/>
      <c r="Q766" s="63"/>
    </row>
    <row r="767" spans="1:17" ht="17.25" customHeight="1" x14ac:dyDescent="0.2">
      <c r="A767" s="75"/>
      <c r="B767" s="63"/>
      <c r="C767" s="63"/>
      <c r="D767" s="76"/>
      <c r="E767" s="75"/>
      <c r="F767" s="76"/>
      <c r="G767" s="79"/>
      <c r="H767" s="79"/>
      <c r="I767" s="75"/>
      <c r="J767" s="63"/>
      <c r="K767" s="63"/>
      <c r="L767" s="80"/>
      <c r="M767" s="76"/>
      <c r="N767" s="76"/>
      <c r="O767" s="78"/>
      <c r="P767" s="78"/>
      <c r="Q767" s="63"/>
    </row>
    <row r="768" spans="1:17" ht="17.25" customHeight="1" x14ac:dyDescent="0.2">
      <c r="A768" s="75"/>
      <c r="B768" s="63"/>
      <c r="C768" s="63"/>
      <c r="D768" s="76"/>
      <c r="E768" s="75"/>
      <c r="F768" s="76"/>
      <c r="G768" s="79"/>
      <c r="H768" s="79"/>
      <c r="I768" s="75"/>
      <c r="J768" s="63"/>
      <c r="K768" s="63"/>
      <c r="L768" s="80"/>
      <c r="M768" s="76"/>
      <c r="N768" s="76"/>
      <c r="O768" s="78"/>
      <c r="P768" s="78"/>
      <c r="Q768" s="63"/>
    </row>
    <row r="769" spans="1:17" ht="17.25" customHeight="1" x14ac:dyDescent="0.2">
      <c r="A769" s="75"/>
      <c r="B769" s="63"/>
      <c r="C769" s="63"/>
      <c r="D769" s="76"/>
      <c r="E769" s="75"/>
      <c r="F769" s="76"/>
      <c r="G769" s="79"/>
      <c r="H769" s="79"/>
      <c r="I769" s="75"/>
      <c r="J769" s="63"/>
      <c r="K769" s="63"/>
      <c r="L769" s="80"/>
      <c r="M769" s="76"/>
      <c r="N769" s="76"/>
      <c r="O769" s="78"/>
      <c r="P769" s="78"/>
      <c r="Q769" s="63"/>
    </row>
    <row r="770" spans="1:17" ht="17.25" customHeight="1" x14ac:dyDescent="0.2">
      <c r="A770" s="75"/>
      <c r="B770" s="63"/>
      <c r="C770" s="63"/>
      <c r="D770" s="76"/>
      <c r="E770" s="75"/>
      <c r="F770" s="76"/>
      <c r="G770" s="79"/>
      <c r="H770" s="79"/>
      <c r="I770" s="75"/>
      <c r="J770" s="63"/>
      <c r="K770" s="63"/>
      <c r="L770" s="80"/>
      <c r="M770" s="76"/>
      <c r="N770" s="76"/>
      <c r="O770" s="78"/>
      <c r="P770" s="78"/>
      <c r="Q770" s="63"/>
    </row>
    <row r="771" spans="1:17" ht="17.25" customHeight="1" x14ac:dyDescent="0.2">
      <c r="A771" s="75"/>
      <c r="B771" s="63"/>
      <c r="C771" s="63"/>
      <c r="D771" s="76"/>
      <c r="E771" s="75"/>
      <c r="F771" s="76"/>
      <c r="G771" s="79"/>
      <c r="H771" s="79"/>
      <c r="I771" s="75"/>
      <c r="J771" s="63"/>
      <c r="K771" s="63"/>
      <c r="L771" s="80"/>
      <c r="M771" s="76"/>
      <c r="N771" s="76"/>
      <c r="O771" s="78"/>
      <c r="P771" s="78"/>
      <c r="Q771" s="63"/>
    </row>
    <row r="772" spans="1:17" ht="17.25" customHeight="1" x14ac:dyDescent="0.2">
      <c r="A772" s="75"/>
      <c r="B772" s="63"/>
      <c r="C772" s="63"/>
      <c r="D772" s="76"/>
      <c r="E772" s="75"/>
      <c r="F772" s="76"/>
      <c r="G772" s="79"/>
      <c r="H772" s="79"/>
      <c r="I772" s="75"/>
      <c r="J772" s="63"/>
      <c r="K772" s="63"/>
      <c r="L772" s="80"/>
      <c r="M772" s="76"/>
      <c r="N772" s="76"/>
      <c r="O772" s="78"/>
      <c r="P772" s="78"/>
      <c r="Q772" s="63"/>
    </row>
    <row r="773" spans="1:17" ht="17.25" customHeight="1" x14ac:dyDescent="0.2">
      <c r="A773" s="75"/>
      <c r="B773" s="63"/>
      <c r="C773" s="63"/>
      <c r="D773" s="76"/>
      <c r="E773" s="75"/>
      <c r="F773" s="76"/>
      <c r="G773" s="79"/>
      <c r="H773" s="79"/>
      <c r="I773" s="75"/>
      <c r="J773" s="63"/>
      <c r="K773" s="63"/>
      <c r="L773" s="80"/>
      <c r="M773" s="76"/>
      <c r="N773" s="76"/>
      <c r="O773" s="78"/>
      <c r="P773" s="78"/>
      <c r="Q773" s="63"/>
    </row>
    <row r="774" spans="1:17" ht="17.25" customHeight="1" x14ac:dyDescent="0.2">
      <c r="A774" s="75"/>
      <c r="B774" s="63"/>
      <c r="C774" s="63"/>
      <c r="D774" s="76"/>
      <c r="E774" s="75"/>
      <c r="F774" s="76"/>
      <c r="G774" s="79"/>
      <c r="H774" s="79"/>
      <c r="I774" s="75"/>
      <c r="J774" s="63"/>
      <c r="K774" s="63"/>
      <c r="L774" s="80"/>
      <c r="M774" s="76"/>
      <c r="N774" s="76"/>
      <c r="O774" s="78"/>
      <c r="P774" s="78"/>
      <c r="Q774" s="63"/>
    </row>
    <row r="775" spans="1:17" ht="17.25" customHeight="1" x14ac:dyDescent="0.2">
      <c r="A775" s="75"/>
      <c r="B775" s="63"/>
      <c r="C775" s="63"/>
      <c r="D775" s="76"/>
      <c r="E775" s="75"/>
      <c r="F775" s="76"/>
      <c r="G775" s="79"/>
      <c r="H775" s="79"/>
      <c r="I775" s="75"/>
      <c r="J775" s="63"/>
      <c r="K775" s="63"/>
      <c r="L775" s="80"/>
      <c r="M775" s="76"/>
      <c r="N775" s="76"/>
      <c r="O775" s="78"/>
      <c r="P775" s="78"/>
      <c r="Q775" s="63"/>
    </row>
    <row r="776" spans="1:17" ht="17.25" customHeight="1" x14ac:dyDescent="0.2">
      <c r="A776" s="75"/>
      <c r="B776" s="63"/>
      <c r="C776" s="63"/>
      <c r="D776" s="76"/>
      <c r="E776" s="75"/>
      <c r="F776" s="76"/>
      <c r="G776" s="79"/>
      <c r="H776" s="79"/>
      <c r="I776" s="75"/>
      <c r="J776" s="63"/>
      <c r="K776" s="63"/>
      <c r="L776" s="80"/>
      <c r="M776" s="76"/>
      <c r="N776" s="76"/>
      <c r="O776" s="78"/>
      <c r="P776" s="78"/>
      <c r="Q776" s="63"/>
    </row>
    <row r="777" spans="1:17" ht="17.25" customHeight="1" x14ac:dyDescent="0.2">
      <c r="A777" s="75"/>
      <c r="B777" s="63"/>
      <c r="C777" s="63"/>
      <c r="D777" s="76"/>
      <c r="E777" s="75"/>
      <c r="F777" s="76"/>
      <c r="G777" s="79"/>
      <c r="H777" s="79"/>
      <c r="I777" s="75"/>
      <c r="J777" s="63"/>
      <c r="K777" s="63"/>
      <c r="L777" s="80"/>
      <c r="M777" s="76"/>
      <c r="N777" s="76"/>
      <c r="O777" s="78"/>
      <c r="P777" s="78"/>
      <c r="Q777" s="63"/>
    </row>
    <row r="778" spans="1:17" ht="17.25" customHeight="1" x14ac:dyDescent="0.2">
      <c r="A778" s="75"/>
      <c r="B778" s="63"/>
      <c r="C778" s="63"/>
      <c r="D778" s="76"/>
      <c r="E778" s="75"/>
      <c r="F778" s="76"/>
      <c r="G778" s="79"/>
      <c r="H778" s="79"/>
      <c r="I778" s="75"/>
      <c r="J778" s="63"/>
      <c r="K778" s="63"/>
      <c r="L778" s="80"/>
      <c r="M778" s="76"/>
      <c r="N778" s="76"/>
      <c r="O778" s="78"/>
      <c r="P778" s="78"/>
      <c r="Q778" s="63"/>
    </row>
    <row r="779" spans="1:17" ht="17.25" customHeight="1" x14ac:dyDescent="0.2">
      <c r="A779" s="75"/>
      <c r="B779" s="63"/>
      <c r="C779" s="63"/>
      <c r="D779" s="76"/>
      <c r="E779" s="75"/>
      <c r="F779" s="76"/>
      <c r="G779" s="79"/>
      <c r="H779" s="79"/>
      <c r="I779" s="75"/>
      <c r="J779" s="63"/>
      <c r="K779" s="63"/>
      <c r="L779" s="80"/>
      <c r="M779" s="76"/>
      <c r="N779" s="76"/>
      <c r="O779" s="78"/>
      <c r="P779" s="78"/>
      <c r="Q779" s="63"/>
    </row>
    <row r="780" spans="1:17" ht="17.25" customHeight="1" x14ac:dyDescent="0.2">
      <c r="A780" s="75"/>
      <c r="B780" s="63"/>
      <c r="C780" s="63"/>
      <c r="D780" s="76"/>
      <c r="E780" s="75"/>
      <c r="F780" s="76"/>
      <c r="G780" s="79"/>
      <c r="H780" s="79"/>
      <c r="I780" s="75"/>
      <c r="J780" s="63"/>
      <c r="K780" s="63"/>
      <c r="L780" s="80"/>
      <c r="M780" s="76"/>
      <c r="N780" s="76"/>
      <c r="O780" s="78"/>
      <c r="P780" s="78"/>
      <c r="Q780" s="63"/>
    </row>
    <row r="781" spans="1:17" ht="17.25" customHeight="1" x14ac:dyDescent="0.2">
      <c r="A781" s="75"/>
      <c r="B781" s="63"/>
      <c r="C781" s="63"/>
      <c r="D781" s="76"/>
      <c r="E781" s="75"/>
      <c r="F781" s="76"/>
      <c r="G781" s="79"/>
      <c r="H781" s="79"/>
      <c r="I781" s="75"/>
      <c r="J781" s="63"/>
      <c r="K781" s="63"/>
      <c r="L781" s="80"/>
      <c r="M781" s="76"/>
      <c r="N781" s="76"/>
      <c r="O781" s="78"/>
      <c r="P781" s="78"/>
      <c r="Q781" s="63"/>
    </row>
    <row r="782" spans="1:17" ht="17.25" customHeight="1" x14ac:dyDescent="0.2">
      <c r="A782" s="75"/>
      <c r="B782" s="63"/>
      <c r="C782" s="63"/>
      <c r="D782" s="76"/>
      <c r="E782" s="75"/>
      <c r="F782" s="76"/>
      <c r="G782" s="79"/>
      <c r="H782" s="79"/>
      <c r="I782" s="75"/>
      <c r="J782" s="63"/>
      <c r="K782" s="63"/>
      <c r="L782" s="80"/>
      <c r="M782" s="76"/>
      <c r="N782" s="76"/>
      <c r="O782" s="78"/>
      <c r="P782" s="78"/>
      <c r="Q782" s="63"/>
    </row>
    <row r="783" spans="1:17" ht="17.25" customHeight="1" x14ac:dyDescent="0.2">
      <c r="A783" s="75"/>
      <c r="B783" s="63"/>
      <c r="C783" s="63"/>
      <c r="D783" s="76"/>
      <c r="E783" s="75"/>
      <c r="F783" s="76"/>
      <c r="G783" s="79"/>
      <c r="H783" s="79"/>
      <c r="I783" s="75"/>
      <c r="J783" s="63"/>
      <c r="K783" s="63"/>
      <c r="L783" s="80"/>
      <c r="M783" s="76"/>
      <c r="N783" s="76"/>
      <c r="O783" s="78"/>
      <c r="P783" s="78"/>
      <c r="Q783" s="63"/>
    </row>
    <row r="784" spans="1:17" ht="17.25" customHeight="1" x14ac:dyDescent="0.2">
      <c r="A784" s="75"/>
      <c r="B784" s="63"/>
      <c r="C784" s="63"/>
      <c r="D784" s="76"/>
      <c r="E784" s="75"/>
      <c r="F784" s="76"/>
      <c r="G784" s="79"/>
      <c r="H784" s="79"/>
      <c r="I784" s="75"/>
      <c r="J784" s="63"/>
      <c r="K784" s="63"/>
      <c r="L784" s="80"/>
      <c r="M784" s="76"/>
      <c r="N784" s="76"/>
      <c r="O784" s="78"/>
      <c r="P784" s="78"/>
      <c r="Q784" s="63"/>
    </row>
    <row r="785" spans="1:17" ht="17.25" customHeight="1" x14ac:dyDescent="0.2">
      <c r="A785" s="75"/>
      <c r="B785" s="63"/>
      <c r="C785" s="63"/>
      <c r="D785" s="76"/>
      <c r="E785" s="75"/>
      <c r="F785" s="76"/>
      <c r="G785" s="79"/>
      <c r="H785" s="79"/>
      <c r="I785" s="75"/>
      <c r="J785" s="63"/>
      <c r="K785" s="63"/>
      <c r="L785" s="80"/>
      <c r="M785" s="76"/>
      <c r="N785" s="76"/>
      <c r="O785" s="78"/>
      <c r="P785" s="78"/>
      <c r="Q785" s="63"/>
    </row>
    <row r="786" spans="1:17" ht="17.25" customHeight="1" x14ac:dyDescent="0.2">
      <c r="A786" s="75"/>
      <c r="B786" s="63"/>
      <c r="C786" s="63"/>
      <c r="D786" s="76"/>
      <c r="E786" s="75"/>
      <c r="F786" s="76"/>
      <c r="G786" s="79"/>
      <c r="H786" s="79"/>
      <c r="I786" s="75"/>
      <c r="J786" s="63"/>
      <c r="K786" s="63"/>
      <c r="L786" s="80"/>
      <c r="M786" s="76"/>
      <c r="N786" s="76"/>
      <c r="O786" s="78"/>
      <c r="P786" s="78"/>
      <c r="Q786" s="63"/>
    </row>
    <row r="787" spans="1:17" ht="17.25" customHeight="1" x14ac:dyDescent="0.2">
      <c r="A787" s="75"/>
      <c r="B787" s="63"/>
      <c r="C787" s="63"/>
      <c r="D787" s="76"/>
      <c r="E787" s="75"/>
      <c r="F787" s="76"/>
      <c r="G787" s="79"/>
      <c r="H787" s="79"/>
      <c r="I787" s="75"/>
      <c r="J787" s="63"/>
      <c r="K787" s="63"/>
      <c r="L787" s="80"/>
      <c r="M787" s="76"/>
      <c r="N787" s="76"/>
      <c r="O787" s="78"/>
      <c r="P787" s="78"/>
      <c r="Q787" s="63"/>
    </row>
    <row r="788" spans="1:17" ht="17.25" customHeight="1" x14ac:dyDescent="0.2">
      <c r="A788" s="75"/>
      <c r="B788" s="63"/>
      <c r="C788" s="63"/>
      <c r="D788" s="76"/>
      <c r="E788" s="75"/>
      <c r="F788" s="76"/>
      <c r="G788" s="79"/>
      <c r="H788" s="79"/>
      <c r="I788" s="75"/>
      <c r="J788" s="63"/>
      <c r="K788" s="63"/>
      <c r="L788" s="80"/>
      <c r="M788" s="76"/>
      <c r="N788" s="76"/>
      <c r="O788" s="78"/>
      <c r="P788" s="78"/>
      <c r="Q788" s="63"/>
    </row>
    <row r="789" spans="1:17" ht="17.25" customHeight="1" x14ac:dyDescent="0.2">
      <c r="A789" s="75"/>
      <c r="B789" s="63"/>
      <c r="C789" s="63"/>
      <c r="D789" s="76"/>
      <c r="E789" s="75"/>
      <c r="F789" s="76"/>
      <c r="G789" s="79"/>
      <c r="H789" s="79"/>
      <c r="I789" s="75"/>
      <c r="J789" s="63"/>
      <c r="K789" s="63"/>
      <c r="L789" s="80"/>
      <c r="M789" s="76"/>
      <c r="N789" s="76"/>
      <c r="O789" s="78"/>
      <c r="P789" s="78"/>
      <c r="Q789" s="63"/>
    </row>
    <row r="790" spans="1:17" ht="17.25" customHeight="1" x14ac:dyDescent="0.2">
      <c r="A790" s="75"/>
      <c r="B790" s="63"/>
      <c r="C790" s="63"/>
      <c r="D790" s="76"/>
      <c r="E790" s="75"/>
      <c r="F790" s="76"/>
      <c r="G790" s="79"/>
      <c r="H790" s="79"/>
      <c r="I790" s="75"/>
      <c r="J790" s="63"/>
      <c r="K790" s="63"/>
      <c r="L790" s="80"/>
      <c r="M790" s="76"/>
      <c r="N790" s="76"/>
      <c r="O790" s="78"/>
      <c r="P790" s="78"/>
      <c r="Q790" s="63"/>
    </row>
    <row r="791" spans="1:17" ht="17.25" customHeight="1" x14ac:dyDescent="0.2">
      <c r="A791" s="75"/>
      <c r="B791" s="63"/>
      <c r="C791" s="63"/>
      <c r="D791" s="76"/>
      <c r="E791" s="75"/>
      <c r="F791" s="76"/>
      <c r="G791" s="79"/>
      <c r="H791" s="79"/>
      <c r="I791" s="75"/>
      <c r="J791" s="63"/>
      <c r="K791" s="63"/>
      <c r="L791" s="80"/>
      <c r="M791" s="76"/>
      <c r="N791" s="76"/>
      <c r="O791" s="78"/>
      <c r="P791" s="78"/>
      <c r="Q791" s="63"/>
    </row>
    <row r="792" spans="1:17" ht="17.25" customHeight="1" x14ac:dyDescent="0.2">
      <c r="A792" s="75"/>
      <c r="B792" s="63"/>
      <c r="C792" s="63"/>
      <c r="D792" s="76"/>
      <c r="E792" s="75"/>
      <c r="F792" s="76"/>
      <c r="G792" s="79"/>
      <c r="H792" s="79"/>
      <c r="I792" s="75"/>
      <c r="J792" s="63"/>
      <c r="K792" s="63"/>
      <c r="L792" s="80"/>
      <c r="M792" s="76"/>
      <c r="N792" s="76"/>
      <c r="O792" s="78"/>
      <c r="P792" s="78"/>
      <c r="Q792" s="63"/>
    </row>
    <row r="793" spans="1:17" ht="17.25" customHeight="1" x14ac:dyDescent="0.2">
      <c r="A793" s="75"/>
      <c r="B793" s="63"/>
      <c r="C793" s="63"/>
      <c r="D793" s="76"/>
      <c r="E793" s="75"/>
      <c r="F793" s="76"/>
      <c r="G793" s="79"/>
      <c r="H793" s="79"/>
      <c r="I793" s="75"/>
      <c r="J793" s="63"/>
      <c r="K793" s="63"/>
      <c r="L793" s="80"/>
      <c r="M793" s="76"/>
      <c r="N793" s="76"/>
      <c r="O793" s="78"/>
      <c r="P793" s="78"/>
      <c r="Q793" s="63"/>
    </row>
    <row r="794" spans="1:17" ht="17.25" customHeight="1" x14ac:dyDescent="0.2">
      <c r="A794" s="75"/>
      <c r="B794" s="63"/>
      <c r="C794" s="63"/>
      <c r="D794" s="76"/>
      <c r="E794" s="75"/>
      <c r="F794" s="76"/>
      <c r="G794" s="79"/>
      <c r="H794" s="79"/>
      <c r="I794" s="75"/>
      <c r="J794" s="63"/>
      <c r="K794" s="63"/>
      <c r="L794" s="80"/>
      <c r="M794" s="76"/>
      <c r="N794" s="76"/>
      <c r="O794" s="78"/>
      <c r="P794" s="78"/>
      <c r="Q794" s="63"/>
    </row>
    <row r="795" spans="1:17" ht="17.25" customHeight="1" x14ac:dyDescent="0.2">
      <c r="A795" s="75"/>
      <c r="B795" s="63"/>
      <c r="C795" s="63"/>
      <c r="D795" s="76"/>
      <c r="E795" s="75"/>
      <c r="F795" s="76"/>
      <c r="G795" s="79"/>
      <c r="H795" s="79"/>
      <c r="I795" s="75"/>
      <c r="J795" s="63"/>
      <c r="K795" s="63"/>
      <c r="L795" s="80"/>
      <c r="M795" s="76"/>
      <c r="N795" s="76"/>
      <c r="O795" s="78"/>
      <c r="P795" s="78"/>
      <c r="Q795" s="63"/>
    </row>
    <row r="796" spans="1:17" ht="17.25" customHeight="1" x14ac:dyDescent="0.2">
      <c r="A796" s="75"/>
      <c r="B796" s="63"/>
      <c r="C796" s="63"/>
      <c r="D796" s="76"/>
      <c r="E796" s="75"/>
      <c r="F796" s="76"/>
      <c r="G796" s="79"/>
      <c r="H796" s="79"/>
      <c r="I796" s="75"/>
      <c r="J796" s="63"/>
      <c r="K796" s="63"/>
      <c r="L796" s="80"/>
      <c r="M796" s="76"/>
      <c r="N796" s="76"/>
      <c r="O796" s="78"/>
      <c r="P796" s="78"/>
      <c r="Q796" s="63"/>
    </row>
    <row r="797" spans="1:17" ht="17.25" customHeight="1" x14ac:dyDescent="0.2">
      <c r="A797" s="75"/>
      <c r="B797" s="63"/>
      <c r="C797" s="63"/>
      <c r="D797" s="76"/>
      <c r="E797" s="75"/>
      <c r="F797" s="76"/>
      <c r="G797" s="79"/>
      <c r="H797" s="79"/>
      <c r="I797" s="75"/>
      <c r="J797" s="63"/>
      <c r="K797" s="63"/>
      <c r="L797" s="80"/>
      <c r="M797" s="76"/>
      <c r="N797" s="76"/>
      <c r="O797" s="78"/>
      <c r="P797" s="78"/>
      <c r="Q797" s="63"/>
    </row>
    <row r="798" spans="1:17" ht="17.25" customHeight="1" x14ac:dyDescent="0.2">
      <c r="A798" s="75"/>
      <c r="B798" s="63"/>
      <c r="C798" s="63"/>
      <c r="D798" s="76"/>
      <c r="E798" s="75"/>
      <c r="F798" s="76"/>
      <c r="G798" s="79"/>
      <c r="H798" s="79"/>
      <c r="I798" s="75"/>
      <c r="J798" s="63"/>
      <c r="K798" s="63"/>
      <c r="L798" s="80"/>
      <c r="M798" s="76"/>
      <c r="N798" s="76"/>
      <c r="O798" s="78"/>
      <c r="P798" s="78"/>
      <c r="Q798" s="63"/>
    </row>
    <row r="799" spans="1:17" ht="17.25" customHeight="1" x14ac:dyDescent="0.2">
      <c r="A799" s="75"/>
      <c r="B799" s="63"/>
      <c r="C799" s="63"/>
      <c r="D799" s="76"/>
      <c r="E799" s="75"/>
      <c r="F799" s="76"/>
      <c r="G799" s="79"/>
      <c r="H799" s="79"/>
      <c r="I799" s="75"/>
      <c r="J799" s="63"/>
      <c r="K799" s="63"/>
      <c r="L799" s="80"/>
      <c r="M799" s="76"/>
      <c r="N799" s="76"/>
      <c r="O799" s="78"/>
      <c r="P799" s="78"/>
      <c r="Q799" s="63"/>
    </row>
    <row r="800" spans="1:17" ht="17.25" customHeight="1" x14ac:dyDescent="0.2">
      <c r="A800" s="75"/>
      <c r="B800" s="63"/>
      <c r="C800" s="63"/>
      <c r="D800" s="76"/>
      <c r="E800" s="75"/>
      <c r="F800" s="76"/>
      <c r="G800" s="79"/>
      <c r="H800" s="79"/>
      <c r="I800" s="75"/>
      <c r="J800" s="63"/>
      <c r="K800" s="63"/>
      <c r="L800" s="80"/>
      <c r="M800" s="76"/>
      <c r="N800" s="76"/>
      <c r="O800" s="78"/>
      <c r="P800" s="78"/>
      <c r="Q800" s="63"/>
    </row>
    <row r="801" spans="1:17" ht="17.25" customHeight="1" x14ac:dyDescent="0.2">
      <c r="A801" s="75"/>
      <c r="B801" s="63"/>
      <c r="C801" s="63"/>
      <c r="D801" s="76"/>
      <c r="E801" s="75"/>
      <c r="F801" s="76"/>
      <c r="G801" s="79"/>
      <c r="H801" s="79"/>
      <c r="I801" s="75"/>
      <c r="J801" s="63"/>
      <c r="K801" s="63"/>
      <c r="L801" s="80"/>
      <c r="M801" s="76"/>
      <c r="N801" s="76"/>
      <c r="O801" s="78"/>
      <c r="P801" s="78"/>
      <c r="Q801" s="63"/>
    </row>
    <row r="802" spans="1:17" ht="17.25" customHeight="1" x14ac:dyDescent="0.2">
      <c r="A802" s="75"/>
      <c r="B802" s="63"/>
      <c r="C802" s="63"/>
      <c r="D802" s="76"/>
      <c r="E802" s="75"/>
      <c r="F802" s="76"/>
      <c r="G802" s="79"/>
      <c r="H802" s="79"/>
      <c r="I802" s="75"/>
      <c r="J802" s="63"/>
      <c r="K802" s="63"/>
      <c r="L802" s="80"/>
      <c r="M802" s="76"/>
      <c r="N802" s="76"/>
      <c r="O802" s="78"/>
      <c r="P802" s="78"/>
      <c r="Q802" s="63"/>
    </row>
    <row r="803" spans="1:17" ht="17.25" customHeight="1" x14ac:dyDescent="0.2">
      <c r="A803" s="75"/>
      <c r="B803" s="63"/>
      <c r="C803" s="63"/>
      <c r="D803" s="76"/>
      <c r="E803" s="75"/>
      <c r="F803" s="76"/>
      <c r="G803" s="79"/>
      <c r="H803" s="79"/>
      <c r="I803" s="75"/>
      <c r="J803" s="63"/>
      <c r="K803" s="63"/>
      <c r="L803" s="80"/>
      <c r="M803" s="76"/>
      <c r="N803" s="76"/>
      <c r="O803" s="78"/>
      <c r="P803" s="78"/>
      <c r="Q803" s="63"/>
    </row>
    <row r="804" spans="1:17" ht="17.25" customHeight="1" x14ac:dyDescent="0.2">
      <c r="A804" s="75"/>
      <c r="B804" s="63"/>
      <c r="C804" s="63"/>
      <c r="D804" s="76"/>
      <c r="E804" s="75"/>
      <c r="F804" s="76"/>
      <c r="G804" s="79"/>
      <c r="H804" s="79"/>
      <c r="I804" s="75"/>
      <c r="J804" s="63"/>
      <c r="K804" s="63"/>
      <c r="L804" s="80"/>
      <c r="M804" s="76"/>
      <c r="N804" s="76"/>
      <c r="O804" s="78"/>
      <c r="P804" s="78"/>
      <c r="Q804" s="63"/>
    </row>
    <row r="805" spans="1:17" ht="17.25" customHeight="1" x14ac:dyDescent="0.2">
      <c r="A805" s="75"/>
      <c r="B805" s="63"/>
      <c r="C805" s="63"/>
      <c r="D805" s="76"/>
      <c r="E805" s="75"/>
      <c r="F805" s="76"/>
      <c r="G805" s="79"/>
      <c r="H805" s="79"/>
      <c r="I805" s="75"/>
      <c r="J805" s="63"/>
      <c r="K805" s="63"/>
      <c r="L805" s="80"/>
      <c r="M805" s="76"/>
      <c r="N805" s="76"/>
      <c r="O805" s="78"/>
      <c r="P805" s="78"/>
      <c r="Q805" s="63"/>
    </row>
    <row r="806" spans="1:17" ht="17.25" customHeight="1" x14ac:dyDescent="0.2">
      <c r="A806" s="75"/>
      <c r="B806" s="63"/>
      <c r="C806" s="63"/>
      <c r="D806" s="76"/>
      <c r="E806" s="75"/>
      <c r="F806" s="76"/>
      <c r="G806" s="79"/>
      <c r="H806" s="79"/>
      <c r="I806" s="75"/>
      <c r="J806" s="63"/>
      <c r="K806" s="63"/>
      <c r="L806" s="80"/>
      <c r="M806" s="76"/>
      <c r="N806" s="76"/>
      <c r="O806" s="78"/>
      <c r="P806" s="78"/>
      <c r="Q806" s="63"/>
    </row>
    <row r="807" spans="1:17" ht="17.25" customHeight="1" x14ac:dyDescent="0.2">
      <c r="A807" s="75"/>
      <c r="B807" s="63"/>
      <c r="C807" s="63"/>
      <c r="D807" s="76"/>
      <c r="E807" s="75"/>
      <c r="F807" s="76"/>
      <c r="G807" s="79"/>
      <c r="H807" s="79"/>
      <c r="I807" s="75"/>
      <c r="J807" s="63"/>
      <c r="K807" s="63"/>
      <c r="L807" s="80"/>
      <c r="M807" s="76"/>
      <c r="N807" s="76"/>
      <c r="O807" s="78"/>
      <c r="P807" s="78"/>
      <c r="Q807" s="63"/>
    </row>
    <row r="808" spans="1:17" ht="17.25" customHeight="1" x14ac:dyDescent="0.2">
      <c r="A808" s="75"/>
      <c r="B808" s="63"/>
      <c r="C808" s="63"/>
      <c r="D808" s="76"/>
      <c r="E808" s="75"/>
      <c r="F808" s="76"/>
      <c r="G808" s="79"/>
      <c r="H808" s="79"/>
      <c r="I808" s="75"/>
      <c r="J808" s="63"/>
      <c r="K808" s="63"/>
      <c r="L808" s="80"/>
      <c r="M808" s="76"/>
      <c r="N808" s="76"/>
      <c r="O808" s="78"/>
      <c r="P808" s="78"/>
      <c r="Q808" s="63"/>
    </row>
    <row r="809" spans="1:17" ht="17.25" customHeight="1" x14ac:dyDescent="0.2">
      <c r="A809" s="75"/>
      <c r="B809" s="63"/>
      <c r="C809" s="63"/>
      <c r="D809" s="76"/>
      <c r="E809" s="75"/>
      <c r="F809" s="76"/>
      <c r="G809" s="79"/>
      <c r="H809" s="79"/>
      <c r="I809" s="75"/>
      <c r="J809" s="63"/>
      <c r="K809" s="63"/>
      <c r="L809" s="80"/>
      <c r="M809" s="76"/>
      <c r="N809" s="76"/>
      <c r="O809" s="78"/>
      <c r="P809" s="78"/>
      <c r="Q809" s="63"/>
    </row>
    <row r="810" spans="1:17" ht="17.25" customHeight="1" x14ac:dyDescent="0.2">
      <c r="A810" s="75"/>
      <c r="B810" s="63"/>
      <c r="C810" s="63"/>
      <c r="D810" s="76"/>
      <c r="E810" s="75"/>
      <c r="F810" s="76"/>
      <c r="G810" s="79"/>
      <c r="H810" s="79"/>
      <c r="I810" s="75"/>
      <c r="J810" s="63"/>
      <c r="K810" s="63"/>
      <c r="L810" s="80"/>
      <c r="M810" s="76"/>
      <c r="N810" s="76"/>
      <c r="O810" s="78"/>
      <c r="P810" s="78"/>
      <c r="Q810" s="63"/>
    </row>
    <row r="811" spans="1:17" ht="17.25" customHeight="1" x14ac:dyDescent="0.2">
      <c r="A811" s="75"/>
      <c r="B811" s="63"/>
      <c r="C811" s="63"/>
      <c r="D811" s="76"/>
      <c r="E811" s="75"/>
      <c r="F811" s="76"/>
      <c r="G811" s="79"/>
      <c r="H811" s="79"/>
      <c r="I811" s="75"/>
      <c r="J811" s="63"/>
      <c r="K811" s="63"/>
      <c r="L811" s="80"/>
      <c r="M811" s="76"/>
      <c r="N811" s="76"/>
      <c r="O811" s="78"/>
      <c r="P811" s="78"/>
      <c r="Q811" s="63"/>
    </row>
    <row r="812" spans="1:17" ht="17.25" customHeight="1" x14ac:dyDescent="0.2">
      <c r="A812" s="75"/>
      <c r="B812" s="63"/>
      <c r="C812" s="63"/>
      <c r="D812" s="76"/>
      <c r="E812" s="75"/>
      <c r="F812" s="76"/>
      <c r="G812" s="79"/>
      <c r="H812" s="79"/>
      <c r="I812" s="75"/>
      <c r="J812" s="63"/>
      <c r="K812" s="63"/>
      <c r="L812" s="80"/>
      <c r="M812" s="76"/>
      <c r="N812" s="76"/>
      <c r="O812" s="78"/>
      <c r="P812" s="78"/>
      <c r="Q812" s="63"/>
    </row>
    <row r="813" spans="1:17" ht="17.25" customHeight="1" x14ac:dyDescent="0.2">
      <c r="A813" s="75"/>
      <c r="B813" s="63"/>
      <c r="C813" s="63"/>
      <c r="D813" s="76"/>
      <c r="E813" s="75"/>
      <c r="F813" s="76"/>
      <c r="G813" s="79"/>
      <c r="H813" s="79"/>
      <c r="I813" s="75"/>
      <c r="J813" s="63"/>
      <c r="K813" s="63"/>
      <c r="L813" s="80"/>
      <c r="M813" s="76"/>
      <c r="N813" s="76"/>
      <c r="O813" s="78"/>
      <c r="P813" s="78"/>
      <c r="Q813" s="63"/>
    </row>
    <row r="814" spans="1:17" ht="17.25" customHeight="1" x14ac:dyDescent="0.2">
      <c r="A814" s="75"/>
      <c r="B814" s="63"/>
      <c r="C814" s="63"/>
      <c r="D814" s="76"/>
      <c r="E814" s="75"/>
      <c r="F814" s="76"/>
      <c r="G814" s="79"/>
      <c r="H814" s="79"/>
      <c r="I814" s="75"/>
      <c r="J814" s="63"/>
      <c r="K814" s="63"/>
      <c r="L814" s="80"/>
      <c r="M814" s="76"/>
      <c r="N814" s="76"/>
      <c r="O814" s="78"/>
      <c r="P814" s="78"/>
      <c r="Q814" s="63"/>
    </row>
    <row r="815" spans="1:17" ht="17.25" customHeight="1" x14ac:dyDescent="0.2">
      <c r="A815" s="75"/>
      <c r="B815" s="63"/>
      <c r="C815" s="63"/>
      <c r="D815" s="76"/>
      <c r="E815" s="75"/>
      <c r="F815" s="76"/>
      <c r="G815" s="79"/>
      <c r="H815" s="79"/>
      <c r="I815" s="75"/>
      <c r="J815" s="63"/>
      <c r="K815" s="63"/>
      <c r="L815" s="80"/>
      <c r="M815" s="76"/>
      <c r="N815" s="76"/>
      <c r="O815" s="78"/>
      <c r="P815" s="78"/>
      <c r="Q815" s="63"/>
    </row>
    <row r="816" spans="1:17" ht="17.25" customHeight="1" x14ac:dyDescent="0.2">
      <c r="A816" s="75"/>
      <c r="B816" s="63"/>
      <c r="C816" s="63"/>
      <c r="D816" s="76"/>
      <c r="E816" s="75"/>
      <c r="F816" s="76"/>
      <c r="G816" s="79"/>
      <c r="H816" s="79"/>
      <c r="I816" s="75"/>
      <c r="J816" s="63"/>
      <c r="K816" s="63"/>
      <c r="L816" s="80"/>
      <c r="M816" s="76"/>
      <c r="N816" s="76"/>
      <c r="O816" s="78"/>
      <c r="P816" s="78"/>
      <c r="Q816" s="63"/>
    </row>
    <row r="817" spans="1:17" ht="17.25" customHeight="1" x14ac:dyDescent="0.2">
      <c r="A817" s="75"/>
      <c r="B817" s="63"/>
      <c r="C817" s="63"/>
      <c r="D817" s="76"/>
      <c r="E817" s="75"/>
      <c r="F817" s="76"/>
      <c r="G817" s="79"/>
      <c r="H817" s="79"/>
      <c r="I817" s="75"/>
      <c r="J817" s="63"/>
      <c r="K817" s="63"/>
      <c r="L817" s="80"/>
      <c r="M817" s="76"/>
      <c r="N817" s="76"/>
      <c r="O817" s="78"/>
      <c r="P817" s="78"/>
      <c r="Q817" s="63"/>
    </row>
    <row r="818" spans="1:17" ht="17.25" customHeight="1" x14ac:dyDescent="0.2">
      <c r="A818" s="75"/>
      <c r="B818" s="63"/>
      <c r="C818" s="63"/>
      <c r="D818" s="76"/>
      <c r="E818" s="75"/>
      <c r="F818" s="76"/>
      <c r="G818" s="79"/>
      <c r="H818" s="79"/>
      <c r="I818" s="75"/>
      <c r="J818" s="63"/>
      <c r="K818" s="63"/>
      <c r="L818" s="80"/>
      <c r="M818" s="76"/>
      <c r="N818" s="76"/>
      <c r="O818" s="78"/>
      <c r="P818" s="78"/>
      <c r="Q818" s="63"/>
    </row>
    <row r="819" spans="1:17" ht="17.25" customHeight="1" x14ac:dyDescent="0.2">
      <c r="A819" s="75"/>
      <c r="B819" s="63"/>
      <c r="C819" s="63"/>
      <c r="D819" s="76"/>
      <c r="E819" s="75"/>
      <c r="F819" s="76"/>
      <c r="G819" s="79"/>
      <c r="H819" s="79"/>
      <c r="I819" s="75"/>
      <c r="J819" s="63"/>
      <c r="K819" s="63"/>
      <c r="L819" s="80"/>
      <c r="M819" s="76"/>
      <c r="N819" s="76"/>
      <c r="O819" s="78"/>
      <c r="P819" s="78"/>
      <c r="Q819" s="63"/>
    </row>
    <row r="820" spans="1:17" ht="17.25" customHeight="1" x14ac:dyDescent="0.2">
      <c r="A820" s="75"/>
      <c r="B820" s="63"/>
      <c r="C820" s="63"/>
      <c r="D820" s="76"/>
      <c r="E820" s="75"/>
      <c r="F820" s="76"/>
      <c r="G820" s="79"/>
      <c r="H820" s="79"/>
      <c r="I820" s="75"/>
      <c r="J820" s="63"/>
      <c r="K820" s="63"/>
      <c r="L820" s="80"/>
      <c r="M820" s="76"/>
      <c r="N820" s="76"/>
      <c r="O820" s="78"/>
      <c r="P820" s="78"/>
      <c r="Q820" s="63"/>
    </row>
    <row r="821" spans="1:17" ht="17.25" customHeight="1" x14ac:dyDescent="0.2">
      <c r="A821" s="75"/>
      <c r="B821" s="63"/>
      <c r="C821" s="63"/>
      <c r="D821" s="76"/>
      <c r="E821" s="75"/>
      <c r="F821" s="76"/>
      <c r="G821" s="79"/>
      <c r="H821" s="79"/>
      <c r="I821" s="75"/>
      <c r="J821" s="63"/>
      <c r="K821" s="63"/>
      <c r="L821" s="80"/>
      <c r="M821" s="76"/>
      <c r="N821" s="76"/>
      <c r="O821" s="78"/>
      <c r="P821" s="78"/>
      <c r="Q821" s="63"/>
    </row>
    <row r="822" spans="1:17" ht="17.25" customHeight="1" x14ac:dyDescent="0.2">
      <c r="A822" s="75"/>
      <c r="B822" s="63"/>
      <c r="C822" s="63"/>
      <c r="D822" s="76"/>
      <c r="E822" s="75"/>
      <c r="F822" s="76"/>
      <c r="G822" s="79"/>
      <c r="H822" s="79"/>
      <c r="I822" s="75"/>
      <c r="J822" s="63"/>
      <c r="K822" s="63"/>
      <c r="L822" s="80"/>
      <c r="M822" s="76"/>
      <c r="N822" s="76"/>
      <c r="O822" s="78"/>
      <c r="P822" s="78"/>
      <c r="Q822" s="63"/>
    </row>
    <row r="823" spans="1:17" ht="17.25" customHeight="1" x14ac:dyDescent="0.2">
      <c r="A823" s="75"/>
      <c r="B823" s="63"/>
      <c r="C823" s="63"/>
      <c r="D823" s="76"/>
      <c r="E823" s="75"/>
      <c r="F823" s="76"/>
      <c r="G823" s="79"/>
      <c r="H823" s="79"/>
      <c r="I823" s="75"/>
      <c r="J823" s="63"/>
      <c r="K823" s="63"/>
      <c r="L823" s="80"/>
      <c r="M823" s="76"/>
      <c r="N823" s="76"/>
      <c r="O823" s="78"/>
      <c r="P823" s="78"/>
      <c r="Q823" s="63"/>
    </row>
    <row r="824" spans="1:17" ht="17.25" customHeight="1" x14ac:dyDescent="0.2">
      <c r="A824" s="75"/>
      <c r="B824" s="63"/>
      <c r="C824" s="63"/>
      <c r="D824" s="76"/>
      <c r="E824" s="75"/>
      <c r="F824" s="76"/>
      <c r="G824" s="79"/>
      <c r="H824" s="79"/>
      <c r="I824" s="75"/>
      <c r="J824" s="63"/>
      <c r="K824" s="63"/>
      <c r="L824" s="80"/>
      <c r="M824" s="76"/>
      <c r="N824" s="76"/>
      <c r="O824" s="78"/>
      <c r="P824" s="78"/>
      <c r="Q824" s="63"/>
    </row>
    <row r="825" spans="1:17" ht="17.25" customHeight="1" x14ac:dyDescent="0.2">
      <c r="A825" s="75"/>
      <c r="B825" s="63"/>
      <c r="C825" s="63"/>
      <c r="D825" s="76"/>
      <c r="E825" s="75"/>
      <c r="F825" s="76"/>
      <c r="G825" s="79"/>
      <c r="H825" s="79"/>
      <c r="I825" s="75"/>
      <c r="J825" s="63"/>
      <c r="K825" s="63"/>
      <c r="L825" s="80"/>
      <c r="M825" s="76"/>
      <c r="N825" s="76"/>
      <c r="O825" s="78"/>
      <c r="P825" s="78"/>
      <c r="Q825" s="63"/>
    </row>
    <row r="826" spans="1:17" ht="17.25" customHeight="1" x14ac:dyDescent="0.2">
      <c r="A826" s="75"/>
      <c r="B826" s="63"/>
      <c r="C826" s="63"/>
      <c r="D826" s="76"/>
      <c r="E826" s="75"/>
      <c r="F826" s="76"/>
      <c r="G826" s="79"/>
      <c r="H826" s="79"/>
      <c r="I826" s="75"/>
      <c r="J826" s="63"/>
      <c r="K826" s="63"/>
      <c r="L826" s="80"/>
      <c r="M826" s="76"/>
      <c r="N826" s="76"/>
      <c r="O826" s="78"/>
      <c r="P826" s="78"/>
      <c r="Q826" s="63"/>
    </row>
    <row r="827" spans="1:17" ht="17.25" customHeight="1" x14ac:dyDescent="0.2">
      <c r="A827" s="75"/>
      <c r="B827" s="63"/>
      <c r="C827" s="63"/>
      <c r="D827" s="76"/>
      <c r="E827" s="75"/>
      <c r="F827" s="76"/>
      <c r="G827" s="79"/>
      <c r="H827" s="79"/>
      <c r="I827" s="75"/>
      <c r="J827" s="63"/>
      <c r="K827" s="63"/>
      <c r="L827" s="80"/>
      <c r="M827" s="76"/>
      <c r="N827" s="76"/>
      <c r="O827" s="78"/>
      <c r="P827" s="78"/>
      <c r="Q827" s="63"/>
    </row>
    <row r="828" spans="1:17" ht="17.25" customHeight="1" x14ac:dyDescent="0.2">
      <c r="A828" s="75"/>
      <c r="B828" s="63"/>
      <c r="C828" s="63"/>
      <c r="D828" s="76"/>
      <c r="E828" s="75"/>
      <c r="F828" s="76"/>
      <c r="G828" s="79"/>
      <c r="H828" s="79"/>
      <c r="I828" s="75"/>
      <c r="J828" s="63"/>
      <c r="K828" s="63"/>
      <c r="L828" s="80"/>
      <c r="M828" s="76"/>
      <c r="N828" s="76"/>
      <c r="O828" s="78"/>
      <c r="P828" s="78"/>
      <c r="Q828" s="63"/>
    </row>
    <row r="829" spans="1:17" ht="17.25" customHeight="1" x14ac:dyDescent="0.2">
      <c r="A829" s="75"/>
      <c r="B829" s="63"/>
      <c r="C829" s="63"/>
      <c r="D829" s="76"/>
      <c r="E829" s="75"/>
      <c r="F829" s="76"/>
      <c r="G829" s="79"/>
      <c r="H829" s="79"/>
      <c r="I829" s="75"/>
      <c r="J829" s="63"/>
      <c r="K829" s="63"/>
      <c r="L829" s="80"/>
      <c r="M829" s="76"/>
      <c r="N829" s="76"/>
      <c r="O829" s="78"/>
      <c r="P829" s="78"/>
      <c r="Q829" s="63"/>
    </row>
    <row r="830" spans="1:17" ht="17.25" customHeight="1" x14ac:dyDescent="0.2">
      <c r="A830" s="75"/>
      <c r="B830" s="63"/>
      <c r="C830" s="63"/>
      <c r="D830" s="76"/>
      <c r="E830" s="75"/>
      <c r="F830" s="76"/>
      <c r="G830" s="79"/>
      <c r="H830" s="79"/>
      <c r="I830" s="75"/>
      <c r="J830" s="63"/>
      <c r="K830" s="63"/>
      <c r="L830" s="80"/>
      <c r="M830" s="76"/>
      <c r="N830" s="76"/>
      <c r="O830" s="78"/>
      <c r="P830" s="78"/>
      <c r="Q830" s="63"/>
    </row>
    <row r="831" spans="1:17" ht="17.25" customHeight="1" x14ac:dyDescent="0.2">
      <c r="A831" s="75"/>
      <c r="B831" s="63"/>
      <c r="C831" s="63"/>
      <c r="D831" s="76"/>
      <c r="E831" s="75"/>
      <c r="F831" s="76"/>
      <c r="G831" s="79"/>
      <c r="H831" s="79"/>
      <c r="I831" s="75"/>
      <c r="J831" s="63"/>
      <c r="K831" s="63"/>
      <c r="L831" s="80"/>
      <c r="M831" s="76"/>
      <c r="N831" s="76"/>
      <c r="O831" s="78"/>
      <c r="P831" s="78"/>
      <c r="Q831" s="63"/>
    </row>
    <row r="832" spans="1:17" ht="17.25" customHeight="1" x14ac:dyDescent="0.2">
      <c r="A832" s="75"/>
      <c r="B832" s="63"/>
      <c r="C832" s="63"/>
      <c r="D832" s="76"/>
      <c r="E832" s="75"/>
      <c r="F832" s="76"/>
      <c r="G832" s="79"/>
      <c r="H832" s="79"/>
      <c r="I832" s="75"/>
      <c r="J832" s="63"/>
      <c r="K832" s="63"/>
      <c r="L832" s="80"/>
      <c r="M832" s="76"/>
      <c r="N832" s="76"/>
      <c r="O832" s="78"/>
      <c r="P832" s="78"/>
      <c r="Q832" s="63"/>
    </row>
    <row r="833" spans="1:17" ht="17.25" customHeight="1" x14ac:dyDescent="0.2">
      <c r="A833" s="75"/>
      <c r="B833" s="63"/>
      <c r="C833" s="63"/>
      <c r="D833" s="76"/>
      <c r="E833" s="75"/>
      <c r="F833" s="76"/>
      <c r="G833" s="79"/>
      <c r="H833" s="79"/>
      <c r="I833" s="75"/>
      <c r="J833" s="63"/>
      <c r="K833" s="63"/>
      <c r="L833" s="80"/>
      <c r="M833" s="76"/>
      <c r="N833" s="76"/>
      <c r="O833" s="78"/>
      <c r="P833" s="78"/>
      <c r="Q833" s="63"/>
    </row>
    <row r="834" spans="1:17" ht="17.25" customHeight="1" x14ac:dyDescent="0.2">
      <c r="A834" s="75"/>
      <c r="B834" s="63"/>
      <c r="C834" s="63"/>
      <c r="D834" s="76"/>
      <c r="E834" s="75"/>
      <c r="F834" s="76"/>
      <c r="G834" s="79"/>
      <c r="H834" s="79"/>
      <c r="I834" s="75"/>
      <c r="J834" s="63"/>
      <c r="K834" s="63"/>
      <c r="L834" s="80"/>
      <c r="M834" s="76"/>
      <c r="N834" s="76"/>
      <c r="O834" s="78"/>
      <c r="P834" s="78"/>
      <c r="Q834" s="63"/>
    </row>
    <row r="835" spans="1:17" ht="17.25" customHeight="1" x14ac:dyDescent="0.2">
      <c r="A835" s="75"/>
      <c r="B835" s="63"/>
      <c r="C835" s="63"/>
      <c r="D835" s="76"/>
      <c r="E835" s="75"/>
      <c r="F835" s="76"/>
      <c r="G835" s="79"/>
      <c r="H835" s="79"/>
      <c r="I835" s="75"/>
      <c r="J835" s="63"/>
      <c r="K835" s="63"/>
      <c r="L835" s="80"/>
      <c r="M835" s="76"/>
      <c r="N835" s="76"/>
      <c r="O835" s="78"/>
      <c r="P835" s="78"/>
      <c r="Q835" s="63"/>
    </row>
    <row r="836" spans="1:17" ht="17.25" customHeight="1" x14ac:dyDescent="0.2">
      <c r="A836" s="75"/>
      <c r="B836" s="63"/>
      <c r="C836" s="63"/>
      <c r="D836" s="76"/>
      <c r="E836" s="75"/>
      <c r="F836" s="76"/>
      <c r="G836" s="79"/>
      <c r="H836" s="79"/>
      <c r="I836" s="75"/>
      <c r="J836" s="63"/>
      <c r="K836" s="63"/>
      <c r="L836" s="80"/>
      <c r="M836" s="76"/>
      <c r="N836" s="76"/>
      <c r="O836" s="78"/>
      <c r="P836" s="78"/>
      <c r="Q836" s="63"/>
    </row>
    <row r="837" spans="1:17" ht="17.25" customHeight="1" x14ac:dyDescent="0.2">
      <c r="A837" s="75"/>
      <c r="B837" s="63"/>
      <c r="C837" s="63"/>
      <c r="D837" s="76"/>
      <c r="E837" s="75"/>
      <c r="F837" s="76"/>
      <c r="G837" s="79"/>
      <c r="H837" s="79"/>
      <c r="I837" s="75"/>
      <c r="J837" s="63"/>
      <c r="K837" s="63"/>
      <c r="L837" s="80"/>
      <c r="M837" s="76"/>
      <c r="N837" s="76"/>
      <c r="O837" s="78"/>
      <c r="P837" s="78"/>
      <c r="Q837" s="63"/>
    </row>
    <row r="838" spans="1:17" ht="17.25" customHeight="1" x14ac:dyDescent="0.2">
      <c r="A838" s="75"/>
      <c r="B838" s="63"/>
      <c r="C838" s="63"/>
      <c r="D838" s="76"/>
      <c r="E838" s="75"/>
      <c r="F838" s="76"/>
      <c r="G838" s="79"/>
      <c r="H838" s="79"/>
      <c r="I838" s="75"/>
      <c r="J838" s="63"/>
      <c r="K838" s="63"/>
      <c r="L838" s="80"/>
      <c r="M838" s="76"/>
      <c r="N838" s="76"/>
      <c r="O838" s="78"/>
      <c r="P838" s="78"/>
      <c r="Q838" s="63"/>
    </row>
    <row r="839" spans="1:17" ht="17.25" customHeight="1" x14ac:dyDescent="0.2">
      <c r="A839" s="75"/>
      <c r="B839" s="63"/>
      <c r="C839" s="63"/>
      <c r="D839" s="76"/>
      <c r="E839" s="75"/>
      <c r="F839" s="76"/>
      <c r="G839" s="79"/>
      <c r="H839" s="79"/>
      <c r="I839" s="75"/>
      <c r="J839" s="63"/>
      <c r="K839" s="63"/>
      <c r="L839" s="80"/>
      <c r="M839" s="76"/>
      <c r="N839" s="76"/>
      <c r="O839" s="78"/>
      <c r="P839" s="78"/>
      <c r="Q839" s="63"/>
    </row>
    <row r="840" spans="1:17" ht="17.25" customHeight="1" x14ac:dyDescent="0.2">
      <c r="A840" s="75"/>
      <c r="B840" s="63"/>
      <c r="C840" s="63"/>
      <c r="D840" s="76"/>
      <c r="E840" s="75"/>
      <c r="F840" s="76"/>
      <c r="G840" s="79"/>
      <c r="H840" s="79"/>
      <c r="I840" s="75"/>
      <c r="J840" s="63"/>
      <c r="K840" s="63"/>
      <c r="L840" s="80"/>
      <c r="M840" s="76"/>
      <c r="N840" s="76"/>
      <c r="O840" s="78"/>
      <c r="P840" s="78"/>
      <c r="Q840" s="63"/>
    </row>
    <row r="841" spans="1:17" ht="17.25" customHeight="1" x14ac:dyDescent="0.2">
      <c r="A841" s="75"/>
      <c r="B841" s="63"/>
      <c r="C841" s="63"/>
      <c r="D841" s="76"/>
      <c r="E841" s="75"/>
      <c r="F841" s="76"/>
      <c r="G841" s="79"/>
      <c r="H841" s="79"/>
      <c r="I841" s="75"/>
      <c r="J841" s="63"/>
      <c r="K841" s="63"/>
      <c r="L841" s="80"/>
      <c r="M841" s="76"/>
      <c r="N841" s="76"/>
      <c r="O841" s="78"/>
      <c r="P841" s="78"/>
      <c r="Q841" s="63"/>
    </row>
    <row r="842" spans="1:17" ht="17.25" customHeight="1" x14ac:dyDescent="0.2">
      <c r="A842" s="75"/>
      <c r="B842" s="63"/>
      <c r="C842" s="63"/>
      <c r="D842" s="76"/>
      <c r="E842" s="75"/>
      <c r="F842" s="76"/>
      <c r="G842" s="79"/>
      <c r="H842" s="79"/>
      <c r="I842" s="75"/>
      <c r="J842" s="63"/>
      <c r="K842" s="63"/>
      <c r="L842" s="80"/>
      <c r="M842" s="76"/>
      <c r="N842" s="76"/>
      <c r="O842" s="78"/>
      <c r="P842" s="78"/>
      <c r="Q842" s="63"/>
    </row>
    <row r="843" spans="1:17" ht="17.25" customHeight="1" x14ac:dyDescent="0.2">
      <c r="A843" s="75"/>
      <c r="B843" s="63"/>
      <c r="C843" s="63"/>
      <c r="D843" s="76"/>
      <c r="E843" s="75"/>
      <c r="F843" s="76"/>
      <c r="G843" s="79"/>
      <c r="H843" s="79"/>
      <c r="I843" s="75"/>
      <c r="J843" s="63"/>
      <c r="K843" s="63"/>
      <c r="L843" s="80"/>
      <c r="M843" s="76"/>
      <c r="N843" s="76"/>
      <c r="O843" s="78"/>
      <c r="P843" s="78"/>
      <c r="Q843" s="63"/>
    </row>
    <row r="844" spans="1:17" ht="17.25" customHeight="1" x14ac:dyDescent="0.2">
      <c r="A844" s="75"/>
      <c r="B844" s="63"/>
      <c r="C844" s="63"/>
      <c r="D844" s="76"/>
      <c r="E844" s="75"/>
      <c r="F844" s="76"/>
      <c r="G844" s="79"/>
      <c r="H844" s="79"/>
      <c r="I844" s="75"/>
      <c r="J844" s="63"/>
      <c r="K844" s="63"/>
      <c r="L844" s="80"/>
      <c r="M844" s="76"/>
      <c r="N844" s="76"/>
      <c r="O844" s="78"/>
      <c r="P844" s="78"/>
      <c r="Q844" s="63"/>
    </row>
    <row r="845" spans="1:17" ht="17.25" customHeight="1" x14ac:dyDescent="0.2">
      <c r="A845" s="75"/>
      <c r="B845" s="63"/>
      <c r="C845" s="63"/>
      <c r="D845" s="76"/>
      <c r="E845" s="75"/>
      <c r="F845" s="76"/>
      <c r="G845" s="79"/>
      <c r="H845" s="79"/>
      <c r="I845" s="75"/>
      <c r="J845" s="63"/>
      <c r="K845" s="63"/>
      <c r="L845" s="80"/>
      <c r="M845" s="76"/>
      <c r="N845" s="76"/>
      <c r="O845" s="78"/>
      <c r="P845" s="78"/>
      <c r="Q845" s="63"/>
    </row>
    <row r="846" spans="1:17" ht="17.25" customHeight="1" x14ac:dyDescent="0.2">
      <c r="A846" s="75"/>
      <c r="B846" s="63"/>
      <c r="C846" s="63"/>
      <c r="D846" s="76"/>
      <c r="E846" s="75"/>
      <c r="F846" s="76"/>
      <c r="G846" s="79"/>
      <c r="H846" s="79"/>
      <c r="I846" s="75"/>
      <c r="J846" s="63"/>
      <c r="K846" s="63"/>
      <c r="L846" s="80"/>
      <c r="M846" s="76"/>
      <c r="N846" s="76"/>
      <c r="O846" s="78"/>
      <c r="P846" s="78"/>
      <c r="Q846" s="63"/>
    </row>
    <row r="847" spans="1:17" ht="17.25" customHeight="1" x14ac:dyDescent="0.2">
      <c r="A847" s="75"/>
      <c r="B847" s="63"/>
      <c r="C847" s="63"/>
      <c r="D847" s="76"/>
      <c r="E847" s="75"/>
      <c r="F847" s="76"/>
      <c r="G847" s="79"/>
      <c r="H847" s="79"/>
      <c r="I847" s="75"/>
      <c r="J847" s="63"/>
      <c r="K847" s="63"/>
      <c r="L847" s="80"/>
      <c r="M847" s="76"/>
      <c r="N847" s="76"/>
      <c r="O847" s="78"/>
      <c r="P847" s="78"/>
      <c r="Q847" s="63"/>
    </row>
    <row r="848" spans="1:17" ht="17.25" customHeight="1" x14ac:dyDescent="0.2">
      <c r="A848" s="75"/>
      <c r="B848" s="63"/>
      <c r="C848" s="63"/>
      <c r="D848" s="76"/>
      <c r="E848" s="75"/>
      <c r="F848" s="76"/>
      <c r="G848" s="79"/>
      <c r="H848" s="79"/>
      <c r="I848" s="75"/>
      <c r="J848" s="63"/>
      <c r="K848" s="63"/>
      <c r="L848" s="80"/>
      <c r="M848" s="76"/>
      <c r="N848" s="76"/>
      <c r="O848" s="78"/>
      <c r="P848" s="78"/>
      <c r="Q848" s="63"/>
    </row>
    <row r="849" spans="1:17" ht="17.25" customHeight="1" x14ac:dyDescent="0.2">
      <c r="A849" s="75"/>
      <c r="B849" s="63"/>
      <c r="C849" s="63"/>
      <c r="D849" s="76"/>
      <c r="E849" s="75"/>
      <c r="F849" s="76"/>
      <c r="G849" s="79"/>
      <c r="H849" s="79"/>
      <c r="I849" s="75"/>
      <c r="J849" s="63"/>
      <c r="K849" s="63"/>
      <c r="L849" s="80"/>
      <c r="M849" s="76"/>
      <c r="N849" s="76"/>
      <c r="O849" s="78"/>
      <c r="P849" s="78"/>
      <c r="Q849" s="63"/>
    </row>
    <row r="850" spans="1:17" ht="17.25" customHeight="1" x14ac:dyDescent="0.2">
      <c r="A850" s="75"/>
      <c r="B850" s="63"/>
      <c r="C850" s="63"/>
      <c r="D850" s="76"/>
      <c r="E850" s="75"/>
      <c r="F850" s="76"/>
      <c r="G850" s="79"/>
      <c r="H850" s="79"/>
      <c r="I850" s="75"/>
      <c r="J850" s="63"/>
      <c r="K850" s="63"/>
      <c r="L850" s="80"/>
      <c r="M850" s="76"/>
      <c r="N850" s="76"/>
      <c r="O850" s="78"/>
      <c r="P850" s="78"/>
      <c r="Q850" s="63"/>
    </row>
    <row r="851" spans="1:17" ht="17.25" customHeight="1" x14ac:dyDescent="0.2">
      <c r="A851" s="75"/>
      <c r="B851" s="63"/>
      <c r="C851" s="63"/>
      <c r="D851" s="76"/>
      <c r="E851" s="75"/>
      <c r="F851" s="76"/>
      <c r="G851" s="79"/>
      <c r="H851" s="79"/>
      <c r="I851" s="75"/>
      <c r="J851" s="63"/>
      <c r="K851" s="63"/>
      <c r="L851" s="80"/>
      <c r="M851" s="76"/>
      <c r="N851" s="76"/>
      <c r="O851" s="78"/>
      <c r="P851" s="78"/>
      <c r="Q851" s="63"/>
    </row>
    <row r="852" spans="1:17" ht="17.25" customHeight="1" x14ac:dyDescent="0.2">
      <c r="A852" s="75"/>
      <c r="B852" s="63"/>
      <c r="C852" s="63"/>
      <c r="D852" s="76"/>
      <c r="E852" s="75"/>
      <c r="F852" s="76"/>
      <c r="G852" s="79"/>
      <c r="H852" s="79"/>
      <c r="I852" s="75"/>
      <c r="J852" s="63"/>
      <c r="K852" s="63"/>
      <c r="L852" s="80"/>
      <c r="M852" s="76"/>
      <c r="N852" s="76"/>
      <c r="O852" s="78"/>
      <c r="P852" s="78"/>
      <c r="Q852" s="63"/>
    </row>
    <row r="853" spans="1:17" ht="17.25" customHeight="1" x14ac:dyDescent="0.2">
      <c r="A853" s="75"/>
      <c r="B853" s="63"/>
      <c r="C853" s="63"/>
      <c r="D853" s="76"/>
      <c r="E853" s="75"/>
      <c r="F853" s="76"/>
      <c r="G853" s="79"/>
      <c r="H853" s="79"/>
      <c r="I853" s="75"/>
      <c r="J853" s="63"/>
      <c r="K853" s="63"/>
      <c r="L853" s="80"/>
      <c r="M853" s="76"/>
      <c r="N853" s="76"/>
      <c r="O853" s="78"/>
      <c r="P853" s="78"/>
      <c r="Q853" s="63"/>
    </row>
    <row r="854" spans="1:17" ht="17.25" customHeight="1" x14ac:dyDescent="0.2">
      <c r="A854" s="75"/>
      <c r="B854" s="63"/>
      <c r="C854" s="63"/>
      <c r="D854" s="76"/>
      <c r="E854" s="75"/>
      <c r="F854" s="76"/>
      <c r="G854" s="79"/>
      <c r="H854" s="79"/>
      <c r="I854" s="75"/>
      <c r="J854" s="63"/>
      <c r="K854" s="63"/>
      <c r="L854" s="80"/>
      <c r="M854" s="76"/>
      <c r="N854" s="76"/>
      <c r="O854" s="78"/>
      <c r="P854" s="78"/>
      <c r="Q854" s="63"/>
    </row>
    <row r="855" spans="1:17" ht="17.25" customHeight="1" x14ac:dyDescent="0.2">
      <c r="A855" s="75"/>
      <c r="B855" s="63"/>
      <c r="C855" s="63"/>
      <c r="D855" s="76"/>
      <c r="E855" s="75"/>
      <c r="F855" s="76"/>
      <c r="G855" s="79"/>
      <c r="H855" s="79"/>
      <c r="I855" s="75"/>
      <c r="J855" s="63"/>
      <c r="K855" s="63"/>
      <c r="L855" s="80"/>
      <c r="M855" s="76"/>
      <c r="N855" s="76"/>
      <c r="O855" s="78"/>
      <c r="P855" s="78"/>
      <c r="Q855" s="63"/>
    </row>
    <row r="856" spans="1:17" ht="17.25" customHeight="1" x14ac:dyDescent="0.2">
      <c r="A856" s="75"/>
      <c r="B856" s="63"/>
      <c r="C856" s="63"/>
      <c r="D856" s="76"/>
      <c r="E856" s="75"/>
      <c r="F856" s="76"/>
      <c r="G856" s="79"/>
      <c r="H856" s="79"/>
      <c r="I856" s="75"/>
      <c r="J856" s="63"/>
      <c r="K856" s="63"/>
      <c r="L856" s="80"/>
      <c r="M856" s="76"/>
      <c r="N856" s="76"/>
      <c r="O856" s="78"/>
      <c r="P856" s="78"/>
      <c r="Q856" s="63"/>
    </row>
    <row r="857" spans="1:17" ht="17.25" customHeight="1" x14ac:dyDescent="0.2">
      <c r="A857" s="75"/>
      <c r="B857" s="63"/>
      <c r="C857" s="63"/>
      <c r="D857" s="76"/>
      <c r="E857" s="75"/>
      <c r="F857" s="76"/>
      <c r="G857" s="79"/>
      <c r="H857" s="79"/>
      <c r="I857" s="75"/>
      <c r="J857" s="63"/>
      <c r="K857" s="63"/>
      <c r="L857" s="80"/>
      <c r="M857" s="76"/>
      <c r="N857" s="76"/>
      <c r="O857" s="78"/>
      <c r="P857" s="78"/>
      <c r="Q857" s="63"/>
    </row>
    <row r="858" spans="1:17" ht="17.25" customHeight="1" x14ac:dyDescent="0.2">
      <c r="A858" s="75"/>
      <c r="B858" s="63"/>
      <c r="C858" s="63"/>
      <c r="D858" s="76"/>
      <c r="E858" s="75"/>
      <c r="F858" s="76"/>
      <c r="G858" s="79"/>
      <c r="H858" s="79"/>
      <c r="I858" s="75"/>
      <c r="J858" s="63"/>
      <c r="K858" s="63"/>
      <c r="L858" s="80"/>
      <c r="M858" s="76"/>
      <c r="N858" s="76"/>
      <c r="O858" s="78"/>
      <c r="P858" s="78"/>
      <c r="Q858" s="63"/>
    </row>
    <row r="859" spans="1:17" ht="17.25" customHeight="1" x14ac:dyDescent="0.2">
      <c r="A859" s="75"/>
      <c r="B859" s="63"/>
      <c r="C859" s="63"/>
      <c r="D859" s="76"/>
      <c r="E859" s="75"/>
      <c r="F859" s="76"/>
      <c r="G859" s="79"/>
      <c r="H859" s="79"/>
      <c r="I859" s="75"/>
      <c r="J859" s="63"/>
      <c r="K859" s="63"/>
      <c r="L859" s="80"/>
      <c r="M859" s="76"/>
      <c r="N859" s="76"/>
      <c r="O859" s="78"/>
      <c r="P859" s="78"/>
      <c r="Q859" s="63"/>
    </row>
    <row r="860" spans="1:17" ht="17.25" customHeight="1" x14ac:dyDescent="0.2">
      <c r="A860" s="75"/>
      <c r="B860" s="63"/>
      <c r="C860" s="63"/>
      <c r="D860" s="76"/>
      <c r="E860" s="75"/>
      <c r="F860" s="76"/>
      <c r="G860" s="79"/>
      <c r="H860" s="79"/>
      <c r="I860" s="75"/>
      <c r="J860" s="63"/>
      <c r="K860" s="63"/>
      <c r="L860" s="80"/>
      <c r="M860" s="76"/>
      <c r="N860" s="76"/>
      <c r="O860" s="78"/>
      <c r="P860" s="78"/>
      <c r="Q860" s="63"/>
    </row>
    <row r="861" spans="1:17" ht="17.25" customHeight="1" x14ac:dyDescent="0.2">
      <c r="A861" s="75"/>
      <c r="B861" s="63"/>
      <c r="C861" s="63"/>
      <c r="D861" s="76"/>
      <c r="E861" s="75"/>
      <c r="F861" s="76"/>
      <c r="G861" s="79"/>
      <c r="H861" s="79"/>
      <c r="I861" s="75"/>
      <c r="J861" s="63"/>
      <c r="K861" s="63"/>
      <c r="L861" s="80"/>
      <c r="M861" s="76"/>
      <c r="N861" s="76"/>
      <c r="O861" s="78"/>
      <c r="P861" s="78"/>
      <c r="Q861" s="63"/>
    </row>
    <row r="862" spans="1:17" ht="17.25" customHeight="1" x14ac:dyDescent="0.2">
      <c r="A862" s="75"/>
      <c r="B862" s="63"/>
      <c r="C862" s="63"/>
      <c r="D862" s="76"/>
      <c r="E862" s="75"/>
      <c r="F862" s="76"/>
      <c r="G862" s="79"/>
      <c r="H862" s="79"/>
      <c r="I862" s="75"/>
      <c r="J862" s="63"/>
      <c r="K862" s="63"/>
      <c r="L862" s="80"/>
      <c r="M862" s="76"/>
      <c r="N862" s="76"/>
      <c r="O862" s="78"/>
      <c r="P862" s="78"/>
      <c r="Q862" s="63"/>
    </row>
    <row r="863" spans="1:17" ht="17.25" customHeight="1" x14ac:dyDescent="0.2">
      <c r="A863" s="75"/>
      <c r="B863" s="63"/>
      <c r="C863" s="63"/>
      <c r="D863" s="76"/>
      <c r="E863" s="75"/>
      <c r="F863" s="76"/>
      <c r="G863" s="79"/>
      <c r="H863" s="79"/>
      <c r="I863" s="75"/>
      <c r="J863" s="63"/>
      <c r="K863" s="63"/>
      <c r="L863" s="80"/>
      <c r="M863" s="76"/>
      <c r="N863" s="76"/>
      <c r="O863" s="78"/>
      <c r="P863" s="78"/>
      <c r="Q863" s="63"/>
    </row>
    <row r="864" spans="1:17" ht="17.25" customHeight="1" x14ac:dyDescent="0.2">
      <c r="A864" s="75"/>
      <c r="B864" s="63"/>
      <c r="C864" s="63"/>
      <c r="D864" s="76"/>
      <c r="E864" s="75"/>
      <c r="F864" s="76"/>
      <c r="G864" s="79"/>
      <c r="H864" s="79"/>
      <c r="I864" s="75"/>
      <c r="J864" s="63"/>
      <c r="K864" s="63"/>
      <c r="L864" s="80"/>
      <c r="M864" s="76"/>
      <c r="N864" s="76"/>
      <c r="O864" s="78"/>
      <c r="P864" s="78"/>
      <c r="Q864" s="63"/>
    </row>
    <row r="865" spans="1:17" ht="17.25" customHeight="1" x14ac:dyDescent="0.2">
      <c r="A865" s="75"/>
      <c r="B865" s="63"/>
      <c r="C865" s="63"/>
      <c r="D865" s="76"/>
      <c r="E865" s="75"/>
      <c r="F865" s="76"/>
      <c r="G865" s="79"/>
      <c r="H865" s="79"/>
      <c r="I865" s="75"/>
      <c r="J865" s="63"/>
      <c r="K865" s="63"/>
      <c r="L865" s="80"/>
      <c r="M865" s="76"/>
      <c r="N865" s="76"/>
      <c r="O865" s="78"/>
      <c r="P865" s="78"/>
      <c r="Q865" s="63"/>
    </row>
    <row r="866" spans="1:17" ht="17.25" customHeight="1" x14ac:dyDescent="0.2">
      <c r="A866" s="75"/>
      <c r="B866" s="63"/>
      <c r="C866" s="63"/>
      <c r="D866" s="76"/>
      <c r="E866" s="75"/>
      <c r="F866" s="76"/>
      <c r="G866" s="79"/>
      <c r="H866" s="79"/>
      <c r="I866" s="75"/>
      <c r="J866" s="63"/>
      <c r="K866" s="63"/>
      <c r="L866" s="80"/>
      <c r="M866" s="76"/>
      <c r="N866" s="76"/>
      <c r="O866" s="78"/>
      <c r="P866" s="78"/>
      <c r="Q866" s="63"/>
    </row>
    <row r="867" spans="1:17" ht="17.25" customHeight="1" x14ac:dyDescent="0.2">
      <c r="A867" s="75"/>
      <c r="B867" s="63"/>
      <c r="C867" s="63"/>
      <c r="D867" s="76"/>
      <c r="E867" s="75"/>
      <c r="F867" s="76"/>
      <c r="G867" s="79"/>
      <c r="H867" s="79"/>
      <c r="I867" s="75"/>
      <c r="J867" s="63"/>
      <c r="K867" s="63"/>
      <c r="L867" s="80"/>
      <c r="M867" s="76"/>
      <c r="N867" s="76"/>
      <c r="O867" s="78"/>
      <c r="P867" s="78"/>
      <c r="Q867" s="63"/>
    </row>
    <row r="868" spans="1:17" ht="17.25" customHeight="1" x14ac:dyDescent="0.2">
      <c r="A868" s="75"/>
      <c r="B868" s="63"/>
      <c r="C868" s="63"/>
      <c r="D868" s="76"/>
      <c r="E868" s="75"/>
      <c r="F868" s="76"/>
      <c r="G868" s="79"/>
      <c r="H868" s="79"/>
      <c r="I868" s="75"/>
      <c r="J868" s="63"/>
      <c r="K868" s="63"/>
      <c r="L868" s="80"/>
      <c r="M868" s="76"/>
      <c r="N868" s="76"/>
      <c r="O868" s="78"/>
      <c r="P868" s="78"/>
      <c r="Q868" s="63"/>
    </row>
    <row r="869" spans="1:17" ht="17.25" customHeight="1" x14ac:dyDescent="0.2">
      <c r="A869" s="75"/>
      <c r="B869" s="63"/>
      <c r="C869" s="63"/>
      <c r="D869" s="76"/>
      <c r="E869" s="75"/>
      <c r="F869" s="76"/>
      <c r="G869" s="79"/>
      <c r="H869" s="79"/>
      <c r="I869" s="75"/>
      <c r="J869" s="63"/>
      <c r="K869" s="63"/>
      <c r="L869" s="80"/>
      <c r="M869" s="76"/>
      <c r="N869" s="76"/>
      <c r="O869" s="78"/>
      <c r="P869" s="78"/>
      <c r="Q869" s="63"/>
    </row>
    <row r="870" spans="1:17" ht="17.25" customHeight="1" x14ac:dyDescent="0.2">
      <c r="A870" s="75"/>
      <c r="B870" s="63"/>
      <c r="C870" s="63"/>
      <c r="D870" s="76"/>
      <c r="E870" s="75"/>
      <c r="F870" s="76"/>
      <c r="G870" s="79"/>
      <c r="H870" s="79"/>
      <c r="I870" s="75"/>
      <c r="J870" s="63"/>
      <c r="K870" s="63"/>
      <c r="L870" s="80"/>
      <c r="M870" s="76"/>
      <c r="N870" s="76"/>
      <c r="O870" s="78"/>
      <c r="P870" s="78"/>
      <c r="Q870" s="63"/>
    </row>
    <row r="871" spans="1:17" ht="17.25" customHeight="1" x14ac:dyDescent="0.2">
      <c r="A871" s="75"/>
      <c r="B871" s="63"/>
      <c r="C871" s="63"/>
      <c r="D871" s="76"/>
      <c r="E871" s="75"/>
      <c r="F871" s="76"/>
      <c r="G871" s="79"/>
      <c r="H871" s="79"/>
      <c r="I871" s="75"/>
      <c r="J871" s="63"/>
      <c r="K871" s="63"/>
      <c r="L871" s="80"/>
      <c r="M871" s="76"/>
      <c r="N871" s="76"/>
      <c r="O871" s="78"/>
      <c r="P871" s="78"/>
      <c r="Q871" s="63"/>
    </row>
    <row r="872" spans="1:17" ht="17.25" customHeight="1" x14ac:dyDescent="0.2">
      <c r="A872" s="75"/>
      <c r="B872" s="63"/>
      <c r="C872" s="63"/>
      <c r="D872" s="76"/>
      <c r="E872" s="75"/>
      <c r="F872" s="76"/>
      <c r="G872" s="79"/>
      <c r="H872" s="79"/>
      <c r="I872" s="75"/>
      <c r="J872" s="63"/>
      <c r="K872" s="63"/>
      <c r="L872" s="80"/>
      <c r="M872" s="76"/>
      <c r="N872" s="76"/>
      <c r="O872" s="78"/>
      <c r="P872" s="78"/>
      <c r="Q872" s="63"/>
    </row>
    <row r="873" spans="1:17" ht="17.25" customHeight="1" x14ac:dyDescent="0.2">
      <c r="A873" s="75"/>
      <c r="B873" s="63"/>
      <c r="C873" s="63"/>
      <c r="D873" s="76"/>
      <c r="E873" s="75"/>
      <c r="F873" s="76"/>
      <c r="G873" s="79"/>
      <c r="H873" s="79"/>
      <c r="I873" s="75"/>
      <c r="J873" s="63"/>
      <c r="K873" s="63"/>
      <c r="L873" s="80"/>
      <c r="M873" s="76"/>
      <c r="N873" s="76"/>
      <c r="O873" s="78"/>
      <c r="P873" s="78"/>
      <c r="Q873" s="63"/>
    </row>
    <row r="874" spans="1:17" ht="17.25" customHeight="1" x14ac:dyDescent="0.2">
      <c r="A874" s="75"/>
      <c r="B874" s="63"/>
      <c r="C874" s="63"/>
      <c r="D874" s="76"/>
      <c r="E874" s="75"/>
      <c r="F874" s="76"/>
      <c r="G874" s="79"/>
      <c r="H874" s="79"/>
      <c r="I874" s="75"/>
      <c r="J874" s="63"/>
      <c r="K874" s="63"/>
      <c r="L874" s="80"/>
      <c r="M874" s="76"/>
      <c r="N874" s="76"/>
      <c r="O874" s="78"/>
      <c r="P874" s="78"/>
      <c r="Q874" s="63"/>
    </row>
    <row r="875" spans="1:17" ht="17.25" customHeight="1" x14ac:dyDescent="0.2">
      <c r="A875" s="75"/>
      <c r="B875" s="63"/>
      <c r="C875" s="63"/>
      <c r="D875" s="76"/>
      <c r="E875" s="75"/>
      <c r="F875" s="76"/>
      <c r="G875" s="79"/>
      <c r="H875" s="79"/>
      <c r="I875" s="75"/>
      <c r="J875" s="63"/>
      <c r="K875" s="63"/>
      <c r="L875" s="80"/>
      <c r="M875" s="76"/>
      <c r="N875" s="76"/>
      <c r="O875" s="78"/>
      <c r="P875" s="78"/>
      <c r="Q875" s="63"/>
    </row>
    <row r="876" spans="1:17" ht="17.25" customHeight="1" x14ac:dyDescent="0.2">
      <c r="A876" s="75"/>
      <c r="B876" s="63"/>
      <c r="C876" s="63"/>
      <c r="D876" s="76"/>
      <c r="E876" s="75"/>
      <c r="F876" s="76"/>
      <c r="G876" s="79"/>
      <c r="H876" s="79"/>
      <c r="I876" s="75"/>
      <c r="J876" s="63"/>
      <c r="K876" s="63"/>
      <c r="L876" s="80"/>
      <c r="M876" s="76"/>
      <c r="N876" s="76"/>
      <c r="O876" s="78"/>
      <c r="P876" s="78"/>
      <c r="Q876" s="63"/>
    </row>
    <row r="877" spans="1:17" ht="17.25" customHeight="1" x14ac:dyDescent="0.2">
      <c r="A877" s="75"/>
      <c r="B877" s="63"/>
      <c r="C877" s="63"/>
      <c r="D877" s="76"/>
      <c r="E877" s="75"/>
      <c r="F877" s="76"/>
      <c r="G877" s="79"/>
      <c r="H877" s="79"/>
      <c r="I877" s="75"/>
      <c r="J877" s="63"/>
      <c r="K877" s="63"/>
      <c r="L877" s="80"/>
      <c r="M877" s="76"/>
      <c r="N877" s="76"/>
      <c r="O877" s="78"/>
      <c r="P877" s="78"/>
      <c r="Q877" s="63"/>
    </row>
    <row r="878" spans="1:17" ht="17.25" customHeight="1" x14ac:dyDescent="0.2">
      <c r="A878" s="75"/>
      <c r="B878" s="63"/>
      <c r="C878" s="63"/>
      <c r="D878" s="76"/>
      <c r="E878" s="75"/>
      <c r="F878" s="76"/>
      <c r="G878" s="79"/>
      <c r="H878" s="79"/>
      <c r="I878" s="75"/>
      <c r="J878" s="63"/>
      <c r="K878" s="63"/>
      <c r="L878" s="80"/>
      <c r="M878" s="76"/>
      <c r="N878" s="76"/>
      <c r="O878" s="78"/>
      <c r="P878" s="78"/>
      <c r="Q878" s="63"/>
    </row>
    <row r="879" spans="1:17" ht="17.25" customHeight="1" x14ac:dyDescent="0.2">
      <c r="A879" s="75"/>
      <c r="B879" s="63"/>
      <c r="C879" s="63"/>
      <c r="D879" s="76"/>
      <c r="E879" s="75"/>
      <c r="F879" s="76"/>
      <c r="G879" s="79"/>
      <c r="H879" s="79"/>
      <c r="I879" s="75"/>
      <c r="J879" s="63"/>
      <c r="K879" s="63"/>
      <c r="L879" s="80"/>
      <c r="M879" s="76"/>
      <c r="N879" s="76"/>
      <c r="O879" s="78"/>
      <c r="P879" s="78"/>
      <c r="Q879" s="63"/>
    </row>
    <row r="880" spans="1:17" ht="17.25" customHeight="1" x14ac:dyDescent="0.2">
      <c r="A880" s="75"/>
      <c r="B880" s="63"/>
      <c r="C880" s="63"/>
      <c r="D880" s="76"/>
      <c r="E880" s="75"/>
      <c r="F880" s="76"/>
      <c r="G880" s="79"/>
      <c r="H880" s="79"/>
      <c r="I880" s="75"/>
      <c r="J880" s="63"/>
      <c r="K880" s="63"/>
      <c r="L880" s="80"/>
      <c r="M880" s="76"/>
      <c r="N880" s="76"/>
      <c r="O880" s="78"/>
      <c r="P880" s="78"/>
      <c r="Q880" s="63"/>
    </row>
    <row r="881" spans="1:17" ht="17.25" customHeight="1" x14ac:dyDescent="0.2">
      <c r="A881" s="75"/>
      <c r="B881" s="63"/>
      <c r="C881" s="63"/>
      <c r="D881" s="76"/>
      <c r="E881" s="75"/>
      <c r="F881" s="76"/>
      <c r="G881" s="79"/>
      <c r="H881" s="79"/>
      <c r="I881" s="75"/>
      <c r="J881" s="63"/>
      <c r="K881" s="63"/>
      <c r="L881" s="80"/>
      <c r="M881" s="76"/>
      <c r="N881" s="76"/>
      <c r="O881" s="78"/>
      <c r="P881" s="78"/>
      <c r="Q881" s="63"/>
    </row>
    <row r="882" spans="1:17" ht="17.25" customHeight="1" x14ac:dyDescent="0.2">
      <c r="A882" s="75"/>
      <c r="B882" s="63"/>
      <c r="C882" s="63"/>
      <c r="D882" s="76"/>
      <c r="E882" s="75"/>
      <c r="F882" s="76"/>
      <c r="G882" s="79"/>
      <c r="H882" s="79"/>
      <c r="I882" s="75"/>
      <c r="J882" s="63"/>
      <c r="K882" s="63"/>
      <c r="L882" s="80"/>
      <c r="M882" s="76"/>
      <c r="N882" s="76"/>
      <c r="O882" s="78"/>
      <c r="P882" s="78"/>
      <c r="Q882" s="63"/>
    </row>
    <row r="883" spans="1:17" ht="17.25" customHeight="1" x14ac:dyDescent="0.2">
      <c r="A883" s="75"/>
      <c r="B883" s="63"/>
      <c r="C883" s="63"/>
      <c r="D883" s="76"/>
      <c r="E883" s="75"/>
      <c r="F883" s="76"/>
      <c r="G883" s="79"/>
      <c r="H883" s="79"/>
      <c r="I883" s="75"/>
      <c r="J883" s="63"/>
      <c r="K883" s="63"/>
      <c r="L883" s="80"/>
      <c r="M883" s="76"/>
      <c r="N883" s="76"/>
      <c r="O883" s="78"/>
      <c r="P883" s="78"/>
      <c r="Q883" s="63"/>
    </row>
    <row r="884" spans="1:17" ht="17.25" customHeight="1" x14ac:dyDescent="0.2">
      <c r="A884" s="75"/>
      <c r="B884" s="63"/>
      <c r="C884" s="63"/>
      <c r="D884" s="76"/>
      <c r="E884" s="75"/>
      <c r="F884" s="76"/>
      <c r="G884" s="79"/>
      <c r="H884" s="79"/>
      <c r="I884" s="75"/>
      <c r="J884" s="63"/>
      <c r="K884" s="63"/>
      <c r="L884" s="80"/>
      <c r="M884" s="76"/>
      <c r="N884" s="76"/>
      <c r="O884" s="78"/>
      <c r="P884" s="78"/>
      <c r="Q884" s="63"/>
    </row>
    <row r="885" spans="1:17" ht="17.25" customHeight="1" x14ac:dyDescent="0.2">
      <c r="A885" s="75"/>
      <c r="B885" s="63"/>
      <c r="C885" s="63"/>
      <c r="D885" s="76"/>
      <c r="E885" s="75"/>
      <c r="F885" s="76"/>
      <c r="G885" s="79"/>
      <c r="H885" s="79"/>
      <c r="I885" s="75"/>
      <c r="J885" s="63"/>
      <c r="K885" s="63"/>
      <c r="L885" s="80"/>
      <c r="M885" s="76"/>
      <c r="N885" s="76"/>
      <c r="O885" s="78"/>
      <c r="P885" s="78"/>
      <c r="Q885" s="63"/>
    </row>
    <row r="886" spans="1:17" ht="17.25" customHeight="1" x14ac:dyDescent="0.2">
      <c r="A886" s="75"/>
      <c r="B886" s="63"/>
      <c r="C886" s="63"/>
      <c r="D886" s="76"/>
      <c r="E886" s="75"/>
      <c r="F886" s="76"/>
      <c r="G886" s="79"/>
      <c r="H886" s="79"/>
      <c r="I886" s="75"/>
      <c r="J886" s="63"/>
      <c r="K886" s="63"/>
      <c r="L886" s="80"/>
      <c r="M886" s="76"/>
      <c r="N886" s="76"/>
      <c r="O886" s="78"/>
      <c r="P886" s="78"/>
      <c r="Q886" s="63"/>
    </row>
    <row r="887" spans="1:17" ht="17.25" customHeight="1" x14ac:dyDescent="0.2">
      <c r="A887" s="75"/>
      <c r="B887" s="63"/>
      <c r="C887" s="63"/>
      <c r="D887" s="76"/>
      <c r="E887" s="75"/>
      <c r="F887" s="76"/>
      <c r="G887" s="79"/>
      <c r="H887" s="79"/>
      <c r="I887" s="75"/>
      <c r="J887" s="63"/>
      <c r="K887" s="63"/>
      <c r="L887" s="80"/>
      <c r="M887" s="76"/>
      <c r="N887" s="76"/>
      <c r="O887" s="78"/>
      <c r="P887" s="78"/>
      <c r="Q887" s="63"/>
    </row>
    <row r="888" spans="1:17" ht="17.25" customHeight="1" x14ac:dyDescent="0.2">
      <c r="A888" s="75"/>
      <c r="B888" s="63"/>
      <c r="C888" s="63"/>
      <c r="D888" s="76"/>
      <c r="E888" s="75"/>
      <c r="F888" s="76"/>
      <c r="G888" s="79"/>
      <c r="H888" s="79"/>
      <c r="I888" s="75"/>
      <c r="J888" s="63"/>
      <c r="K888" s="63"/>
      <c r="L888" s="80"/>
      <c r="M888" s="76"/>
      <c r="N888" s="76"/>
      <c r="O888" s="78"/>
      <c r="P888" s="78"/>
      <c r="Q888" s="63"/>
    </row>
    <row r="889" spans="1:17" ht="17.25" customHeight="1" x14ac:dyDescent="0.2">
      <c r="A889" s="75"/>
      <c r="B889" s="63"/>
      <c r="C889" s="63"/>
      <c r="D889" s="76"/>
      <c r="E889" s="75"/>
      <c r="F889" s="76"/>
      <c r="G889" s="79"/>
      <c r="H889" s="79"/>
      <c r="I889" s="75"/>
      <c r="J889" s="63"/>
      <c r="K889" s="63"/>
      <c r="L889" s="80"/>
      <c r="M889" s="76"/>
      <c r="N889" s="76"/>
      <c r="O889" s="78"/>
      <c r="P889" s="78"/>
      <c r="Q889" s="63"/>
    </row>
    <row r="890" spans="1:17" ht="17.25" customHeight="1" x14ac:dyDescent="0.2">
      <c r="A890" s="75"/>
      <c r="B890" s="63"/>
      <c r="C890" s="63"/>
      <c r="D890" s="76"/>
      <c r="E890" s="75"/>
      <c r="F890" s="76"/>
      <c r="G890" s="79"/>
      <c r="H890" s="79"/>
      <c r="I890" s="75"/>
      <c r="J890" s="63"/>
      <c r="K890" s="63"/>
      <c r="L890" s="80"/>
      <c r="M890" s="76"/>
      <c r="N890" s="76"/>
      <c r="O890" s="78"/>
      <c r="P890" s="78"/>
      <c r="Q890" s="63"/>
    </row>
    <row r="891" spans="1:17" ht="17.25" customHeight="1" x14ac:dyDescent="0.2">
      <c r="A891" s="75"/>
      <c r="B891" s="63"/>
      <c r="C891" s="63"/>
      <c r="D891" s="76"/>
      <c r="E891" s="75"/>
      <c r="F891" s="76"/>
      <c r="G891" s="79"/>
      <c r="H891" s="79"/>
      <c r="I891" s="75"/>
      <c r="J891" s="63"/>
      <c r="K891" s="63"/>
      <c r="L891" s="80"/>
      <c r="M891" s="76"/>
      <c r="N891" s="76"/>
      <c r="O891" s="78"/>
      <c r="P891" s="78"/>
      <c r="Q891" s="63"/>
    </row>
    <row r="892" spans="1:17" ht="17.25" customHeight="1" x14ac:dyDescent="0.2">
      <c r="A892" s="75"/>
      <c r="B892" s="63"/>
      <c r="C892" s="63"/>
      <c r="D892" s="76"/>
      <c r="E892" s="75"/>
      <c r="F892" s="76"/>
      <c r="G892" s="79"/>
      <c r="H892" s="79"/>
      <c r="I892" s="75"/>
      <c r="J892" s="63"/>
      <c r="K892" s="63"/>
      <c r="L892" s="80"/>
      <c r="M892" s="76"/>
      <c r="N892" s="76"/>
      <c r="O892" s="78"/>
      <c r="P892" s="78"/>
      <c r="Q892" s="63"/>
    </row>
    <row r="893" spans="1:17" ht="17.25" customHeight="1" x14ac:dyDescent="0.2">
      <c r="A893" s="75"/>
      <c r="B893" s="63"/>
      <c r="C893" s="63"/>
      <c r="D893" s="76"/>
      <c r="E893" s="75"/>
      <c r="F893" s="76"/>
      <c r="G893" s="79"/>
      <c r="H893" s="79"/>
      <c r="I893" s="75"/>
      <c r="J893" s="63"/>
      <c r="K893" s="63"/>
      <c r="L893" s="80"/>
      <c r="M893" s="76"/>
      <c r="N893" s="76"/>
      <c r="O893" s="78"/>
      <c r="P893" s="78"/>
      <c r="Q893" s="63"/>
    </row>
    <row r="894" spans="1:17" ht="17.25" customHeight="1" x14ac:dyDescent="0.2">
      <c r="A894" s="75"/>
      <c r="B894" s="63"/>
      <c r="C894" s="63"/>
      <c r="D894" s="76"/>
      <c r="E894" s="75"/>
      <c r="F894" s="76"/>
      <c r="G894" s="79"/>
      <c r="H894" s="79"/>
      <c r="I894" s="75"/>
      <c r="J894" s="63"/>
      <c r="K894" s="63"/>
      <c r="L894" s="80"/>
      <c r="M894" s="76"/>
      <c r="N894" s="76"/>
      <c r="O894" s="78"/>
      <c r="P894" s="78"/>
      <c r="Q894" s="63"/>
    </row>
    <row r="895" spans="1:17" ht="17.25" customHeight="1" x14ac:dyDescent="0.2">
      <c r="A895" s="75"/>
      <c r="B895" s="63"/>
      <c r="C895" s="63"/>
      <c r="D895" s="76"/>
      <c r="E895" s="75"/>
      <c r="F895" s="76"/>
      <c r="G895" s="79"/>
      <c r="H895" s="79"/>
      <c r="I895" s="75"/>
      <c r="J895" s="63"/>
      <c r="K895" s="63"/>
      <c r="L895" s="80"/>
      <c r="M895" s="76"/>
      <c r="N895" s="76"/>
      <c r="O895" s="78"/>
      <c r="P895" s="78"/>
      <c r="Q895" s="63"/>
    </row>
    <row r="896" spans="1:17" ht="17.25" customHeight="1" x14ac:dyDescent="0.2">
      <c r="A896" s="75"/>
      <c r="B896" s="63"/>
      <c r="C896" s="63"/>
      <c r="D896" s="76"/>
      <c r="E896" s="75"/>
      <c r="F896" s="76"/>
      <c r="G896" s="79"/>
      <c r="H896" s="79"/>
      <c r="I896" s="75"/>
      <c r="J896" s="63"/>
      <c r="K896" s="63"/>
      <c r="L896" s="80"/>
      <c r="M896" s="76"/>
      <c r="N896" s="76"/>
      <c r="O896" s="78"/>
      <c r="P896" s="78"/>
      <c r="Q896" s="63"/>
    </row>
    <row r="897" spans="1:17" ht="17.25" customHeight="1" x14ac:dyDescent="0.2">
      <c r="A897" s="75"/>
      <c r="B897" s="63"/>
      <c r="C897" s="63"/>
      <c r="D897" s="76"/>
      <c r="E897" s="75"/>
      <c r="F897" s="76"/>
      <c r="G897" s="79"/>
      <c r="H897" s="79"/>
      <c r="I897" s="75"/>
      <c r="J897" s="63"/>
      <c r="K897" s="63"/>
      <c r="L897" s="80"/>
      <c r="M897" s="76"/>
      <c r="N897" s="76"/>
      <c r="O897" s="78"/>
      <c r="P897" s="78"/>
      <c r="Q897" s="63"/>
    </row>
    <row r="898" spans="1:17" ht="17.25" customHeight="1" x14ac:dyDescent="0.2">
      <c r="A898" s="75"/>
      <c r="B898" s="63"/>
      <c r="C898" s="63"/>
      <c r="D898" s="76"/>
      <c r="E898" s="75"/>
      <c r="F898" s="76"/>
      <c r="G898" s="79"/>
      <c r="H898" s="79"/>
      <c r="I898" s="75"/>
      <c r="J898" s="63"/>
      <c r="K898" s="63"/>
      <c r="L898" s="80"/>
      <c r="M898" s="76"/>
      <c r="N898" s="76"/>
      <c r="O898" s="78"/>
      <c r="P898" s="78"/>
      <c r="Q898" s="63"/>
    </row>
    <row r="899" spans="1:17" ht="17.25" customHeight="1" x14ac:dyDescent="0.2">
      <c r="A899" s="75"/>
      <c r="B899" s="63"/>
      <c r="C899" s="63"/>
      <c r="D899" s="76"/>
      <c r="E899" s="75"/>
      <c r="F899" s="76"/>
      <c r="G899" s="79"/>
      <c r="H899" s="79"/>
      <c r="I899" s="75"/>
      <c r="J899" s="63"/>
      <c r="K899" s="63"/>
      <c r="L899" s="80"/>
      <c r="M899" s="76"/>
      <c r="N899" s="76"/>
      <c r="O899" s="78"/>
      <c r="P899" s="78"/>
      <c r="Q899" s="63"/>
    </row>
    <row r="900" spans="1:17" ht="17.25" customHeight="1" x14ac:dyDescent="0.2">
      <c r="A900" s="75"/>
      <c r="B900" s="63"/>
      <c r="C900" s="63"/>
      <c r="D900" s="76"/>
      <c r="E900" s="75"/>
      <c r="F900" s="76"/>
      <c r="G900" s="79"/>
      <c r="H900" s="79"/>
      <c r="I900" s="75"/>
      <c r="J900" s="63"/>
      <c r="K900" s="63"/>
      <c r="L900" s="80"/>
      <c r="M900" s="76"/>
      <c r="N900" s="76"/>
      <c r="O900" s="78"/>
      <c r="P900" s="78"/>
      <c r="Q900" s="63"/>
    </row>
    <row r="901" spans="1:17" ht="17.25" customHeight="1" x14ac:dyDescent="0.2">
      <c r="A901" s="75"/>
      <c r="B901" s="63"/>
      <c r="C901" s="63"/>
      <c r="D901" s="76"/>
      <c r="E901" s="75"/>
      <c r="F901" s="76"/>
      <c r="G901" s="79"/>
      <c r="H901" s="79"/>
      <c r="I901" s="75"/>
      <c r="J901" s="63"/>
      <c r="K901" s="63"/>
      <c r="L901" s="80"/>
      <c r="M901" s="76"/>
      <c r="N901" s="76"/>
      <c r="O901" s="78"/>
      <c r="P901" s="78"/>
      <c r="Q901" s="63"/>
    </row>
    <row r="902" spans="1:17" ht="17.25" customHeight="1" x14ac:dyDescent="0.2">
      <c r="A902" s="75"/>
      <c r="B902" s="63"/>
      <c r="C902" s="63"/>
      <c r="D902" s="76"/>
      <c r="E902" s="75"/>
      <c r="F902" s="76"/>
      <c r="G902" s="79"/>
      <c r="H902" s="79"/>
      <c r="I902" s="75"/>
      <c r="J902" s="63"/>
      <c r="K902" s="63"/>
      <c r="L902" s="80"/>
      <c r="M902" s="76"/>
      <c r="N902" s="76"/>
      <c r="O902" s="78"/>
      <c r="P902" s="78"/>
      <c r="Q902" s="63"/>
    </row>
    <row r="903" spans="1:17" ht="17.25" customHeight="1" x14ac:dyDescent="0.2">
      <c r="A903" s="75"/>
      <c r="B903" s="63"/>
      <c r="C903" s="63"/>
      <c r="D903" s="76"/>
      <c r="E903" s="75"/>
      <c r="F903" s="76"/>
      <c r="G903" s="79"/>
      <c r="H903" s="79"/>
      <c r="I903" s="75"/>
      <c r="J903" s="63"/>
      <c r="K903" s="63"/>
      <c r="L903" s="80"/>
      <c r="M903" s="76"/>
      <c r="N903" s="76"/>
      <c r="O903" s="78"/>
      <c r="P903" s="78"/>
      <c r="Q903" s="63"/>
    </row>
    <row r="904" spans="1:17" ht="17.25" customHeight="1" x14ac:dyDescent="0.2">
      <c r="A904" s="75"/>
      <c r="B904" s="63"/>
      <c r="C904" s="63"/>
      <c r="D904" s="76"/>
      <c r="E904" s="75"/>
      <c r="F904" s="76"/>
      <c r="G904" s="79"/>
      <c r="H904" s="79"/>
      <c r="I904" s="75"/>
      <c r="J904" s="63"/>
      <c r="K904" s="63"/>
      <c r="L904" s="80"/>
      <c r="M904" s="76"/>
      <c r="N904" s="76"/>
      <c r="O904" s="78"/>
      <c r="P904" s="78"/>
      <c r="Q904" s="63"/>
    </row>
    <row r="905" spans="1:17" ht="17.25" customHeight="1" x14ac:dyDescent="0.2">
      <c r="A905" s="75"/>
      <c r="B905" s="63"/>
      <c r="C905" s="63"/>
      <c r="D905" s="76"/>
      <c r="E905" s="75"/>
      <c r="F905" s="76"/>
      <c r="G905" s="79"/>
      <c r="H905" s="79"/>
      <c r="I905" s="75"/>
      <c r="J905" s="63"/>
      <c r="K905" s="63"/>
      <c r="L905" s="80"/>
      <c r="M905" s="76"/>
      <c r="N905" s="76"/>
      <c r="O905" s="78"/>
      <c r="P905" s="78"/>
      <c r="Q905" s="63"/>
    </row>
    <row r="906" spans="1:17" ht="17.25" customHeight="1" x14ac:dyDescent="0.2">
      <c r="A906" s="75"/>
      <c r="B906" s="63"/>
      <c r="C906" s="63"/>
      <c r="D906" s="76"/>
      <c r="E906" s="75"/>
      <c r="F906" s="76"/>
      <c r="G906" s="79"/>
      <c r="H906" s="79"/>
      <c r="I906" s="75"/>
      <c r="J906" s="63"/>
      <c r="K906" s="63"/>
      <c r="L906" s="80"/>
      <c r="M906" s="76"/>
      <c r="N906" s="76"/>
      <c r="O906" s="78"/>
      <c r="P906" s="78"/>
      <c r="Q906" s="63"/>
    </row>
    <row r="907" spans="1:17" ht="17.25" customHeight="1" x14ac:dyDescent="0.2">
      <c r="A907" s="75"/>
      <c r="B907" s="63"/>
      <c r="C907" s="63"/>
      <c r="D907" s="76"/>
      <c r="E907" s="75"/>
      <c r="F907" s="76"/>
      <c r="G907" s="79"/>
      <c r="H907" s="79"/>
      <c r="I907" s="75"/>
      <c r="J907" s="63"/>
      <c r="K907" s="63"/>
      <c r="L907" s="80"/>
      <c r="M907" s="76"/>
      <c r="N907" s="76"/>
      <c r="O907" s="78"/>
      <c r="P907" s="78"/>
      <c r="Q907" s="63"/>
    </row>
    <row r="908" spans="1:17" ht="17.25" customHeight="1" x14ac:dyDescent="0.2">
      <c r="A908" s="75"/>
      <c r="B908" s="63"/>
      <c r="C908" s="63"/>
      <c r="D908" s="76"/>
      <c r="E908" s="75"/>
      <c r="F908" s="76"/>
      <c r="G908" s="79"/>
      <c r="H908" s="79"/>
      <c r="I908" s="75"/>
      <c r="J908" s="63"/>
      <c r="K908" s="63"/>
      <c r="L908" s="80"/>
      <c r="M908" s="76"/>
      <c r="N908" s="76"/>
      <c r="O908" s="78"/>
      <c r="P908" s="78"/>
      <c r="Q908" s="63"/>
    </row>
    <row r="909" spans="1:17" ht="17.25" customHeight="1" x14ac:dyDescent="0.2">
      <c r="A909" s="75"/>
      <c r="B909" s="63"/>
      <c r="C909" s="63"/>
      <c r="D909" s="76"/>
      <c r="E909" s="75"/>
      <c r="F909" s="76"/>
      <c r="G909" s="79"/>
      <c r="H909" s="79"/>
      <c r="I909" s="75"/>
      <c r="J909" s="63"/>
      <c r="K909" s="63"/>
      <c r="L909" s="80"/>
      <c r="M909" s="76"/>
      <c r="N909" s="76"/>
      <c r="O909" s="78"/>
      <c r="P909" s="78"/>
      <c r="Q909" s="63"/>
    </row>
    <row r="910" spans="1:17" ht="17.25" customHeight="1" x14ac:dyDescent="0.2">
      <c r="A910" s="75"/>
      <c r="B910" s="63"/>
      <c r="C910" s="63"/>
      <c r="D910" s="76"/>
      <c r="E910" s="75"/>
      <c r="F910" s="76"/>
      <c r="G910" s="79"/>
      <c r="H910" s="79"/>
      <c r="I910" s="75"/>
      <c r="J910" s="63"/>
      <c r="K910" s="63"/>
      <c r="L910" s="80"/>
      <c r="M910" s="76"/>
      <c r="N910" s="76"/>
      <c r="O910" s="78"/>
      <c r="P910" s="78"/>
      <c r="Q910" s="63"/>
    </row>
    <row r="911" spans="1:17" ht="17.25" customHeight="1" x14ac:dyDescent="0.2">
      <c r="A911" s="75"/>
      <c r="B911" s="63"/>
      <c r="C911" s="63"/>
      <c r="D911" s="76"/>
      <c r="E911" s="75"/>
      <c r="F911" s="76"/>
      <c r="G911" s="79"/>
      <c r="H911" s="79"/>
      <c r="I911" s="75"/>
      <c r="J911" s="63"/>
      <c r="K911" s="63"/>
      <c r="L911" s="80"/>
      <c r="M911" s="76"/>
      <c r="N911" s="76"/>
      <c r="O911" s="78"/>
      <c r="P911" s="78"/>
      <c r="Q911" s="63"/>
    </row>
    <row r="912" spans="1:17" ht="17.25" customHeight="1" x14ac:dyDescent="0.2">
      <c r="A912" s="75"/>
      <c r="B912" s="63"/>
      <c r="C912" s="63"/>
      <c r="D912" s="76"/>
      <c r="E912" s="75"/>
      <c r="F912" s="76"/>
      <c r="G912" s="79"/>
      <c r="H912" s="79"/>
      <c r="I912" s="75"/>
      <c r="J912" s="63"/>
      <c r="K912" s="63"/>
      <c r="L912" s="80"/>
      <c r="M912" s="76"/>
      <c r="N912" s="76"/>
      <c r="O912" s="78"/>
      <c r="P912" s="78"/>
      <c r="Q912" s="63"/>
    </row>
    <row r="913" spans="1:17" ht="17.25" customHeight="1" x14ac:dyDescent="0.2">
      <c r="A913" s="75"/>
      <c r="B913" s="63"/>
      <c r="C913" s="63"/>
      <c r="D913" s="76"/>
      <c r="E913" s="75"/>
      <c r="F913" s="76"/>
      <c r="G913" s="79"/>
      <c r="H913" s="79"/>
      <c r="I913" s="75"/>
      <c r="J913" s="63"/>
      <c r="K913" s="63"/>
      <c r="L913" s="80"/>
      <c r="M913" s="76"/>
      <c r="N913" s="76"/>
      <c r="O913" s="78"/>
      <c r="P913" s="78"/>
      <c r="Q913" s="63"/>
    </row>
    <row r="914" spans="1:17" ht="17.25" customHeight="1" x14ac:dyDescent="0.2">
      <c r="A914" s="75"/>
      <c r="B914" s="63"/>
      <c r="C914" s="63"/>
      <c r="D914" s="76"/>
      <c r="E914" s="75"/>
      <c r="F914" s="76"/>
      <c r="G914" s="79"/>
      <c r="H914" s="79"/>
      <c r="I914" s="75"/>
      <c r="J914" s="63"/>
      <c r="K914" s="63"/>
      <c r="L914" s="80"/>
      <c r="M914" s="76"/>
      <c r="N914" s="76"/>
      <c r="O914" s="78"/>
      <c r="P914" s="78"/>
      <c r="Q914" s="63"/>
    </row>
    <row r="915" spans="1:17" ht="17.25" customHeight="1" x14ac:dyDescent="0.2">
      <c r="A915" s="75"/>
      <c r="B915" s="63"/>
      <c r="C915" s="63"/>
      <c r="D915" s="76"/>
      <c r="E915" s="75"/>
      <c r="F915" s="76"/>
      <c r="G915" s="79"/>
      <c r="H915" s="79"/>
      <c r="I915" s="75"/>
      <c r="J915" s="63"/>
      <c r="K915" s="63"/>
      <c r="L915" s="80"/>
      <c r="M915" s="76"/>
      <c r="N915" s="76"/>
      <c r="O915" s="78"/>
      <c r="P915" s="78"/>
      <c r="Q915" s="63"/>
    </row>
    <row r="916" spans="1:17" ht="17.25" customHeight="1" x14ac:dyDescent="0.2">
      <c r="A916" s="75"/>
      <c r="B916" s="63"/>
      <c r="C916" s="63"/>
      <c r="D916" s="76"/>
      <c r="E916" s="75"/>
      <c r="F916" s="76"/>
      <c r="G916" s="79"/>
      <c r="H916" s="79"/>
      <c r="I916" s="75"/>
      <c r="J916" s="63"/>
      <c r="K916" s="63"/>
      <c r="L916" s="80"/>
      <c r="M916" s="76"/>
      <c r="N916" s="76"/>
      <c r="O916" s="78"/>
      <c r="P916" s="78"/>
      <c r="Q916" s="63"/>
    </row>
    <row r="917" spans="1:17" ht="17.25" customHeight="1" x14ac:dyDescent="0.2">
      <c r="A917" s="75"/>
      <c r="B917" s="63"/>
      <c r="C917" s="63"/>
      <c r="D917" s="76"/>
      <c r="E917" s="75"/>
      <c r="F917" s="76"/>
      <c r="G917" s="79"/>
      <c r="H917" s="79"/>
      <c r="I917" s="75"/>
      <c r="J917" s="63"/>
      <c r="K917" s="63"/>
      <c r="L917" s="80"/>
      <c r="M917" s="76"/>
      <c r="N917" s="76"/>
      <c r="O917" s="78"/>
      <c r="P917" s="78"/>
      <c r="Q917" s="63"/>
    </row>
    <row r="918" spans="1:17" ht="17.25" customHeight="1" x14ac:dyDescent="0.2">
      <c r="A918" s="75"/>
      <c r="B918" s="63"/>
      <c r="C918" s="63"/>
      <c r="D918" s="76"/>
      <c r="E918" s="75"/>
      <c r="F918" s="76"/>
      <c r="G918" s="79"/>
      <c r="H918" s="79"/>
      <c r="I918" s="75"/>
      <c r="J918" s="63"/>
      <c r="K918" s="63"/>
      <c r="L918" s="80"/>
      <c r="M918" s="76"/>
      <c r="N918" s="76"/>
      <c r="O918" s="78"/>
      <c r="P918" s="78"/>
      <c r="Q918" s="63"/>
    </row>
    <row r="919" spans="1:17" ht="17.25" customHeight="1" x14ac:dyDescent="0.2">
      <c r="A919" s="75"/>
      <c r="B919" s="63"/>
      <c r="C919" s="63"/>
      <c r="D919" s="76"/>
      <c r="E919" s="75"/>
      <c r="F919" s="76"/>
      <c r="G919" s="79"/>
      <c r="H919" s="79"/>
      <c r="I919" s="75"/>
      <c r="J919" s="63"/>
      <c r="K919" s="63"/>
      <c r="L919" s="80"/>
      <c r="M919" s="76"/>
      <c r="N919" s="76"/>
      <c r="O919" s="78"/>
      <c r="P919" s="78"/>
      <c r="Q919" s="63"/>
    </row>
    <row r="920" spans="1:17" ht="17.25" customHeight="1" x14ac:dyDescent="0.2">
      <c r="A920" s="75"/>
      <c r="B920" s="63"/>
      <c r="C920" s="63"/>
      <c r="D920" s="76"/>
      <c r="E920" s="75"/>
      <c r="F920" s="76"/>
      <c r="G920" s="79"/>
      <c r="H920" s="79"/>
      <c r="I920" s="75"/>
      <c r="J920" s="63"/>
      <c r="K920" s="63"/>
      <c r="L920" s="80"/>
      <c r="M920" s="76"/>
      <c r="N920" s="76"/>
      <c r="O920" s="78"/>
      <c r="P920" s="78"/>
      <c r="Q920" s="63"/>
    </row>
    <row r="921" spans="1:17" ht="17.25" customHeight="1" x14ac:dyDescent="0.2">
      <c r="A921" s="75"/>
      <c r="B921" s="63"/>
      <c r="C921" s="63"/>
      <c r="D921" s="76"/>
      <c r="E921" s="75"/>
      <c r="F921" s="76"/>
      <c r="G921" s="79"/>
      <c r="H921" s="79"/>
      <c r="I921" s="75"/>
      <c r="J921" s="63"/>
      <c r="K921" s="63"/>
      <c r="L921" s="80"/>
      <c r="M921" s="76"/>
      <c r="N921" s="76"/>
      <c r="O921" s="78"/>
      <c r="P921" s="78"/>
      <c r="Q921" s="63"/>
    </row>
    <row r="922" spans="1:17" ht="17.25" customHeight="1" x14ac:dyDescent="0.2">
      <c r="A922" s="75"/>
      <c r="B922" s="63"/>
      <c r="C922" s="63"/>
      <c r="D922" s="76"/>
      <c r="E922" s="75"/>
      <c r="F922" s="76"/>
      <c r="G922" s="79"/>
      <c r="H922" s="79"/>
      <c r="I922" s="75"/>
      <c r="J922" s="63"/>
      <c r="K922" s="63"/>
      <c r="L922" s="80"/>
      <c r="M922" s="76"/>
      <c r="N922" s="76"/>
      <c r="O922" s="78"/>
      <c r="P922" s="78"/>
      <c r="Q922" s="63"/>
    </row>
    <row r="923" spans="1:17" ht="17.25" customHeight="1" x14ac:dyDescent="0.2">
      <c r="A923" s="75"/>
      <c r="B923" s="63"/>
      <c r="C923" s="63"/>
      <c r="D923" s="76"/>
      <c r="E923" s="75"/>
      <c r="F923" s="76"/>
      <c r="G923" s="79"/>
      <c r="H923" s="79"/>
      <c r="I923" s="75"/>
      <c r="J923" s="63"/>
      <c r="K923" s="63"/>
      <c r="L923" s="80"/>
      <c r="M923" s="76"/>
      <c r="N923" s="76"/>
      <c r="O923" s="78"/>
      <c r="P923" s="78"/>
      <c r="Q923" s="63"/>
    </row>
    <row r="924" spans="1:17" ht="17.25" customHeight="1" x14ac:dyDescent="0.2">
      <c r="A924" s="75"/>
      <c r="B924" s="63"/>
      <c r="C924" s="63"/>
      <c r="D924" s="76"/>
      <c r="E924" s="75"/>
      <c r="F924" s="76"/>
      <c r="G924" s="79"/>
      <c r="H924" s="79"/>
      <c r="I924" s="75"/>
      <c r="J924" s="63"/>
      <c r="K924" s="63"/>
      <c r="L924" s="80"/>
      <c r="M924" s="76"/>
      <c r="N924" s="76"/>
      <c r="O924" s="78"/>
      <c r="P924" s="78"/>
      <c r="Q924" s="63"/>
    </row>
    <row r="925" spans="1:17" ht="17.25" customHeight="1" x14ac:dyDescent="0.2">
      <c r="A925" s="75"/>
      <c r="B925" s="63"/>
      <c r="C925" s="63"/>
      <c r="D925" s="76"/>
      <c r="E925" s="75"/>
      <c r="F925" s="76"/>
      <c r="G925" s="79"/>
      <c r="H925" s="79"/>
      <c r="I925" s="75"/>
      <c r="J925" s="63"/>
      <c r="K925" s="63"/>
      <c r="L925" s="80"/>
      <c r="M925" s="76"/>
      <c r="N925" s="76"/>
      <c r="O925" s="78"/>
      <c r="P925" s="78"/>
      <c r="Q925" s="63"/>
    </row>
    <row r="926" spans="1:17" ht="17.25" customHeight="1" x14ac:dyDescent="0.2">
      <c r="A926" s="75"/>
      <c r="B926" s="63"/>
      <c r="C926" s="63"/>
      <c r="D926" s="76"/>
      <c r="E926" s="75"/>
      <c r="F926" s="76"/>
      <c r="G926" s="79"/>
      <c r="H926" s="79"/>
      <c r="I926" s="75"/>
      <c r="J926" s="63"/>
      <c r="K926" s="63"/>
      <c r="L926" s="80"/>
      <c r="M926" s="76"/>
      <c r="N926" s="76"/>
      <c r="O926" s="78"/>
      <c r="P926" s="78"/>
      <c r="Q926" s="63"/>
    </row>
    <row r="927" spans="1:17" ht="17.25" customHeight="1" x14ac:dyDescent="0.2">
      <c r="A927" s="75"/>
      <c r="B927" s="63"/>
      <c r="C927" s="63"/>
      <c r="D927" s="76"/>
      <c r="E927" s="75"/>
      <c r="F927" s="76"/>
      <c r="G927" s="79"/>
      <c r="H927" s="79"/>
      <c r="I927" s="75"/>
      <c r="J927" s="63"/>
      <c r="K927" s="63"/>
      <c r="L927" s="80"/>
      <c r="M927" s="76"/>
      <c r="N927" s="76"/>
      <c r="O927" s="78"/>
      <c r="P927" s="78"/>
      <c r="Q927" s="63"/>
    </row>
    <row r="928" spans="1:17" ht="17.25" customHeight="1" x14ac:dyDescent="0.2">
      <c r="A928" s="75"/>
      <c r="B928" s="63"/>
      <c r="C928" s="63"/>
      <c r="D928" s="76"/>
      <c r="E928" s="75"/>
      <c r="F928" s="76"/>
      <c r="G928" s="79"/>
      <c r="H928" s="79"/>
      <c r="I928" s="75"/>
      <c r="J928" s="63"/>
      <c r="K928" s="63"/>
      <c r="L928" s="80"/>
      <c r="M928" s="76"/>
      <c r="N928" s="76"/>
      <c r="O928" s="78"/>
      <c r="P928" s="78"/>
      <c r="Q928" s="63"/>
    </row>
    <row r="929" spans="1:17" ht="17.25" customHeight="1" x14ac:dyDescent="0.2">
      <c r="A929" s="75"/>
      <c r="B929" s="63"/>
      <c r="C929" s="63"/>
      <c r="D929" s="76"/>
      <c r="E929" s="75"/>
      <c r="F929" s="76"/>
      <c r="G929" s="79"/>
      <c r="H929" s="79"/>
      <c r="I929" s="75"/>
      <c r="J929" s="63"/>
      <c r="K929" s="63"/>
      <c r="L929" s="80"/>
      <c r="M929" s="76"/>
      <c r="N929" s="76"/>
      <c r="O929" s="78"/>
      <c r="P929" s="78"/>
      <c r="Q929" s="63"/>
    </row>
    <row r="930" spans="1:17" ht="17.25" customHeight="1" x14ac:dyDescent="0.2">
      <c r="A930" s="75"/>
      <c r="B930" s="63"/>
      <c r="C930" s="63"/>
      <c r="D930" s="76"/>
      <c r="E930" s="75"/>
      <c r="F930" s="76"/>
      <c r="G930" s="79"/>
      <c r="H930" s="79"/>
      <c r="I930" s="75"/>
      <c r="J930" s="63"/>
      <c r="K930" s="63"/>
      <c r="L930" s="80"/>
      <c r="M930" s="76"/>
      <c r="N930" s="76"/>
      <c r="O930" s="78"/>
      <c r="P930" s="78"/>
      <c r="Q930" s="63"/>
    </row>
    <row r="931" spans="1:17" ht="17.25" customHeight="1" x14ac:dyDescent="0.2">
      <c r="A931" s="75"/>
      <c r="B931" s="63"/>
      <c r="C931" s="63"/>
      <c r="D931" s="76"/>
      <c r="E931" s="75"/>
      <c r="F931" s="76"/>
      <c r="G931" s="79"/>
      <c r="H931" s="79"/>
      <c r="I931" s="75"/>
      <c r="J931" s="63"/>
      <c r="K931" s="63"/>
      <c r="L931" s="80"/>
      <c r="M931" s="76"/>
      <c r="N931" s="76"/>
      <c r="O931" s="78"/>
      <c r="P931" s="78"/>
      <c r="Q931" s="63"/>
    </row>
    <row r="932" spans="1:17" ht="17.25" customHeight="1" x14ac:dyDescent="0.2">
      <c r="A932" s="75"/>
      <c r="B932" s="63"/>
      <c r="C932" s="63"/>
      <c r="D932" s="76"/>
      <c r="E932" s="75"/>
      <c r="F932" s="76"/>
      <c r="G932" s="79"/>
      <c r="H932" s="79"/>
      <c r="I932" s="75"/>
      <c r="J932" s="63"/>
      <c r="K932" s="63"/>
      <c r="L932" s="80"/>
      <c r="M932" s="76"/>
      <c r="N932" s="76"/>
      <c r="O932" s="78"/>
      <c r="P932" s="78"/>
      <c r="Q932" s="63"/>
    </row>
    <row r="933" spans="1:17" ht="17.25" customHeight="1" x14ac:dyDescent="0.2">
      <c r="A933" s="75"/>
      <c r="B933" s="63"/>
      <c r="C933" s="63"/>
      <c r="D933" s="76"/>
      <c r="E933" s="75"/>
      <c r="F933" s="76"/>
      <c r="G933" s="79"/>
      <c r="H933" s="79"/>
      <c r="I933" s="75"/>
      <c r="J933" s="63"/>
      <c r="K933" s="63"/>
      <c r="L933" s="80"/>
      <c r="M933" s="76"/>
      <c r="N933" s="76"/>
      <c r="O933" s="78"/>
      <c r="P933" s="78"/>
      <c r="Q933" s="63"/>
    </row>
    <row r="934" spans="1:17" ht="17.25" customHeight="1" x14ac:dyDescent="0.2">
      <c r="A934" s="75"/>
      <c r="B934" s="63"/>
      <c r="C934" s="63"/>
      <c r="D934" s="76"/>
      <c r="E934" s="75"/>
      <c r="F934" s="76"/>
      <c r="G934" s="79"/>
      <c r="H934" s="79"/>
      <c r="I934" s="75"/>
      <c r="J934" s="63"/>
      <c r="K934" s="63"/>
      <c r="L934" s="80"/>
      <c r="M934" s="76"/>
      <c r="N934" s="76"/>
      <c r="O934" s="78"/>
      <c r="P934" s="78"/>
      <c r="Q934" s="63"/>
    </row>
    <row r="935" spans="1:17" ht="17.25" customHeight="1" x14ac:dyDescent="0.2">
      <c r="A935" s="75"/>
      <c r="B935" s="63"/>
      <c r="C935" s="63"/>
      <c r="D935" s="76"/>
      <c r="E935" s="75"/>
      <c r="F935" s="76"/>
      <c r="G935" s="79"/>
      <c r="H935" s="79"/>
      <c r="I935" s="75"/>
      <c r="J935" s="63"/>
      <c r="K935" s="63"/>
      <c r="L935" s="80"/>
      <c r="M935" s="76"/>
      <c r="N935" s="76"/>
      <c r="O935" s="78"/>
      <c r="P935" s="78"/>
      <c r="Q935" s="63"/>
    </row>
    <row r="936" spans="1:17" ht="17.25" customHeight="1" x14ac:dyDescent="0.2">
      <c r="A936" s="75"/>
      <c r="B936" s="63"/>
      <c r="C936" s="63"/>
      <c r="D936" s="76"/>
      <c r="E936" s="75"/>
      <c r="F936" s="76"/>
      <c r="G936" s="79"/>
      <c r="H936" s="79"/>
      <c r="I936" s="75"/>
      <c r="J936" s="63"/>
      <c r="K936" s="63"/>
      <c r="L936" s="80"/>
      <c r="M936" s="76"/>
      <c r="N936" s="76"/>
      <c r="O936" s="78"/>
      <c r="P936" s="78"/>
      <c r="Q936" s="63"/>
    </row>
    <row r="937" spans="1:17" ht="17.25" customHeight="1" x14ac:dyDescent="0.2">
      <c r="A937" s="75"/>
      <c r="B937" s="63"/>
      <c r="C937" s="63"/>
      <c r="D937" s="76"/>
      <c r="E937" s="75"/>
      <c r="F937" s="76"/>
      <c r="G937" s="79"/>
      <c r="H937" s="79"/>
      <c r="I937" s="75"/>
      <c r="J937" s="63"/>
      <c r="K937" s="63"/>
      <c r="L937" s="80"/>
      <c r="M937" s="76"/>
      <c r="N937" s="76"/>
      <c r="O937" s="78"/>
      <c r="P937" s="78"/>
      <c r="Q937" s="63"/>
    </row>
    <row r="938" spans="1:17" ht="17.25" customHeight="1" x14ac:dyDescent="0.2">
      <c r="A938" s="75"/>
      <c r="B938" s="63"/>
      <c r="C938" s="63"/>
      <c r="D938" s="76"/>
      <c r="E938" s="75"/>
      <c r="F938" s="76"/>
      <c r="G938" s="79"/>
      <c r="H938" s="79"/>
      <c r="I938" s="75"/>
      <c r="J938" s="63"/>
      <c r="K938" s="63"/>
      <c r="L938" s="80"/>
      <c r="M938" s="76"/>
      <c r="N938" s="76"/>
      <c r="O938" s="78"/>
      <c r="P938" s="78"/>
      <c r="Q938" s="63"/>
    </row>
    <row r="939" spans="1:17" ht="17.25" customHeight="1" x14ac:dyDescent="0.2">
      <c r="A939" s="75"/>
      <c r="B939" s="63"/>
      <c r="C939" s="63"/>
      <c r="D939" s="76"/>
      <c r="E939" s="75"/>
      <c r="F939" s="76"/>
      <c r="G939" s="79"/>
      <c r="H939" s="79"/>
      <c r="I939" s="75"/>
      <c r="J939" s="63"/>
      <c r="K939" s="63"/>
      <c r="L939" s="80"/>
      <c r="M939" s="76"/>
      <c r="N939" s="76"/>
      <c r="O939" s="78"/>
      <c r="P939" s="78"/>
      <c r="Q939" s="63"/>
    </row>
    <row r="940" spans="1:17" ht="17.25" customHeight="1" x14ac:dyDescent="0.2">
      <c r="A940" s="75"/>
      <c r="B940" s="63"/>
      <c r="C940" s="63"/>
      <c r="D940" s="76"/>
      <c r="E940" s="75"/>
      <c r="F940" s="76"/>
      <c r="G940" s="79"/>
      <c r="H940" s="79"/>
      <c r="I940" s="75"/>
      <c r="J940" s="63"/>
      <c r="K940" s="63"/>
      <c r="L940" s="80"/>
      <c r="M940" s="76"/>
      <c r="N940" s="76"/>
      <c r="O940" s="78"/>
      <c r="P940" s="78"/>
      <c r="Q940" s="63"/>
    </row>
    <row r="941" spans="1:17" ht="17.25" customHeight="1" x14ac:dyDescent="0.2">
      <c r="A941" s="75"/>
      <c r="B941" s="63"/>
      <c r="C941" s="63"/>
      <c r="D941" s="76"/>
      <c r="E941" s="75"/>
      <c r="F941" s="76"/>
      <c r="G941" s="79"/>
      <c r="H941" s="79"/>
      <c r="I941" s="75"/>
      <c r="J941" s="63"/>
      <c r="K941" s="63"/>
      <c r="L941" s="80"/>
      <c r="M941" s="76"/>
      <c r="N941" s="76"/>
      <c r="O941" s="78"/>
      <c r="P941" s="78"/>
      <c r="Q941" s="63"/>
    </row>
    <row r="942" spans="1:17" ht="17.25" customHeight="1" x14ac:dyDescent="0.2">
      <c r="A942" s="75"/>
      <c r="B942" s="63"/>
      <c r="C942" s="63"/>
      <c r="D942" s="76"/>
      <c r="E942" s="75"/>
      <c r="F942" s="76"/>
      <c r="G942" s="79"/>
      <c r="H942" s="79"/>
      <c r="I942" s="75"/>
      <c r="J942" s="63"/>
      <c r="K942" s="63"/>
      <c r="L942" s="80"/>
      <c r="M942" s="76"/>
      <c r="N942" s="76"/>
      <c r="O942" s="78"/>
      <c r="P942" s="78"/>
      <c r="Q942" s="63"/>
    </row>
    <row r="943" spans="1:17" ht="17.25" customHeight="1" x14ac:dyDescent="0.2">
      <c r="A943" s="75"/>
      <c r="B943" s="63"/>
      <c r="C943" s="63"/>
      <c r="D943" s="76"/>
      <c r="E943" s="75"/>
      <c r="F943" s="76"/>
      <c r="G943" s="79"/>
      <c r="H943" s="79"/>
      <c r="I943" s="75"/>
      <c r="J943" s="63"/>
      <c r="K943" s="63"/>
      <c r="L943" s="80"/>
      <c r="M943" s="76"/>
      <c r="N943" s="76"/>
      <c r="O943" s="78"/>
      <c r="P943" s="78"/>
      <c r="Q943" s="63"/>
    </row>
    <row r="944" spans="1:17" ht="17.25" customHeight="1" x14ac:dyDescent="0.2">
      <c r="A944" s="75"/>
      <c r="B944" s="63"/>
      <c r="C944" s="63"/>
      <c r="D944" s="76"/>
      <c r="E944" s="75"/>
      <c r="F944" s="76"/>
      <c r="G944" s="79"/>
      <c r="H944" s="79"/>
      <c r="I944" s="75"/>
      <c r="J944" s="63"/>
      <c r="K944" s="63"/>
      <c r="L944" s="80"/>
      <c r="M944" s="76"/>
      <c r="N944" s="76"/>
      <c r="O944" s="78"/>
      <c r="P944" s="78"/>
      <c r="Q944" s="63"/>
    </row>
    <row r="945" spans="1:17" ht="17.25" customHeight="1" x14ac:dyDescent="0.2">
      <c r="A945" s="75"/>
      <c r="B945" s="63"/>
      <c r="C945" s="63"/>
      <c r="D945" s="76"/>
      <c r="E945" s="75"/>
      <c r="F945" s="76"/>
      <c r="G945" s="79"/>
      <c r="H945" s="79"/>
      <c r="I945" s="75"/>
      <c r="J945" s="63"/>
      <c r="K945" s="63"/>
      <c r="L945" s="80"/>
      <c r="M945" s="76"/>
      <c r="N945" s="76"/>
      <c r="O945" s="78"/>
      <c r="P945" s="78"/>
      <c r="Q945" s="63"/>
    </row>
    <row r="946" spans="1:17" ht="17.25" customHeight="1" x14ac:dyDescent="0.2">
      <c r="A946" s="75"/>
      <c r="B946" s="63"/>
      <c r="C946" s="63"/>
      <c r="D946" s="76"/>
      <c r="E946" s="75"/>
      <c r="F946" s="76"/>
      <c r="G946" s="79"/>
      <c r="H946" s="79"/>
      <c r="I946" s="75"/>
      <c r="J946" s="63"/>
      <c r="K946" s="63"/>
      <c r="L946" s="80"/>
      <c r="M946" s="76"/>
      <c r="N946" s="76"/>
      <c r="O946" s="78"/>
      <c r="P946" s="78"/>
      <c r="Q946" s="63"/>
    </row>
    <row r="947" spans="1:17" ht="17.25" customHeight="1" x14ac:dyDescent="0.2">
      <c r="A947" s="75"/>
      <c r="B947" s="63"/>
      <c r="C947" s="63"/>
      <c r="D947" s="76"/>
      <c r="E947" s="75"/>
      <c r="F947" s="76"/>
      <c r="G947" s="79"/>
      <c r="H947" s="79"/>
      <c r="I947" s="75"/>
      <c r="J947" s="63"/>
      <c r="K947" s="63"/>
      <c r="L947" s="80"/>
      <c r="M947" s="76"/>
      <c r="N947" s="76"/>
      <c r="O947" s="78"/>
      <c r="P947" s="78"/>
      <c r="Q947" s="63"/>
    </row>
    <row r="948" spans="1:17" ht="17.25" customHeight="1" x14ac:dyDescent="0.2">
      <c r="A948" s="75"/>
      <c r="B948" s="63"/>
      <c r="C948" s="63"/>
      <c r="D948" s="76"/>
      <c r="E948" s="75"/>
      <c r="F948" s="76"/>
      <c r="G948" s="79"/>
      <c r="H948" s="79"/>
      <c r="I948" s="75"/>
      <c r="J948" s="63"/>
      <c r="K948" s="63"/>
      <c r="L948" s="80"/>
      <c r="M948" s="76"/>
      <c r="N948" s="76"/>
      <c r="O948" s="78"/>
      <c r="P948" s="78"/>
      <c r="Q948" s="63"/>
    </row>
    <row r="949" spans="1:17" ht="17.25" customHeight="1" x14ac:dyDescent="0.2">
      <c r="A949" s="75"/>
      <c r="B949" s="63"/>
      <c r="C949" s="63"/>
      <c r="D949" s="76"/>
      <c r="E949" s="75"/>
      <c r="F949" s="76"/>
      <c r="G949" s="79"/>
      <c r="H949" s="79"/>
      <c r="I949" s="75"/>
      <c r="J949" s="63"/>
      <c r="K949" s="63"/>
      <c r="L949" s="80"/>
      <c r="M949" s="76"/>
      <c r="N949" s="76"/>
      <c r="O949" s="78"/>
      <c r="P949" s="78"/>
      <c r="Q949" s="63"/>
    </row>
    <row r="950" spans="1:17" ht="17.25" customHeight="1" x14ac:dyDescent="0.2">
      <c r="A950" s="75"/>
      <c r="B950" s="63"/>
      <c r="C950" s="63"/>
      <c r="D950" s="76"/>
      <c r="E950" s="75"/>
      <c r="F950" s="76"/>
      <c r="G950" s="79"/>
      <c r="H950" s="79"/>
      <c r="I950" s="75"/>
      <c r="J950" s="63"/>
      <c r="K950" s="63"/>
      <c r="L950" s="80"/>
      <c r="M950" s="76"/>
      <c r="N950" s="76"/>
      <c r="O950" s="78"/>
      <c r="P950" s="78"/>
      <c r="Q950" s="63"/>
    </row>
    <row r="951" spans="1:17" ht="17.25" customHeight="1" x14ac:dyDescent="0.2">
      <c r="A951" s="75"/>
      <c r="B951" s="63"/>
      <c r="C951" s="63"/>
      <c r="D951" s="76"/>
      <c r="E951" s="75"/>
      <c r="F951" s="76"/>
      <c r="G951" s="79"/>
      <c r="H951" s="79"/>
      <c r="I951" s="75"/>
      <c r="J951" s="63"/>
      <c r="K951" s="63"/>
      <c r="L951" s="80"/>
      <c r="M951" s="76"/>
      <c r="N951" s="76"/>
      <c r="O951" s="78"/>
      <c r="P951" s="78"/>
      <c r="Q951" s="63"/>
    </row>
    <row r="952" spans="1:17" ht="17.25" customHeight="1" x14ac:dyDescent="0.2">
      <c r="A952" s="75"/>
      <c r="B952" s="63"/>
      <c r="C952" s="63"/>
      <c r="D952" s="76"/>
      <c r="E952" s="75"/>
      <c r="F952" s="76"/>
      <c r="G952" s="79"/>
      <c r="H952" s="79"/>
      <c r="I952" s="75"/>
      <c r="J952" s="63"/>
      <c r="K952" s="63"/>
      <c r="L952" s="80"/>
      <c r="M952" s="76"/>
      <c r="N952" s="76"/>
      <c r="O952" s="78"/>
      <c r="P952" s="78"/>
      <c r="Q952" s="63"/>
    </row>
    <row r="953" spans="1:17" ht="17.25" customHeight="1" x14ac:dyDescent="0.2">
      <c r="A953" s="75"/>
      <c r="B953" s="63"/>
      <c r="C953" s="63"/>
      <c r="D953" s="76"/>
      <c r="E953" s="75"/>
      <c r="F953" s="76"/>
      <c r="G953" s="79"/>
      <c r="H953" s="79"/>
      <c r="I953" s="75"/>
      <c r="J953" s="63"/>
      <c r="K953" s="63"/>
      <c r="L953" s="80"/>
      <c r="M953" s="76"/>
      <c r="N953" s="76"/>
      <c r="O953" s="78"/>
      <c r="P953" s="78"/>
      <c r="Q953" s="63"/>
    </row>
    <row r="954" spans="1:17" ht="17.25" customHeight="1" x14ac:dyDescent="0.2">
      <c r="A954" s="75"/>
      <c r="B954" s="63"/>
      <c r="C954" s="63"/>
      <c r="D954" s="76"/>
      <c r="E954" s="75"/>
      <c r="F954" s="76"/>
      <c r="G954" s="79"/>
      <c r="H954" s="79"/>
      <c r="I954" s="75"/>
      <c r="J954" s="63"/>
      <c r="K954" s="63"/>
      <c r="L954" s="80"/>
      <c r="M954" s="76"/>
      <c r="N954" s="76"/>
      <c r="O954" s="78"/>
      <c r="P954" s="78"/>
      <c r="Q954" s="63"/>
    </row>
    <row r="955" spans="1:17" ht="17.25" customHeight="1" x14ac:dyDescent="0.2">
      <c r="A955" s="75"/>
      <c r="B955" s="63"/>
      <c r="C955" s="63"/>
      <c r="D955" s="76"/>
      <c r="E955" s="75"/>
      <c r="F955" s="76"/>
      <c r="G955" s="79"/>
      <c r="H955" s="79"/>
      <c r="I955" s="75"/>
      <c r="J955" s="63"/>
      <c r="K955" s="63"/>
      <c r="L955" s="80"/>
      <c r="M955" s="76"/>
      <c r="N955" s="76"/>
      <c r="O955" s="78"/>
      <c r="P955" s="78"/>
      <c r="Q955" s="63"/>
    </row>
    <row r="956" spans="1:17" ht="17.25" customHeight="1" x14ac:dyDescent="0.2">
      <c r="A956" s="75"/>
      <c r="B956" s="63"/>
      <c r="C956" s="63"/>
      <c r="D956" s="76"/>
      <c r="E956" s="75"/>
      <c r="F956" s="76"/>
      <c r="G956" s="79"/>
      <c r="H956" s="79"/>
      <c r="I956" s="75"/>
      <c r="J956" s="63"/>
      <c r="K956" s="63"/>
      <c r="L956" s="80"/>
      <c r="M956" s="76"/>
      <c r="N956" s="76"/>
      <c r="O956" s="78"/>
      <c r="P956" s="78"/>
      <c r="Q956" s="63"/>
    </row>
    <row r="957" spans="1:17" ht="17.25" customHeight="1" x14ac:dyDescent="0.2">
      <c r="A957" s="75"/>
      <c r="B957" s="63"/>
      <c r="C957" s="63"/>
      <c r="D957" s="76"/>
      <c r="E957" s="75"/>
      <c r="F957" s="76"/>
      <c r="G957" s="79"/>
      <c r="H957" s="79"/>
      <c r="I957" s="75"/>
      <c r="J957" s="63"/>
      <c r="K957" s="63"/>
      <c r="L957" s="80"/>
      <c r="M957" s="76"/>
      <c r="N957" s="76"/>
      <c r="O957" s="78"/>
      <c r="P957" s="78"/>
      <c r="Q957" s="63"/>
    </row>
    <row r="958" spans="1:17" ht="17.25" customHeight="1" x14ac:dyDescent="0.2">
      <c r="A958" s="75"/>
      <c r="B958" s="63"/>
      <c r="C958" s="63"/>
      <c r="D958" s="76"/>
      <c r="E958" s="75"/>
      <c r="F958" s="76"/>
      <c r="G958" s="79"/>
      <c r="H958" s="79"/>
      <c r="I958" s="75"/>
      <c r="J958" s="63"/>
      <c r="K958" s="63"/>
      <c r="L958" s="80"/>
      <c r="M958" s="76"/>
      <c r="N958" s="76"/>
      <c r="O958" s="78"/>
      <c r="P958" s="78"/>
      <c r="Q958" s="63"/>
    </row>
    <row r="959" spans="1:17" ht="17.25" customHeight="1" x14ac:dyDescent="0.2">
      <c r="A959" s="75"/>
      <c r="B959" s="63"/>
      <c r="C959" s="63"/>
      <c r="D959" s="76"/>
      <c r="E959" s="75"/>
      <c r="F959" s="76"/>
      <c r="G959" s="79"/>
      <c r="H959" s="79"/>
      <c r="I959" s="75"/>
      <c r="J959" s="63"/>
      <c r="K959" s="63"/>
      <c r="L959" s="80"/>
      <c r="M959" s="76"/>
      <c r="N959" s="76"/>
      <c r="O959" s="78"/>
      <c r="P959" s="78"/>
      <c r="Q959" s="63"/>
    </row>
    <row r="960" spans="1:17" ht="17.25" customHeight="1" x14ac:dyDescent="0.2">
      <c r="A960" s="75"/>
      <c r="B960" s="63"/>
      <c r="C960" s="63"/>
      <c r="D960" s="76"/>
      <c r="E960" s="75"/>
      <c r="F960" s="76"/>
      <c r="G960" s="79"/>
      <c r="H960" s="79"/>
      <c r="I960" s="75"/>
      <c r="J960" s="63"/>
      <c r="K960" s="63"/>
      <c r="L960" s="80"/>
      <c r="M960" s="76"/>
      <c r="N960" s="76"/>
      <c r="O960" s="78"/>
      <c r="P960" s="78"/>
      <c r="Q960" s="63"/>
    </row>
    <row r="961" spans="1:17" ht="17.25" customHeight="1" x14ac:dyDescent="0.2">
      <c r="A961" s="75"/>
      <c r="B961" s="63"/>
      <c r="C961" s="63"/>
      <c r="D961" s="76"/>
      <c r="E961" s="75"/>
      <c r="F961" s="76"/>
      <c r="G961" s="79"/>
      <c r="H961" s="79"/>
      <c r="I961" s="75"/>
      <c r="J961" s="63"/>
      <c r="K961" s="63"/>
      <c r="L961" s="80"/>
      <c r="M961" s="76"/>
      <c r="N961" s="76"/>
      <c r="O961" s="78"/>
      <c r="P961" s="78"/>
      <c r="Q961" s="63"/>
    </row>
    <row r="962" spans="1:17" ht="17.25" customHeight="1" x14ac:dyDescent="0.2">
      <c r="A962" s="75"/>
      <c r="B962" s="63"/>
      <c r="C962" s="63"/>
      <c r="D962" s="76"/>
      <c r="E962" s="75"/>
      <c r="F962" s="76"/>
      <c r="G962" s="79"/>
      <c r="H962" s="79"/>
      <c r="I962" s="75"/>
      <c r="J962" s="63"/>
      <c r="K962" s="63"/>
      <c r="L962" s="80"/>
      <c r="M962" s="76"/>
      <c r="N962" s="76"/>
      <c r="O962" s="78"/>
      <c r="P962" s="78"/>
      <c r="Q962" s="63"/>
    </row>
    <row r="963" spans="1:17" ht="17.25" customHeight="1" x14ac:dyDescent="0.2">
      <c r="A963" s="75"/>
      <c r="B963" s="63"/>
      <c r="C963" s="63"/>
      <c r="D963" s="76"/>
      <c r="E963" s="75"/>
      <c r="F963" s="76"/>
      <c r="G963" s="79"/>
      <c r="H963" s="79"/>
      <c r="I963" s="75"/>
      <c r="J963" s="63"/>
      <c r="K963" s="63"/>
      <c r="L963" s="80"/>
      <c r="M963" s="76"/>
      <c r="N963" s="76"/>
      <c r="O963" s="78"/>
      <c r="P963" s="78"/>
      <c r="Q963" s="63"/>
    </row>
    <row r="964" spans="1:17" ht="17.25" customHeight="1" x14ac:dyDescent="0.2">
      <c r="A964" s="75"/>
      <c r="B964" s="63"/>
      <c r="C964" s="63"/>
      <c r="D964" s="76"/>
      <c r="E964" s="75"/>
      <c r="F964" s="76"/>
      <c r="G964" s="79"/>
      <c r="H964" s="79"/>
      <c r="I964" s="75"/>
      <c r="J964" s="63"/>
      <c r="K964" s="63"/>
      <c r="L964" s="80"/>
      <c r="M964" s="76"/>
      <c r="N964" s="76"/>
      <c r="O964" s="78"/>
      <c r="P964" s="78"/>
      <c r="Q964" s="63"/>
    </row>
    <row r="965" spans="1:17" ht="17.25" customHeight="1" x14ac:dyDescent="0.2">
      <c r="A965" s="75"/>
      <c r="B965" s="63"/>
      <c r="C965" s="63"/>
      <c r="D965" s="76"/>
      <c r="E965" s="75"/>
      <c r="F965" s="76"/>
      <c r="G965" s="79"/>
      <c r="H965" s="79"/>
      <c r="I965" s="75"/>
      <c r="J965" s="63"/>
      <c r="K965" s="63"/>
      <c r="L965" s="80"/>
      <c r="M965" s="76"/>
      <c r="N965" s="76"/>
      <c r="O965" s="78"/>
      <c r="P965" s="78"/>
      <c r="Q965" s="63"/>
    </row>
    <row r="966" spans="1:17" ht="17.25" customHeight="1" x14ac:dyDescent="0.2">
      <c r="A966" s="75"/>
      <c r="B966" s="63"/>
      <c r="C966" s="63"/>
      <c r="D966" s="76"/>
      <c r="E966" s="75"/>
      <c r="F966" s="76"/>
      <c r="G966" s="79"/>
      <c r="H966" s="79"/>
      <c r="I966" s="75"/>
      <c r="J966" s="63"/>
      <c r="K966" s="63"/>
      <c r="L966" s="80"/>
      <c r="M966" s="76"/>
      <c r="N966" s="76"/>
      <c r="O966" s="78"/>
      <c r="P966" s="78"/>
      <c r="Q966" s="63"/>
    </row>
    <row r="967" spans="1:17" ht="17.25" customHeight="1" x14ac:dyDescent="0.2">
      <c r="A967" s="75"/>
      <c r="B967" s="63"/>
      <c r="C967" s="63"/>
      <c r="D967" s="76"/>
      <c r="E967" s="75"/>
      <c r="F967" s="76"/>
      <c r="G967" s="79"/>
      <c r="H967" s="79"/>
      <c r="I967" s="75"/>
      <c r="J967" s="63"/>
      <c r="K967" s="63"/>
      <c r="L967" s="80"/>
      <c r="M967" s="76"/>
      <c r="N967" s="76"/>
      <c r="O967" s="78"/>
      <c r="P967" s="78"/>
      <c r="Q967" s="63"/>
    </row>
    <row r="968" spans="1:17" ht="17.25" customHeight="1" x14ac:dyDescent="0.2">
      <c r="A968" s="75"/>
      <c r="B968" s="63"/>
      <c r="C968" s="63"/>
      <c r="D968" s="76"/>
      <c r="E968" s="75"/>
      <c r="F968" s="76"/>
      <c r="G968" s="79"/>
      <c r="H968" s="79"/>
      <c r="I968" s="75"/>
      <c r="J968" s="63"/>
      <c r="K968" s="63"/>
      <c r="L968" s="80"/>
      <c r="M968" s="76"/>
      <c r="N968" s="76"/>
      <c r="O968" s="78"/>
      <c r="P968" s="78"/>
      <c r="Q968" s="63"/>
    </row>
    <row r="969" spans="1:17" ht="17.25" customHeight="1" x14ac:dyDescent="0.2">
      <c r="A969" s="75"/>
      <c r="B969" s="63"/>
      <c r="C969" s="63"/>
      <c r="D969" s="76"/>
      <c r="E969" s="75"/>
      <c r="F969" s="76"/>
      <c r="G969" s="79"/>
      <c r="H969" s="79"/>
      <c r="I969" s="75"/>
      <c r="J969" s="63"/>
      <c r="K969" s="63"/>
      <c r="L969" s="80"/>
      <c r="M969" s="76"/>
      <c r="N969" s="76"/>
      <c r="O969" s="78"/>
      <c r="P969" s="78"/>
      <c r="Q969" s="63"/>
    </row>
    <row r="970" spans="1:17" ht="17.25" customHeight="1" x14ac:dyDescent="0.2">
      <c r="A970" s="75"/>
      <c r="B970" s="63"/>
      <c r="C970" s="63"/>
      <c r="D970" s="76"/>
      <c r="E970" s="75"/>
      <c r="F970" s="76"/>
      <c r="G970" s="79"/>
      <c r="H970" s="79"/>
      <c r="I970" s="75"/>
      <c r="J970" s="63"/>
      <c r="K970" s="63"/>
      <c r="L970" s="80"/>
      <c r="M970" s="76"/>
      <c r="N970" s="76"/>
      <c r="O970" s="78"/>
      <c r="P970" s="78"/>
      <c r="Q970" s="63"/>
    </row>
    <row r="971" spans="1:17" ht="17.25" customHeight="1" x14ac:dyDescent="0.2">
      <c r="A971" s="75"/>
      <c r="B971" s="63"/>
      <c r="C971" s="63"/>
      <c r="D971" s="76"/>
      <c r="E971" s="75"/>
      <c r="F971" s="76"/>
      <c r="G971" s="79"/>
      <c r="H971" s="79"/>
      <c r="I971" s="75"/>
      <c r="J971" s="63"/>
      <c r="K971" s="63"/>
      <c r="L971" s="80"/>
      <c r="M971" s="76"/>
      <c r="N971" s="76"/>
      <c r="O971" s="78"/>
      <c r="P971" s="78"/>
      <c r="Q971" s="63"/>
    </row>
    <row r="972" spans="1:17" ht="17.25" customHeight="1" x14ac:dyDescent="0.2">
      <c r="A972" s="75"/>
      <c r="B972" s="63"/>
      <c r="C972" s="63"/>
      <c r="D972" s="76"/>
      <c r="E972" s="75"/>
      <c r="F972" s="76"/>
      <c r="G972" s="79"/>
      <c r="H972" s="79"/>
      <c r="I972" s="75"/>
      <c r="J972" s="63"/>
      <c r="K972" s="63"/>
      <c r="L972" s="80"/>
      <c r="M972" s="76"/>
      <c r="N972" s="76"/>
      <c r="O972" s="78"/>
      <c r="P972" s="78"/>
      <c r="Q972" s="63"/>
    </row>
    <row r="973" spans="1:17" ht="17.25" customHeight="1" x14ac:dyDescent="0.2">
      <c r="A973" s="75"/>
      <c r="B973" s="63"/>
      <c r="C973" s="63"/>
      <c r="D973" s="76"/>
      <c r="E973" s="75"/>
      <c r="F973" s="76"/>
      <c r="G973" s="79"/>
      <c r="H973" s="79"/>
      <c r="I973" s="75"/>
      <c r="J973" s="63"/>
      <c r="K973" s="63"/>
      <c r="L973" s="80"/>
      <c r="M973" s="76"/>
      <c r="N973" s="76"/>
      <c r="O973" s="78"/>
      <c r="P973" s="78"/>
      <c r="Q973" s="63"/>
    </row>
    <row r="974" spans="1:17" ht="17.25" customHeight="1" x14ac:dyDescent="0.2">
      <c r="A974" s="75"/>
      <c r="B974" s="63"/>
      <c r="C974" s="63"/>
      <c r="D974" s="76"/>
      <c r="E974" s="75"/>
      <c r="F974" s="76"/>
      <c r="G974" s="79"/>
      <c r="H974" s="79"/>
      <c r="I974" s="75"/>
      <c r="J974" s="63"/>
      <c r="K974" s="63"/>
      <c r="L974" s="80"/>
      <c r="M974" s="76"/>
      <c r="N974" s="76"/>
      <c r="O974" s="78"/>
      <c r="P974" s="78"/>
      <c r="Q974" s="63"/>
    </row>
    <row r="975" spans="1:17" ht="17.25" customHeight="1" x14ac:dyDescent="0.2">
      <c r="A975" s="75"/>
      <c r="B975" s="63"/>
      <c r="C975" s="63"/>
      <c r="D975" s="76"/>
      <c r="E975" s="75"/>
      <c r="F975" s="76"/>
      <c r="G975" s="79"/>
      <c r="H975" s="79"/>
      <c r="I975" s="75"/>
      <c r="J975" s="63"/>
      <c r="K975" s="63"/>
      <c r="L975" s="80"/>
      <c r="M975" s="76"/>
      <c r="N975" s="76"/>
      <c r="O975" s="78"/>
      <c r="P975" s="78"/>
      <c r="Q975" s="63"/>
    </row>
    <row r="976" spans="1:17" ht="17.25" customHeight="1" x14ac:dyDescent="0.2">
      <c r="A976" s="75"/>
      <c r="B976" s="63"/>
      <c r="C976" s="63"/>
      <c r="D976" s="76"/>
      <c r="E976" s="75"/>
      <c r="F976" s="76"/>
      <c r="G976" s="79"/>
      <c r="H976" s="79"/>
      <c r="I976" s="75"/>
      <c r="J976" s="63"/>
      <c r="K976" s="63"/>
      <c r="L976" s="80"/>
      <c r="M976" s="76"/>
      <c r="N976" s="76"/>
      <c r="O976" s="78"/>
      <c r="P976" s="78"/>
      <c r="Q976" s="63"/>
    </row>
    <row r="977" spans="1:17" ht="17.25" customHeight="1" x14ac:dyDescent="0.2">
      <c r="A977" s="75"/>
      <c r="B977" s="63"/>
      <c r="C977" s="63"/>
      <c r="D977" s="76"/>
      <c r="E977" s="75"/>
      <c r="F977" s="76"/>
      <c r="G977" s="79"/>
      <c r="H977" s="79"/>
      <c r="I977" s="75"/>
      <c r="J977" s="63"/>
      <c r="K977" s="63"/>
      <c r="L977" s="80"/>
      <c r="M977" s="76"/>
      <c r="N977" s="76"/>
      <c r="O977" s="78"/>
      <c r="P977" s="78"/>
      <c r="Q977" s="63"/>
    </row>
    <row r="978" spans="1:17" ht="17.25" customHeight="1" x14ac:dyDescent="0.2">
      <c r="A978" s="75"/>
      <c r="B978" s="63"/>
      <c r="C978" s="63"/>
      <c r="D978" s="76"/>
      <c r="E978" s="75"/>
      <c r="F978" s="76"/>
      <c r="G978" s="79"/>
      <c r="H978" s="79"/>
      <c r="I978" s="75"/>
      <c r="J978" s="63"/>
      <c r="K978" s="63"/>
      <c r="L978" s="80"/>
      <c r="M978" s="76"/>
      <c r="N978" s="76"/>
      <c r="O978" s="78"/>
      <c r="P978" s="78"/>
      <c r="Q978" s="63"/>
    </row>
    <row r="979" spans="1:17" ht="17.25" customHeight="1" x14ac:dyDescent="0.2">
      <c r="A979" s="75"/>
      <c r="B979" s="63"/>
      <c r="C979" s="63"/>
      <c r="D979" s="76"/>
      <c r="E979" s="75"/>
      <c r="F979" s="76"/>
      <c r="G979" s="79"/>
      <c r="H979" s="79"/>
      <c r="I979" s="75"/>
      <c r="J979" s="63"/>
      <c r="K979" s="63"/>
      <c r="L979" s="80"/>
      <c r="M979" s="76"/>
      <c r="N979" s="76"/>
      <c r="O979" s="78"/>
      <c r="P979" s="78"/>
      <c r="Q979" s="63"/>
    </row>
    <row r="980" spans="1:17" ht="17.25" customHeight="1" x14ac:dyDescent="0.2">
      <c r="A980" s="75"/>
      <c r="B980" s="63"/>
      <c r="C980" s="63"/>
      <c r="D980" s="76"/>
      <c r="E980" s="75"/>
      <c r="F980" s="76"/>
      <c r="G980" s="79"/>
      <c r="H980" s="79"/>
      <c r="I980" s="75"/>
      <c r="J980" s="63"/>
      <c r="K980" s="63"/>
      <c r="L980" s="80"/>
      <c r="M980" s="76"/>
      <c r="N980" s="76"/>
      <c r="O980" s="78"/>
      <c r="P980" s="78"/>
      <c r="Q980" s="63"/>
    </row>
    <row r="981" spans="1:17" ht="17.25" customHeight="1" x14ac:dyDescent="0.2">
      <c r="A981" s="75"/>
      <c r="B981" s="63"/>
      <c r="C981" s="63"/>
      <c r="D981" s="76"/>
      <c r="E981" s="75"/>
      <c r="F981" s="76"/>
      <c r="G981" s="79"/>
      <c r="H981" s="79"/>
      <c r="I981" s="75"/>
      <c r="J981" s="63"/>
      <c r="K981" s="63"/>
      <c r="L981" s="80"/>
      <c r="M981" s="76"/>
      <c r="N981" s="76"/>
      <c r="O981" s="78"/>
      <c r="P981" s="78"/>
      <c r="Q981" s="63"/>
    </row>
    <row r="982" spans="1:17" ht="17.25" customHeight="1" x14ac:dyDescent="0.2">
      <c r="A982" s="75"/>
      <c r="B982" s="63"/>
      <c r="C982" s="63"/>
      <c r="D982" s="76"/>
      <c r="E982" s="75"/>
      <c r="F982" s="76"/>
      <c r="G982" s="79"/>
      <c r="H982" s="79"/>
      <c r="I982" s="75"/>
      <c r="J982" s="63"/>
      <c r="K982" s="63"/>
      <c r="L982" s="80"/>
      <c r="M982" s="76"/>
      <c r="N982" s="76"/>
      <c r="O982" s="78"/>
      <c r="P982" s="78"/>
      <c r="Q982" s="63"/>
    </row>
    <row r="983" spans="1:17" ht="17.25" customHeight="1" x14ac:dyDescent="0.2">
      <c r="A983" s="75"/>
      <c r="B983" s="63"/>
      <c r="C983" s="63"/>
      <c r="D983" s="76"/>
      <c r="E983" s="75"/>
      <c r="F983" s="76"/>
      <c r="G983" s="79"/>
      <c r="H983" s="79"/>
      <c r="I983" s="75"/>
      <c r="J983" s="63"/>
      <c r="K983" s="63"/>
      <c r="L983" s="80"/>
      <c r="M983" s="76"/>
      <c r="N983" s="76"/>
      <c r="O983" s="78"/>
      <c r="P983" s="78"/>
      <c r="Q983" s="63"/>
    </row>
    <row r="984" spans="1:17" ht="17.25" customHeight="1" x14ac:dyDescent="0.2">
      <c r="A984" s="75"/>
      <c r="B984" s="63"/>
      <c r="C984" s="63"/>
      <c r="D984" s="76"/>
      <c r="E984" s="75"/>
      <c r="F984" s="76"/>
      <c r="G984" s="79"/>
      <c r="H984" s="79"/>
      <c r="I984" s="75"/>
      <c r="J984" s="63"/>
      <c r="K984" s="63"/>
      <c r="L984" s="80"/>
      <c r="M984" s="76"/>
      <c r="N984" s="76"/>
      <c r="O984" s="78"/>
      <c r="P984" s="78"/>
      <c r="Q984" s="63"/>
    </row>
    <row r="985" spans="1:17" ht="17.25" customHeight="1" x14ac:dyDescent="0.2">
      <c r="A985" s="75"/>
      <c r="B985" s="63"/>
      <c r="C985" s="63"/>
      <c r="D985" s="76"/>
      <c r="E985" s="75"/>
      <c r="F985" s="76"/>
      <c r="G985" s="79"/>
      <c r="H985" s="79"/>
      <c r="I985" s="75"/>
      <c r="J985" s="63"/>
      <c r="K985" s="63"/>
      <c r="L985" s="80"/>
      <c r="M985" s="76"/>
      <c r="N985" s="76"/>
      <c r="O985" s="78"/>
      <c r="P985" s="78"/>
      <c r="Q985" s="63"/>
    </row>
    <row r="986" spans="1:17" ht="17.25" customHeight="1" x14ac:dyDescent="0.2">
      <c r="A986" s="75"/>
      <c r="B986" s="63"/>
      <c r="C986" s="63"/>
      <c r="D986" s="76"/>
      <c r="E986" s="75"/>
      <c r="F986" s="76"/>
      <c r="G986" s="79"/>
      <c r="H986" s="79"/>
      <c r="I986" s="75"/>
      <c r="J986" s="63"/>
      <c r="K986" s="63"/>
      <c r="L986" s="80"/>
      <c r="M986" s="76"/>
      <c r="N986" s="76"/>
      <c r="O986" s="78"/>
      <c r="P986" s="78"/>
      <c r="Q986" s="63"/>
    </row>
    <row r="987" spans="1:17" ht="17.25" customHeight="1" x14ac:dyDescent="0.2">
      <c r="A987" s="75"/>
      <c r="B987" s="63"/>
      <c r="C987" s="63"/>
      <c r="D987" s="76"/>
      <c r="E987" s="75"/>
      <c r="F987" s="76"/>
      <c r="G987" s="79"/>
      <c r="H987" s="79"/>
      <c r="I987" s="75"/>
      <c r="J987" s="63"/>
      <c r="K987" s="63"/>
      <c r="L987" s="80"/>
      <c r="M987" s="76"/>
      <c r="N987" s="76"/>
      <c r="O987" s="78"/>
      <c r="P987" s="78"/>
      <c r="Q987" s="63"/>
    </row>
    <row r="988" spans="1:17" ht="17.25" customHeight="1" x14ac:dyDescent="0.2">
      <c r="A988" s="75"/>
      <c r="B988" s="63"/>
      <c r="C988" s="63"/>
      <c r="D988" s="76"/>
      <c r="E988" s="75"/>
      <c r="F988" s="76"/>
      <c r="G988" s="79"/>
      <c r="H988" s="79"/>
      <c r="I988" s="75"/>
      <c r="J988" s="63"/>
      <c r="K988" s="63"/>
      <c r="L988" s="80"/>
      <c r="M988" s="76"/>
      <c r="N988" s="76"/>
      <c r="O988" s="78"/>
      <c r="P988" s="78"/>
      <c r="Q988" s="63"/>
    </row>
    <row r="989" spans="1:17" ht="17.25" customHeight="1" x14ac:dyDescent="0.2">
      <c r="A989" s="75"/>
      <c r="B989" s="63"/>
      <c r="C989" s="63"/>
      <c r="D989" s="76"/>
      <c r="E989" s="75"/>
      <c r="F989" s="76"/>
      <c r="G989" s="79"/>
      <c r="H989" s="79"/>
      <c r="I989" s="75"/>
      <c r="J989" s="63"/>
      <c r="K989" s="57"/>
      <c r="L989" s="80"/>
      <c r="M989" s="76"/>
      <c r="N989" s="76"/>
      <c r="O989" s="78"/>
      <c r="P989" s="78"/>
      <c r="Q989" s="63"/>
    </row>
  </sheetData>
  <mergeCells count="2">
    <mergeCell ref="Q259:Q264"/>
    <mergeCell ref="Q288:Q28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3A53-F419-1D4A-BCAF-81D899D7C33F}">
  <dimension ref="A1:Z666"/>
  <sheetViews>
    <sheetView tabSelected="1" topLeftCell="A490" workbookViewId="0">
      <selection activeCell="B524" sqref="B524"/>
    </sheetView>
  </sheetViews>
  <sheetFormatPr baseColWidth="10" defaultRowHeight="15" x14ac:dyDescent="0.2"/>
  <cols>
    <col min="1" max="1" width="11" bestFit="1" customWidth="1"/>
    <col min="2" max="2" width="12.83203125" bestFit="1" customWidth="1"/>
    <col min="4" max="5" width="11" bestFit="1" customWidth="1"/>
    <col min="6" max="6" width="9.5" bestFit="1" customWidth="1"/>
    <col min="7" max="7" width="20" bestFit="1" customWidth="1"/>
    <col min="8" max="8" width="15.5" bestFit="1" customWidth="1"/>
    <col min="9" max="9" width="11" bestFit="1" customWidth="1"/>
    <col min="12" max="13" width="11" bestFit="1" customWidth="1"/>
    <col min="14" max="14" width="14.5" bestFit="1" customWidth="1"/>
    <col min="15" max="16" width="11" bestFit="1" customWidth="1"/>
    <col min="17" max="17" width="52.33203125" customWidth="1"/>
  </cols>
  <sheetData>
    <row r="1" spans="1:25" ht="16" x14ac:dyDescent="0.2">
      <c r="A1" s="218" t="s">
        <v>0</v>
      </c>
      <c r="B1" s="218" t="s">
        <v>108</v>
      </c>
      <c r="C1" s="218" t="s">
        <v>1</v>
      </c>
      <c r="D1" s="218" t="s">
        <v>109</v>
      </c>
      <c r="E1" s="218" t="s">
        <v>110</v>
      </c>
      <c r="F1" s="218" t="s">
        <v>3</v>
      </c>
      <c r="G1" s="218" t="s">
        <v>111</v>
      </c>
      <c r="H1" s="218" t="s">
        <v>112</v>
      </c>
      <c r="I1" s="218" t="s">
        <v>113</v>
      </c>
      <c r="J1" s="218" t="s">
        <v>114</v>
      </c>
      <c r="K1" s="218" t="s">
        <v>115</v>
      </c>
      <c r="L1" s="218" t="s">
        <v>1474</v>
      </c>
      <c r="M1" s="218" t="s">
        <v>117</v>
      </c>
      <c r="N1" s="218" t="s">
        <v>4</v>
      </c>
      <c r="O1" s="218" t="s">
        <v>7</v>
      </c>
      <c r="P1" s="218" t="s">
        <v>118</v>
      </c>
      <c r="Q1" s="218" t="s">
        <v>119</v>
      </c>
      <c r="R1" s="222" t="s">
        <v>2070</v>
      </c>
      <c r="S1" s="217"/>
      <c r="T1" s="217"/>
      <c r="U1" s="217"/>
      <c r="V1" s="217"/>
      <c r="W1" s="217"/>
      <c r="X1" s="217"/>
      <c r="Y1" s="217"/>
    </row>
    <row r="2" spans="1:25" ht="16" x14ac:dyDescent="0.2">
      <c r="A2" s="219">
        <v>2787</v>
      </c>
      <c r="B2" s="219" t="s">
        <v>123</v>
      </c>
      <c r="C2" s="219" t="s">
        <v>57</v>
      </c>
      <c r="D2" s="219">
        <v>0</v>
      </c>
      <c r="E2" s="219">
        <v>0</v>
      </c>
      <c r="F2" s="217"/>
      <c r="G2" s="220">
        <v>46062.744444444441</v>
      </c>
      <c r="H2" s="220">
        <v>46062.747916666667</v>
      </c>
      <c r="I2" s="217"/>
      <c r="J2" s="217"/>
      <c r="K2" s="217"/>
      <c r="L2" s="217"/>
      <c r="M2" s="217"/>
      <c r="N2" s="217"/>
      <c r="O2" s="217"/>
      <c r="P2" s="217"/>
      <c r="Q2" s="219" t="s">
        <v>1475</v>
      </c>
      <c r="R2" s="217"/>
      <c r="S2" s="217"/>
      <c r="T2" s="217"/>
      <c r="U2" s="217"/>
      <c r="V2" s="217"/>
      <c r="W2" s="217"/>
      <c r="X2" s="217"/>
      <c r="Y2" s="217"/>
    </row>
    <row r="3" spans="1:25" ht="16" x14ac:dyDescent="0.2">
      <c r="A3" s="219">
        <v>2788</v>
      </c>
      <c r="B3" s="219" t="s">
        <v>123</v>
      </c>
      <c r="C3" s="219" t="s">
        <v>57</v>
      </c>
      <c r="D3" s="219">
        <v>0</v>
      </c>
      <c r="E3" s="219">
        <v>0</v>
      </c>
      <c r="F3" s="217"/>
      <c r="G3" s="220">
        <v>46062.754861111112</v>
      </c>
      <c r="H3" s="220">
        <v>46063.379861111112</v>
      </c>
      <c r="I3" s="217"/>
      <c r="J3" s="217"/>
      <c r="K3" s="217"/>
      <c r="L3" s="217"/>
      <c r="M3" s="217"/>
      <c r="N3" s="217"/>
      <c r="O3" s="217"/>
      <c r="P3" s="217"/>
      <c r="Q3" s="219" t="s">
        <v>1476</v>
      </c>
      <c r="R3" s="217"/>
      <c r="S3" s="217"/>
      <c r="T3" s="217"/>
      <c r="U3" s="217"/>
      <c r="V3" s="217"/>
      <c r="W3" s="217"/>
      <c r="X3" s="217"/>
      <c r="Y3" s="217"/>
    </row>
    <row r="4" spans="1:25" ht="16" x14ac:dyDescent="0.2">
      <c r="A4" s="219">
        <v>2789</v>
      </c>
      <c r="B4" s="219" t="s">
        <v>123</v>
      </c>
      <c r="C4" s="219" t="s">
        <v>60</v>
      </c>
      <c r="D4" s="219">
        <v>0</v>
      </c>
      <c r="E4" s="219">
        <v>0</v>
      </c>
      <c r="F4" s="217"/>
      <c r="G4" s="220">
        <v>46063.452777777777</v>
      </c>
      <c r="H4" s="220">
        <v>46063.470138888886</v>
      </c>
      <c r="I4" s="217"/>
      <c r="J4" s="217"/>
      <c r="K4" s="217"/>
      <c r="L4" s="217"/>
      <c r="M4" s="217"/>
      <c r="N4" s="217"/>
      <c r="O4" s="217"/>
      <c r="P4" s="217"/>
      <c r="Q4" s="219" t="s">
        <v>1475</v>
      </c>
      <c r="R4" s="217"/>
      <c r="S4" s="217"/>
      <c r="T4" s="217"/>
      <c r="U4" s="217"/>
      <c r="V4" s="217"/>
      <c r="W4" s="217"/>
      <c r="X4" s="217"/>
      <c r="Y4" s="217"/>
    </row>
    <row r="5" spans="1:25" ht="16" x14ac:dyDescent="0.2">
      <c r="A5" s="219">
        <v>2790</v>
      </c>
      <c r="B5" s="219" t="s">
        <v>123</v>
      </c>
      <c r="C5" s="219" t="s">
        <v>60</v>
      </c>
      <c r="D5" s="219">
        <v>0</v>
      </c>
      <c r="E5" s="219">
        <v>0</v>
      </c>
      <c r="F5" s="217"/>
      <c r="G5" s="220">
        <v>46063.48541666667</v>
      </c>
      <c r="H5" s="220">
        <v>46063.636805555558</v>
      </c>
      <c r="I5" s="217"/>
      <c r="J5" s="217"/>
      <c r="K5" s="217"/>
      <c r="L5" s="217"/>
      <c r="M5" s="217"/>
      <c r="N5" s="217"/>
      <c r="O5" s="217"/>
      <c r="P5" s="217"/>
      <c r="Q5" s="219" t="s">
        <v>1476</v>
      </c>
      <c r="R5" s="217"/>
      <c r="S5" s="217"/>
      <c r="T5" s="217"/>
      <c r="U5" s="217"/>
      <c r="V5" s="217"/>
      <c r="W5" s="217"/>
      <c r="X5" s="217"/>
      <c r="Y5" s="217"/>
    </row>
    <row r="6" spans="1:25" ht="16" x14ac:dyDescent="0.2">
      <c r="A6" s="219">
        <v>2791</v>
      </c>
      <c r="B6" s="219" t="s">
        <v>123</v>
      </c>
      <c r="C6" s="219" t="s">
        <v>1477</v>
      </c>
      <c r="D6" s="219">
        <v>139.41</v>
      </c>
      <c r="E6" s="219">
        <v>2621</v>
      </c>
      <c r="F6" s="219">
        <v>140.69999999999999</v>
      </c>
      <c r="G6" s="220">
        <v>46064.46875</v>
      </c>
      <c r="H6" s="219" t="s">
        <v>1526</v>
      </c>
      <c r="I6" s="219">
        <v>130</v>
      </c>
      <c r="J6" s="217"/>
      <c r="K6" s="219" t="s">
        <v>1478</v>
      </c>
      <c r="L6" s="219">
        <v>1343</v>
      </c>
      <c r="M6" s="219">
        <v>36.6</v>
      </c>
      <c r="N6" s="219">
        <v>60887.43</v>
      </c>
      <c r="O6" s="219">
        <v>2.1999999999999999E-2</v>
      </c>
      <c r="P6" s="219">
        <v>1E-3</v>
      </c>
      <c r="Q6" s="217"/>
      <c r="R6" s="217"/>
      <c r="S6" s="217"/>
      <c r="T6" s="217"/>
      <c r="U6" s="217"/>
      <c r="V6" s="217"/>
      <c r="W6" s="217"/>
      <c r="X6" s="217"/>
      <c r="Y6" s="217"/>
    </row>
    <row r="7" spans="1:25" ht="16" x14ac:dyDescent="0.2">
      <c r="A7" s="219">
        <v>2792</v>
      </c>
      <c r="B7" s="219" t="s">
        <v>123</v>
      </c>
      <c r="C7" s="219" t="s">
        <v>1477</v>
      </c>
      <c r="D7" s="219">
        <v>142.41</v>
      </c>
      <c r="E7" s="219">
        <v>2621</v>
      </c>
      <c r="F7" s="219">
        <v>143.6</v>
      </c>
      <c r="G7" s="219" t="s">
        <v>1527</v>
      </c>
      <c r="H7" s="219" t="s">
        <v>1528</v>
      </c>
      <c r="I7" s="219">
        <v>124</v>
      </c>
      <c r="J7" s="217"/>
      <c r="K7" s="219" t="s">
        <v>1478</v>
      </c>
      <c r="L7" s="219">
        <v>1002</v>
      </c>
      <c r="M7" s="219">
        <v>31.7</v>
      </c>
      <c r="N7" s="219">
        <v>33405.94</v>
      </c>
      <c r="O7" s="219">
        <v>0.03</v>
      </c>
      <c r="P7" s="219">
        <v>1E-3</v>
      </c>
      <c r="Q7" s="217"/>
      <c r="R7" s="217"/>
      <c r="S7" s="217"/>
      <c r="T7" s="217"/>
      <c r="U7" s="217"/>
      <c r="V7" s="217"/>
      <c r="W7" s="217"/>
      <c r="X7" s="217"/>
      <c r="Y7" s="217"/>
    </row>
    <row r="8" spans="1:25" ht="16" x14ac:dyDescent="0.2">
      <c r="A8" s="219">
        <v>2793</v>
      </c>
      <c r="B8" s="219" t="s">
        <v>123</v>
      </c>
      <c r="C8" s="219" t="s">
        <v>1477</v>
      </c>
      <c r="D8" s="219">
        <v>145.41</v>
      </c>
      <c r="E8" s="219">
        <v>2621</v>
      </c>
      <c r="F8" s="219">
        <v>146.6</v>
      </c>
      <c r="G8" s="219" t="s">
        <v>1529</v>
      </c>
      <c r="H8" s="219" t="s">
        <v>1530</v>
      </c>
      <c r="I8" s="219">
        <v>123</v>
      </c>
      <c r="J8" s="217"/>
      <c r="K8" s="219" t="s">
        <v>1478</v>
      </c>
      <c r="L8" s="219">
        <v>1012</v>
      </c>
      <c r="M8" s="219">
        <v>31.8</v>
      </c>
      <c r="N8" s="219">
        <v>25697.599999999999</v>
      </c>
      <c r="O8" s="219">
        <v>3.9E-2</v>
      </c>
      <c r="P8" s="219">
        <v>1E-3</v>
      </c>
      <c r="Q8" s="217"/>
      <c r="R8" s="217"/>
      <c r="S8" s="217"/>
      <c r="T8" s="217"/>
      <c r="U8" s="217"/>
      <c r="V8" s="217"/>
      <c r="W8" s="217"/>
      <c r="X8" s="217"/>
      <c r="Y8" s="217"/>
    </row>
    <row r="9" spans="1:25" ht="16" x14ac:dyDescent="0.2">
      <c r="A9" s="219">
        <v>2794</v>
      </c>
      <c r="B9" s="219" t="s">
        <v>123</v>
      </c>
      <c r="C9" s="219" t="s">
        <v>1477</v>
      </c>
      <c r="D9" s="219">
        <v>148.41</v>
      </c>
      <c r="E9" s="219">
        <v>2621</v>
      </c>
      <c r="F9" s="219">
        <v>149.6</v>
      </c>
      <c r="G9" s="219" t="s">
        <v>1531</v>
      </c>
      <c r="H9" s="219" t="s">
        <v>1532</v>
      </c>
      <c r="I9" s="219">
        <v>122</v>
      </c>
      <c r="J9" s="217"/>
      <c r="K9" s="219" t="s">
        <v>1478</v>
      </c>
      <c r="L9" s="219">
        <v>1017</v>
      </c>
      <c r="M9" s="219">
        <v>31.9</v>
      </c>
      <c r="N9" s="219">
        <v>17054.48</v>
      </c>
      <c r="O9" s="219">
        <v>0.06</v>
      </c>
      <c r="P9" s="219">
        <v>2E-3</v>
      </c>
      <c r="Q9" s="217"/>
      <c r="R9" s="217"/>
      <c r="S9" s="217"/>
      <c r="T9" s="217"/>
      <c r="U9" s="217"/>
      <c r="V9" s="217"/>
      <c r="W9" s="217"/>
      <c r="X9" s="217"/>
      <c r="Y9" s="217"/>
    </row>
    <row r="10" spans="1:25" ht="16" x14ac:dyDescent="0.2">
      <c r="A10" s="219">
        <v>2795</v>
      </c>
      <c r="B10" s="219" t="s">
        <v>123</v>
      </c>
      <c r="C10" s="219" t="s">
        <v>1477</v>
      </c>
      <c r="D10" s="219">
        <v>151.41</v>
      </c>
      <c r="E10" s="219">
        <v>2621</v>
      </c>
      <c r="F10" s="219">
        <v>152.6</v>
      </c>
      <c r="G10" s="219" t="s">
        <v>1533</v>
      </c>
      <c r="H10" s="219" t="s">
        <v>1534</v>
      </c>
      <c r="I10" s="219">
        <v>137</v>
      </c>
      <c r="J10" s="217"/>
      <c r="K10" s="219" t="s">
        <v>1478</v>
      </c>
      <c r="L10" s="219">
        <v>1121</v>
      </c>
      <c r="M10" s="219">
        <v>33.5</v>
      </c>
      <c r="N10" s="219">
        <v>12375.47</v>
      </c>
      <c r="O10" s="219">
        <v>9.0999999999999998E-2</v>
      </c>
      <c r="P10" s="219">
        <v>3.0000000000000001E-3</v>
      </c>
      <c r="Q10" s="217"/>
      <c r="R10" s="217"/>
      <c r="S10" s="217"/>
      <c r="T10" s="217"/>
      <c r="U10" s="217"/>
      <c r="V10" s="217"/>
      <c r="W10" s="217"/>
      <c r="X10" s="217"/>
      <c r="Y10" s="217"/>
    </row>
    <row r="11" spans="1:25" ht="16" x14ac:dyDescent="0.2">
      <c r="A11" s="219">
        <v>2796</v>
      </c>
      <c r="B11" s="219" t="s">
        <v>123</v>
      </c>
      <c r="C11" s="219" t="s">
        <v>1477</v>
      </c>
      <c r="D11" s="219">
        <v>154.41</v>
      </c>
      <c r="E11" s="219">
        <v>2621</v>
      </c>
      <c r="F11" s="219">
        <v>155.6</v>
      </c>
      <c r="G11" s="219" t="s">
        <v>1535</v>
      </c>
      <c r="H11" s="219" t="s">
        <v>1536</v>
      </c>
      <c r="I11" s="219">
        <v>135</v>
      </c>
      <c r="J11" s="217"/>
      <c r="K11" s="219" t="s">
        <v>1478</v>
      </c>
      <c r="L11" s="219">
        <v>1041</v>
      </c>
      <c r="M11" s="219">
        <v>32.299999999999997</v>
      </c>
      <c r="N11" s="219">
        <v>6509.11</v>
      </c>
      <c r="O11" s="219">
        <v>0.16</v>
      </c>
      <c r="P11" s="219">
        <v>5.0000000000000001E-3</v>
      </c>
      <c r="Q11" s="217"/>
      <c r="R11" s="217"/>
      <c r="S11" s="217"/>
      <c r="T11" s="217"/>
      <c r="U11" s="217"/>
      <c r="V11" s="217"/>
      <c r="W11" s="217"/>
      <c r="X11" s="217"/>
      <c r="Y11" s="217"/>
    </row>
    <row r="12" spans="1:25" ht="16" x14ac:dyDescent="0.2">
      <c r="A12" s="219">
        <v>2797</v>
      </c>
      <c r="B12" s="219" t="s">
        <v>123</v>
      </c>
      <c r="C12" s="219" t="s">
        <v>1477</v>
      </c>
      <c r="D12" s="219">
        <v>157.41</v>
      </c>
      <c r="E12" s="219">
        <v>2621</v>
      </c>
      <c r="F12" s="219">
        <v>158.5</v>
      </c>
      <c r="G12" s="219" t="s">
        <v>1537</v>
      </c>
      <c r="H12" s="219" t="s">
        <v>1538</v>
      </c>
      <c r="I12" s="219">
        <v>133</v>
      </c>
      <c r="J12" s="217"/>
      <c r="K12" s="219" t="s">
        <v>1478</v>
      </c>
      <c r="L12" s="219">
        <v>2115</v>
      </c>
      <c r="M12" s="219">
        <v>46</v>
      </c>
      <c r="N12" s="219">
        <v>6810.02</v>
      </c>
      <c r="O12" s="219">
        <v>0.311</v>
      </c>
      <c r="P12" s="219">
        <v>7.0000000000000001E-3</v>
      </c>
      <c r="Q12" s="217"/>
      <c r="R12" s="217"/>
      <c r="S12" s="217"/>
      <c r="T12" s="217"/>
      <c r="U12" s="217"/>
      <c r="V12" s="217"/>
      <c r="W12" s="217"/>
      <c r="X12" s="217"/>
      <c r="Y12" s="217"/>
    </row>
    <row r="13" spans="1:25" ht="16" x14ac:dyDescent="0.2">
      <c r="A13" s="219">
        <v>2798</v>
      </c>
      <c r="B13" s="219" t="s">
        <v>123</v>
      </c>
      <c r="C13" s="219" t="s">
        <v>1477</v>
      </c>
      <c r="D13" s="219">
        <v>160.41</v>
      </c>
      <c r="E13" s="219">
        <v>2621</v>
      </c>
      <c r="F13" s="219">
        <v>161.5</v>
      </c>
      <c r="G13" s="219" t="s">
        <v>1539</v>
      </c>
      <c r="H13" s="219" t="s">
        <v>1540</v>
      </c>
      <c r="I13" s="219">
        <v>130</v>
      </c>
      <c r="J13" s="217"/>
      <c r="K13" s="219" t="s">
        <v>1478</v>
      </c>
      <c r="L13" s="219">
        <v>3060</v>
      </c>
      <c r="M13" s="219">
        <v>55.3</v>
      </c>
      <c r="N13" s="219">
        <v>3672.28</v>
      </c>
      <c r="O13" s="219">
        <v>0.83299999999999996</v>
      </c>
      <c r="P13" s="219">
        <v>1.4999999999999999E-2</v>
      </c>
      <c r="Q13" s="217"/>
      <c r="R13" s="217"/>
      <c r="S13" s="217"/>
      <c r="T13" s="217"/>
      <c r="U13" s="217"/>
      <c r="V13" s="217"/>
      <c r="W13" s="217"/>
      <c r="X13" s="217"/>
      <c r="Y13" s="217"/>
    </row>
    <row r="14" spans="1:25" ht="16" x14ac:dyDescent="0.2">
      <c r="A14" s="219">
        <v>2799</v>
      </c>
      <c r="B14" s="219" t="s">
        <v>123</v>
      </c>
      <c r="C14" s="219" t="s">
        <v>1477</v>
      </c>
      <c r="D14" s="219">
        <v>163.41</v>
      </c>
      <c r="E14" s="219">
        <v>2621</v>
      </c>
      <c r="F14" s="219">
        <v>164.5</v>
      </c>
      <c r="G14" s="219" t="s">
        <v>1541</v>
      </c>
      <c r="H14" s="219" t="s">
        <v>1542</v>
      </c>
      <c r="I14" s="219">
        <v>128</v>
      </c>
      <c r="J14" s="217"/>
      <c r="K14" s="219" t="s">
        <v>1478</v>
      </c>
      <c r="L14" s="219">
        <v>3440</v>
      </c>
      <c r="M14" s="219">
        <v>58.7</v>
      </c>
      <c r="N14" s="219">
        <v>2045.64</v>
      </c>
      <c r="O14" s="219">
        <v>1.6819999999999999</v>
      </c>
      <c r="P14" s="219">
        <v>2.9000000000000001E-2</v>
      </c>
      <c r="Q14" s="217"/>
      <c r="R14" s="217"/>
      <c r="S14" s="217"/>
      <c r="T14" s="217"/>
      <c r="U14" s="217"/>
      <c r="V14" s="217"/>
      <c r="W14" s="217"/>
      <c r="X14" s="217"/>
      <c r="Y14" s="217"/>
    </row>
    <row r="15" spans="1:25" ht="16" x14ac:dyDescent="0.2">
      <c r="A15" s="219">
        <v>2800</v>
      </c>
      <c r="B15" s="219" t="s">
        <v>123</v>
      </c>
      <c r="C15" s="219" t="s">
        <v>1477</v>
      </c>
      <c r="D15" s="219">
        <v>166.41</v>
      </c>
      <c r="E15" s="219">
        <v>2621</v>
      </c>
      <c r="F15" s="219">
        <v>167.5</v>
      </c>
      <c r="G15" s="219" t="s">
        <v>1543</v>
      </c>
      <c r="H15" s="219" t="s">
        <v>1544</v>
      </c>
      <c r="I15" s="219">
        <v>124</v>
      </c>
      <c r="J15" s="217"/>
      <c r="K15" s="219" t="s">
        <v>1478</v>
      </c>
      <c r="L15" s="219">
        <v>4472</v>
      </c>
      <c r="M15" s="219">
        <v>66.900000000000006</v>
      </c>
      <c r="N15" s="219">
        <v>1986.67</v>
      </c>
      <c r="O15" s="219">
        <v>2.2509999999999999</v>
      </c>
      <c r="P15" s="219">
        <v>3.4000000000000002E-2</v>
      </c>
      <c r="Q15" s="217"/>
      <c r="R15" s="217"/>
      <c r="S15" s="217"/>
      <c r="T15" s="217"/>
      <c r="U15" s="217"/>
      <c r="V15" s="217"/>
      <c r="W15" s="217"/>
      <c r="X15" s="217"/>
      <c r="Y15" s="217"/>
    </row>
    <row r="16" spans="1:25" ht="16" x14ac:dyDescent="0.2">
      <c r="A16" s="219">
        <v>2801</v>
      </c>
      <c r="B16" s="219" t="s">
        <v>123</v>
      </c>
      <c r="C16" s="219" t="s">
        <v>1477</v>
      </c>
      <c r="D16" s="219">
        <v>169.41</v>
      </c>
      <c r="E16" s="219">
        <v>2621</v>
      </c>
      <c r="F16" s="219">
        <v>170.5</v>
      </c>
      <c r="G16" s="219" t="s">
        <v>1545</v>
      </c>
      <c r="H16" s="219" t="s">
        <v>1546</v>
      </c>
      <c r="I16" s="219">
        <v>114</v>
      </c>
      <c r="J16" s="217"/>
      <c r="K16" s="219" t="s">
        <v>1478</v>
      </c>
      <c r="L16" s="219">
        <v>5914</v>
      </c>
      <c r="M16" s="219">
        <v>76.900000000000006</v>
      </c>
      <c r="N16" s="219">
        <v>2440.19</v>
      </c>
      <c r="O16" s="219">
        <v>2.4239999999999999</v>
      </c>
      <c r="P16" s="219">
        <v>3.2000000000000001E-2</v>
      </c>
      <c r="Q16" s="217"/>
      <c r="R16" s="217"/>
      <c r="S16" s="217"/>
      <c r="T16" s="217"/>
      <c r="U16" s="217"/>
      <c r="V16" s="217"/>
      <c r="W16" s="217"/>
      <c r="X16" s="217"/>
      <c r="Y16" s="217"/>
    </row>
    <row r="17" spans="1:25" ht="16" x14ac:dyDescent="0.2">
      <c r="A17" s="219">
        <v>2802</v>
      </c>
      <c r="B17" s="219" t="s">
        <v>123</v>
      </c>
      <c r="C17" s="219" t="s">
        <v>1477</v>
      </c>
      <c r="D17" s="219">
        <v>172.41</v>
      </c>
      <c r="E17" s="219">
        <v>2621</v>
      </c>
      <c r="F17" s="219">
        <v>173.4</v>
      </c>
      <c r="G17" s="219" t="s">
        <v>1547</v>
      </c>
      <c r="H17" s="219" t="s">
        <v>1548</v>
      </c>
      <c r="I17" s="219">
        <v>125</v>
      </c>
      <c r="J17" s="217"/>
      <c r="K17" s="219" t="s">
        <v>1478</v>
      </c>
      <c r="L17" s="219">
        <v>9432</v>
      </c>
      <c r="M17" s="219">
        <v>97.1</v>
      </c>
      <c r="N17" s="219">
        <v>4562.96</v>
      </c>
      <c r="O17" s="219">
        <v>2.0670000000000002</v>
      </c>
      <c r="P17" s="219">
        <v>2.1000000000000001E-2</v>
      </c>
      <c r="Q17" s="217"/>
      <c r="R17" s="217"/>
      <c r="S17" s="217"/>
      <c r="T17" s="217"/>
      <c r="U17" s="217"/>
      <c r="V17" s="217"/>
      <c r="W17" s="217"/>
      <c r="X17" s="217"/>
      <c r="Y17" s="217"/>
    </row>
    <row r="18" spans="1:25" ht="16" x14ac:dyDescent="0.2">
      <c r="A18" s="219">
        <v>2803</v>
      </c>
      <c r="B18" s="219" t="s">
        <v>123</v>
      </c>
      <c r="C18" s="219" t="s">
        <v>1477</v>
      </c>
      <c r="D18" s="219">
        <v>175.41</v>
      </c>
      <c r="E18" s="219">
        <v>2621</v>
      </c>
      <c r="F18" s="219">
        <v>176.4</v>
      </c>
      <c r="G18" s="219" t="s">
        <v>1549</v>
      </c>
      <c r="H18" s="219" t="s">
        <v>1550</v>
      </c>
      <c r="I18" s="219">
        <v>115</v>
      </c>
      <c r="J18" s="217"/>
      <c r="K18" s="219" t="s">
        <v>1478</v>
      </c>
      <c r="L18" s="219">
        <v>4190</v>
      </c>
      <c r="M18" s="219">
        <v>64.7</v>
      </c>
      <c r="N18" s="219">
        <v>3393.42</v>
      </c>
      <c r="O18" s="219">
        <v>1.2350000000000001</v>
      </c>
      <c r="P18" s="219">
        <v>1.9E-2</v>
      </c>
      <c r="Q18" s="217"/>
      <c r="R18" s="217"/>
      <c r="S18" s="217"/>
      <c r="T18" s="217"/>
      <c r="U18" s="217"/>
      <c r="V18" s="217"/>
      <c r="W18" s="217"/>
      <c r="X18" s="217"/>
      <c r="Y18" s="217"/>
    </row>
    <row r="19" spans="1:25" ht="16" x14ac:dyDescent="0.2">
      <c r="A19" s="219">
        <v>2804</v>
      </c>
      <c r="B19" s="219" t="s">
        <v>123</v>
      </c>
      <c r="C19" s="219" t="s">
        <v>1477</v>
      </c>
      <c r="D19" s="219">
        <v>178.41</v>
      </c>
      <c r="E19" s="219">
        <v>2621</v>
      </c>
      <c r="F19" s="219">
        <v>179.4</v>
      </c>
      <c r="G19" s="219" t="s">
        <v>1551</v>
      </c>
      <c r="H19" s="219" t="s">
        <v>1552</v>
      </c>
      <c r="I19" s="219">
        <v>121</v>
      </c>
      <c r="J19" s="217"/>
      <c r="K19" s="219" t="s">
        <v>1478</v>
      </c>
      <c r="L19" s="219">
        <v>4734</v>
      </c>
      <c r="M19" s="219">
        <v>68.8</v>
      </c>
      <c r="N19" s="219">
        <v>7758.9</v>
      </c>
      <c r="O19" s="219">
        <v>0.61</v>
      </c>
      <c r="P19" s="219">
        <v>8.9999999999999993E-3</v>
      </c>
      <c r="Q19" s="217"/>
      <c r="R19" s="217"/>
      <c r="S19" s="217"/>
      <c r="T19" s="217"/>
      <c r="U19" s="217"/>
      <c r="V19" s="217"/>
      <c r="W19" s="217"/>
      <c r="X19" s="217"/>
      <c r="Y19" s="217"/>
    </row>
    <row r="20" spans="1:25" ht="16" x14ac:dyDescent="0.2">
      <c r="A20" s="219">
        <v>2805</v>
      </c>
      <c r="B20" s="219" t="s">
        <v>123</v>
      </c>
      <c r="C20" s="219" t="s">
        <v>1477</v>
      </c>
      <c r="D20" s="219">
        <v>181.41</v>
      </c>
      <c r="E20" s="219">
        <v>2621</v>
      </c>
      <c r="F20" s="219">
        <v>182.4</v>
      </c>
      <c r="G20" s="219" t="s">
        <v>1553</v>
      </c>
      <c r="H20" s="219" t="s">
        <v>1554</v>
      </c>
      <c r="I20" s="219">
        <v>114</v>
      </c>
      <c r="J20" s="217"/>
      <c r="K20" s="219" t="s">
        <v>1478</v>
      </c>
      <c r="L20" s="219">
        <v>1867</v>
      </c>
      <c r="M20" s="219">
        <v>43.2</v>
      </c>
      <c r="N20" s="219">
        <v>5182.6899999999996</v>
      </c>
      <c r="O20" s="219">
        <v>0.36</v>
      </c>
      <c r="P20" s="219">
        <v>8.0000000000000002E-3</v>
      </c>
      <c r="Q20" s="217"/>
      <c r="R20" s="217"/>
      <c r="S20" s="217"/>
      <c r="T20" s="217"/>
      <c r="U20" s="217"/>
      <c r="V20" s="217"/>
      <c r="W20" s="217"/>
      <c r="X20" s="217"/>
      <c r="Y20" s="217"/>
    </row>
    <row r="21" spans="1:25" ht="16" x14ac:dyDescent="0.2">
      <c r="A21" s="219">
        <v>2806</v>
      </c>
      <c r="B21" s="219" t="s">
        <v>123</v>
      </c>
      <c r="C21" s="219" t="s">
        <v>1477</v>
      </c>
      <c r="D21" s="219">
        <v>184.41</v>
      </c>
      <c r="E21" s="219">
        <v>2621</v>
      </c>
      <c r="F21" s="219">
        <v>185.4</v>
      </c>
      <c r="G21" s="219" t="s">
        <v>1555</v>
      </c>
      <c r="H21" s="219" t="s">
        <v>1556</v>
      </c>
      <c r="I21" s="219">
        <v>109</v>
      </c>
      <c r="J21" s="217"/>
      <c r="K21" s="219" t="s">
        <v>1478</v>
      </c>
      <c r="L21" s="219">
        <v>2340</v>
      </c>
      <c r="M21" s="219">
        <v>48.4</v>
      </c>
      <c r="N21" s="219">
        <v>9107.74</v>
      </c>
      <c r="O21" s="219">
        <v>0.25700000000000001</v>
      </c>
      <c r="P21" s="219">
        <v>5.0000000000000001E-3</v>
      </c>
      <c r="Q21" s="217"/>
      <c r="R21" s="217"/>
      <c r="S21" s="217"/>
      <c r="T21" s="217"/>
      <c r="U21" s="217"/>
      <c r="V21" s="217"/>
      <c r="W21" s="217"/>
      <c r="X21" s="217"/>
      <c r="Y21" s="217"/>
    </row>
    <row r="22" spans="1:25" ht="16" x14ac:dyDescent="0.2">
      <c r="A22" s="219">
        <v>2807</v>
      </c>
      <c r="B22" s="219" t="s">
        <v>123</v>
      </c>
      <c r="C22" s="219" t="s">
        <v>1477</v>
      </c>
      <c r="D22" s="219">
        <v>187.41</v>
      </c>
      <c r="E22" s="219">
        <v>2621</v>
      </c>
      <c r="F22" s="219">
        <v>188.3</v>
      </c>
      <c r="G22" s="219" t="s">
        <v>1557</v>
      </c>
      <c r="H22" s="219" t="s">
        <v>1558</v>
      </c>
      <c r="I22" s="219">
        <v>112</v>
      </c>
      <c r="J22" s="217"/>
      <c r="K22" s="219" t="s">
        <v>1478</v>
      </c>
      <c r="L22" s="219">
        <v>1550</v>
      </c>
      <c r="M22" s="219">
        <v>39.4</v>
      </c>
      <c r="N22" s="219">
        <v>7949.66</v>
      </c>
      <c r="O22" s="219">
        <v>0.19500000000000001</v>
      </c>
      <c r="P22" s="219">
        <v>5.0000000000000001E-3</v>
      </c>
      <c r="Q22" s="217"/>
      <c r="R22" s="217"/>
      <c r="S22" s="217"/>
      <c r="T22" s="217"/>
      <c r="U22" s="217"/>
      <c r="V22" s="217"/>
      <c r="W22" s="217"/>
      <c r="X22" s="217"/>
      <c r="Y22" s="217"/>
    </row>
    <row r="23" spans="1:25" ht="16" x14ac:dyDescent="0.2">
      <c r="A23" s="219">
        <v>2808</v>
      </c>
      <c r="B23" s="219" t="s">
        <v>123</v>
      </c>
      <c r="C23" s="219" t="s">
        <v>1477</v>
      </c>
      <c r="D23" s="219">
        <v>190.41</v>
      </c>
      <c r="E23" s="219">
        <v>2621</v>
      </c>
      <c r="F23" s="219">
        <v>191.3</v>
      </c>
      <c r="G23" s="219" t="s">
        <v>1559</v>
      </c>
      <c r="H23" s="219" t="s">
        <v>1560</v>
      </c>
      <c r="I23" s="219">
        <v>107</v>
      </c>
      <c r="J23" s="217"/>
      <c r="K23" s="219" t="s">
        <v>1478</v>
      </c>
      <c r="L23" s="219">
        <v>1416</v>
      </c>
      <c r="M23" s="219">
        <v>37.6</v>
      </c>
      <c r="N23" s="219">
        <v>8982.41</v>
      </c>
      <c r="O23" s="219">
        <v>0.158</v>
      </c>
      <c r="P23" s="219">
        <v>4.0000000000000001E-3</v>
      </c>
      <c r="Q23" s="217"/>
      <c r="R23" s="217"/>
      <c r="S23" s="217"/>
      <c r="T23" s="217"/>
      <c r="U23" s="217"/>
      <c r="V23" s="217"/>
      <c r="W23" s="217"/>
      <c r="X23" s="217"/>
      <c r="Y23" s="217"/>
    </row>
    <row r="24" spans="1:25" ht="16" x14ac:dyDescent="0.2">
      <c r="A24" s="219">
        <v>2809</v>
      </c>
      <c r="B24" s="219" t="s">
        <v>123</v>
      </c>
      <c r="C24" s="219" t="s">
        <v>1477</v>
      </c>
      <c r="D24" s="219">
        <v>193.41</v>
      </c>
      <c r="E24" s="219">
        <v>2621</v>
      </c>
      <c r="F24" s="219">
        <v>194.3</v>
      </c>
      <c r="G24" s="219" t="s">
        <v>1561</v>
      </c>
      <c r="H24" s="219" t="s">
        <v>1562</v>
      </c>
      <c r="I24" s="219">
        <v>103</v>
      </c>
      <c r="J24" s="217"/>
      <c r="K24" s="219" t="s">
        <v>1478</v>
      </c>
      <c r="L24" s="219">
        <v>2882</v>
      </c>
      <c r="M24" s="219">
        <v>53.7</v>
      </c>
      <c r="N24" s="219">
        <v>20731.7</v>
      </c>
      <c r="O24" s="219">
        <v>0.13900000000000001</v>
      </c>
      <c r="P24" s="219">
        <v>3.0000000000000001E-3</v>
      </c>
      <c r="Q24" s="217"/>
      <c r="R24" s="217"/>
      <c r="S24" s="217"/>
      <c r="T24" s="217"/>
      <c r="U24" s="217"/>
      <c r="V24" s="217"/>
      <c r="W24" s="217"/>
      <c r="X24" s="217"/>
      <c r="Y24" s="217"/>
    </row>
    <row r="25" spans="1:25" ht="16" x14ac:dyDescent="0.2">
      <c r="A25" s="219">
        <v>2810</v>
      </c>
      <c r="B25" s="219" t="s">
        <v>123</v>
      </c>
      <c r="C25" s="219" t="s">
        <v>1477</v>
      </c>
      <c r="D25" s="219">
        <v>196.41</v>
      </c>
      <c r="E25" s="219">
        <v>2621</v>
      </c>
      <c r="F25" s="219">
        <v>197.3</v>
      </c>
      <c r="G25" s="219" t="s">
        <v>1563</v>
      </c>
      <c r="H25" s="219" t="s">
        <v>1564</v>
      </c>
      <c r="I25" s="219">
        <v>97</v>
      </c>
      <c r="J25" s="217"/>
      <c r="K25" s="219" t="s">
        <v>1478</v>
      </c>
      <c r="L25" s="219">
        <v>2175</v>
      </c>
      <c r="M25" s="219">
        <v>46.6</v>
      </c>
      <c r="N25" s="219">
        <v>18799.88</v>
      </c>
      <c r="O25" s="219">
        <v>0.11600000000000001</v>
      </c>
      <c r="P25" s="219">
        <v>2E-3</v>
      </c>
      <c r="Q25" s="217"/>
      <c r="R25" s="217"/>
      <c r="S25" s="217"/>
      <c r="T25" s="217"/>
      <c r="U25" s="217"/>
      <c r="V25" s="217"/>
      <c r="W25" s="217"/>
      <c r="X25" s="217"/>
      <c r="Y25" s="217"/>
    </row>
    <row r="26" spans="1:25" ht="16" x14ac:dyDescent="0.2">
      <c r="A26" s="219">
        <v>2811</v>
      </c>
      <c r="B26" s="219" t="s">
        <v>123</v>
      </c>
      <c r="C26" s="219" t="s">
        <v>1477</v>
      </c>
      <c r="D26" s="219">
        <v>199.41</v>
      </c>
      <c r="E26" s="219">
        <v>2621</v>
      </c>
      <c r="F26" s="219">
        <v>200.3</v>
      </c>
      <c r="G26" s="219" t="s">
        <v>1565</v>
      </c>
      <c r="H26" s="219" t="s">
        <v>1566</v>
      </c>
      <c r="I26" s="219">
        <v>94</v>
      </c>
      <c r="J26" s="217"/>
      <c r="K26" s="219" t="s">
        <v>1478</v>
      </c>
      <c r="L26" s="219">
        <v>1393</v>
      </c>
      <c r="M26" s="219">
        <v>37.299999999999997</v>
      </c>
      <c r="N26" s="219">
        <v>13160.65</v>
      </c>
      <c r="O26" s="219">
        <v>0.106</v>
      </c>
      <c r="P26" s="219">
        <v>3.0000000000000001E-3</v>
      </c>
      <c r="Q26" s="217"/>
      <c r="R26" s="217"/>
      <c r="S26" s="217"/>
      <c r="T26" s="217"/>
      <c r="U26" s="217"/>
      <c r="V26" s="217"/>
      <c r="W26" s="217"/>
      <c r="X26" s="217"/>
      <c r="Y26" s="217"/>
    </row>
    <row r="27" spans="1:25" ht="16" x14ac:dyDescent="0.2">
      <c r="A27" s="219">
        <v>2812</v>
      </c>
      <c r="B27" s="219" t="s">
        <v>157</v>
      </c>
      <c r="C27" s="219" t="s">
        <v>1477</v>
      </c>
      <c r="D27" s="219">
        <v>169.41</v>
      </c>
      <c r="E27" s="219">
        <v>2621</v>
      </c>
      <c r="F27" s="219">
        <v>170.5</v>
      </c>
      <c r="G27" s="219" t="s">
        <v>1567</v>
      </c>
      <c r="H27" s="219" t="s">
        <v>1568</v>
      </c>
      <c r="I27" s="219">
        <v>140</v>
      </c>
      <c r="J27" s="217"/>
      <c r="K27" s="219" t="s">
        <v>1478</v>
      </c>
      <c r="L27" s="217"/>
      <c r="M27" s="219">
        <v>0</v>
      </c>
      <c r="N27" s="219">
        <v>1053580.05</v>
      </c>
      <c r="O27" s="219">
        <v>0</v>
      </c>
      <c r="P27" s="219">
        <v>0</v>
      </c>
      <c r="Q27" s="217"/>
      <c r="R27" s="217"/>
      <c r="S27" s="217"/>
      <c r="T27" s="217"/>
      <c r="U27" s="217"/>
      <c r="V27" s="217"/>
      <c r="W27" s="217"/>
      <c r="X27" s="217"/>
      <c r="Y27" s="217"/>
    </row>
    <row r="28" spans="1:25" ht="16" x14ac:dyDescent="0.2">
      <c r="A28" s="219">
        <v>2813</v>
      </c>
      <c r="B28" s="219" t="s">
        <v>123</v>
      </c>
      <c r="C28" s="219" t="s">
        <v>1479</v>
      </c>
      <c r="D28" s="219">
        <v>271.14</v>
      </c>
      <c r="E28" s="219">
        <v>1806</v>
      </c>
      <c r="F28" s="219">
        <v>270.7</v>
      </c>
      <c r="G28" s="219" t="s">
        <v>1569</v>
      </c>
      <c r="H28" s="219" t="s">
        <v>1570</v>
      </c>
      <c r="I28" s="219">
        <v>62</v>
      </c>
      <c r="J28" s="217"/>
      <c r="K28" s="219" t="s">
        <v>165</v>
      </c>
      <c r="L28" s="219">
        <v>899</v>
      </c>
      <c r="M28" s="219">
        <v>30</v>
      </c>
      <c r="N28" s="219">
        <v>15360.18</v>
      </c>
      <c r="O28" s="219">
        <v>5.8999999999999997E-2</v>
      </c>
      <c r="P28" s="219">
        <v>2E-3</v>
      </c>
      <c r="Q28" s="217"/>
      <c r="R28" s="217"/>
      <c r="S28" s="217"/>
      <c r="T28" s="217"/>
      <c r="U28" s="217"/>
      <c r="V28" s="217"/>
      <c r="W28" s="217"/>
      <c r="X28" s="217"/>
      <c r="Y28" s="217"/>
    </row>
    <row r="29" spans="1:25" ht="16" x14ac:dyDescent="0.2">
      <c r="A29" s="219">
        <v>2814</v>
      </c>
      <c r="B29" s="219" t="s">
        <v>123</v>
      </c>
      <c r="C29" s="219" t="s">
        <v>1479</v>
      </c>
      <c r="D29" s="219">
        <v>273.14999999999998</v>
      </c>
      <c r="E29" s="219">
        <v>1806</v>
      </c>
      <c r="F29" s="219">
        <v>272.7</v>
      </c>
      <c r="G29" s="219" t="s">
        <v>1571</v>
      </c>
      <c r="H29" s="219" t="s">
        <v>1572</v>
      </c>
      <c r="I29" s="219">
        <v>65</v>
      </c>
      <c r="J29" s="217"/>
      <c r="K29" s="219" t="s">
        <v>165</v>
      </c>
      <c r="L29" s="219">
        <v>837</v>
      </c>
      <c r="M29" s="219">
        <v>28.9</v>
      </c>
      <c r="N29" s="219">
        <v>9140.24</v>
      </c>
      <c r="O29" s="219">
        <v>9.1999999999999998E-2</v>
      </c>
      <c r="P29" s="219">
        <v>3.0000000000000001E-3</v>
      </c>
      <c r="Q29" s="217"/>
      <c r="R29" s="217"/>
      <c r="S29" s="217"/>
      <c r="T29" s="217"/>
      <c r="U29" s="217"/>
      <c r="V29" s="217"/>
      <c r="W29" s="217"/>
      <c r="X29" s="217"/>
      <c r="Y29" s="217"/>
    </row>
    <row r="30" spans="1:25" ht="16" x14ac:dyDescent="0.2">
      <c r="A30" s="219">
        <v>2815</v>
      </c>
      <c r="B30" s="219" t="s">
        <v>123</v>
      </c>
      <c r="C30" s="219" t="s">
        <v>1479</v>
      </c>
      <c r="D30" s="219">
        <v>275.16000000000003</v>
      </c>
      <c r="E30" s="219">
        <v>1806</v>
      </c>
      <c r="F30" s="219">
        <v>274.7</v>
      </c>
      <c r="G30" s="219" t="s">
        <v>1573</v>
      </c>
      <c r="H30" s="219" t="s">
        <v>1574</v>
      </c>
      <c r="I30" s="219">
        <v>66</v>
      </c>
      <c r="J30" s="217"/>
      <c r="K30" s="219" t="s">
        <v>165</v>
      </c>
      <c r="L30" s="219">
        <v>1081</v>
      </c>
      <c r="M30" s="219">
        <v>32.9</v>
      </c>
      <c r="N30" s="219">
        <v>6912.3</v>
      </c>
      <c r="O30" s="219">
        <v>0.156</v>
      </c>
      <c r="P30" s="219">
        <v>5.0000000000000001E-3</v>
      </c>
      <c r="Q30" s="217"/>
      <c r="R30" s="217"/>
      <c r="S30" s="217"/>
      <c r="T30" s="217"/>
      <c r="U30" s="217"/>
      <c r="V30" s="217"/>
      <c r="W30" s="217"/>
      <c r="X30" s="217"/>
      <c r="Y30" s="217"/>
    </row>
    <row r="31" spans="1:25" ht="16" x14ac:dyDescent="0.2">
      <c r="A31" s="219">
        <v>2816</v>
      </c>
      <c r="B31" s="219" t="s">
        <v>123</v>
      </c>
      <c r="C31" s="219" t="s">
        <v>1479</v>
      </c>
      <c r="D31" s="219">
        <v>276.17</v>
      </c>
      <c r="E31" s="219">
        <v>1806</v>
      </c>
      <c r="F31" s="219">
        <v>275.7</v>
      </c>
      <c r="G31" s="219" t="s">
        <v>1575</v>
      </c>
      <c r="H31" s="219" t="s">
        <v>1576</v>
      </c>
      <c r="I31" s="219">
        <v>66</v>
      </c>
      <c r="J31" s="217"/>
      <c r="K31" s="219" t="s">
        <v>165</v>
      </c>
      <c r="L31" s="219">
        <v>1934</v>
      </c>
      <c r="M31" s="219">
        <v>44</v>
      </c>
      <c r="N31" s="219">
        <v>7596.52</v>
      </c>
      <c r="O31" s="219">
        <v>0.255</v>
      </c>
      <c r="P31" s="219">
        <v>6.0000000000000001E-3</v>
      </c>
      <c r="Q31" s="217"/>
      <c r="R31" s="217"/>
      <c r="S31" s="217"/>
      <c r="T31" s="217"/>
      <c r="U31" s="217"/>
      <c r="V31" s="217"/>
      <c r="W31" s="217"/>
      <c r="X31" s="217"/>
      <c r="Y31" s="217"/>
    </row>
    <row r="32" spans="1:25" ht="16" x14ac:dyDescent="0.2">
      <c r="A32" s="219">
        <v>2817</v>
      </c>
      <c r="B32" s="219" t="s">
        <v>123</v>
      </c>
      <c r="C32" s="219" t="s">
        <v>1479</v>
      </c>
      <c r="D32" s="219">
        <v>277.18</v>
      </c>
      <c r="E32" s="219">
        <v>1806</v>
      </c>
      <c r="F32" s="219">
        <v>276.7</v>
      </c>
      <c r="G32" s="219" t="s">
        <v>1577</v>
      </c>
      <c r="H32" s="219" t="s">
        <v>1578</v>
      </c>
      <c r="I32" s="219">
        <v>66</v>
      </c>
      <c r="J32" s="217"/>
      <c r="K32" s="219" t="s">
        <v>165</v>
      </c>
      <c r="L32" s="219">
        <v>2442</v>
      </c>
      <c r="M32" s="219">
        <v>49.4</v>
      </c>
      <c r="N32" s="219">
        <v>5695.88</v>
      </c>
      <c r="O32" s="219">
        <v>0.42899999999999999</v>
      </c>
      <c r="P32" s="219">
        <v>8.9999999999999993E-3</v>
      </c>
      <c r="Q32" s="217"/>
      <c r="R32" s="217"/>
      <c r="S32" s="217"/>
      <c r="T32" s="217"/>
      <c r="U32" s="217"/>
      <c r="V32" s="217"/>
      <c r="W32" s="217"/>
      <c r="X32" s="217"/>
      <c r="Y32" s="217"/>
    </row>
    <row r="33" spans="1:25" ht="16" x14ac:dyDescent="0.2">
      <c r="A33" s="219">
        <v>2818</v>
      </c>
      <c r="B33" s="219" t="s">
        <v>123</v>
      </c>
      <c r="C33" s="219" t="s">
        <v>1479</v>
      </c>
      <c r="D33" s="219">
        <v>278.18</v>
      </c>
      <c r="E33" s="219">
        <v>1806</v>
      </c>
      <c r="F33" s="219">
        <v>277.7</v>
      </c>
      <c r="G33" s="219" t="s">
        <v>1579</v>
      </c>
      <c r="H33" s="219" t="s">
        <v>1580</v>
      </c>
      <c r="I33" s="219">
        <v>66</v>
      </c>
      <c r="J33" s="217"/>
      <c r="K33" s="219" t="s">
        <v>165</v>
      </c>
      <c r="L33" s="219">
        <v>5200</v>
      </c>
      <c r="M33" s="219">
        <v>72.099999999999994</v>
      </c>
      <c r="N33" s="219">
        <v>4414.25</v>
      </c>
      <c r="O33" s="219">
        <v>1.1779999999999999</v>
      </c>
      <c r="P33" s="219">
        <v>1.6E-2</v>
      </c>
      <c r="Q33" s="217"/>
      <c r="R33" s="217"/>
      <c r="S33" s="217"/>
      <c r="T33" s="217"/>
      <c r="U33" s="217"/>
      <c r="V33" s="217"/>
      <c r="W33" s="217"/>
      <c r="X33" s="217"/>
      <c r="Y33" s="217"/>
    </row>
    <row r="34" spans="1:25" ht="16" x14ac:dyDescent="0.2">
      <c r="A34" s="219">
        <v>2819</v>
      </c>
      <c r="B34" s="219" t="s">
        <v>123</v>
      </c>
      <c r="C34" s="219" t="s">
        <v>1479</v>
      </c>
      <c r="D34" s="219">
        <v>278.54000000000002</v>
      </c>
      <c r="E34" s="219">
        <v>1806</v>
      </c>
      <c r="F34" s="219">
        <v>278.10000000000002</v>
      </c>
      <c r="G34" s="219" t="s">
        <v>1581</v>
      </c>
      <c r="H34" s="219" t="s">
        <v>1582</v>
      </c>
      <c r="I34" s="219">
        <v>66</v>
      </c>
      <c r="J34" s="217"/>
      <c r="K34" s="219" t="s">
        <v>165</v>
      </c>
      <c r="L34" s="219">
        <v>11292</v>
      </c>
      <c r="M34" s="219">
        <v>106.3</v>
      </c>
      <c r="N34" s="219">
        <v>6144.28</v>
      </c>
      <c r="O34" s="219">
        <v>1.8380000000000001</v>
      </c>
      <c r="P34" s="219">
        <v>1.7000000000000001E-2</v>
      </c>
      <c r="Q34" s="217"/>
      <c r="R34" s="217"/>
      <c r="S34" s="217"/>
      <c r="T34" s="217"/>
      <c r="U34" s="217"/>
      <c r="V34" s="217"/>
      <c r="W34" s="217"/>
      <c r="X34" s="217"/>
      <c r="Y34" s="217"/>
    </row>
    <row r="35" spans="1:25" ht="16" x14ac:dyDescent="0.2">
      <c r="A35" s="219">
        <v>2820</v>
      </c>
      <c r="B35" s="219" t="s">
        <v>123</v>
      </c>
      <c r="C35" s="219" t="s">
        <v>1479</v>
      </c>
      <c r="D35" s="219">
        <v>278.83999999999997</v>
      </c>
      <c r="E35" s="219">
        <v>1806</v>
      </c>
      <c r="F35" s="219">
        <v>278.39999999999998</v>
      </c>
      <c r="G35" s="219" t="s">
        <v>1583</v>
      </c>
      <c r="H35" s="219" t="s">
        <v>1584</v>
      </c>
      <c r="I35" s="219">
        <v>66</v>
      </c>
      <c r="J35" s="217"/>
      <c r="K35" s="219" t="s">
        <v>165</v>
      </c>
      <c r="L35" s="219">
        <v>7844</v>
      </c>
      <c r="M35" s="219">
        <v>88.6</v>
      </c>
      <c r="N35" s="219">
        <v>3167.55</v>
      </c>
      <c r="O35" s="219">
        <v>2.476</v>
      </c>
      <c r="P35" s="219">
        <v>2.8000000000000001E-2</v>
      </c>
      <c r="Q35" s="217"/>
      <c r="R35" s="217"/>
      <c r="S35" s="217"/>
      <c r="T35" s="217"/>
      <c r="U35" s="217"/>
      <c r="V35" s="217"/>
      <c r="W35" s="217"/>
      <c r="X35" s="217"/>
      <c r="Y35" s="217"/>
    </row>
    <row r="36" spans="1:25" ht="16" x14ac:dyDescent="0.2">
      <c r="A36" s="219">
        <v>2821</v>
      </c>
      <c r="B36" s="219" t="s">
        <v>123</v>
      </c>
      <c r="C36" s="219" t="s">
        <v>1479</v>
      </c>
      <c r="D36" s="219">
        <v>279.20999999999998</v>
      </c>
      <c r="E36" s="219">
        <v>1806</v>
      </c>
      <c r="F36" s="219">
        <v>278.7</v>
      </c>
      <c r="G36" s="219" t="s">
        <v>1585</v>
      </c>
      <c r="H36" s="219" t="s">
        <v>1586</v>
      </c>
      <c r="I36" s="219">
        <v>65</v>
      </c>
      <c r="J36" s="217"/>
      <c r="K36" s="219" t="s">
        <v>165</v>
      </c>
      <c r="L36" s="219">
        <v>6848</v>
      </c>
      <c r="M36" s="219">
        <v>82.8</v>
      </c>
      <c r="N36" s="219">
        <v>2157.35</v>
      </c>
      <c r="O36" s="219">
        <v>3.1739999999999999</v>
      </c>
      <c r="P36" s="219">
        <v>3.7999999999999999E-2</v>
      </c>
      <c r="Q36" s="217"/>
      <c r="R36" s="217"/>
      <c r="S36" s="217"/>
      <c r="T36" s="217"/>
      <c r="U36" s="217"/>
      <c r="V36" s="217"/>
      <c r="W36" s="217"/>
      <c r="X36" s="217"/>
      <c r="Y36" s="217"/>
    </row>
    <row r="37" spans="1:25" ht="16" x14ac:dyDescent="0.2">
      <c r="A37" s="219">
        <v>2822</v>
      </c>
      <c r="B37" s="219" t="s">
        <v>123</v>
      </c>
      <c r="C37" s="219" t="s">
        <v>1479</v>
      </c>
      <c r="D37" s="219">
        <v>279.69</v>
      </c>
      <c r="E37" s="219">
        <v>1806</v>
      </c>
      <c r="F37" s="219">
        <v>279.2</v>
      </c>
      <c r="G37" s="219" t="s">
        <v>1587</v>
      </c>
      <c r="H37" s="219" t="s">
        <v>1588</v>
      </c>
      <c r="I37" s="219">
        <v>67</v>
      </c>
      <c r="J37" s="217"/>
      <c r="K37" s="219" t="s">
        <v>165</v>
      </c>
      <c r="L37" s="219">
        <v>10544</v>
      </c>
      <c r="M37" s="219">
        <v>102.7</v>
      </c>
      <c r="N37" s="219">
        <v>2847.38</v>
      </c>
      <c r="O37" s="219">
        <v>3.7029999999999998</v>
      </c>
      <c r="P37" s="219">
        <v>3.5999999999999997E-2</v>
      </c>
      <c r="Q37" s="217"/>
      <c r="R37" s="217"/>
      <c r="S37" s="217"/>
      <c r="T37" s="217"/>
      <c r="U37" s="217"/>
      <c r="V37" s="217"/>
      <c r="W37" s="217"/>
      <c r="X37" s="217"/>
      <c r="Y37" s="217"/>
    </row>
    <row r="38" spans="1:25" ht="16" x14ac:dyDescent="0.2">
      <c r="A38" s="219">
        <v>2823</v>
      </c>
      <c r="B38" s="219" t="s">
        <v>123</v>
      </c>
      <c r="C38" s="219" t="s">
        <v>1479</v>
      </c>
      <c r="D38" s="219">
        <v>280.2</v>
      </c>
      <c r="E38" s="219">
        <v>1806</v>
      </c>
      <c r="F38" s="219">
        <v>279.7</v>
      </c>
      <c r="G38" s="219" t="s">
        <v>1589</v>
      </c>
      <c r="H38" s="219" t="s">
        <v>1590</v>
      </c>
      <c r="I38" s="219">
        <v>66</v>
      </c>
      <c r="J38" s="217"/>
      <c r="K38" s="219" t="s">
        <v>165</v>
      </c>
      <c r="L38" s="219">
        <v>18511</v>
      </c>
      <c r="M38" s="219">
        <v>136.1</v>
      </c>
      <c r="N38" s="219">
        <v>4788.1099999999997</v>
      </c>
      <c r="O38" s="219">
        <v>3.8660000000000001</v>
      </c>
      <c r="P38" s="219">
        <v>2.8000000000000001E-2</v>
      </c>
      <c r="Q38" s="217"/>
      <c r="R38" s="217"/>
      <c r="S38" s="217"/>
      <c r="T38" s="217"/>
      <c r="U38" s="217"/>
      <c r="V38" s="217"/>
      <c r="W38" s="217"/>
      <c r="X38" s="217"/>
      <c r="Y38" s="217"/>
    </row>
    <row r="39" spans="1:25" ht="16" x14ac:dyDescent="0.2">
      <c r="A39" s="219">
        <v>2824</v>
      </c>
      <c r="B39" s="219" t="s">
        <v>123</v>
      </c>
      <c r="C39" s="219" t="s">
        <v>1479</v>
      </c>
      <c r="D39" s="219">
        <v>281.2</v>
      </c>
      <c r="E39" s="219">
        <v>1806</v>
      </c>
      <c r="F39" s="219">
        <v>280.7</v>
      </c>
      <c r="G39" s="219" t="s">
        <v>1591</v>
      </c>
      <c r="H39" s="219" t="s">
        <v>1592</v>
      </c>
      <c r="I39" s="219">
        <v>66</v>
      </c>
      <c r="J39" s="217"/>
      <c r="K39" s="219" t="s">
        <v>165</v>
      </c>
      <c r="L39" s="219">
        <v>10993</v>
      </c>
      <c r="M39" s="219">
        <v>104.8</v>
      </c>
      <c r="N39" s="219">
        <v>2547.98</v>
      </c>
      <c r="O39" s="219">
        <v>4.3140000000000001</v>
      </c>
      <c r="P39" s="219">
        <v>4.1000000000000002E-2</v>
      </c>
      <c r="Q39" s="217"/>
      <c r="R39" s="217"/>
      <c r="S39" s="217"/>
      <c r="T39" s="217"/>
      <c r="U39" s="217"/>
      <c r="V39" s="217"/>
      <c r="W39" s="217"/>
      <c r="X39" s="217"/>
      <c r="Y39" s="217"/>
    </row>
    <row r="40" spans="1:25" ht="16" x14ac:dyDescent="0.2">
      <c r="A40" s="219">
        <v>2825</v>
      </c>
      <c r="B40" s="219" t="s">
        <v>123</v>
      </c>
      <c r="C40" s="219" t="s">
        <v>1479</v>
      </c>
      <c r="D40" s="219">
        <v>282.20999999999998</v>
      </c>
      <c r="E40" s="219">
        <v>1806</v>
      </c>
      <c r="F40" s="219">
        <v>281.7</v>
      </c>
      <c r="G40" s="219" t="s">
        <v>1593</v>
      </c>
      <c r="H40" s="219" t="s">
        <v>1594</v>
      </c>
      <c r="I40" s="219">
        <v>65</v>
      </c>
      <c r="J40" s="217"/>
      <c r="K40" s="219" t="s">
        <v>165</v>
      </c>
      <c r="L40" s="219">
        <v>9679</v>
      </c>
      <c r="M40" s="219">
        <v>98.4</v>
      </c>
      <c r="N40" s="219">
        <v>2235.4499999999998</v>
      </c>
      <c r="O40" s="219">
        <v>4.33</v>
      </c>
      <c r="P40" s="219">
        <v>4.3999999999999997E-2</v>
      </c>
      <c r="Q40" s="217"/>
      <c r="R40" s="217"/>
      <c r="S40" s="217"/>
      <c r="T40" s="217"/>
      <c r="U40" s="217"/>
      <c r="V40" s="217"/>
      <c r="W40" s="217"/>
      <c r="X40" s="217"/>
      <c r="Y40" s="217"/>
    </row>
    <row r="41" spans="1:25" ht="16" x14ac:dyDescent="0.2">
      <c r="A41" s="219">
        <v>2826</v>
      </c>
      <c r="B41" s="219" t="s">
        <v>123</v>
      </c>
      <c r="C41" s="219" t="s">
        <v>1479</v>
      </c>
      <c r="D41" s="219">
        <v>283.22000000000003</v>
      </c>
      <c r="E41" s="219">
        <v>1806</v>
      </c>
      <c r="F41" s="219">
        <v>282.7</v>
      </c>
      <c r="G41" s="219" t="s">
        <v>1595</v>
      </c>
      <c r="H41" s="219" t="s">
        <v>1596</v>
      </c>
      <c r="I41" s="219">
        <v>65</v>
      </c>
      <c r="J41" s="217"/>
      <c r="K41" s="219" t="s">
        <v>165</v>
      </c>
      <c r="L41" s="219">
        <v>13041</v>
      </c>
      <c r="M41" s="219">
        <v>114.2</v>
      </c>
      <c r="N41" s="219">
        <v>2976.14</v>
      </c>
      <c r="O41" s="219">
        <v>4.3819999999999997</v>
      </c>
      <c r="P41" s="219">
        <v>3.7999999999999999E-2</v>
      </c>
      <c r="Q41" s="217"/>
      <c r="R41" s="217"/>
      <c r="S41" s="217"/>
      <c r="T41" s="217"/>
      <c r="U41" s="217"/>
      <c r="V41" s="217"/>
      <c r="W41" s="217"/>
      <c r="X41" s="217"/>
      <c r="Y41" s="217"/>
    </row>
    <row r="42" spans="1:25" ht="16" x14ac:dyDescent="0.2">
      <c r="A42" s="219">
        <v>2827</v>
      </c>
      <c r="B42" s="219" t="s">
        <v>123</v>
      </c>
      <c r="C42" s="219" t="s">
        <v>1479</v>
      </c>
      <c r="D42" s="219">
        <v>284.2</v>
      </c>
      <c r="E42" s="219">
        <v>1806</v>
      </c>
      <c r="F42" s="219">
        <v>283.7</v>
      </c>
      <c r="G42" s="219" t="s">
        <v>1597</v>
      </c>
      <c r="H42" s="219" t="s">
        <v>1598</v>
      </c>
      <c r="I42" s="219">
        <v>65</v>
      </c>
      <c r="J42" s="217"/>
      <c r="K42" s="219" t="s">
        <v>165</v>
      </c>
      <c r="L42" s="219">
        <v>10518</v>
      </c>
      <c r="M42" s="219">
        <v>102.6</v>
      </c>
      <c r="N42" s="219">
        <v>2329.02</v>
      </c>
      <c r="O42" s="219">
        <v>4.516</v>
      </c>
      <c r="P42" s="219">
        <v>4.3999999999999997E-2</v>
      </c>
      <c r="Q42" s="217"/>
      <c r="R42" s="217"/>
      <c r="S42" s="217"/>
      <c r="T42" s="217"/>
      <c r="U42" s="217"/>
      <c r="V42" s="217"/>
      <c r="W42" s="217"/>
      <c r="X42" s="217"/>
      <c r="Y42" s="217"/>
    </row>
    <row r="43" spans="1:25" ht="16" x14ac:dyDescent="0.2">
      <c r="A43" s="219">
        <v>2828</v>
      </c>
      <c r="B43" s="219" t="s">
        <v>123</v>
      </c>
      <c r="C43" s="219" t="s">
        <v>1479</v>
      </c>
      <c r="D43" s="219">
        <v>285.23</v>
      </c>
      <c r="E43" s="219">
        <v>1806</v>
      </c>
      <c r="F43" s="219">
        <v>284.7</v>
      </c>
      <c r="G43" s="219" t="s">
        <v>1599</v>
      </c>
      <c r="H43" s="219" t="s">
        <v>1600</v>
      </c>
      <c r="I43" s="219">
        <v>65</v>
      </c>
      <c r="J43" s="217"/>
      <c r="K43" s="219" t="s">
        <v>165</v>
      </c>
      <c r="L43" s="219">
        <v>10185</v>
      </c>
      <c r="M43" s="219">
        <v>100.9</v>
      </c>
      <c r="N43" s="219">
        <v>2297.64</v>
      </c>
      <c r="O43" s="219">
        <v>4.4329999999999998</v>
      </c>
      <c r="P43" s="219">
        <v>4.3999999999999997E-2</v>
      </c>
      <c r="Q43" s="217"/>
      <c r="R43" s="217"/>
      <c r="S43" s="217"/>
      <c r="T43" s="217"/>
      <c r="U43" s="217"/>
      <c r="V43" s="217"/>
      <c r="W43" s="217"/>
      <c r="X43" s="217"/>
      <c r="Y43" s="217"/>
    </row>
    <row r="44" spans="1:25" ht="16" x14ac:dyDescent="0.2">
      <c r="A44" s="219">
        <v>2829</v>
      </c>
      <c r="B44" s="219" t="s">
        <v>123</v>
      </c>
      <c r="C44" s="219" t="s">
        <v>1479</v>
      </c>
      <c r="D44" s="219">
        <v>287.22000000000003</v>
      </c>
      <c r="E44" s="219">
        <v>1806</v>
      </c>
      <c r="F44" s="219">
        <v>286.7</v>
      </c>
      <c r="G44" s="219" t="s">
        <v>1601</v>
      </c>
      <c r="H44" s="219" t="s">
        <v>1602</v>
      </c>
      <c r="I44" s="219">
        <v>65</v>
      </c>
      <c r="J44" s="217"/>
      <c r="K44" s="219" t="s">
        <v>165</v>
      </c>
      <c r="L44" s="219">
        <v>14720</v>
      </c>
      <c r="M44" s="219">
        <v>121.3</v>
      </c>
      <c r="N44" s="219">
        <v>3296.56</v>
      </c>
      <c r="O44" s="219">
        <v>4.4649999999999999</v>
      </c>
      <c r="P44" s="219">
        <v>3.6999999999999998E-2</v>
      </c>
      <c r="Q44" s="217"/>
      <c r="R44" s="217"/>
      <c r="S44" s="217"/>
      <c r="T44" s="217"/>
      <c r="U44" s="217"/>
      <c r="V44" s="217"/>
      <c r="W44" s="217"/>
      <c r="X44" s="217"/>
      <c r="Y44" s="217"/>
    </row>
    <row r="45" spans="1:25" ht="16" x14ac:dyDescent="0.2">
      <c r="A45" s="219">
        <v>2830</v>
      </c>
      <c r="B45" s="219" t="s">
        <v>123</v>
      </c>
      <c r="C45" s="219" t="s">
        <v>1479</v>
      </c>
      <c r="D45" s="219">
        <v>289.26</v>
      </c>
      <c r="E45" s="219">
        <v>1806</v>
      </c>
      <c r="F45" s="219">
        <v>288.7</v>
      </c>
      <c r="G45" s="219" t="s">
        <v>1603</v>
      </c>
      <c r="H45" s="221">
        <v>46064</v>
      </c>
      <c r="I45" s="219">
        <v>65</v>
      </c>
      <c r="J45" s="217"/>
      <c r="K45" s="219" t="s">
        <v>165</v>
      </c>
      <c r="L45" s="219">
        <v>10246</v>
      </c>
      <c r="M45" s="219">
        <v>101.2</v>
      </c>
      <c r="N45" s="219">
        <v>2483.25</v>
      </c>
      <c r="O45" s="219">
        <v>4.1260000000000003</v>
      </c>
      <c r="P45" s="219">
        <v>4.1000000000000002E-2</v>
      </c>
      <c r="Q45" s="217"/>
      <c r="R45" s="217"/>
      <c r="S45" s="217"/>
      <c r="T45" s="217"/>
      <c r="U45" s="217"/>
      <c r="V45" s="217"/>
      <c r="W45" s="217"/>
      <c r="X45" s="217"/>
      <c r="Y45" s="217"/>
    </row>
    <row r="46" spans="1:25" ht="16" x14ac:dyDescent="0.2">
      <c r="A46" s="219">
        <v>2831</v>
      </c>
      <c r="B46" s="219" t="s">
        <v>123</v>
      </c>
      <c r="C46" s="219" t="s">
        <v>1479</v>
      </c>
      <c r="D46" s="219">
        <v>291.27</v>
      </c>
      <c r="E46" s="219">
        <v>1806</v>
      </c>
      <c r="F46" s="219">
        <v>290.7</v>
      </c>
      <c r="G46" s="219" t="s">
        <v>1604</v>
      </c>
      <c r="H46" s="219" t="s">
        <v>1605</v>
      </c>
      <c r="I46" s="219">
        <v>65</v>
      </c>
      <c r="J46" s="217"/>
      <c r="K46" s="219" t="s">
        <v>165</v>
      </c>
      <c r="L46" s="219">
        <v>11513</v>
      </c>
      <c r="M46" s="219">
        <v>107.3</v>
      </c>
      <c r="N46" s="219">
        <v>3353.58</v>
      </c>
      <c r="O46" s="219">
        <v>3.4329999999999998</v>
      </c>
      <c r="P46" s="219">
        <v>3.2000000000000001E-2</v>
      </c>
      <c r="Q46" s="217"/>
      <c r="R46" s="217"/>
      <c r="S46" s="217"/>
      <c r="T46" s="217"/>
      <c r="U46" s="217"/>
      <c r="V46" s="217"/>
      <c r="W46" s="217"/>
      <c r="X46" s="217"/>
      <c r="Y46" s="217"/>
    </row>
    <row r="47" spans="1:25" ht="16" x14ac:dyDescent="0.2">
      <c r="A47" s="219">
        <v>2832</v>
      </c>
      <c r="B47" s="219" t="s">
        <v>123</v>
      </c>
      <c r="C47" s="219" t="s">
        <v>1479</v>
      </c>
      <c r="D47" s="219">
        <v>293.27</v>
      </c>
      <c r="E47" s="219">
        <v>1806</v>
      </c>
      <c r="F47" s="219">
        <v>292.7</v>
      </c>
      <c r="G47" s="219" t="s">
        <v>1606</v>
      </c>
      <c r="H47" s="219" t="s">
        <v>1607</v>
      </c>
      <c r="I47" s="219">
        <v>65</v>
      </c>
      <c r="J47" s="217"/>
      <c r="K47" s="219" t="s">
        <v>165</v>
      </c>
      <c r="L47" s="219">
        <v>10350</v>
      </c>
      <c r="M47" s="219">
        <v>101.7</v>
      </c>
      <c r="N47" s="219">
        <v>4794.3</v>
      </c>
      <c r="O47" s="219">
        <v>2.1589999999999998</v>
      </c>
      <c r="P47" s="219">
        <v>2.1000000000000001E-2</v>
      </c>
      <c r="Q47" s="217"/>
      <c r="R47" s="217"/>
      <c r="S47" s="217"/>
      <c r="T47" s="217"/>
      <c r="U47" s="217"/>
      <c r="V47" s="217"/>
      <c r="W47" s="217"/>
      <c r="X47" s="217"/>
      <c r="Y47" s="217"/>
    </row>
    <row r="48" spans="1:25" ht="16" x14ac:dyDescent="0.2">
      <c r="A48" s="219">
        <v>2833</v>
      </c>
      <c r="B48" s="219" t="s">
        <v>123</v>
      </c>
      <c r="C48" s="219" t="s">
        <v>1479</v>
      </c>
      <c r="D48" s="219">
        <v>295.27999999999997</v>
      </c>
      <c r="E48" s="219">
        <v>1806</v>
      </c>
      <c r="F48" s="219">
        <v>294.7</v>
      </c>
      <c r="G48" s="219" t="s">
        <v>1608</v>
      </c>
      <c r="H48" s="221">
        <v>46064</v>
      </c>
      <c r="I48" s="219">
        <v>64</v>
      </c>
      <c r="J48" s="217"/>
      <c r="K48" s="219" t="s">
        <v>165</v>
      </c>
      <c r="L48" s="219">
        <v>2933</v>
      </c>
      <c r="M48" s="219">
        <v>54.2</v>
      </c>
      <c r="N48" s="219">
        <v>2827.84</v>
      </c>
      <c r="O48" s="219">
        <v>1.0369999999999999</v>
      </c>
      <c r="P48" s="219">
        <v>1.9E-2</v>
      </c>
      <c r="Q48" s="217"/>
      <c r="R48" s="217"/>
      <c r="S48" s="217"/>
      <c r="T48" s="217"/>
      <c r="U48" s="217"/>
      <c r="V48" s="217"/>
      <c r="W48" s="217"/>
      <c r="X48" s="217"/>
      <c r="Y48" s="217"/>
    </row>
    <row r="49" spans="1:25" ht="16" x14ac:dyDescent="0.2">
      <c r="A49" s="219">
        <v>2834</v>
      </c>
      <c r="B49" s="219" t="s">
        <v>123</v>
      </c>
      <c r="C49" s="219" t="s">
        <v>1479</v>
      </c>
      <c r="D49" s="219">
        <v>297.27999999999997</v>
      </c>
      <c r="E49" s="219">
        <v>1806</v>
      </c>
      <c r="F49" s="219">
        <v>296.7</v>
      </c>
      <c r="G49" s="219" t="s">
        <v>1609</v>
      </c>
      <c r="H49" s="219" t="s">
        <v>1610</v>
      </c>
      <c r="I49" s="219">
        <v>64</v>
      </c>
      <c r="J49" s="217"/>
      <c r="K49" s="219" t="s">
        <v>165</v>
      </c>
      <c r="L49" s="219">
        <v>2470</v>
      </c>
      <c r="M49" s="219">
        <v>49.7</v>
      </c>
      <c r="N49" s="219">
        <v>6616.08</v>
      </c>
      <c r="O49" s="219">
        <v>0.373</v>
      </c>
      <c r="P49" s="219">
        <v>8.0000000000000002E-3</v>
      </c>
      <c r="Q49" s="217"/>
      <c r="R49" s="217"/>
      <c r="S49" s="217"/>
      <c r="T49" s="217"/>
      <c r="U49" s="217"/>
      <c r="V49" s="217"/>
      <c r="W49" s="217"/>
      <c r="X49" s="217"/>
      <c r="Y49" s="217"/>
    </row>
    <row r="50" spans="1:25" ht="16" x14ac:dyDescent="0.2">
      <c r="A50" s="219">
        <v>2835</v>
      </c>
      <c r="B50" s="219" t="s">
        <v>123</v>
      </c>
      <c r="C50" s="219" t="s">
        <v>1479</v>
      </c>
      <c r="D50" s="219">
        <v>299.27999999999997</v>
      </c>
      <c r="E50" s="219">
        <v>1806</v>
      </c>
      <c r="F50" s="219">
        <v>298.7</v>
      </c>
      <c r="G50" s="219" t="s">
        <v>1611</v>
      </c>
      <c r="H50" s="219" t="s">
        <v>1612</v>
      </c>
      <c r="I50" s="219">
        <v>64</v>
      </c>
      <c r="J50" s="217"/>
      <c r="K50" s="219" t="s">
        <v>165</v>
      </c>
      <c r="L50" s="219">
        <v>1196</v>
      </c>
      <c r="M50" s="219">
        <v>34.6</v>
      </c>
      <c r="N50" s="219">
        <v>6481.91</v>
      </c>
      <c r="O50" s="219">
        <v>0.185</v>
      </c>
      <c r="P50" s="219">
        <v>5.0000000000000001E-3</v>
      </c>
      <c r="Q50" s="217"/>
      <c r="R50" s="217"/>
      <c r="S50" s="217"/>
      <c r="T50" s="217"/>
      <c r="U50" s="217"/>
      <c r="V50" s="217"/>
      <c r="W50" s="217"/>
      <c r="X50" s="217"/>
      <c r="Y50" s="217"/>
    </row>
    <row r="51" spans="1:25" ht="16" x14ac:dyDescent="0.2">
      <c r="A51" s="219">
        <v>2836</v>
      </c>
      <c r="B51" s="219" t="s">
        <v>157</v>
      </c>
      <c r="C51" s="219" t="s">
        <v>1479</v>
      </c>
      <c r="D51" s="219">
        <v>284.22000000000003</v>
      </c>
      <c r="E51" s="219">
        <v>1806</v>
      </c>
      <c r="F51" s="219">
        <v>283.7</v>
      </c>
      <c r="G51" s="219" t="s">
        <v>1613</v>
      </c>
      <c r="H51" s="221">
        <v>46064</v>
      </c>
      <c r="I51" s="219">
        <v>65</v>
      </c>
      <c r="J51" s="217"/>
      <c r="K51" s="217"/>
      <c r="L51" s="217"/>
      <c r="M51" s="219">
        <v>0</v>
      </c>
      <c r="N51" s="219">
        <v>52202.25</v>
      </c>
      <c r="O51" s="219">
        <v>0</v>
      </c>
      <c r="P51" s="219">
        <v>0</v>
      </c>
      <c r="Q51" s="217"/>
      <c r="R51" s="217"/>
      <c r="S51" s="217"/>
      <c r="T51" s="217"/>
      <c r="U51" s="217"/>
      <c r="V51" s="217"/>
      <c r="W51" s="217"/>
      <c r="X51" s="217"/>
      <c r="Y51" s="217"/>
    </row>
    <row r="52" spans="1:25" ht="16" x14ac:dyDescent="0.2">
      <c r="A52" s="219">
        <v>2837</v>
      </c>
      <c r="B52" s="219" t="s">
        <v>157</v>
      </c>
      <c r="C52" s="219" t="s">
        <v>1479</v>
      </c>
      <c r="D52" s="219">
        <v>284.22000000000003</v>
      </c>
      <c r="E52" s="219">
        <v>2965</v>
      </c>
      <c r="F52" s="219">
        <v>284.89999999999998</v>
      </c>
      <c r="G52" s="219" t="s">
        <v>1614</v>
      </c>
      <c r="H52" s="219" t="s">
        <v>1615</v>
      </c>
      <c r="I52" s="219">
        <v>190</v>
      </c>
      <c r="J52" s="217"/>
      <c r="K52" s="217"/>
      <c r="L52" s="217"/>
      <c r="M52" s="219">
        <v>0</v>
      </c>
      <c r="N52" s="219">
        <v>13951022.32</v>
      </c>
      <c r="O52" s="219">
        <v>0</v>
      </c>
      <c r="P52" s="219">
        <v>0</v>
      </c>
      <c r="Q52" s="218" t="s">
        <v>1616</v>
      </c>
      <c r="R52" s="217"/>
      <c r="S52" s="217"/>
      <c r="T52" s="217"/>
      <c r="U52" s="217"/>
      <c r="V52" s="217"/>
      <c r="W52" s="217"/>
      <c r="X52" s="217"/>
      <c r="Y52" s="217"/>
    </row>
    <row r="53" spans="1:25" ht="16" x14ac:dyDescent="0.2">
      <c r="A53" s="219">
        <v>2838</v>
      </c>
      <c r="B53" s="219" t="s">
        <v>29</v>
      </c>
      <c r="C53" s="219" t="s">
        <v>1480</v>
      </c>
      <c r="D53" s="219">
        <v>332.18</v>
      </c>
      <c r="E53" s="219">
        <v>936</v>
      </c>
      <c r="F53" s="219">
        <v>330.5</v>
      </c>
      <c r="G53" s="219" t="s">
        <v>1617</v>
      </c>
      <c r="H53" s="219" t="s">
        <v>1618</v>
      </c>
      <c r="I53" s="219">
        <v>12</v>
      </c>
      <c r="J53" s="217"/>
      <c r="K53" s="219" t="s">
        <v>222</v>
      </c>
      <c r="L53" s="219">
        <v>1224</v>
      </c>
      <c r="M53" s="219">
        <v>35</v>
      </c>
      <c r="N53" s="219">
        <v>1447.78</v>
      </c>
      <c r="O53" s="219">
        <v>0.84499999999999997</v>
      </c>
      <c r="P53" s="219">
        <v>33</v>
      </c>
      <c r="Q53" s="217"/>
      <c r="R53" s="217"/>
      <c r="S53" s="217"/>
      <c r="T53" s="217"/>
      <c r="U53" s="217"/>
      <c r="V53" s="217"/>
      <c r="W53" s="217"/>
      <c r="X53" s="217"/>
      <c r="Y53" s="217"/>
    </row>
    <row r="54" spans="1:25" ht="16" x14ac:dyDescent="0.2">
      <c r="A54" s="219">
        <v>2839</v>
      </c>
      <c r="B54" s="219" t="s">
        <v>29</v>
      </c>
      <c r="C54" s="219" t="s">
        <v>1480</v>
      </c>
      <c r="D54" s="219">
        <v>334.18099999999998</v>
      </c>
      <c r="E54" s="219">
        <v>936</v>
      </c>
      <c r="F54" s="219">
        <v>332.5</v>
      </c>
      <c r="G54" s="219" t="s">
        <v>1619</v>
      </c>
      <c r="H54" s="219" t="s">
        <v>1620</v>
      </c>
      <c r="I54" s="219">
        <v>12</v>
      </c>
      <c r="J54" s="217"/>
      <c r="K54" s="219" t="s">
        <v>222</v>
      </c>
      <c r="L54" s="219">
        <v>1023</v>
      </c>
      <c r="M54" s="219">
        <v>32</v>
      </c>
      <c r="N54" s="219">
        <v>831.21</v>
      </c>
      <c r="O54" s="219">
        <v>1.2310000000000001</v>
      </c>
      <c r="P54" s="219">
        <v>3.7999999999999999E-2</v>
      </c>
      <c r="Q54" s="217"/>
      <c r="R54" s="217"/>
      <c r="S54" s="217"/>
      <c r="T54" s="217"/>
      <c r="U54" s="217"/>
      <c r="V54" s="217"/>
      <c r="W54" s="217"/>
      <c r="X54" s="217"/>
      <c r="Y54" s="217"/>
    </row>
    <row r="55" spans="1:25" ht="16" x14ac:dyDescent="0.2">
      <c r="A55" s="219">
        <v>2840</v>
      </c>
      <c r="B55" s="219" t="s">
        <v>29</v>
      </c>
      <c r="C55" s="219" t="s">
        <v>1480</v>
      </c>
      <c r="D55" s="219">
        <v>336.18900000000002</v>
      </c>
      <c r="E55" s="219">
        <v>936</v>
      </c>
      <c r="F55" s="219">
        <v>334.5</v>
      </c>
      <c r="G55" s="219" t="s">
        <v>1621</v>
      </c>
      <c r="H55" s="219" t="s">
        <v>1622</v>
      </c>
      <c r="I55" s="219">
        <v>12</v>
      </c>
      <c r="J55" s="217"/>
      <c r="K55" s="219" t="s">
        <v>222</v>
      </c>
      <c r="L55" s="219">
        <v>1738</v>
      </c>
      <c r="M55" s="219">
        <v>41.7</v>
      </c>
      <c r="N55" s="219">
        <v>913.77</v>
      </c>
      <c r="O55" s="219">
        <v>1.9019999999999999</v>
      </c>
      <c r="P55" s="219">
        <v>4.5999999999999999E-2</v>
      </c>
      <c r="Q55" s="217"/>
      <c r="R55" s="217"/>
      <c r="S55" s="217"/>
      <c r="T55" s="217"/>
      <c r="U55" s="217"/>
      <c r="V55" s="217"/>
      <c r="W55" s="217"/>
      <c r="X55" s="217"/>
      <c r="Y55" s="217"/>
    </row>
    <row r="56" spans="1:25" ht="16" x14ac:dyDescent="0.2">
      <c r="A56" s="219">
        <v>2841</v>
      </c>
      <c r="B56" s="219" t="s">
        <v>29</v>
      </c>
      <c r="C56" s="219" t="s">
        <v>1480</v>
      </c>
      <c r="D56" s="219">
        <v>338.19600000000003</v>
      </c>
      <c r="E56" s="219">
        <v>936</v>
      </c>
      <c r="F56" s="219">
        <v>336.4</v>
      </c>
      <c r="G56" s="219" t="s">
        <v>1623</v>
      </c>
      <c r="H56" s="219" t="s">
        <v>1624</v>
      </c>
      <c r="I56" s="219">
        <v>13</v>
      </c>
      <c r="J56" s="217"/>
      <c r="K56" s="219" t="s">
        <v>222</v>
      </c>
      <c r="L56" s="219">
        <v>2282</v>
      </c>
      <c r="M56" s="219">
        <v>47.8</v>
      </c>
      <c r="N56" s="219">
        <v>644.79999999999995</v>
      </c>
      <c r="O56" s="219">
        <v>3.5390000000000001</v>
      </c>
      <c r="P56" s="219">
        <v>7.3999999999999996E-2</v>
      </c>
      <c r="Q56" s="217"/>
      <c r="R56" s="217"/>
      <c r="S56" s="217"/>
      <c r="T56" s="217"/>
      <c r="U56" s="217"/>
      <c r="V56" s="217"/>
      <c r="W56" s="217"/>
      <c r="X56" s="217"/>
      <c r="Y56" s="217"/>
    </row>
    <row r="57" spans="1:25" ht="16" x14ac:dyDescent="0.2">
      <c r="A57" s="219">
        <v>2842</v>
      </c>
      <c r="B57" s="219" t="s">
        <v>29</v>
      </c>
      <c r="C57" s="219" t="s">
        <v>1480</v>
      </c>
      <c r="D57" s="219">
        <v>340.19</v>
      </c>
      <c r="E57" s="219">
        <v>936</v>
      </c>
      <c r="F57" s="219">
        <v>338.4</v>
      </c>
      <c r="G57" s="219" t="s">
        <v>1625</v>
      </c>
      <c r="H57" s="219" t="s">
        <v>1626</v>
      </c>
      <c r="I57" s="219">
        <v>13</v>
      </c>
      <c r="J57" s="219" t="s">
        <v>1481</v>
      </c>
      <c r="K57" s="219" t="s">
        <v>222</v>
      </c>
      <c r="L57" s="219">
        <v>4242</v>
      </c>
      <c r="M57" s="219">
        <v>65.099999999999994</v>
      </c>
      <c r="N57" s="219">
        <v>566.61</v>
      </c>
      <c r="O57" s="219">
        <v>7.4870000000000001</v>
      </c>
      <c r="P57" s="219">
        <v>0.115</v>
      </c>
      <c r="Q57" s="217"/>
      <c r="R57" s="217"/>
      <c r="S57" s="217"/>
      <c r="T57" s="217"/>
      <c r="U57" s="217"/>
      <c r="V57" s="217"/>
      <c r="W57" s="217"/>
      <c r="X57" s="217"/>
      <c r="Y57" s="217"/>
    </row>
    <row r="58" spans="1:25" ht="16" x14ac:dyDescent="0.2">
      <c r="A58" s="219">
        <v>2843</v>
      </c>
      <c r="B58" s="219" t="s">
        <v>29</v>
      </c>
      <c r="C58" s="219" t="s">
        <v>1480</v>
      </c>
      <c r="D58" s="219">
        <v>341.18400000000003</v>
      </c>
      <c r="E58" s="219">
        <v>936</v>
      </c>
      <c r="F58" s="219">
        <v>339.4</v>
      </c>
      <c r="G58" s="219" t="s">
        <v>1627</v>
      </c>
      <c r="H58" s="219" t="s">
        <v>1628</v>
      </c>
      <c r="I58" s="219">
        <v>13</v>
      </c>
      <c r="J58" s="217"/>
      <c r="K58" s="219" t="s">
        <v>222</v>
      </c>
      <c r="L58" s="219">
        <v>6183</v>
      </c>
      <c r="M58" s="219">
        <v>78.599999999999994</v>
      </c>
      <c r="N58" s="219">
        <v>455.48</v>
      </c>
      <c r="O58" s="219">
        <v>13.574999999999999</v>
      </c>
      <c r="P58" s="219">
        <v>0.17299999999999999</v>
      </c>
      <c r="Q58" s="217"/>
      <c r="R58" s="217"/>
      <c r="S58" s="217"/>
      <c r="T58" s="217"/>
      <c r="U58" s="217"/>
      <c r="V58" s="217"/>
      <c r="W58" s="217"/>
      <c r="X58" s="217"/>
      <c r="Y58" s="217"/>
    </row>
    <row r="59" spans="1:25" ht="16" x14ac:dyDescent="0.2">
      <c r="A59" s="219">
        <v>2844</v>
      </c>
      <c r="B59" s="219" t="s">
        <v>29</v>
      </c>
      <c r="C59" s="219" t="s">
        <v>1480</v>
      </c>
      <c r="D59" s="219">
        <v>342.19799999999998</v>
      </c>
      <c r="E59" s="219">
        <v>936</v>
      </c>
      <c r="F59" s="219">
        <v>340.4</v>
      </c>
      <c r="G59" s="219" t="s">
        <v>1629</v>
      </c>
      <c r="H59" s="219" t="s">
        <v>1630</v>
      </c>
      <c r="I59" s="219">
        <v>13</v>
      </c>
      <c r="J59" s="217"/>
      <c r="K59" s="219" t="s">
        <v>222</v>
      </c>
      <c r="L59" s="219">
        <v>9758</v>
      </c>
      <c r="M59" s="219">
        <v>98.8</v>
      </c>
      <c r="N59" s="219">
        <v>368.97</v>
      </c>
      <c r="O59" s="219">
        <v>26.446999999999999</v>
      </c>
      <c r="P59" s="219">
        <v>0.26800000000000002</v>
      </c>
      <c r="Q59" s="217"/>
      <c r="R59" s="217"/>
      <c r="S59" s="217"/>
      <c r="T59" s="217"/>
      <c r="U59" s="217"/>
      <c r="V59" s="217"/>
      <c r="W59" s="217"/>
      <c r="X59" s="217"/>
      <c r="Y59" s="217"/>
    </row>
    <row r="60" spans="1:25" ht="16" x14ac:dyDescent="0.2">
      <c r="A60" s="219">
        <v>2845</v>
      </c>
      <c r="B60" s="219" t="s">
        <v>29</v>
      </c>
      <c r="C60" s="219" t="s">
        <v>1480</v>
      </c>
      <c r="D60" s="219">
        <v>343.19799999999998</v>
      </c>
      <c r="E60" s="219">
        <v>936</v>
      </c>
      <c r="F60" s="219">
        <v>341.4</v>
      </c>
      <c r="G60" s="219" t="s">
        <v>1631</v>
      </c>
      <c r="H60" s="219" t="s">
        <v>1632</v>
      </c>
      <c r="I60" s="219">
        <v>13</v>
      </c>
      <c r="J60" s="217"/>
      <c r="K60" s="219" t="s">
        <v>222</v>
      </c>
      <c r="L60" s="219">
        <v>30686</v>
      </c>
      <c r="M60" s="219">
        <v>175.2</v>
      </c>
      <c r="N60" s="219">
        <v>700</v>
      </c>
      <c r="O60" s="219">
        <v>43.837000000000003</v>
      </c>
      <c r="P60" s="219">
        <v>0.25</v>
      </c>
      <c r="Q60" s="217"/>
      <c r="R60" s="217"/>
      <c r="S60" s="217"/>
      <c r="T60" s="217"/>
      <c r="U60" s="217"/>
      <c r="V60" s="217"/>
      <c r="W60" s="217"/>
      <c r="X60" s="217"/>
      <c r="Y60" s="217"/>
    </row>
    <row r="61" spans="1:25" ht="16" x14ac:dyDescent="0.2">
      <c r="A61" s="219">
        <v>2846</v>
      </c>
      <c r="B61" s="219" t="s">
        <v>29</v>
      </c>
      <c r="C61" s="219" t="s">
        <v>1480</v>
      </c>
      <c r="D61" s="219">
        <v>344.19200000000001</v>
      </c>
      <c r="E61" s="219">
        <v>936</v>
      </c>
      <c r="F61" s="219">
        <v>342.4</v>
      </c>
      <c r="G61" s="219" t="s">
        <v>1633</v>
      </c>
      <c r="H61" s="219" t="s">
        <v>1634</v>
      </c>
      <c r="I61" s="219">
        <v>13</v>
      </c>
      <c r="J61" s="217"/>
      <c r="K61" s="219" t="s">
        <v>222</v>
      </c>
      <c r="L61" s="219">
        <v>24974</v>
      </c>
      <c r="M61" s="219">
        <v>158</v>
      </c>
      <c r="N61" s="219">
        <v>458.64</v>
      </c>
      <c r="O61" s="219">
        <v>54.451999999999998</v>
      </c>
      <c r="P61" s="219">
        <v>0.34499999999999997</v>
      </c>
      <c r="Q61" s="217"/>
      <c r="R61" s="217"/>
      <c r="S61" s="217"/>
      <c r="T61" s="217"/>
      <c r="U61" s="217"/>
      <c r="V61" s="217"/>
      <c r="W61" s="217"/>
      <c r="X61" s="217"/>
      <c r="Y61" s="217"/>
    </row>
    <row r="62" spans="1:25" ht="16" x14ac:dyDescent="0.2">
      <c r="A62" s="219">
        <v>2847</v>
      </c>
      <c r="B62" s="219" t="s">
        <v>29</v>
      </c>
      <c r="C62" s="219" t="s">
        <v>1480</v>
      </c>
      <c r="D62" s="219">
        <v>345.21199999999999</v>
      </c>
      <c r="E62" s="219">
        <v>936</v>
      </c>
      <c r="F62" s="219">
        <v>343.4</v>
      </c>
      <c r="G62" s="219" t="s">
        <v>1635</v>
      </c>
      <c r="H62" s="219" t="s">
        <v>1636</v>
      </c>
      <c r="I62" s="219">
        <v>13</v>
      </c>
      <c r="J62" s="217"/>
      <c r="K62" s="219" t="s">
        <v>222</v>
      </c>
      <c r="L62" s="219">
        <v>27601</v>
      </c>
      <c r="M62" s="219">
        <v>166.1</v>
      </c>
      <c r="N62" s="219">
        <v>456.04</v>
      </c>
      <c r="O62" s="219">
        <v>60.523000000000003</v>
      </c>
      <c r="P62" s="219">
        <v>0.36399999999999999</v>
      </c>
      <c r="Q62" s="217"/>
      <c r="R62" s="217"/>
      <c r="S62" s="217"/>
      <c r="T62" s="217"/>
      <c r="U62" s="217"/>
      <c r="V62" s="217"/>
      <c r="W62" s="217"/>
      <c r="X62" s="217"/>
      <c r="Y62" s="217"/>
    </row>
    <row r="63" spans="1:25" ht="16" x14ac:dyDescent="0.2">
      <c r="A63" s="219">
        <v>2848</v>
      </c>
      <c r="B63" s="219" t="s">
        <v>29</v>
      </c>
      <c r="C63" s="219" t="s">
        <v>1480</v>
      </c>
      <c r="D63" s="219">
        <v>346.19900000000001</v>
      </c>
      <c r="E63" s="219">
        <v>936</v>
      </c>
      <c r="F63" s="219">
        <v>344.4</v>
      </c>
      <c r="G63" s="219" t="s">
        <v>1637</v>
      </c>
      <c r="H63" s="219" t="s">
        <v>1638</v>
      </c>
      <c r="I63" s="219">
        <v>13</v>
      </c>
      <c r="J63" s="217"/>
      <c r="K63" s="219" t="s">
        <v>222</v>
      </c>
      <c r="L63" s="219">
        <v>20934</v>
      </c>
      <c r="M63" s="219">
        <v>144.69999999999999</v>
      </c>
      <c r="N63" s="219">
        <v>347.54</v>
      </c>
      <c r="O63" s="219">
        <v>60.234999999999999</v>
      </c>
      <c r="P63" s="219">
        <v>0.41599999999999998</v>
      </c>
      <c r="Q63" s="217"/>
      <c r="R63" s="217"/>
      <c r="S63" s="217"/>
      <c r="T63" s="217"/>
      <c r="U63" s="217"/>
      <c r="V63" s="217"/>
      <c r="W63" s="217"/>
      <c r="X63" s="217"/>
      <c r="Y63" s="217"/>
    </row>
    <row r="64" spans="1:25" ht="16" x14ac:dyDescent="0.2">
      <c r="A64" s="219">
        <v>2849</v>
      </c>
      <c r="B64" s="219" t="s">
        <v>29</v>
      </c>
      <c r="C64" s="219" t="s">
        <v>1480</v>
      </c>
      <c r="D64" s="219">
        <v>347.2</v>
      </c>
      <c r="E64" s="219">
        <v>936</v>
      </c>
      <c r="F64" s="219">
        <v>345.4</v>
      </c>
      <c r="G64" s="219" t="s">
        <v>1639</v>
      </c>
      <c r="H64" s="219" t="s">
        <v>1640</v>
      </c>
      <c r="I64" s="219">
        <v>13</v>
      </c>
      <c r="J64" s="217"/>
      <c r="K64" s="219" t="s">
        <v>222</v>
      </c>
      <c r="L64" s="219">
        <v>32013</v>
      </c>
      <c r="M64" s="219">
        <v>178.9</v>
      </c>
      <c r="N64" s="219">
        <v>535.9</v>
      </c>
      <c r="O64" s="219">
        <v>59.737000000000002</v>
      </c>
      <c r="P64" s="219">
        <v>0.33400000000000002</v>
      </c>
      <c r="Q64" s="217"/>
      <c r="R64" s="217"/>
      <c r="S64" s="217"/>
      <c r="T64" s="217"/>
      <c r="U64" s="217"/>
      <c r="V64" s="217"/>
      <c r="W64" s="217"/>
      <c r="X64" s="217"/>
      <c r="Y64" s="217"/>
    </row>
    <row r="65" spans="1:25" ht="16" x14ac:dyDescent="0.2">
      <c r="A65" s="219">
        <v>2850</v>
      </c>
      <c r="B65" s="219" t="s">
        <v>29</v>
      </c>
      <c r="C65" s="219" t="s">
        <v>1480</v>
      </c>
      <c r="D65" s="219">
        <v>348.20600000000002</v>
      </c>
      <c r="E65" s="219">
        <v>936</v>
      </c>
      <c r="F65" s="219">
        <v>346.4</v>
      </c>
      <c r="G65" s="219" t="s">
        <v>1641</v>
      </c>
      <c r="H65" s="219" t="s">
        <v>1642</v>
      </c>
      <c r="I65" s="219">
        <v>13</v>
      </c>
      <c r="J65" s="217"/>
      <c r="K65" s="219" t="s">
        <v>222</v>
      </c>
      <c r="L65" s="219">
        <v>22874</v>
      </c>
      <c r="M65" s="219">
        <v>151.19999999999999</v>
      </c>
      <c r="N65" s="219">
        <v>415.62</v>
      </c>
      <c r="O65" s="219">
        <v>55.036000000000001</v>
      </c>
      <c r="P65" s="219">
        <v>0.36399999999999999</v>
      </c>
      <c r="Q65" s="217"/>
      <c r="R65" s="217"/>
      <c r="S65" s="217"/>
      <c r="T65" s="217"/>
      <c r="U65" s="217"/>
      <c r="V65" s="217"/>
      <c r="W65" s="217"/>
      <c r="X65" s="217"/>
      <c r="Y65" s="217"/>
    </row>
    <row r="66" spans="1:25" ht="16" x14ac:dyDescent="0.2">
      <c r="A66" s="219">
        <v>2851</v>
      </c>
      <c r="B66" s="219" t="s">
        <v>29</v>
      </c>
      <c r="C66" s="219" t="s">
        <v>1480</v>
      </c>
      <c r="D66" s="219">
        <v>349.20699999999999</v>
      </c>
      <c r="E66" s="219">
        <v>936</v>
      </c>
      <c r="F66" s="219">
        <v>347.4</v>
      </c>
      <c r="G66" s="219" t="s">
        <v>1643</v>
      </c>
      <c r="H66" s="219" t="s">
        <v>1644</v>
      </c>
      <c r="I66" s="219">
        <v>13</v>
      </c>
      <c r="J66" s="217"/>
      <c r="K66" s="219" t="s">
        <v>222</v>
      </c>
      <c r="L66" s="219">
        <v>26209</v>
      </c>
      <c r="M66" s="219">
        <v>161.9</v>
      </c>
      <c r="N66" s="219">
        <v>583.07000000000005</v>
      </c>
      <c r="O66" s="219">
        <v>44.95</v>
      </c>
      <c r="P66" s="219">
        <v>0.27800000000000002</v>
      </c>
      <c r="Q66" s="217"/>
      <c r="R66" s="217"/>
      <c r="S66" s="217"/>
      <c r="T66" s="217"/>
      <c r="U66" s="217"/>
      <c r="V66" s="217"/>
      <c r="W66" s="217"/>
      <c r="X66" s="217"/>
      <c r="Y66" s="217"/>
    </row>
    <row r="67" spans="1:25" ht="16" x14ac:dyDescent="0.2">
      <c r="A67" s="219">
        <v>2852</v>
      </c>
      <c r="B67" s="219" t="s">
        <v>29</v>
      </c>
      <c r="C67" s="219" t="s">
        <v>1480</v>
      </c>
      <c r="D67" s="219">
        <v>350.20699999999999</v>
      </c>
      <c r="E67" s="219">
        <v>936</v>
      </c>
      <c r="F67" s="219">
        <v>348.4</v>
      </c>
      <c r="G67" s="219" t="s">
        <v>1645</v>
      </c>
      <c r="H67" s="219" t="s">
        <v>1646</v>
      </c>
      <c r="I67" s="219">
        <v>13</v>
      </c>
      <c r="J67" s="217"/>
      <c r="K67" s="219" t="s">
        <v>222</v>
      </c>
      <c r="L67" s="219">
        <v>18326</v>
      </c>
      <c r="M67" s="219">
        <v>135.4</v>
      </c>
      <c r="N67" s="219">
        <v>541.37</v>
      </c>
      <c r="O67" s="219">
        <v>33.850999999999999</v>
      </c>
      <c r="P67" s="219">
        <v>0.25</v>
      </c>
      <c r="Q67" s="217"/>
      <c r="R67" s="217"/>
      <c r="S67" s="217"/>
      <c r="T67" s="217"/>
      <c r="U67" s="217"/>
      <c r="V67" s="217"/>
      <c r="W67" s="217"/>
      <c r="X67" s="217"/>
      <c r="Y67" s="217"/>
    </row>
    <row r="68" spans="1:25" ht="16" x14ac:dyDescent="0.2">
      <c r="A68" s="219">
        <v>2853</v>
      </c>
      <c r="B68" s="219" t="s">
        <v>29</v>
      </c>
      <c r="C68" s="219" t="s">
        <v>1480</v>
      </c>
      <c r="D68" s="219">
        <v>351.20800000000003</v>
      </c>
      <c r="E68" s="219">
        <v>936</v>
      </c>
      <c r="F68" s="219">
        <v>349.4</v>
      </c>
      <c r="G68" s="219" t="s">
        <v>1647</v>
      </c>
      <c r="H68" s="219" t="s">
        <v>1648</v>
      </c>
      <c r="I68" s="219">
        <v>13</v>
      </c>
      <c r="J68" s="217"/>
      <c r="K68" s="219" t="s">
        <v>222</v>
      </c>
      <c r="L68" s="219">
        <v>21778</v>
      </c>
      <c r="M68" s="219">
        <v>147.6</v>
      </c>
      <c r="N68" s="219">
        <v>905.72</v>
      </c>
      <c r="O68" s="219">
        <v>24.045000000000002</v>
      </c>
      <c r="P68" s="219">
        <v>0.16300000000000001</v>
      </c>
      <c r="Q68" s="217"/>
      <c r="R68" s="217"/>
      <c r="S68" s="217"/>
      <c r="T68" s="217"/>
      <c r="U68" s="217"/>
      <c r="V68" s="217"/>
      <c r="W68" s="217"/>
      <c r="X68" s="217"/>
      <c r="Y68" s="217"/>
    </row>
    <row r="69" spans="1:25" ht="16" x14ac:dyDescent="0.2">
      <c r="A69" s="219">
        <v>2854</v>
      </c>
      <c r="B69" s="219" t="s">
        <v>29</v>
      </c>
      <c r="C69" s="219" t="s">
        <v>1480</v>
      </c>
      <c r="D69" s="219">
        <v>352.21499999999997</v>
      </c>
      <c r="E69" s="219">
        <v>936</v>
      </c>
      <c r="F69" s="219">
        <v>350.4</v>
      </c>
      <c r="G69" s="219" t="s">
        <v>1649</v>
      </c>
      <c r="H69" s="219" t="s">
        <v>1650</v>
      </c>
      <c r="I69" s="219">
        <v>13</v>
      </c>
      <c r="J69" s="217"/>
      <c r="K69" s="219" t="s">
        <v>222</v>
      </c>
      <c r="L69" s="219">
        <v>17057</v>
      </c>
      <c r="M69" s="219">
        <v>130.6</v>
      </c>
      <c r="N69" s="219">
        <v>1085.01</v>
      </c>
      <c r="O69" s="219">
        <v>15.721</v>
      </c>
      <c r="P69" s="219">
        <v>0.12</v>
      </c>
      <c r="Q69" s="217"/>
      <c r="R69" s="217"/>
      <c r="S69" s="217"/>
      <c r="T69" s="217"/>
      <c r="U69" s="217"/>
      <c r="V69" s="217"/>
      <c r="W69" s="217"/>
      <c r="X69" s="217"/>
      <c r="Y69" s="217"/>
    </row>
    <row r="70" spans="1:25" ht="16" x14ac:dyDescent="0.2">
      <c r="A70" s="219">
        <v>2855</v>
      </c>
      <c r="B70" s="219" t="s">
        <v>29</v>
      </c>
      <c r="C70" s="219" t="s">
        <v>1480</v>
      </c>
      <c r="D70" s="219">
        <v>353.20800000000003</v>
      </c>
      <c r="E70" s="219">
        <v>936</v>
      </c>
      <c r="F70" s="219">
        <v>351.4</v>
      </c>
      <c r="G70" s="219" t="s">
        <v>1651</v>
      </c>
      <c r="H70" s="219" t="s">
        <v>1652</v>
      </c>
      <c r="I70" s="219">
        <v>13</v>
      </c>
      <c r="J70" s="217"/>
      <c r="K70" s="219" t="s">
        <v>222</v>
      </c>
      <c r="L70" s="219">
        <v>6312</v>
      </c>
      <c r="M70" s="219">
        <v>79.400000000000006</v>
      </c>
      <c r="N70" s="219">
        <v>557.17999999999995</v>
      </c>
      <c r="O70" s="219">
        <v>11.327999999999999</v>
      </c>
      <c r="P70" s="219">
        <v>0.14299999999999999</v>
      </c>
      <c r="Q70" s="217"/>
      <c r="R70" s="217"/>
      <c r="S70" s="217"/>
      <c r="T70" s="217"/>
      <c r="U70" s="217"/>
      <c r="V70" s="217"/>
      <c r="W70" s="217"/>
      <c r="X70" s="217"/>
      <c r="Y70" s="217"/>
    </row>
    <row r="71" spans="1:25" ht="16" x14ac:dyDescent="0.2">
      <c r="A71" s="219">
        <v>2856</v>
      </c>
      <c r="B71" s="219" t="s">
        <v>29</v>
      </c>
      <c r="C71" s="219" t="s">
        <v>1480</v>
      </c>
      <c r="D71" s="219">
        <v>355.209</v>
      </c>
      <c r="E71" s="219">
        <v>936</v>
      </c>
      <c r="F71" s="219">
        <v>353.3</v>
      </c>
      <c r="G71" s="219" t="s">
        <v>1653</v>
      </c>
      <c r="H71" s="219" t="s">
        <v>1654</v>
      </c>
      <c r="I71" s="219">
        <v>13</v>
      </c>
      <c r="J71" s="217"/>
      <c r="K71" s="219" t="s">
        <v>222</v>
      </c>
      <c r="L71" s="219">
        <v>4812</v>
      </c>
      <c r="M71" s="219">
        <v>69.400000000000006</v>
      </c>
      <c r="N71" s="219">
        <v>758.79</v>
      </c>
      <c r="O71" s="219">
        <v>6.3419999999999996</v>
      </c>
      <c r="P71" s="219">
        <v>9.0999999999999998E-2</v>
      </c>
      <c r="Q71" s="217"/>
      <c r="R71" s="217"/>
      <c r="S71" s="217"/>
      <c r="T71" s="217"/>
      <c r="U71" s="217"/>
      <c r="V71" s="217"/>
      <c r="W71" s="217"/>
      <c r="X71" s="217"/>
      <c r="Y71" s="217"/>
    </row>
    <row r="72" spans="1:25" ht="16" x14ac:dyDescent="0.2">
      <c r="A72" s="219">
        <v>2857</v>
      </c>
      <c r="B72" s="219" t="s">
        <v>29</v>
      </c>
      <c r="C72" s="219" t="s">
        <v>1480</v>
      </c>
      <c r="D72" s="219">
        <v>357.21699999999998</v>
      </c>
      <c r="E72" s="219">
        <v>936</v>
      </c>
      <c r="F72" s="219">
        <v>355.3</v>
      </c>
      <c r="G72" s="219" t="s">
        <v>1655</v>
      </c>
      <c r="H72" s="219" t="s">
        <v>1656</v>
      </c>
      <c r="I72" s="219">
        <v>13</v>
      </c>
      <c r="J72" s="217"/>
      <c r="K72" s="219" t="s">
        <v>222</v>
      </c>
      <c r="L72" s="219">
        <v>7089</v>
      </c>
      <c r="M72" s="219">
        <v>84.2</v>
      </c>
      <c r="N72" s="219">
        <v>1616.74</v>
      </c>
      <c r="O72" s="219">
        <v>4.3849999999999998</v>
      </c>
      <c r="P72" s="219">
        <v>5.1999999999999998E-2</v>
      </c>
      <c r="Q72" s="217"/>
      <c r="R72" s="217"/>
      <c r="S72" s="217"/>
      <c r="T72" s="217"/>
      <c r="U72" s="217"/>
      <c r="V72" s="217"/>
      <c r="W72" s="217"/>
      <c r="X72" s="217"/>
      <c r="Y72" s="217"/>
    </row>
    <row r="73" spans="1:25" ht="16" x14ac:dyDescent="0.2">
      <c r="A73" s="219">
        <v>2858</v>
      </c>
      <c r="B73" s="219" t="s">
        <v>29</v>
      </c>
      <c r="C73" s="219" t="s">
        <v>1480</v>
      </c>
      <c r="D73" s="219">
        <v>359.22399999999999</v>
      </c>
      <c r="E73" s="219">
        <v>936</v>
      </c>
      <c r="F73" s="219">
        <v>357.3</v>
      </c>
      <c r="G73" s="219" t="s">
        <v>1657</v>
      </c>
      <c r="H73" s="219" t="s">
        <v>1658</v>
      </c>
      <c r="I73" s="219">
        <v>13</v>
      </c>
      <c r="J73" s="217"/>
      <c r="K73" s="219" t="s">
        <v>222</v>
      </c>
      <c r="L73" s="219">
        <v>6690</v>
      </c>
      <c r="M73" s="219">
        <v>81.8</v>
      </c>
      <c r="N73" s="219">
        <v>1957.24</v>
      </c>
      <c r="O73" s="219">
        <v>3.4180000000000001</v>
      </c>
      <c r="P73" s="219">
        <v>4.2000000000000003E-2</v>
      </c>
      <c r="Q73" s="217"/>
      <c r="R73" s="217"/>
      <c r="S73" s="217"/>
      <c r="T73" s="217"/>
      <c r="U73" s="217"/>
      <c r="V73" s="217"/>
      <c r="W73" s="217"/>
      <c r="X73" s="217"/>
      <c r="Y73" s="217"/>
    </row>
    <row r="74" spans="1:25" ht="16" x14ac:dyDescent="0.2">
      <c r="A74" s="219">
        <v>2859</v>
      </c>
      <c r="B74" s="219" t="s">
        <v>30</v>
      </c>
      <c r="C74" s="219" t="s">
        <v>1480</v>
      </c>
      <c r="D74" s="219">
        <v>216.91</v>
      </c>
      <c r="E74" s="219">
        <v>1903</v>
      </c>
      <c r="F74" s="219">
        <v>216.9</v>
      </c>
      <c r="G74" s="219" t="s">
        <v>1659</v>
      </c>
      <c r="H74" s="219" t="s">
        <v>1660</v>
      </c>
      <c r="I74" s="219">
        <v>58</v>
      </c>
      <c r="J74" s="217"/>
      <c r="K74" s="219" t="s">
        <v>222</v>
      </c>
      <c r="L74" s="219">
        <v>3699</v>
      </c>
      <c r="M74" s="219">
        <v>60.8</v>
      </c>
      <c r="N74" s="219">
        <v>9363.51</v>
      </c>
      <c r="O74" s="219">
        <v>0.39500000000000002</v>
      </c>
      <c r="P74" s="219">
        <v>6.0000000000000001E-3</v>
      </c>
      <c r="Q74" s="217"/>
      <c r="R74" s="217"/>
      <c r="S74" s="217"/>
      <c r="T74" s="217"/>
      <c r="U74" s="217"/>
      <c r="V74" s="217"/>
      <c r="W74" s="217"/>
      <c r="X74" s="217"/>
      <c r="Y74" s="217"/>
    </row>
    <row r="75" spans="1:25" ht="16" x14ac:dyDescent="0.2">
      <c r="A75" s="219">
        <v>2860</v>
      </c>
      <c r="B75" s="219" t="s">
        <v>30</v>
      </c>
      <c r="C75" s="219" t="s">
        <v>1480</v>
      </c>
      <c r="D75" s="219">
        <v>220.94</v>
      </c>
      <c r="E75" s="219">
        <v>1903</v>
      </c>
      <c r="F75" s="219">
        <v>220.9</v>
      </c>
      <c r="G75" s="219" t="s">
        <v>1661</v>
      </c>
      <c r="H75" s="219" t="s">
        <v>1662</v>
      </c>
      <c r="I75" s="219">
        <v>58</v>
      </c>
      <c r="J75" s="217"/>
      <c r="K75" s="219" t="s">
        <v>222</v>
      </c>
      <c r="L75" s="219">
        <v>8299</v>
      </c>
      <c r="M75" s="219">
        <v>91.1</v>
      </c>
      <c r="N75" s="219">
        <v>16032.76</v>
      </c>
      <c r="O75" s="219">
        <v>0.51800000000000002</v>
      </c>
      <c r="P75" s="219">
        <v>6.0000000000000001E-3</v>
      </c>
      <c r="Q75" s="217"/>
      <c r="R75" s="217"/>
      <c r="S75" s="217"/>
      <c r="T75" s="217"/>
      <c r="U75" s="217"/>
      <c r="V75" s="217"/>
      <c r="W75" s="217"/>
      <c r="X75" s="217"/>
      <c r="Y75" s="217"/>
    </row>
    <row r="76" spans="1:25" ht="16" x14ac:dyDescent="0.2">
      <c r="A76" s="219">
        <v>2861</v>
      </c>
      <c r="B76" s="219" t="s">
        <v>30</v>
      </c>
      <c r="C76" s="219" t="s">
        <v>1480</v>
      </c>
      <c r="D76" s="219">
        <v>222.95</v>
      </c>
      <c r="E76" s="219">
        <v>1903</v>
      </c>
      <c r="F76" s="219">
        <v>222.9</v>
      </c>
      <c r="G76" s="219" t="s">
        <v>1663</v>
      </c>
      <c r="H76" s="219" t="s">
        <v>1664</v>
      </c>
      <c r="I76" s="219">
        <v>55</v>
      </c>
      <c r="J76" s="217"/>
      <c r="K76" s="219" t="s">
        <v>222</v>
      </c>
      <c r="L76" s="219">
        <v>8088</v>
      </c>
      <c r="M76" s="219">
        <v>89.9</v>
      </c>
      <c r="N76" s="219">
        <v>10285.709999999999</v>
      </c>
      <c r="O76" s="219">
        <v>0.78600000000000003</v>
      </c>
      <c r="P76" s="219">
        <v>8.9999999999999993E-3</v>
      </c>
      <c r="Q76" s="217"/>
      <c r="R76" s="217"/>
      <c r="S76" s="217"/>
      <c r="T76" s="217"/>
      <c r="U76" s="217"/>
      <c r="V76" s="217"/>
      <c r="W76" s="217"/>
      <c r="X76" s="217"/>
      <c r="Y76" s="217"/>
    </row>
    <row r="77" spans="1:25" ht="16" x14ac:dyDescent="0.2">
      <c r="A77" s="219">
        <v>2862</v>
      </c>
      <c r="B77" s="219" t="s">
        <v>30</v>
      </c>
      <c r="C77" s="219" t="s">
        <v>1480</v>
      </c>
      <c r="D77" s="219">
        <v>224.97</v>
      </c>
      <c r="E77" s="219">
        <v>1903</v>
      </c>
      <c r="F77" s="219">
        <v>224.9</v>
      </c>
      <c r="G77" s="219" t="s">
        <v>1665</v>
      </c>
      <c r="H77" s="219" t="s">
        <v>1666</v>
      </c>
      <c r="I77" s="219">
        <v>53</v>
      </c>
      <c r="J77" s="217"/>
      <c r="K77" s="219" t="s">
        <v>222</v>
      </c>
      <c r="L77" s="219">
        <v>19413</v>
      </c>
      <c r="M77" s="219">
        <v>139.30000000000001</v>
      </c>
      <c r="N77" s="219">
        <v>4634.8100000000004</v>
      </c>
      <c r="O77" s="219">
        <v>4.1890000000000001</v>
      </c>
      <c r="P77" s="219">
        <v>0.03</v>
      </c>
      <c r="Q77" s="217"/>
      <c r="R77" s="217"/>
      <c r="S77" s="217"/>
      <c r="T77" s="217"/>
      <c r="U77" s="217"/>
      <c r="V77" s="217"/>
      <c r="W77" s="217"/>
      <c r="X77" s="217"/>
      <c r="Y77" s="217"/>
    </row>
    <row r="78" spans="1:25" ht="16" x14ac:dyDescent="0.2">
      <c r="A78" s="219">
        <v>2863</v>
      </c>
      <c r="B78" s="219" t="s">
        <v>30</v>
      </c>
      <c r="C78" s="219" t="s">
        <v>1480</v>
      </c>
      <c r="D78" s="219">
        <v>225.97</v>
      </c>
      <c r="E78" s="219">
        <v>1903</v>
      </c>
      <c r="F78" s="219">
        <v>225.9</v>
      </c>
      <c r="G78" s="219" t="s">
        <v>1667</v>
      </c>
      <c r="H78" s="219" t="s">
        <v>1668</v>
      </c>
      <c r="I78" s="219">
        <v>53</v>
      </c>
      <c r="J78" s="217"/>
      <c r="K78" s="219" t="s">
        <v>222</v>
      </c>
      <c r="L78" s="219">
        <v>34717</v>
      </c>
      <c r="M78" s="219">
        <v>186.3</v>
      </c>
      <c r="N78" s="219">
        <v>5545.23</v>
      </c>
      <c r="O78" s="219">
        <v>6.2610000000000001</v>
      </c>
      <c r="P78" s="219">
        <v>3.4000000000000002E-2</v>
      </c>
      <c r="Q78" s="217"/>
      <c r="R78" s="217"/>
      <c r="S78" s="217"/>
      <c r="T78" s="217"/>
      <c r="U78" s="217"/>
      <c r="V78" s="217"/>
      <c r="W78" s="217"/>
      <c r="X78" s="217"/>
      <c r="Y78" s="217"/>
    </row>
    <row r="79" spans="1:25" ht="16" x14ac:dyDescent="0.2">
      <c r="A79" s="219">
        <v>2864</v>
      </c>
      <c r="B79" s="219" t="s">
        <v>30</v>
      </c>
      <c r="C79" s="219" t="s">
        <v>1480</v>
      </c>
      <c r="D79" s="219">
        <v>226.99</v>
      </c>
      <c r="E79" s="219">
        <v>1903</v>
      </c>
      <c r="F79" s="219">
        <v>226.9</v>
      </c>
      <c r="G79" s="219" t="s">
        <v>1669</v>
      </c>
      <c r="H79" s="219" t="s">
        <v>1670</v>
      </c>
      <c r="I79" s="219">
        <v>52</v>
      </c>
      <c r="J79" s="217"/>
      <c r="K79" s="219" t="s">
        <v>222</v>
      </c>
      <c r="L79" s="219">
        <v>60744</v>
      </c>
      <c r="M79" s="219">
        <v>246.5</v>
      </c>
      <c r="N79" s="219">
        <v>8482.9699999999993</v>
      </c>
      <c r="O79" s="219">
        <v>7.1609999999999996</v>
      </c>
      <c r="P79" s="219">
        <v>2.9000000000000001E-2</v>
      </c>
      <c r="Q79" s="217"/>
      <c r="R79" s="217"/>
      <c r="S79" s="217"/>
      <c r="T79" s="217"/>
      <c r="U79" s="217"/>
      <c r="V79" s="217"/>
      <c r="W79" s="217"/>
      <c r="X79" s="217"/>
      <c r="Y79" s="217"/>
    </row>
    <row r="80" spans="1:25" ht="16" x14ac:dyDescent="0.2">
      <c r="A80" s="219">
        <v>2865</v>
      </c>
      <c r="B80" s="219" t="s">
        <v>30</v>
      </c>
      <c r="C80" s="219" t="s">
        <v>1480</v>
      </c>
      <c r="D80" s="219">
        <v>227.99</v>
      </c>
      <c r="E80" s="219">
        <v>1903</v>
      </c>
      <c r="F80" s="219">
        <v>227.9</v>
      </c>
      <c r="G80" s="219" t="s">
        <v>1671</v>
      </c>
      <c r="H80" s="219" t="s">
        <v>1672</v>
      </c>
      <c r="I80" s="219">
        <v>52</v>
      </c>
      <c r="J80" s="217"/>
      <c r="K80" s="219" t="s">
        <v>222</v>
      </c>
      <c r="L80" s="219">
        <v>32465</v>
      </c>
      <c r="M80" s="219">
        <v>180.2</v>
      </c>
      <c r="N80" s="219">
        <v>4330.18</v>
      </c>
      <c r="O80" s="219">
        <v>7.4969999999999999</v>
      </c>
      <c r="P80" s="219">
        <v>4.2000000000000003E-2</v>
      </c>
      <c r="Q80" s="217"/>
      <c r="R80" s="217"/>
      <c r="S80" s="217"/>
      <c r="T80" s="217"/>
      <c r="U80" s="217"/>
      <c r="V80" s="217"/>
      <c r="W80" s="217"/>
      <c r="X80" s="217"/>
      <c r="Y80" s="217"/>
    </row>
    <row r="81" spans="1:25" ht="16" x14ac:dyDescent="0.2">
      <c r="A81" s="219">
        <v>2866</v>
      </c>
      <c r="B81" s="219" t="s">
        <v>30</v>
      </c>
      <c r="C81" s="219" t="s">
        <v>1480</v>
      </c>
      <c r="D81" s="219">
        <v>228.99</v>
      </c>
      <c r="E81" s="219">
        <v>1903</v>
      </c>
      <c r="F81" s="219">
        <v>228.9</v>
      </c>
      <c r="G81" s="219" t="s">
        <v>1673</v>
      </c>
      <c r="H81" s="219" t="s">
        <v>1674</v>
      </c>
      <c r="I81" s="219">
        <v>50</v>
      </c>
      <c r="J81" s="217"/>
      <c r="K81" s="219" t="s">
        <v>222</v>
      </c>
      <c r="L81" s="219">
        <v>19092</v>
      </c>
      <c r="M81" s="219">
        <v>138.19999999999999</v>
      </c>
      <c r="N81" s="219">
        <v>2532.6799999999998</v>
      </c>
      <c r="O81" s="219">
        <v>7.5380000000000003</v>
      </c>
      <c r="P81" s="219">
        <v>5.5E-2</v>
      </c>
      <c r="Q81" s="217"/>
      <c r="R81" s="217"/>
      <c r="S81" s="217"/>
      <c r="T81" s="217"/>
      <c r="U81" s="217"/>
      <c r="V81" s="217"/>
      <c r="W81" s="217"/>
      <c r="X81" s="217"/>
      <c r="Y81" s="217"/>
    </row>
    <row r="82" spans="1:25" ht="16" x14ac:dyDescent="0.2">
      <c r="A82" s="219">
        <v>2867</v>
      </c>
      <c r="B82" s="219" t="s">
        <v>30</v>
      </c>
      <c r="C82" s="219" t="s">
        <v>1480</v>
      </c>
      <c r="D82" s="219">
        <v>230.99</v>
      </c>
      <c r="E82" s="219">
        <v>1903</v>
      </c>
      <c r="F82" s="219">
        <v>230.9</v>
      </c>
      <c r="G82" s="219" t="s">
        <v>1675</v>
      </c>
      <c r="H82" s="219" t="s">
        <v>1676</v>
      </c>
      <c r="I82" s="219">
        <v>52</v>
      </c>
      <c r="J82" s="217"/>
      <c r="K82" s="219" t="s">
        <v>222</v>
      </c>
      <c r="L82" s="219">
        <v>15803</v>
      </c>
      <c r="M82" s="219">
        <v>125.7</v>
      </c>
      <c r="N82" s="219">
        <v>2582.65</v>
      </c>
      <c r="O82" s="219">
        <v>6.1189999999999998</v>
      </c>
      <c r="P82" s="219">
        <v>4.9000000000000002E-2</v>
      </c>
      <c r="Q82" s="217"/>
      <c r="R82" s="217"/>
      <c r="S82" s="217"/>
      <c r="T82" s="217"/>
      <c r="U82" s="217"/>
      <c r="V82" s="217"/>
      <c r="W82" s="217"/>
      <c r="X82" s="217"/>
      <c r="Y82" s="217"/>
    </row>
    <row r="83" spans="1:25" ht="16" x14ac:dyDescent="0.2">
      <c r="A83" s="219">
        <v>2868</v>
      </c>
      <c r="B83" s="219" t="s">
        <v>30</v>
      </c>
      <c r="C83" s="219" t="s">
        <v>1480</v>
      </c>
      <c r="D83" s="219">
        <v>229.99</v>
      </c>
      <c r="E83" s="219">
        <v>1903</v>
      </c>
      <c r="F83" s="219">
        <v>229.9</v>
      </c>
      <c r="G83" s="219" t="s">
        <v>1677</v>
      </c>
      <c r="H83" s="219" t="s">
        <v>1678</v>
      </c>
      <c r="I83" s="219">
        <v>49</v>
      </c>
      <c r="J83" s="217"/>
      <c r="K83" s="219" t="s">
        <v>222</v>
      </c>
      <c r="L83" s="219">
        <v>14282</v>
      </c>
      <c r="M83" s="219">
        <v>119.5</v>
      </c>
      <c r="N83" s="219">
        <v>2053.73</v>
      </c>
      <c r="O83" s="219">
        <v>6.9539999999999997</v>
      </c>
      <c r="P83" s="219">
        <v>5.8000000000000003E-2</v>
      </c>
      <c r="Q83" s="217"/>
      <c r="R83" s="217"/>
      <c r="S83" s="217"/>
      <c r="T83" s="217"/>
      <c r="U83" s="217"/>
      <c r="V83" s="217"/>
      <c r="W83" s="217"/>
      <c r="X83" s="217"/>
      <c r="Y83" s="217"/>
    </row>
    <row r="84" spans="1:25" ht="16" x14ac:dyDescent="0.2">
      <c r="A84" s="219">
        <v>2869</v>
      </c>
      <c r="B84" s="219" t="s">
        <v>30</v>
      </c>
      <c r="C84" s="219" t="s">
        <v>1480</v>
      </c>
      <c r="D84" s="219">
        <v>231.99</v>
      </c>
      <c r="E84" s="219">
        <v>1903</v>
      </c>
      <c r="F84" s="219">
        <v>231.9</v>
      </c>
      <c r="G84" s="219" t="s">
        <v>1679</v>
      </c>
      <c r="H84" s="219" t="s">
        <v>1680</v>
      </c>
      <c r="I84" s="219">
        <v>49</v>
      </c>
      <c r="J84" s="217"/>
      <c r="K84" s="219" t="s">
        <v>222</v>
      </c>
      <c r="L84" s="219">
        <v>14153</v>
      </c>
      <c r="M84" s="219">
        <v>119</v>
      </c>
      <c r="N84" s="219">
        <v>2885.16</v>
      </c>
      <c r="O84" s="219">
        <v>4.9050000000000002</v>
      </c>
      <c r="P84" s="219">
        <v>4.1000000000000002E-2</v>
      </c>
      <c r="Q84" s="217"/>
      <c r="R84" s="217"/>
      <c r="S84" s="217"/>
      <c r="T84" s="217"/>
      <c r="U84" s="217"/>
      <c r="V84" s="217"/>
      <c r="W84" s="217"/>
      <c r="X84" s="217"/>
      <c r="Y84" s="217"/>
    </row>
    <row r="85" spans="1:25" ht="16" x14ac:dyDescent="0.2">
      <c r="A85" s="219">
        <v>2870</v>
      </c>
      <c r="B85" s="219" t="s">
        <v>30</v>
      </c>
      <c r="C85" s="219" t="s">
        <v>1480</v>
      </c>
      <c r="D85" s="219">
        <v>232.99</v>
      </c>
      <c r="E85" s="219">
        <v>1903</v>
      </c>
      <c r="F85" s="219">
        <v>232.9</v>
      </c>
      <c r="G85" s="219" t="s">
        <v>1681</v>
      </c>
      <c r="H85" s="219" t="s">
        <v>1682</v>
      </c>
      <c r="I85" s="219">
        <v>49</v>
      </c>
      <c r="J85" s="217"/>
      <c r="K85" s="219" t="s">
        <v>222</v>
      </c>
      <c r="L85" s="219">
        <v>21637</v>
      </c>
      <c r="M85" s="219">
        <v>147.1</v>
      </c>
      <c r="N85" s="219">
        <v>6220</v>
      </c>
      <c r="O85" s="219">
        <v>3.4790000000000001</v>
      </c>
      <c r="P85" s="219">
        <v>2.4E-2</v>
      </c>
      <c r="Q85" s="217"/>
      <c r="R85" s="217"/>
      <c r="S85" s="217"/>
      <c r="T85" s="217"/>
      <c r="U85" s="217"/>
      <c r="V85" s="217"/>
      <c r="W85" s="217"/>
      <c r="X85" s="217"/>
      <c r="Y85" s="217"/>
    </row>
    <row r="86" spans="1:25" ht="16" x14ac:dyDescent="0.2">
      <c r="A86" s="219">
        <v>2871</v>
      </c>
      <c r="B86" s="219" t="s">
        <v>30</v>
      </c>
      <c r="C86" s="219" t="s">
        <v>1480</v>
      </c>
      <c r="D86" s="219">
        <v>233.99</v>
      </c>
      <c r="E86" s="219">
        <v>1903</v>
      </c>
      <c r="F86" s="219">
        <v>233.9</v>
      </c>
      <c r="G86" s="219" t="s">
        <v>1683</v>
      </c>
      <c r="H86" s="219" t="s">
        <v>1684</v>
      </c>
      <c r="I86" s="219">
        <v>50</v>
      </c>
      <c r="J86" s="217"/>
      <c r="K86" s="219" t="s">
        <v>222</v>
      </c>
      <c r="L86" s="219">
        <v>10791</v>
      </c>
      <c r="M86" s="219">
        <v>103.9</v>
      </c>
      <c r="N86" s="219">
        <v>4630.8</v>
      </c>
      <c r="O86" s="219">
        <v>2.33</v>
      </c>
      <c r="P86" s="219">
        <v>2.1999999999999999E-2</v>
      </c>
      <c r="Q86" s="217"/>
      <c r="R86" s="217"/>
      <c r="S86" s="217"/>
      <c r="T86" s="217"/>
      <c r="U86" s="217"/>
      <c r="V86" s="217"/>
      <c r="W86" s="217"/>
      <c r="X86" s="217"/>
      <c r="Y86" s="217"/>
    </row>
    <row r="87" spans="1:25" ht="16" x14ac:dyDescent="0.2">
      <c r="A87" s="219">
        <v>2872</v>
      </c>
      <c r="B87" s="219" t="s">
        <v>30</v>
      </c>
      <c r="C87" s="219" t="s">
        <v>1480</v>
      </c>
      <c r="D87" s="219">
        <v>234.99</v>
      </c>
      <c r="E87" s="219">
        <v>1903</v>
      </c>
      <c r="F87" s="219">
        <v>234.9</v>
      </c>
      <c r="G87" s="219" t="s">
        <v>1685</v>
      </c>
      <c r="H87" s="219" t="s">
        <v>1686</v>
      </c>
      <c r="I87" s="219">
        <v>50</v>
      </c>
      <c r="J87" s="217"/>
      <c r="K87" s="219" t="s">
        <v>222</v>
      </c>
      <c r="L87" s="219">
        <v>8209</v>
      </c>
      <c r="M87" s="219">
        <v>90.6</v>
      </c>
      <c r="N87" s="219">
        <v>5559.93</v>
      </c>
      <c r="O87" s="219">
        <v>1.476</v>
      </c>
      <c r="P87" s="219">
        <v>1.6E-2</v>
      </c>
      <c r="Q87" s="217"/>
      <c r="R87" s="217"/>
      <c r="S87" s="217"/>
      <c r="T87" s="217"/>
      <c r="U87" s="217"/>
      <c r="V87" s="217"/>
      <c r="W87" s="217"/>
      <c r="X87" s="217"/>
      <c r="Y87" s="217"/>
    </row>
    <row r="88" spans="1:25" ht="16" x14ac:dyDescent="0.2">
      <c r="A88" s="219">
        <v>2873</v>
      </c>
      <c r="B88" s="219" t="s">
        <v>30</v>
      </c>
      <c r="C88" s="219" t="s">
        <v>1480</v>
      </c>
      <c r="D88" s="219">
        <v>235.99</v>
      </c>
      <c r="E88" s="219">
        <v>1903</v>
      </c>
      <c r="F88" s="219">
        <v>235.9</v>
      </c>
      <c r="G88" s="219" t="s">
        <v>1687</v>
      </c>
      <c r="H88" s="219" t="s">
        <v>1688</v>
      </c>
      <c r="I88" s="219">
        <v>50</v>
      </c>
      <c r="J88" s="217"/>
      <c r="K88" s="219" t="s">
        <v>222</v>
      </c>
      <c r="L88" s="219">
        <v>6171</v>
      </c>
      <c r="M88" s="219">
        <v>78.599999999999994</v>
      </c>
      <c r="N88" s="219">
        <v>5973</v>
      </c>
      <c r="O88" s="219">
        <v>1.0329999999999999</v>
      </c>
      <c r="P88" s="219">
        <v>1.2999999999999999E-2</v>
      </c>
      <c r="Q88" s="217"/>
      <c r="R88" s="217"/>
      <c r="S88" s="217"/>
      <c r="T88" s="217"/>
      <c r="U88" s="217"/>
      <c r="V88" s="217"/>
      <c r="W88" s="217"/>
      <c r="X88" s="217"/>
      <c r="Y88" s="217"/>
    </row>
    <row r="89" spans="1:25" ht="16" x14ac:dyDescent="0.2">
      <c r="A89" s="219">
        <v>2874</v>
      </c>
      <c r="B89" s="219" t="s">
        <v>30</v>
      </c>
      <c r="C89" s="219" t="s">
        <v>1480</v>
      </c>
      <c r="D89" s="219">
        <v>236.99</v>
      </c>
      <c r="E89" s="219">
        <v>1903</v>
      </c>
      <c r="F89" s="219">
        <v>236.9</v>
      </c>
      <c r="G89" s="219" t="s">
        <v>1689</v>
      </c>
      <c r="H89" s="219" t="s">
        <v>1690</v>
      </c>
      <c r="I89" s="219">
        <v>51</v>
      </c>
      <c r="J89" s="217"/>
      <c r="K89" s="219" t="s">
        <v>222</v>
      </c>
      <c r="L89" s="219">
        <v>5285</v>
      </c>
      <c r="M89" s="219">
        <v>72.7</v>
      </c>
      <c r="N89" s="219">
        <v>6741.13</v>
      </c>
      <c r="O89" s="219">
        <v>0.78400000000000003</v>
      </c>
      <c r="P89" s="219">
        <v>1.0999999999999999E-2</v>
      </c>
      <c r="Q89" s="217"/>
      <c r="R89" s="217"/>
      <c r="S89" s="217"/>
      <c r="T89" s="217"/>
      <c r="U89" s="217"/>
      <c r="V89" s="217"/>
      <c r="W89" s="217"/>
      <c r="X89" s="217"/>
      <c r="Y89" s="217"/>
    </row>
    <row r="90" spans="1:25" ht="16" x14ac:dyDescent="0.2">
      <c r="A90" s="219">
        <v>2875</v>
      </c>
      <c r="B90" s="219" t="s">
        <v>30</v>
      </c>
      <c r="C90" s="219" t="s">
        <v>1480</v>
      </c>
      <c r="D90" s="219">
        <v>237.99</v>
      </c>
      <c r="E90" s="219">
        <v>1903</v>
      </c>
      <c r="F90" s="219">
        <v>237.9</v>
      </c>
      <c r="G90" s="219" t="s">
        <v>1691</v>
      </c>
      <c r="H90" s="219" t="s">
        <v>1692</v>
      </c>
      <c r="I90" s="219">
        <v>51</v>
      </c>
      <c r="J90" s="217"/>
      <c r="K90" s="219" t="s">
        <v>222</v>
      </c>
      <c r="L90" s="219">
        <v>4424</v>
      </c>
      <c r="M90" s="219">
        <v>66.5</v>
      </c>
      <c r="N90" s="219">
        <v>5095</v>
      </c>
      <c r="O90" s="219">
        <v>0.86799999999999999</v>
      </c>
      <c r="P90" s="219">
        <v>1.2999999999999999E-2</v>
      </c>
      <c r="Q90" s="217"/>
      <c r="R90" s="217"/>
      <c r="S90" s="217"/>
      <c r="T90" s="217"/>
      <c r="U90" s="217"/>
      <c r="V90" s="217"/>
      <c r="W90" s="217"/>
      <c r="X90" s="217"/>
      <c r="Y90" s="217"/>
    </row>
    <row r="91" spans="1:25" ht="16" x14ac:dyDescent="0.2">
      <c r="A91" s="219">
        <v>2876</v>
      </c>
      <c r="B91" s="219" t="s">
        <v>30</v>
      </c>
      <c r="C91" s="219" t="s">
        <v>1480</v>
      </c>
      <c r="D91" s="219">
        <v>238.99</v>
      </c>
      <c r="E91" s="219">
        <v>1903</v>
      </c>
      <c r="F91" s="219">
        <v>238.9</v>
      </c>
      <c r="G91" s="219" t="s">
        <v>1693</v>
      </c>
      <c r="H91" s="219" t="s">
        <v>1694</v>
      </c>
      <c r="I91" s="219">
        <v>51</v>
      </c>
      <c r="J91" s="217"/>
      <c r="K91" s="219" t="s">
        <v>222</v>
      </c>
      <c r="L91" s="219">
        <v>4023</v>
      </c>
      <c r="M91" s="219">
        <v>63.4</v>
      </c>
      <c r="N91" s="219">
        <v>3934.82</v>
      </c>
      <c r="O91" s="219">
        <v>1.022</v>
      </c>
      <c r="P91" s="219">
        <v>1.6E-2</v>
      </c>
      <c r="Q91" s="217"/>
      <c r="R91" s="217"/>
      <c r="S91" s="217"/>
      <c r="T91" s="217"/>
      <c r="U91" s="217"/>
      <c r="V91" s="217"/>
      <c r="W91" s="217"/>
      <c r="X91" s="217"/>
      <c r="Y91" s="217"/>
    </row>
    <row r="92" spans="1:25" ht="16" x14ac:dyDescent="0.2">
      <c r="A92" s="219">
        <v>2877</v>
      </c>
      <c r="B92" s="219" t="s">
        <v>30</v>
      </c>
      <c r="C92" s="219" t="s">
        <v>1480</v>
      </c>
      <c r="D92" s="219">
        <v>239.99</v>
      </c>
      <c r="E92" s="219">
        <v>1903</v>
      </c>
      <c r="F92" s="219">
        <v>239.9</v>
      </c>
      <c r="G92" s="219" t="s">
        <v>1695</v>
      </c>
      <c r="H92" s="219" t="s">
        <v>1696</v>
      </c>
      <c r="I92" s="219">
        <v>51</v>
      </c>
      <c r="J92" s="217"/>
      <c r="K92" s="219" t="s">
        <v>222</v>
      </c>
      <c r="L92" s="219">
        <v>4494</v>
      </c>
      <c r="M92" s="219">
        <v>67</v>
      </c>
      <c r="N92" s="219">
        <v>3811.63</v>
      </c>
      <c r="O92" s="219">
        <v>1.179</v>
      </c>
      <c r="P92" s="219">
        <v>1.7999999999999999E-2</v>
      </c>
      <c r="Q92" s="217"/>
      <c r="R92" s="217"/>
      <c r="S92" s="217"/>
      <c r="T92" s="217"/>
      <c r="U92" s="217"/>
      <c r="V92" s="217"/>
      <c r="W92" s="217"/>
      <c r="X92" s="217"/>
      <c r="Y92" s="217"/>
    </row>
    <row r="93" spans="1:25" ht="16" x14ac:dyDescent="0.2">
      <c r="A93" s="219">
        <v>2878</v>
      </c>
      <c r="B93" s="219" t="s">
        <v>30</v>
      </c>
      <c r="C93" s="219" t="s">
        <v>1480</v>
      </c>
      <c r="D93" s="219">
        <v>240.99</v>
      </c>
      <c r="E93" s="219">
        <v>1903</v>
      </c>
      <c r="F93" s="219">
        <v>240.9</v>
      </c>
      <c r="G93" s="219" t="s">
        <v>1697</v>
      </c>
      <c r="H93" s="219" t="s">
        <v>1698</v>
      </c>
      <c r="I93" s="219">
        <v>52</v>
      </c>
      <c r="J93" s="217"/>
      <c r="K93" s="219" t="s">
        <v>222</v>
      </c>
      <c r="L93" s="219">
        <v>2919</v>
      </c>
      <c r="M93" s="219">
        <v>54</v>
      </c>
      <c r="N93" s="219">
        <v>2405.87</v>
      </c>
      <c r="O93" s="219">
        <v>1.2130000000000001</v>
      </c>
      <c r="P93" s="219">
        <v>2.1999999999999999E-2</v>
      </c>
      <c r="Q93" s="217"/>
      <c r="R93" s="217"/>
      <c r="S93" s="217"/>
      <c r="T93" s="217"/>
      <c r="U93" s="217"/>
      <c r="V93" s="217"/>
      <c r="W93" s="217"/>
      <c r="X93" s="217"/>
      <c r="Y93" s="217"/>
    </row>
    <row r="94" spans="1:25" ht="16" x14ac:dyDescent="0.2">
      <c r="A94" s="219">
        <v>2879</v>
      </c>
      <c r="B94" s="219" t="s">
        <v>30</v>
      </c>
      <c r="C94" s="219" t="s">
        <v>1480</v>
      </c>
      <c r="D94" s="219">
        <v>241.99</v>
      </c>
      <c r="E94" s="219">
        <v>1903</v>
      </c>
      <c r="F94" s="219">
        <v>241.8</v>
      </c>
      <c r="G94" s="219" t="s">
        <v>1699</v>
      </c>
      <c r="H94" s="219" t="s">
        <v>1700</v>
      </c>
      <c r="I94" s="219">
        <v>52</v>
      </c>
      <c r="J94" s="217"/>
      <c r="K94" s="219" t="s">
        <v>222</v>
      </c>
      <c r="L94" s="219">
        <v>18121</v>
      </c>
      <c r="M94" s="219">
        <v>134.6</v>
      </c>
      <c r="N94" s="219">
        <v>14967.5</v>
      </c>
      <c r="O94" s="219">
        <v>1.2110000000000001</v>
      </c>
      <c r="P94" s="219">
        <v>8.9999999999999993E-3</v>
      </c>
      <c r="Q94" s="217"/>
      <c r="R94" s="217"/>
      <c r="S94" s="217"/>
      <c r="T94" s="217"/>
      <c r="U94" s="217"/>
      <c r="V94" s="217"/>
      <c r="W94" s="217"/>
      <c r="X94" s="217"/>
      <c r="Y94" s="217"/>
    </row>
    <row r="95" spans="1:25" ht="16" x14ac:dyDescent="0.2">
      <c r="A95" s="219">
        <v>2880</v>
      </c>
      <c r="B95" s="219" t="s">
        <v>30</v>
      </c>
      <c r="C95" s="219" t="s">
        <v>1480</v>
      </c>
      <c r="D95" s="219">
        <v>242.99</v>
      </c>
      <c r="E95" s="219">
        <v>1903</v>
      </c>
      <c r="F95" s="219">
        <v>242.8</v>
      </c>
      <c r="G95" s="219" t="s">
        <v>1701</v>
      </c>
      <c r="H95" s="219" t="s">
        <v>1702</v>
      </c>
      <c r="I95" s="219">
        <v>52</v>
      </c>
      <c r="J95" s="217"/>
      <c r="K95" s="219" t="s">
        <v>222</v>
      </c>
      <c r="L95" s="219">
        <v>3851</v>
      </c>
      <c r="M95" s="219">
        <v>62.1</v>
      </c>
      <c r="N95" s="219">
        <v>3392.31</v>
      </c>
      <c r="O95" s="219">
        <v>1.135</v>
      </c>
      <c r="P95" s="219">
        <v>1.7999999999999999E-2</v>
      </c>
      <c r="Q95" s="217"/>
      <c r="R95" s="217"/>
      <c r="S95" s="217"/>
      <c r="T95" s="217"/>
      <c r="U95" s="217"/>
      <c r="V95" s="217"/>
      <c r="W95" s="217"/>
      <c r="X95" s="217"/>
      <c r="Y95" s="217"/>
    </row>
    <row r="96" spans="1:25" ht="16" x14ac:dyDescent="0.2">
      <c r="A96" s="219">
        <v>2881</v>
      </c>
      <c r="B96" s="219" t="s">
        <v>30</v>
      </c>
      <c r="C96" s="219" t="s">
        <v>1480</v>
      </c>
      <c r="D96" s="219">
        <v>243.99</v>
      </c>
      <c r="E96" s="219">
        <v>1903</v>
      </c>
      <c r="F96" s="219">
        <v>243.8</v>
      </c>
      <c r="G96" s="219" t="s">
        <v>1703</v>
      </c>
      <c r="H96" s="219" t="s">
        <v>1704</v>
      </c>
      <c r="I96" s="219">
        <v>51</v>
      </c>
      <c r="J96" s="217"/>
      <c r="K96" s="219" t="s">
        <v>222</v>
      </c>
      <c r="L96" s="219">
        <v>8018</v>
      </c>
      <c r="M96" s="219">
        <v>89.5</v>
      </c>
      <c r="N96" s="219">
        <v>7861.68</v>
      </c>
      <c r="O96" s="219">
        <v>1.02</v>
      </c>
      <c r="P96" s="219">
        <v>1.0999999999999999E-2</v>
      </c>
      <c r="Q96" s="217"/>
      <c r="R96" s="217"/>
      <c r="S96" s="217"/>
      <c r="T96" s="217"/>
      <c r="U96" s="217"/>
      <c r="V96" s="217"/>
      <c r="W96" s="217"/>
      <c r="X96" s="217"/>
      <c r="Y96" s="217"/>
    </row>
    <row r="97" spans="1:26" ht="16" x14ac:dyDescent="0.2">
      <c r="A97" s="219">
        <v>2882</v>
      </c>
      <c r="B97" s="219" t="s">
        <v>30</v>
      </c>
      <c r="C97" s="219" t="s">
        <v>1480</v>
      </c>
      <c r="D97" s="219">
        <v>244.99</v>
      </c>
      <c r="E97" s="219">
        <v>1903</v>
      </c>
      <c r="F97" s="219">
        <v>244.8</v>
      </c>
      <c r="G97" s="219" t="s">
        <v>1705</v>
      </c>
      <c r="H97" s="219" t="s">
        <v>1706</v>
      </c>
      <c r="I97" s="219">
        <v>51</v>
      </c>
      <c r="J97" s="217"/>
      <c r="K97" s="219" t="s">
        <v>222</v>
      </c>
      <c r="L97" s="219">
        <v>5081</v>
      </c>
      <c r="M97" s="219">
        <v>71.3</v>
      </c>
      <c r="N97" s="219">
        <v>5614.16</v>
      </c>
      <c r="O97" s="219">
        <v>0.90500000000000003</v>
      </c>
      <c r="P97" s="219">
        <v>1.2999999999999999E-2</v>
      </c>
      <c r="Q97" s="217"/>
      <c r="R97" s="217"/>
      <c r="S97" s="217"/>
      <c r="T97" s="217"/>
      <c r="U97" s="217"/>
      <c r="V97" s="217"/>
      <c r="W97" s="217"/>
      <c r="X97" s="217"/>
      <c r="Y97" s="217"/>
    </row>
    <row r="98" spans="1:26" ht="16" x14ac:dyDescent="0.2">
      <c r="A98" s="219">
        <v>2883</v>
      </c>
      <c r="B98" s="219" t="s">
        <v>30</v>
      </c>
      <c r="C98" s="219" t="s">
        <v>1480</v>
      </c>
      <c r="D98" s="219">
        <v>245.99</v>
      </c>
      <c r="E98" s="219">
        <v>1903</v>
      </c>
      <c r="F98" s="219">
        <v>245.8</v>
      </c>
      <c r="G98" s="219" t="s">
        <v>1707</v>
      </c>
      <c r="H98" s="219" t="s">
        <v>1708</v>
      </c>
      <c r="I98" s="219">
        <v>51</v>
      </c>
      <c r="J98" s="217"/>
      <c r="K98" s="219" t="s">
        <v>222</v>
      </c>
      <c r="L98" s="219">
        <v>4896</v>
      </c>
      <c r="M98" s="219">
        <v>70</v>
      </c>
      <c r="N98" s="219">
        <v>6073.1</v>
      </c>
      <c r="O98" s="219">
        <v>0.80600000000000005</v>
      </c>
      <c r="P98" s="219">
        <v>1.2E-2</v>
      </c>
      <c r="Q98" s="217"/>
      <c r="R98" s="217"/>
      <c r="S98" s="217"/>
      <c r="T98" s="217"/>
      <c r="U98" s="217"/>
      <c r="V98" s="217"/>
      <c r="W98" s="217"/>
      <c r="X98" s="217"/>
      <c r="Y98" s="217"/>
    </row>
    <row r="99" spans="1:26" ht="16" x14ac:dyDescent="0.2">
      <c r="A99" s="219">
        <v>2884</v>
      </c>
      <c r="B99" s="219" t="s">
        <v>30</v>
      </c>
      <c r="C99" s="219" t="s">
        <v>1480</v>
      </c>
      <c r="D99" s="219">
        <v>246.99</v>
      </c>
      <c r="E99" s="219">
        <v>1903</v>
      </c>
      <c r="F99" s="219">
        <v>246.8</v>
      </c>
      <c r="G99" s="219" t="s">
        <v>1709</v>
      </c>
      <c r="H99" s="219" t="s">
        <v>1710</v>
      </c>
      <c r="I99" s="219">
        <v>50</v>
      </c>
      <c r="J99" s="217"/>
      <c r="K99" s="219" t="s">
        <v>222</v>
      </c>
      <c r="L99" s="219">
        <v>5164</v>
      </c>
      <c r="M99" s="219">
        <v>71.900000000000006</v>
      </c>
      <c r="N99" s="219">
        <v>7664.51</v>
      </c>
      <c r="O99" s="219">
        <v>0.67400000000000004</v>
      </c>
      <c r="P99" s="219">
        <v>8.9999999999999993E-3</v>
      </c>
      <c r="Q99" s="217"/>
      <c r="R99" s="217"/>
      <c r="S99" s="217"/>
      <c r="T99" s="217"/>
      <c r="U99" s="217"/>
      <c r="V99" s="217"/>
      <c r="W99" s="217"/>
      <c r="X99" s="217"/>
      <c r="Y99" s="217"/>
    </row>
    <row r="100" spans="1:26" ht="16" x14ac:dyDescent="0.2">
      <c r="A100" s="219">
        <v>2885</v>
      </c>
      <c r="B100" s="219" t="s">
        <v>30</v>
      </c>
      <c r="C100" s="219" t="s">
        <v>1480</v>
      </c>
      <c r="D100" s="219">
        <v>247.99</v>
      </c>
      <c r="E100" s="219">
        <v>1903</v>
      </c>
      <c r="F100" s="219">
        <v>247.8</v>
      </c>
      <c r="G100" s="219" t="s">
        <v>1711</v>
      </c>
      <c r="H100" s="219" t="s">
        <v>1712</v>
      </c>
      <c r="I100" s="219">
        <v>51</v>
      </c>
      <c r="J100" s="217"/>
      <c r="K100" s="219" t="s">
        <v>222</v>
      </c>
      <c r="L100" s="219">
        <v>4350</v>
      </c>
      <c r="M100" s="219">
        <v>66</v>
      </c>
      <c r="N100" s="219">
        <v>6655.1</v>
      </c>
      <c r="O100" s="219">
        <v>0.65400000000000003</v>
      </c>
      <c r="P100" s="219">
        <v>0.01</v>
      </c>
      <c r="Q100" s="217"/>
      <c r="R100" s="217"/>
      <c r="S100" s="217"/>
      <c r="T100" s="217"/>
      <c r="U100" s="217"/>
      <c r="V100" s="217"/>
      <c r="W100" s="217"/>
      <c r="X100" s="217"/>
      <c r="Y100" s="217"/>
    </row>
    <row r="101" spans="1:26" ht="16" x14ac:dyDescent="0.2">
      <c r="A101" s="219">
        <v>2886</v>
      </c>
      <c r="B101" s="219" t="s">
        <v>30</v>
      </c>
      <c r="C101" s="219" t="s">
        <v>1480</v>
      </c>
      <c r="D101" s="219">
        <v>248.99</v>
      </c>
      <c r="E101" s="219">
        <v>1903</v>
      </c>
      <c r="F101" s="219">
        <v>248.8</v>
      </c>
      <c r="G101" s="219" t="s">
        <v>1713</v>
      </c>
      <c r="H101" s="219" t="s">
        <v>1714</v>
      </c>
      <c r="I101" s="219">
        <v>51</v>
      </c>
      <c r="J101" s="217"/>
      <c r="K101" s="219" t="s">
        <v>222</v>
      </c>
      <c r="L101" s="219">
        <v>4840</v>
      </c>
      <c r="M101" s="219">
        <v>69.599999999999994</v>
      </c>
      <c r="N101" s="219">
        <v>8192.9500000000007</v>
      </c>
      <c r="O101" s="219">
        <v>0.59099999999999997</v>
      </c>
      <c r="P101" s="219">
        <v>8.0000000000000002E-3</v>
      </c>
      <c r="Q101" s="217"/>
      <c r="R101" s="217"/>
      <c r="S101" s="217"/>
      <c r="T101" s="217"/>
      <c r="U101" s="217"/>
      <c r="V101" s="217"/>
      <c r="W101" s="217"/>
      <c r="X101" s="217"/>
      <c r="Y101" s="217"/>
    </row>
    <row r="102" spans="1:26" ht="16" x14ac:dyDescent="0.2">
      <c r="A102" s="219">
        <v>2887</v>
      </c>
      <c r="B102" s="219" t="s">
        <v>30</v>
      </c>
      <c r="C102" s="219" t="s">
        <v>1480</v>
      </c>
      <c r="D102" s="219">
        <v>249.99</v>
      </c>
      <c r="E102" s="219">
        <v>1903</v>
      </c>
      <c r="F102" s="219">
        <v>249.8</v>
      </c>
      <c r="G102" s="219" t="s">
        <v>1715</v>
      </c>
      <c r="H102" s="219" t="s">
        <v>1716</v>
      </c>
      <c r="I102" s="219">
        <v>50</v>
      </c>
      <c r="J102" s="217"/>
      <c r="K102" s="219" t="s">
        <v>222</v>
      </c>
      <c r="L102" s="219">
        <v>2235</v>
      </c>
      <c r="M102" s="219">
        <v>47.3</v>
      </c>
      <c r="N102" s="219">
        <v>3853.49</v>
      </c>
      <c r="O102" s="219">
        <v>0.57999999999999996</v>
      </c>
      <c r="P102" s="219">
        <v>1.2E-2</v>
      </c>
      <c r="Q102" s="217"/>
      <c r="R102" s="217"/>
      <c r="S102" s="217"/>
      <c r="T102" s="217"/>
      <c r="U102" s="217"/>
      <c r="V102" s="217"/>
      <c r="W102" s="217"/>
      <c r="X102" s="217"/>
      <c r="Y102" s="217"/>
    </row>
    <row r="103" spans="1:26" ht="16" x14ac:dyDescent="0.2">
      <c r="A103" s="219">
        <v>2888</v>
      </c>
      <c r="B103" s="219" t="s">
        <v>30</v>
      </c>
      <c r="C103" s="219" t="s">
        <v>1480</v>
      </c>
      <c r="D103" s="219">
        <v>223.94</v>
      </c>
      <c r="E103" s="219">
        <v>1903</v>
      </c>
      <c r="F103" s="219">
        <v>223.9</v>
      </c>
      <c r="G103" s="219" t="s">
        <v>1717</v>
      </c>
      <c r="H103" s="219" t="s">
        <v>1718</v>
      </c>
      <c r="I103" s="219">
        <v>54</v>
      </c>
      <c r="J103" s="217"/>
      <c r="K103" s="219" t="s">
        <v>222</v>
      </c>
      <c r="L103" s="219">
        <v>4122</v>
      </c>
      <c r="M103" s="219">
        <v>64.2</v>
      </c>
      <c r="N103" s="219">
        <v>3723.32</v>
      </c>
      <c r="O103" s="219">
        <v>1.107</v>
      </c>
      <c r="P103" s="219">
        <v>1.7000000000000001E-2</v>
      </c>
      <c r="Q103" s="217"/>
      <c r="R103" s="217"/>
      <c r="S103" s="217"/>
      <c r="T103" s="217"/>
      <c r="U103" s="217"/>
      <c r="V103" s="217"/>
      <c r="W103" s="217"/>
      <c r="X103" s="217"/>
      <c r="Y103" s="217"/>
    </row>
    <row r="104" spans="1:26" ht="16" x14ac:dyDescent="0.2">
      <c r="A104" s="219">
        <v>2889</v>
      </c>
      <c r="B104" s="219" t="s">
        <v>157</v>
      </c>
      <c r="C104" s="219" t="s">
        <v>1480</v>
      </c>
      <c r="D104" s="219">
        <v>242.495</v>
      </c>
      <c r="E104" s="219">
        <v>2483</v>
      </c>
      <c r="F104" s="219">
        <v>242.9</v>
      </c>
      <c r="G104" s="219" t="s">
        <v>1482</v>
      </c>
      <c r="H104" s="219" t="s">
        <v>1483</v>
      </c>
      <c r="I104" s="219">
        <v>142</v>
      </c>
      <c r="J104" s="217"/>
      <c r="K104" s="219" t="s">
        <v>222</v>
      </c>
      <c r="L104" s="219">
        <v>793701</v>
      </c>
      <c r="M104" s="219">
        <v>890.9</v>
      </c>
      <c r="N104" s="219">
        <v>850835</v>
      </c>
      <c r="O104" s="219">
        <v>0.93300000000000005</v>
      </c>
      <c r="P104" s="219">
        <v>1E-3</v>
      </c>
      <c r="Q104" s="217"/>
      <c r="R104" s="217"/>
      <c r="S104" s="217"/>
      <c r="T104" s="217"/>
      <c r="U104" s="217"/>
      <c r="V104" s="217"/>
      <c r="W104" s="217"/>
      <c r="X104" s="217"/>
      <c r="Y104" s="217"/>
      <c r="Z104" s="217"/>
    </row>
    <row r="105" spans="1:26" ht="16" x14ac:dyDescent="0.2">
      <c r="A105" s="219">
        <v>2890</v>
      </c>
      <c r="B105" s="219" t="s">
        <v>31</v>
      </c>
      <c r="C105" s="219" t="s">
        <v>1480</v>
      </c>
      <c r="D105" s="219">
        <v>332.18</v>
      </c>
      <c r="E105" s="219">
        <v>936</v>
      </c>
      <c r="F105" s="219">
        <v>330.5</v>
      </c>
      <c r="G105" s="219" t="s">
        <v>1484</v>
      </c>
      <c r="H105" s="219" t="s">
        <v>1485</v>
      </c>
      <c r="I105" s="219">
        <v>15</v>
      </c>
      <c r="J105" s="217"/>
      <c r="K105" s="219" t="s">
        <v>222</v>
      </c>
      <c r="L105" s="219">
        <v>534</v>
      </c>
      <c r="M105" s="219">
        <v>23.1</v>
      </c>
      <c r="N105" s="219">
        <v>2263.75</v>
      </c>
      <c r="O105" s="219">
        <v>0.23599999999999999</v>
      </c>
      <c r="P105" s="219">
        <v>0.01</v>
      </c>
      <c r="Q105" s="217"/>
      <c r="R105" s="217"/>
      <c r="S105" s="217"/>
      <c r="T105" s="217"/>
      <c r="U105" s="217"/>
      <c r="V105" s="217"/>
      <c r="W105" s="217"/>
      <c r="X105" s="217"/>
      <c r="Y105" s="217"/>
      <c r="Z105" s="217"/>
    </row>
    <row r="106" spans="1:26" ht="16" x14ac:dyDescent="0.2">
      <c r="A106" s="219">
        <v>2891</v>
      </c>
      <c r="B106" s="219" t="s">
        <v>31</v>
      </c>
      <c r="C106" s="219" t="s">
        <v>1480</v>
      </c>
      <c r="D106" s="219">
        <v>334.18099999999998</v>
      </c>
      <c r="E106" s="219">
        <v>936</v>
      </c>
      <c r="F106" s="219">
        <v>332.5</v>
      </c>
      <c r="G106" s="219" t="s">
        <v>1486</v>
      </c>
      <c r="H106" s="219" t="s">
        <v>1487</v>
      </c>
      <c r="I106" s="219">
        <v>14</v>
      </c>
      <c r="J106" s="217"/>
      <c r="K106" s="219" t="s">
        <v>222</v>
      </c>
      <c r="L106" s="219">
        <v>459</v>
      </c>
      <c r="M106" s="219">
        <v>21.4</v>
      </c>
      <c r="N106" s="219">
        <v>1310.6300000000001</v>
      </c>
      <c r="O106" s="219">
        <v>0.35</v>
      </c>
      <c r="P106" s="219">
        <v>1.6E-2</v>
      </c>
      <c r="Q106" s="217"/>
      <c r="R106" s="217"/>
      <c r="S106" s="217"/>
      <c r="T106" s="217"/>
      <c r="U106" s="217"/>
      <c r="V106" s="217"/>
      <c r="W106" s="217"/>
      <c r="X106" s="217"/>
      <c r="Y106" s="217"/>
      <c r="Z106" s="217"/>
    </row>
    <row r="107" spans="1:26" ht="16" x14ac:dyDescent="0.2">
      <c r="A107" s="219">
        <v>2892</v>
      </c>
      <c r="B107" s="219" t="s">
        <v>31</v>
      </c>
      <c r="C107" s="219" t="s">
        <v>1480</v>
      </c>
      <c r="D107" s="219">
        <v>336.18900000000002</v>
      </c>
      <c r="E107" s="219">
        <v>936</v>
      </c>
      <c r="F107" s="219">
        <v>334.5</v>
      </c>
      <c r="G107" s="219" t="s">
        <v>1488</v>
      </c>
      <c r="H107" s="219" t="s">
        <v>1489</v>
      </c>
      <c r="I107" s="219">
        <v>14</v>
      </c>
      <c r="J107" s="217"/>
      <c r="K107" s="219" t="s">
        <v>222</v>
      </c>
      <c r="L107" s="219">
        <v>691</v>
      </c>
      <c r="M107" s="219">
        <v>26.3</v>
      </c>
      <c r="N107" s="219">
        <v>1096.26</v>
      </c>
      <c r="O107" s="219">
        <v>0.63</v>
      </c>
      <c r="P107" s="219">
        <v>2.4E-2</v>
      </c>
      <c r="Q107" s="217"/>
      <c r="R107" s="217"/>
      <c r="S107" s="217"/>
      <c r="T107" s="217"/>
      <c r="U107" s="217"/>
      <c r="V107" s="217"/>
      <c r="W107" s="217"/>
      <c r="X107" s="217"/>
      <c r="Y107" s="217"/>
      <c r="Z107" s="217"/>
    </row>
    <row r="108" spans="1:26" ht="16" x14ac:dyDescent="0.2">
      <c r="A108" s="219">
        <v>2893</v>
      </c>
      <c r="B108" s="219" t="s">
        <v>31</v>
      </c>
      <c r="C108" s="219" t="s">
        <v>1480</v>
      </c>
      <c r="D108" s="219">
        <v>338.19600000000003</v>
      </c>
      <c r="E108" s="219">
        <v>936</v>
      </c>
      <c r="F108" s="219">
        <v>336.4</v>
      </c>
      <c r="G108" s="219" t="s">
        <v>1490</v>
      </c>
      <c r="H108" s="219" t="s">
        <v>1491</v>
      </c>
      <c r="I108" s="219">
        <v>14</v>
      </c>
      <c r="J108" s="217"/>
      <c r="K108" s="219" t="s">
        <v>222</v>
      </c>
      <c r="L108" s="219">
        <v>1400</v>
      </c>
      <c r="M108" s="219">
        <v>37.4</v>
      </c>
      <c r="N108" s="219">
        <v>1406.92</v>
      </c>
      <c r="O108" s="219">
        <v>0.995</v>
      </c>
      <c r="P108" s="219">
        <v>2.7E-2</v>
      </c>
      <c r="Q108" s="217"/>
      <c r="R108" s="217"/>
      <c r="S108" s="217"/>
      <c r="T108" s="217"/>
      <c r="U108" s="217"/>
      <c r="V108" s="217"/>
      <c r="W108" s="217"/>
      <c r="X108" s="217"/>
      <c r="Y108" s="217"/>
      <c r="Z108" s="217"/>
    </row>
    <row r="109" spans="1:26" ht="16" x14ac:dyDescent="0.2">
      <c r="A109" s="219">
        <v>2894</v>
      </c>
      <c r="B109" s="219" t="s">
        <v>31</v>
      </c>
      <c r="C109" s="219" t="s">
        <v>1480</v>
      </c>
      <c r="D109" s="219">
        <v>340.19</v>
      </c>
      <c r="E109" s="219">
        <v>936</v>
      </c>
      <c r="F109" s="219">
        <v>338.4</v>
      </c>
      <c r="G109" s="219" t="s">
        <v>1492</v>
      </c>
      <c r="H109" s="219" t="s">
        <v>1493</v>
      </c>
      <c r="I109" s="219">
        <v>14</v>
      </c>
      <c r="J109" s="217"/>
      <c r="K109" s="219" t="s">
        <v>222</v>
      </c>
      <c r="L109" s="219">
        <v>2045</v>
      </c>
      <c r="M109" s="219">
        <v>45.2</v>
      </c>
      <c r="N109" s="219">
        <v>928.02</v>
      </c>
      <c r="O109" s="219">
        <v>2.2040000000000002</v>
      </c>
      <c r="P109" s="219">
        <v>4.9000000000000002E-2</v>
      </c>
      <c r="Q109" s="217"/>
      <c r="R109" s="217"/>
      <c r="S109" s="217"/>
      <c r="T109" s="217"/>
      <c r="U109" s="217"/>
      <c r="V109" s="217"/>
      <c r="W109" s="217"/>
      <c r="X109" s="217"/>
      <c r="Y109" s="217"/>
      <c r="Z109" s="217"/>
    </row>
    <row r="110" spans="1:26" ht="16" x14ac:dyDescent="0.2">
      <c r="A110" s="219">
        <v>2895</v>
      </c>
      <c r="B110" s="219" t="s">
        <v>31</v>
      </c>
      <c r="C110" s="219" t="s">
        <v>1480</v>
      </c>
      <c r="D110" s="219">
        <v>341.18400000000003</v>
      </c>
      <c r="E110" s="219">
        <v>936</v>
      </c>
      <c r="F110" s="219">
        <v>339.4</v>
      </c>
      <c r="G110" s="219" t="s">
        <v>1494</v>
      </c>
      <c r="H110" s="219" t="s">
        <v>1495</v>
      </c>
      <c r="I110" s="219">
        <v>14</v>
      </c>
      <c r="J110" s="217"/>
      <c r="K110" s="219" t="s">
        <v>222</v>
      </c>
      <c r="L110" s="219">
        <v>2842</v>
      </c>
      <c r="M110" s="219">
        <v>53.3</v>
      </c>
      <c r="N110" s="219">
        <v>729.94</v>
      </c>
      <c r="O110" s="219">
        <v>3.8929999999999998</v>
      </c>
      <c r="P110" s="219">
        <v>7.2999999999999995E-2</v>
      </c>
      <c r="Q110" s="217"/>
      <c r="R110" s="217"/>
      <c r="S110" s="217"/>
      <c r="T110" s="217"/>
      <c r="U110" s="217"/>
      <c r="V110" s="217"/>
      <c r="W110" s="217"/>
      <c r="X110" s="217"/>
      <c r="Y110" s="217"/>
      <c r="Z110" s="217"/>
    </row>
    <row r="111" spans="1:26" ht="16" x14ac:dyDescent="0.2">
      <c r="A111" s="219">
        <v>2896</v>
      </c>
      <c r="B111" s="219" t="s">
        <v>31</v>
      </c>
      <c r="C111" s="219" t="s">
        <v>1480</v>
      </c>
      <c r="D111" s="219">
        <v>342.19799999999998</v>
      </c>
      <c r="E111" s="219">
        <v>936</v>
      </c>
      <c r="F111" s="219">
        <v>340.4</v>
      </c>
      <c r="G111" s="219" t="s">
        <v>1496</v>
      </c>
      <c r="H111" s="219" t="s">
        <v>1497</v>
      </c>
      <c r="I111" s="219">
        <v>14</v>
      </c>
      <c r="J111" s="217"/>
      <c r="K111" s="219" t="s">
        <v>222</v>
      </c>
      <c r="L111" s="219">
        <v>4373</v>
      </c>
      <c r="M111" s="219">
        <v>66.099999999999994</v>
      </c>
      <c r="N111" s="219">
        <v>547.55999999999995</v>
      </c>
      <c r="O111" s="219">
        <v>7.9859999999999998</v>
      </c>
      <c r="P111" s="219">
        <v>0.121</v>
      </c>
      <c r="Q111" s="217"/>
      <c r="R111" s="217"/>
      <c r="S111" s="217"/>
      <c r="T111" s="217"/>
      <c r="U111" s="217"/>
      <c r="V111" s="217"/>
      <c r="W111" s="217"/>
      <c r="X111" s="217"/>
      <c r="Y111" s="217"/>
      <c r="Z111" s="217"/>
    </row>
    <row r="112" spans="1:26" ht="16" x14ac:dyDescent="0.2">
      <c r="A112" s="219">
        <v>2897</v>
      </c>
      <c r="B112" s="219" t="s">
        <v>31</v>
      </c>
      <c r="C112" s="219" t="s">
        <v>1480</v>
      </c>
      <c r="D112" s="219">
        <v>343.19799999999998</v>
      </c>
      <c r="E112" s="219">
        <v>936</v>
      </c>
      <c r="F112" s="219">
        <v>341.4</v>
      </c>
      <c r="G112" s="219" t="s">
        <v>1498</v>
      </c>
      <c r="H112" s="219" t="s">
        <v>1499</v>
      </c>
      <c r="I112" s="219">
        <v>14</v>
      </c>
      <c r="J112" s="217"/>
      <c r="K112" s="219" t="s">
        <v>222</v>
      </c>
      <c r="L112" s="219">
        <v>6585</v>
      </c>
      <c r="M112" s="219">
        <v>81.099999999999994</v>
      </c>
      <c r="N112" s="219">
        <v>489.13</v>
      </c>
      <c r="O112" s="219">
        <v>13.462999999999999</v>
      </c>
      <c r="P112" s="219">
        <v>0.16600000000000001</v>
      </c>
      <c r="Q112" s="217"/>
      <c r="R112" s="217"/>
      <c r="S112" s="217"/>
      <c r="T112" s="217"/>
      <c r="U112" s="217"/>
      <c r="V112" s="217"/>
      <c r="W112" s="217"/>
      <c r="X112" s="217"/>
      <c r="Y112" s="217"/>
      <c r="Z112" s="217"/>
    </row>
    <row r="113" spans="1:26" ht="16" x14ac:dyDescent="0.2">
      <c r="A113" s="219">
        <v>2898</v>
      </c>
      <c r="B113" s="219" t="s">
        <v>31</v>
      </c>
      <c r="C113" s="219" t="s">
        <v>1480</v>
      </c>
      <c r="D113" s="219">
        <v>344.19200000000001</v>
      </c>
      <c r="E113" s="219">
        <v>936</v>
      </c>
      <c r="F113" s="219">
        <v>342.4</v>
      </c>
      <c r="G113" s="219" t="s">
        <v>1500</v>
      </c>
      <c r="H113" s="219" t="s">
        <v>1501</v>
      </c>
      <c r="I113" s="219">
        <v>14</v>
      </c>
      <c r="J113" s="217"/>
      <c r="K113" s="219" t="s">
        <v>222</v>
      </c>
      <c r="L113" s="219">
        <v>8645</v>
      </c>
      <c r="M113" s="219">
        <v>93</v>
      </c>
      <c r="N113" s="219">
        <v>504.41</v>
      </c>
      <c r="O113" s="219">
        <v>17.138999999999999</v>
      </c>
      <c r="P113" s="219">
        <v>0.184</v>
      </c>
      <c r="Q113" s="217"/>
      <c r="R113" s="217"/>
      <c r="S113" s="217"/>
      <c r="T113" s="217"/>
      <c r="U113" s="217"/>
      <c r="V113" s="217"/>
      <c r="W113" s="217"/>
      <c r="X113" s="217"/>
      <c r="Y113" s="217"/>
      <c r="Z113" s="217"/>
    </row>
    <row r="114" spans="1:26" ht="16" x14ac:dyDescent="0.2">
      <c r="A114" s="219">
        <v>2899</v>
      </c>
      <c r="B114" s="219" t="s">
        <v>31</v>
      </c>
      <c r="C114" s="219" t="s">
        <v>1480</v>
      </c>
      <c r="D114" s="219">
        <v>345.21199999999999</v>
      </c>
      <c r="E114" s="219">
        <v>936</v>
      </c>
      <c r="F114" s="219">
        <v>343.4</v>
      </c>
      <c r="G114" s="219" t="s">
        <v>1502</v>
      </c>
      <c r="H114" s="219" t="s">
        <v>1503</v>
      </c>
      <c r="I114" s="219">
        <v>14</v>
      </c>
      <c r="J114" s="217"/>
      <c r="K114" s="219" t="s">
        <v>222</v>
      </c>
      <c r="L114" s="219">
        <v>17185</v>
      </c>
      <c r="M114" s="219">
        <v>131.1</v>
      </c>
      <c r="N114" s="219">
        <v>952.97</v>
      </c>
      <c r="O114" s="219">
        <v>18.033000000000001</v>
      </c>
      <c r="P114" s="219">
        <v>0.13800000000000001</v>
      </c>
      <c r="Q114" s="217"/>
      <c r="R114" s="217"/>
      <c r="S114" s="217"/>
      <c r="T114" s="217"/>
      <c r="U114" s="217"/>
      <c r="V114" s="217"/>
      <c r="W114" s="217"/>
      <c r="X114" s="217"/>
      <c r="Y114" s="217"/>
      <c r="Z114" s="217"/>
    </row>
    <row r="115" spans="1:26" ht="16" x14ac:dyDescent="0.2">
      <c r="A115" s="219">
        <v>2900</v>
      </c>
      <c r="B115" s="219" t="s">
        <v>31</v>
      </c>
      <c r="C115" s="219" t="s">
        <v>1480</v>
      </c>
      <c r="D115" s="219">
        <v>346.19900000000001</v>
      </c>
      <c r="E115" s="219">
        <v>936</v>
      </c>
      <c r="F115" s="219">
        <v>344.4</v>
      </c>
      <c r="G115" s="219" t="s">
        <v>1504</v>
      </c>
      <c r="H115" s="219" t="s">
        <v>1505</v>
      </c>
      <c r="I115" s="219">
        <v>14</v>
      </c>
      <c r="J115" s="217"/>
      <c r="K115" s="219" t="s">
        <v>222</v>
      </c>
      <c r="L115" s="219">
        <v>15931</v>
      </c>
      <c r="M115" s="219">
        <v>126.2</v>
      </c>
      <c r="N115" s="219">
        <v>945.43</v>
      </c>
      <c r="O115" s="219">
        <v>16.850999999999999</v>
      </c>
      <c r="P115" s="219">
        <v>0.13400000000000001</v>
      </c>
      <c r="Q115" s="217"/>
      <c r="R115" s="217"/>
      <c r="S115" s="217"/>
      <c r="T115" s="217"/>
      <c r="U115" s="217"/>
      <c r="V115" s="217"/>
      <c r="W115" s="217"/>
      <c r="X115" s="217"/>
      <c r="Y115" s="217"/>
      <c r="Z115" s="217"/>
    </row>
    <row r="116" spans="1:26" ht="16" x14ac:dyDescent="0.2">
      <c r="A116" s="219">
        <v>2901</v>
      </c>
      <c r="B116" s="219" t="s">
        <v>31</v>
      </c>
      <c r="C116" s="219" t="s">
        <v>1480</v>
      </c>
      <c r="D116" s="219">
        <v>347.2</v>
      </c>
      <c r="E116" s="219">
        <v>936</v>
      </c>
      <c r="F116" s="219">
        <v>345.4</v>
      </c>
      <c r="G116" s="219" t="s">
        <v>1506</v>
      </c>
      <c r="H116" s="219" t="s">
        <v>1507</v>
      </c>
      <c r="I116" s="219">
        <v>14</v>
      </c>
      <c r="J116" s="217"/>
      <c r="K116" s="219" t="s">
        <v>222</v>
      </c>
      <c r="L116" s="219">
        <v>13993</v>
      </c>
      <c r="M116" s="219">
        <v>118.3</v>
      </c>
      <c r="N116" s="219">
        <v>965.78</v>
      </c>
      <c r="O116" s="219">
        <v>14.489000000000001</v>
      </c>
      <c r="P116" s="219">
        <v>0.122</v>
      </c>
      <c r="Q116" s="217"/>
      <c r="R116" s="217"/>
      <c r="S116" s="217"/>
      <c r="T116" s="217"/>
      <c r="U116" s="217"/>
      <c r="V116" s="217"/>
      <c r="W116" s="217"/>
      <c r="X116" s="217"/>
      <c r="Y116" s="217"/>
      <c r="Z116" s="217"/>
    </row>
    <row r="117" spans="1:26" ht="16" x14ac:dyDescent="0.2">
      <c r="A117" s="219">
        <v>2902</v>
      </c>
      <c r="B117" s="219" t="s">
        <v>31</v>
      </c>
      <c r="C117" s="219" t="s">
        <v>1480</v>
      </c>
      <c r="D117" s="219">
        <v>348.20600000000002</v>
      </c>
      <c r="E117" s="219">
        <v>936</v>
      </c>
      <c r="F117" s="219">
        <v>346.4</v>
      </c>
      <c r="G117" s="219" t="s">
        <v>1508</v>
      </c>
      <c r="H117" s="219" t="s">
        <v>1509</v>
      </c>
      <c r="I117" s="219">
        <v>14</v>
      </c>
      <c r="J117" s="217"/>
      <c r="K117" s="219" t="s">
        <v>222</v>
      </c>
      <c r="L117" s="219">
        <v>14246</v>
      </c>
      <c r="M117" s="219">
        <v>119.4</v>
      </c>
      <c r="N117" s="219">
        <v>1168.31</v>
      </c>
      <c r="O117" s="219">
        <v>12.194000000000001</v>
      </c>
      <c r="P117" s="219">
        <v>0.10199999999999999</v>
      </c>
      <c r="Q117" s="217"/>
      <c r="R117" s="217"/>
      <c r="S117" s="217"/>
      <c r="T117" s="217"/>
      <c r="U117" s="217"/>
      <c r="V117" s="217"/>
      <c r="W117" s="217"/>
      <c r="X117" s="217"/>
      <c r="Y117" s="217"/>
      <c r="Z117" s="217"/>
    </row>
    <row r="118" spans="1:26" ht="16" x14ac:dyDescent="0.2">
      <c r="A118" s="219">
        <v>2903</v>
      </c>
      <c r="B118" s="219" t="s">
        <v>31</v>
      </c>
      <c r="C118" s="219" t="s">
        <v>1480</v>
      </c>
      <c r="D118" s="219">
        <v>349.20699999999999</v>
      </c>
      <c r="E118" s="219">
        <v>936</v>
      </c>
      <c r="F118" s="219">
        <v>347.4</v>
      </c>
      <c r="G118" s="219" t="s">
        <v>1510</v>
      </c>
      <c r="H118" s="219" t="s">
        <v>1511</v>
      </c>
      <c r="I118" s="219">
        <v>14</v>
      </c>
      <c r="J118" s="217"/>
      <c r="K118" s="219" t="s">
        <v>222</v>
      </c>
      <c r="L118" s="219">
        <v>5974</v>
      </c>
      <c r="M118" s="219">
        <v>77.3</v>
      </c>
      <c r="N118" s="219">
        <v>617.27</v>
      </c>
      <c r="O118" s="219">
        <v>9.6780000000000008</v>
      </c>
      <c r="P118" s="219">
        <v>0.125</v>
      </c>
      <c r="Q118" s="217"/>
      <c r="R118" s="217"/>
      <c r="S118" s="217"/>
      <c r="T118" s="217"/>
      <c r="U118" s="217"/>
      <c r="V118" s="217"/>
      <c r="W118" s="217"/>
      <c r="X118" s="217"/>
      <c r="Y118" s="217"/>
      <c r="Z118" s="217"/>
    </row>
    <row r="119" spans="1:26" ht="16" x14ac:dyDescent="0.2">
      <c r="A119" s="219">
        <v>2904</v>
      </c>
      <c r="B119" s="219" t="s">
        <v>31</v>
      </c>
      <c r="C119" s="219" t="s">
        <v>1480</v>
      </c>
      <c r="D119" s="219">
        <v>350.20699999999999</v>
      </c>
      <c r="E119" s="219">
        <v>936</v>
      </c>
      <c r="F119" s="219">
        <v>348.4</v>
      </c>
      <c r="G119" s="219" t="s">
        <v>1512</v>
      </c>
      <c r="H119" s="219" t="s">
        <v>1513</v>
      </c>
      <c r="I119" s="219">
        <v>14</v>
      </c>
      <c r="J119" s="217"/>
      <c r="K119" s="219" t="s">
        <v>222</v>
      </c>
      <c r="L119" s="219">
        <v>5810</v>
      </c>
      <c r="M119" s="219">
        <v>76.2</v>
      </c>
      <c r="N119" s="219">
        <v>807.43</v>
      </c>
      <c r="O119" s="219">
        <v>7.1959999999999997</v>
      </c>
      <c r="P119" s="219">
        <v>9.4E-2</v>
      </c>
      <c r="Q119" s="217"/>
      <c r="R119" s="217"/>
      <c r="S119" s="217"/>
      <c r="T119" s="217"/>
      <c r="U119" s="217"/>
      <c r="V119" s="217"/>
      <c r="W119" s="217"/>
      <c r="X119" s="217"/>
      <c r="Y119" s="217"/>
      <c r="Z119" s="217"/>
    </row>
    <row r="120" spans="1:26" ht="16" x14ac:dyDescent="0.2">
      <c r="A120" s="219">
        <v>2905</v>
      </c>
      <c r="B120" s="219" t="s">
        <v>31</v>
      </c>
      <c r="C120" s="219" t="s">
        <v>1480</v>
      </c>
      <c r="D120" s="219">
        <v>351.20800000000003</v>
      </c>
      <c r="E120" s="219">
        <v>936</v>
      </c>
      <c r="F120" s="219">
        <v>349.4</v>
      </c>
      <c r="G120" s="219" t="s">
        <v>1514</v>
      </c>
      <c r="H120" s="219" t="s">
        <v>1515</v>
      </c>
      <c r="I120" s="219">
        <v>14</v>
      </c>
      <c r="J120" s="217"/>
      <c r="K120" s="219" t="s">
        <v>222</v>
      </c>
      <c r="L120" s="219">
        <v>2932</v>
      </c>
      <c r="M120" s="219">
        <v>54.1</v>
      </c>
      <c r="N120" s="219">
        <v>528.16999999999996</v>
      </c>
      <c r="O120" s="219">
        <v>5.5510000000000002</v>
      </c>
      <c r="P120" s="219">
        <v>0.10299999999999999</v>
      </c>
      <c r="Q120" s="217"/>
      <c r="R120" s="217"/>
      <c r="S120" s="217"/>
      <c r="T120" s="217"/>
      <c r="U120" s="217"/>
      <c r="V120" s="217"/>
      <c r="W120" s="217"/>
      <c r="X120" s="217"/>
      <c r="Y120" s="217"/>
      <c r="Z120" s="217"/>
    </row>
    <row r="121" spans="1:26" ht="16" x14ac:dyDescent="0.2">
      <c r="A121" s="219">
        <v>2906</v>
      </c>
      <c r="B121" s="219" t="s">
        <v>31</v>
      </c>
      <c r="C121" s="219" t="s">
        <v>1480</v>
      </c>
      <c r="D121" s="219">
        <v>352.21499999999997</v>
      </c>
      <c r="E121" s="219">
        <v>936</v>
      </c>
      <c r="F121" s="219">
        <v>350.4</v>
      </c>
      <c r="G121" s="219" t="s">
        <v>1516</v>
      </c>
      <c r="H121" s="219" t="s">
        <v>1517</v>
      </c>
      <c r="I121" s="219">
        <v>14</v>
      </c>
      <c r="J121" s="217"/>
      <c r="K121" s="219" t="s">
        <v>222</v>
      </c>
      <c r="L121" s="219">
        <v>3722</v>
      </c>
      <c r="M121" s="219">
        <v>61</v>
      </c>
      <c r="N121" s="219">
        <v>886.54</v>
      </c>
      <c r="O121" s="219">
        <v>4.1980000000000004</v>
      </c>
      <c r="P121" s="219">
        <v>6.9000000000000006E-2</v>
      </c>
      <c r="Q121" s="217"/>
      <c r="R121" s="217"/>
      <c r="S121" s="217"/>
      <c r="T121" s="217"/>
      <c r="U121" s="217"/>
      <c r="V121" s="217"/>
      <c r="W121" s="217"/>
      <c r="X121" s="217"/>
      <c r="Y121" s="217"/>
      <c r="Z121" s="217"/>
    </row>
    <row r="122" spans="1:26" ht="16" x14ac:dyDescent="0.2">
      <c r="A122" s="219">
        <v>2907</v>
      </c>
      <c r="B122" s="219" t="s">
        <v>31</v>
      </c>
      <c r="C122" s="219" t="s">
        <v>1480</v>
      </c>
      <c r="D122" s="219">
        <v>353.20800000000003</v>
      </c>
      <c r="E122" s="219">
        <v>936</v>
      </c>
      <c r="F122" s="219">
        <v>351.4</v>
      </c>
      <c r="G122" s="219" t="s">
        <v>1518</v>
      </c>
      <c r="H122" s="219" t="s">
        <v>1519</v>
      </c>
      <c r="I122" s="219">
        <v>14</v>
      </c>
      <c r="J122" s="217"/>
      <c r="K122" s="219" t="s">
        <v>222</v>
      </c>
      <c r="L122" s="219">
        <v>6243</v>
      </c>
      <c r="M122" s="219">
        <v>79</v>
      </c>
      <c r="N122" s="219">
        <v>1737.82</v>
      </c>
      <c r="O122" s="219">
        <v>3.5920000000000001</v>
      </c>
      <c r="P122" s="219">
        <v>4.4999999999999998E-2</v>
      </c>
      <c r="Q122" s="217"/>
      <c r="R122" s="217"/>
      <c r="S122" s="217"/>
      <c r="T122" s="217"/>
      <c r="U122" s="217"/>
      <c r="V122" s="217"/>
      <c r="W122" s="217"/>
      <c r="X122" s="217"/>
      <c r="Y122" s="217"/>
      <c r="Z122" s="217"/>
    </row>
    <row r="123" spans="1:26" ht="16" x14ac:dyDescent="0.2">
      <c r="A123" s="219">
        <v>2908</v>
      </c>
      <c r="B123" s="219" t="s">
        <v>31</v>
      </c>
      <c r="C123" s="219" t="s">
        <v>1480</v>
      </c>
      <c r="D123" s="219">
        <v>355.209</v>
      </c>
      <c r="E123" s="219">
        <v>936</v>
      </c>
      <c r="F123" s="219">
        <v>353.3</v>
      </c>
      <c r="G123" s="219" t="s">
        <v>1520</v>
      </c>
      <c r="H123" s="219" t="s">
        <v>1521</v>
      </c>
      <c r="I123" s="219">
        <v>14</v>
      </c>
      <c r="J123" s="217"/>
      <c r="K123" s="219" t="s">
        <v>222</v>
      </c>
      <c r="L123" s="219">
        <v>2261</v>
      </c>
      <c r="M123" s="219">
        <v>47.5</v>
      </c>
      <c r="N123" s="219">
        <v>1003.96</v>
      </c>
      <c r="O123" s="219">
        <v>2.2519999999999998</v>
      </c>
      <c r="P123" s="219">
        <v>4.7E-2</v>
      </c>
      <c r="Q123" s="217"/>
      <c r="R123" s="217"/>
      <c r="S123" s="217"/>
      <c r="T123" s="217"/>
      <c r="U123" s="217"/>
      <c r="V123" s="217"/>
      <c r="W123" s="217"/>
      <c r="X123" s="217"/>
      <c r="Y123" s="217"/>
      <c r="Z123" s="217"/>
    </row>
    <row r="124" spans="1:26" ht="16" x14ac:dyDescent="0.2">
      <c r="A124" s="219">
        <v>2909</v>
      </c>
      <c r="B124" s="219" t="s">
        <v>31</v>
      </c>
      <c r="C124" s="219" t="s">
        <v>1480</v>
      </c>
      <c r="D124" s="219">
        <v>357.21699999999998</v>
      </c>
      <c r="E124" s="219">
        <v>936</v>
      </c>
      <c r="F124" s="219">
        <v>355.3</v>
      </c>
      <c r="G124" s="219" t="s">
        <v>1522</v>
      </c>
      <c r="H124" s="219" t="s">
        <v>1523</v>
      </c>
      <c r="I124" s="219">
        <v>14</v>
      </c>
      <c r="J124" s="217"/>
      <c r="K124" s="219" t="s">
        <v>222</v>
      </c>
      <c r="L124" s="219">
        <v>1776</v>
      </c>
      <c r="M124" s="219">
        <v>42.1</v>
      </c>
      <c r="N124" s="219">
        <v>1004.04</v>
      </c>
      <c r="O124" s="219">
        <v>1.7689999999999999</v>
      </c>
      <c r="P124" s="219">
        <v>4.2000000000000003E-2</v>
      </c>
      <c r="Q124" s="217"/>
      <c r="R124" s="217"/>
      <c r="S124" s="217"/>
      <c r="T124" s="217"/>
      <c r="U124" s="217"/>
      <c r="V124" s="217"/>
      <c r="W124" s="217"/>
      <c r="X124" s="217"/>
      <c r="Y124" s="217"/>
      <c r="Z124" s="217"/>
    </row>
    <row r="125" spans="1:26" ht="16" x14ac:dyDescent="0.2">
      <c r="A125" s="219">
        <v>2910</v>
      </c>
      <c r="B125" s="219" t="s">
        <v>31</v>
      </c>
      <c r="C125" s="219" t="s">
        <v>1480</v>
      </c>
      <c r="D125" s="219">
        <v>359.22399999999999</v>
      </c>
      <c r="E125" s="219">
        <v>936</v>
      </c>
      <c r="F125" s="219">
        <v>357.3</v>
      </c>
      <c r="G125" s="219" t="s">
        <v>1524</v>
      </c>
      <c r="H125" s="219" t="s">
        <v>1525</v>
      </c>
      <c r="I125" s="219">
        <v>14</v>
      </c>
      <c r="J125" s="217"/>
      <c r="K125" s="219" t="s">
        <v>222</v>
      </c>
      <c r="L125" s="219">
        <v>3738</v>
      </c>
      <c r="M125" s="219">
        <v>61.1</v>
      </c>
      <c r="N125" s="219">
        <v>2960.46</v>
      </c>
      <c r="O125" s="219">
        <v>1.2629999999999999</v>
      </c>
      <c r="P125" s="219">
        <v>2.1000000000000001E-2</v>
      </c>
      <c r="Q125" s="217"/>
      <c r="R125" s="217"/>
      <c r="S125" s="217"/>
      <c r="T125" s="217"/>
      <c r="U125" s="217"/>
      <c r="V125" s="217"/>
      <c r="W125" s="217"/>
      <c r="X125" s="217"/>
      <c r="Y125" s="217"/>
      <c r="Z125" s="217"/>
    </row>
    <row r="126" spans="1:26" ht="16" x14ac:dyDescent="0.2">
      <c r="A126" s="219">
        <v>2911</v>
      </c>
      <c r="B126" s="219" t="s">
        <v>29</v>
      </c>
      <c r="C126" s="219" t="s">
        <v>1719</v>
      </c>
      <c r="D126" s="219">
        <v>332.18</v>
      </c>
      <c r="E126" s="219">
        <v>1131</v>
      </c>
      <c r="F126" s="219">
        <v>330.7</v>
      </c>
      <c r="G126" s="219" t="s">
        <v>1720</v>
      </c>
      <c r="H126" s="219" t="s">
        <v>1721</v>
      </c>
      <c r="I126" s="219">
        <v>22</v>
      </c>
      <c r="J126" s="217"/>
      <c r="K126" s="219" t="s">
        <v>222</v>
      </c>
      <c r="L126" s="219">
        <v>1496</v>
      </c>
      <c r="M126" s="219">
        <v>38.700000000000003</v>
      </c>
      <c r="N126" s="219">
        <v>4477.5200000000004</v>
      </c>
      <c r="O126" s="219">
        <v>0.33400000000000002</v>
      </c>
      <c r="P126" s="219">
        <v>8.9999999999999993E-3</v>
      </c>
      <c r="Q126" s="217"/>
      <c r="R126" s="217"/>
      <c r="S126" s="217"/>
      <c r="T126" s="217"/>
      <c r="U126" s="217"/>
      <c r="V126" s="217"/>
      <c r="W126" s="217"/>
      <c r="X126" s="217"/>
      <c r="Y126" s="217"/>
    </row>
    <row r="127" spans="1:26" ht="16" x14ac:dyDescent="0.2">
      <c r="A127" s="219">
        <v>2912</v>
      </c>
      <c r="B127" s="219" t="s">
        <v>29</v>
      </c>
      <c r="C127" s="219" t="s">
        <v>1719</v>
      </c>
      <c r="D127" s="219">
        <v>334.18099999999998</v>
      </c>
      <c r="E127" s="219">
        <v>1131</v>
      </c>
      <c r="F127" s="219">
        <v>332.7</v>
      </c>
      <c r="G127" s="219" t="s">
        <v>1722</v>
      </c>
      <c r="H127" s="219" t="s">
        <v>1723</v>
      </c>
      <c r="I127" s="219">
        <v>21</v>
      </c>
      <c r="J127" s="217"/>
      <c r="K127" s="219" t="s">
        <v>222</v>
      </c>
      <c r="L127" s="219">
        <v>1065</v>
      </c>
      <c r="M127" s="219">
        <v>32.6</v>
      </c>
      <c r="N127" s="219">
        <v>2274.8000000000002</v>
      </c>
      <c r="O127" s="219">
        <v>0.46800000000000003</v>
      </c>
      <c r="P127" s="219">
        <v>1.4E-2</v>
      </c>
      <c r="Q127" s="217"/>
      <c r="R127" s="217"/>
      <c r="S127" s="217"/>
      <c r="T127" s="217"/>
      <c r="U127" s="217"/>
      <c r="V127" s="217"/>
      <c r="W127" s="217"/>
      <c r="X127" s="217"/>
      <c r="Y127" s="217"/>
    </row>
    <row r="128" spans="1:26" ht="16" x14ac:dyDescent="0.2">
      <c r="A128" s="219">
        <v>2913</v>
      </c>
      <c r="B128" s="219" t="s">
        <v>29</v>
      </c>
      <c r="C128" s="219" t="s">
        <v>1719</v>
      </c>
      <c r="D128" s="219">
        <v>336.18900000000002</v>
      </c>
      <c r="E128" s="219">
        <v>1131</v>
      </c>
      <c r="F128" s="219">
        <v>334.6</v>
      </c>
      <c r="G128" s="219" t="s">
        <v>1724</v>
      </c>
      <c r="H128" s="219" t="s">
        <v>1725</v>
      </c>
      <c r="I128" s="219">
        <v>21</v>
      </c>
      <c r="J128" s="217"/>
      <c r="K128" s="219" t="s">
        <v>222</v>
      </c>
      <c r="L128" s="219">
        <v>1184</v>
      </c>
      <c r="M128" s="219">
        <v>34.4</v>
      </c>
      <c r="N128" s="219">
        <v>1710.92</v>
      </c>
      <c r="O128" s="219">
        <v>0.69199999999999995</v>
      </c>
      <c r="P128" s="219">
        <v>0.02</v>
      </c>
      <c r="Q128" s="217"/>
      <c r="R128" s="217"/>
      <c r="S128" s="217"/>
      <c r="T128" s="217"/>
      <c r="U128" s="217"/>
      <c r="V128" s="217"/>
      <c r="W128" s="217"/>
      <c r="X128" s="217"/>
      <c r="Y128" s="217"/>
    </row>
    <row r="129" spans="1:25" ht="16" x14ac:dyDescent="0.2">
      <c r="A129" s="219">
        <v>2914</v>
      </c>
      <c r="B129" s="219" t="s">
        <v>29</v>
      </c>
      <c r="C129" s="219" t="s">
        <v>1719</v>
      </c>
      <c r="D129" s="219">
        <v>338.19600000000003</v>
      </c>
      <c r="E129" s="219">
        <v>1131</v>
      </c>
      <c r="F129" s="219">
        <v>336.6</v>
      </c>
      <c r="G129" s="219" t="s">
        <v>1726</v>
      </c>
      <c r="H129" s="219" t="s">
        <v>1727</v>
      </c>
      <c r="I129" s="219">
        <v>21</v>
      </c>
      <c r="J129" s="217"/>
      <c r="K129" s="219" t="s">
        <v>222</v>
      </c>
      <c r="L129" s="219">
        <v>1246</v>
      </c>
      <c r="M129" s="219">
        <v>35.299999999999997</v>
      </c>
      <c r="N129" s="219">
        <v>1125.4100000000001</v>
      </c>
      <c r="O129" s="219">
        <v>1.107</v>
      </c>
      <c r="P129" s="219">
        <v>3.1E-2</v>
      </c>
      <c r="Q129" s="217"/>
      <c r="R129" s="217"/>
      <c r="S129" s="217"/>
      <c r="T129" s="217"/>
      <c r="U129" s="217"/>
      <c r="V129" s="217"/>
      <c r="W129" s="217"/>
      <c r="X129" s="217"/>
      <c r="Y129" s="217"/>
    </row>
    <row r="130" spans="1:25" ht="16" x14ac:dyDescent="0.2">
      <c r="A130" s="219">
        <v>2915</v>
      </c>
      <c r="B130" s="219" t="s">
        <v>29</v>
      </c>
      <c r="C130" s="219" t="s">
        <v>1719</v>
      </c>
      <c r="D130" s="219">
        <v>340.19</v>
      </c>
      <c r="E130" s="219">
        <v>1131</v>
      </c>
      <c r="F130" s="219">
        <v>338.6</v>
      </c>
      <c r="G130" s="219" t="s">
        <v>1728</v>
      </c>
      <c r="H130" s="219" t="s">
        <v>1729</v>
      </c>
      <c r="I130" s="219">
        <v>21</v>
      </c>
      <c r="J130" s="217"/>
      <c r="K130" s="219" t="s">
        <v>222</v>
      </c>
      <c r="L130" s="219">
        <v>3582</v>
      </c>
      <c r="M130" s="219">
        <v>59.8</v>
      </c>
      <c r="N130" s="219">
        <v>1465.33</v>
      </c>
      <c r="O130" s="219">
        <v>2.4449999999999998</v>
      </c>
      <c r="P130" s="219">
        <v>4.1000000000000002E-2</v>
      </c>
      <c r="Q130" s="217"/>
      <c r="R130" s="217"/>
      <c r="S130" s="217"/>
      <c r="T130" s="217"/>
      <c r="U130" s="217"/>
      <c r="V130" s="217"/>
      <c r="W130" s="217"/>
      <c r="X130" s="217"/>
      <c r="Y130" s="217"/>
    </row>
    <row r="131" spans="1:25" ht="16" x14ac:dyDescent="0.2">
      <c r="A131" s="219">
        <v>2916</v>
      </c>
      <c r="B131" s="219" t="s">
        <v>29</v>
      </c>
      <c r="C131" s="219" t="s">
        <v>1719</v>
      </c>
      <c r="D131" s="219">
        <v>341.18400000000003</v>
      </c>
      <c r="E131" s="219">
        <v>1131</v>
      </c>
      <c r="F131" s="219">
        <v>339.6</v>
      </c>
      <c r="G131" s="219" t="s">
        <v>1730</v>
      </c>
      <c r="H131" s="219" t="s">
        <v>1731</v>
      </c>
      <c r="I131" s="219">
        <v>21</v>
      </c>
      <c r="J131" s="217"/>
      <c r="K131" s="219" t="s">
        <v>222</v>
      </c>
      <c r="L131" s="219">
        <v>5783</v>
      </c>
      <c r="M131" s="219">
        <v>76</v>
      </c>
      <c r="N131" s="219">
        <v>1279.99</v>
      </c>
      <c r="O131" s="219">
        <v>4.5179999999999998</v>
      </c>
      <c r="P131" s="219">
        <v>5.8999999999999997E-2</v>
      </c>
      <c r="Q131" s="217"/>
      <c r="R131" s="217"/>
      <c r="S131" s="217"/>
      <c r="T131" s="217"/>
      <c r="U131" s="217"/>
      <c r="V131" s="217"/>
      <c r="W131" s="217"/>
      <c r="X131" s="217"/>
      <c r="Y131" s="217"/>
    </row>
    <row r="132" spans="1:25" ht="16" x14ac:dyDescent="0.2">
      <c r="A132" s="219">
        <v>2917</v>
      </c>
      <c r="B132" s="219" t="s">
        <v>29</v>
      </c>
      <c r="C132" s="219" t="s">
        <v>1719</v>
      </c>
      <c r="D132" s="219">
        <v>342.19799999999998</v>
      </c>
      <c r="E132" s="219">
        <v>1131</v>
      </c>
      <c r="F132" s="219">
        <v>340.6</v>
      </c>
      <c r="G132" s="219" t="s">
        <v>1732</v>
      </c>
      <c r="H132" s="219" t="s">
        <v>1733</v>
      </c>
      <c r="I132" s="219">
        <v>21</v>
      </c>
      <c r="J132" s="217"/>
      <c r="K132" s="219" t="s">
        <v>222</v>
      </c>
      <c r="L132" s="219">
        <v>8464</v>
      </c>
      <c r="M132" s="219">
        <v>92</v>
      </c>
      <c r="N132" s="219">
        <v>945.54</v>
      </c>
      <c r="O132" s="219">
        <v>8.9510000000000005</v>
      </c>
      <c r="P132" s="219">
        <v>9.7000000000000003E-2</v>
      </c>
      <c r="Q132" s="217"/>
      <c r="R132" s="217"/>
      <c r="S132" s="217"/>
      <c r="T132" s="217"/>
      <c r="U132" s="217"/>
      <c r="V132" s="217"/>
      <c r="W132" s="217"/>
      <c r="X132" s="217"/>
      <c r="Y132" s="217"/>
    </row>
    <row r="133" spans="1:25" ht="16" x14ac:dyDescent="0.2">
      <c r="A133" s="219">
        <v>2918</v>
      </c>
      <c r="B133" s="219" t="s">
        <v>29</v>
      </c>
      <c r="C133" s="219" t="s">
        <v>1719</v>
      </c>
      <c r="D133" s="219">
        <v>343.19799999999998</v>
      </c>
      <c r="E133" s="219">
        <v>1131</v>
      </c>
      <c r="F133" s="219">
        <v>341.6</v>
      </c>
      <c r="G133" s="219" t="s">
        <v>1734</v>
      </c>
      <c r="H133" s="219" t="s">
        <v>1735</v>
      </c>
      <c r="I133" s="219">
        <v>21</v>
      </c>
      <c r="J133" s="217"/>
      <c r="K133" s="219" t="s">
        <v>222</v>
      </c>
      <c r="L133" s="219">
        <v>9753</v>
      </c>
      <c r="M133" s="219">
        <v>98.8</v>
      </c>
      <c r="N133" s="219">
        <v>800.38</v>
      </c>
      <c r="O133" s="219">
        <v>12.185</v>
      </c>
      <c r="P133" s="219">
        <v>0.123</v>
      </c>
      <c r="Q133" s="217"/>
      <c r="R133" s="217"/>
      <c r="S133" s="217"/>
      <c r="T133" s="217"/>
      <c r="U133" s="217"/>
      <c r="V133" s="217"/>
      <c r="W133" s="217"/>
      <c r="X133" s="217"/>
      <c r="Y133" s="217"/>
    </row>
    <row r="134" spans="1:25" ht="16" x14ac:dyDescent="0.2">
      <c r="A134" s="219">
        <v>2919</v>
      </c>
      <c r="B134" s="219" t="s">
        <v>29</v>
      </c>
      <c r="C134" s="219" t="s">
        <v>1719</v>
      </c>
      <c r="D134" s="219">
        <v>344.19200000000001</v>
      </c>
      <c r="E134" s="219">
        <v>1131</v>
      </c>
      <c r="F134" s="219">
        <v>342.6</v>
      </c>
      <c r="G134" s="219" t="s">
        <v>1736</v>
      </c>
      <c r="H134" s="219" t="s">
        <v>1737</v>
      </c>
      <c r="I134" s="219">
        <v>21</v>
      </c>
      <c r="J134" s="217"/>
      <c r="K134" s="219" t="s">
        <v>222</v>
      </c>
      <c r="L134" s="219">
        <v>14816</v>
      </c>
      <c r="M134" s="219">
        <v>121.7</v>
      </c>
      <c r="N134" s="219">
        <v>1063.54</v>
      </c>
      <c r="O134" s="219">
        <v>13.930999999999999</v>
      </c>
      <c r="P134" s="219">
        <v>0.114</v>
      </c>
      <c r="Q134" s="217"/>
      <c r="R134" s="217"/>
      <c r="S134" s="217"/>
      <c r="T134" s="217"/>
      <c r="U134" s="217"/>
      <c r="V134" s="217"/>
      <c r="W134" s="217"/>
      <c r="X134" s="217"/>
      <c r="Y134" s="217"/>
    </row>
    <row r="135" spans="1:25" ht="16" x14ac:dyDescent="0.2">
      <c r="A135" s="219">
        <v>2920</v>
      </c>
      <c r="B135" s="219" t="s">
        <v>29</v>
      </c>
      <c r="C135" s="219" t="s">
        <v>1719</v>
      </c>
      <c r="D135" s="219">
        <v>345.21199999999999</v>
      </c>
      <c r="E135" s="219">
        <v>1131</v>
      </c>
      <c r="F135" s="219">
        <v>343.6</v>
      </c>
      <c r="G135" s="219" t="s">
        <v>1738</v>
      </c>
      <c r="H135" s="219" t="s">
        <v>1739</v>
      </c>
      <c r="I135" s="219">
        <v>21</v>
      </c>
      <c r="J135" s="217"/>
      <c r="K135" s="219" t="s">
        <v>222</v>
      </c>
      <c r="L135" s="219">
        <v>35543</v>
      </c>
      <c r="M135" s="219">
        <v>188.5</v>
      </c>
      <c r="N135" s="219">
        <v>2446.5500000000002</v>
      </c>
      <c r="O135" s="219">
        <v>14.528</v>
      </c>
      <c r="P135" s="219">
        <v>7.6999999999999999E-2</v>
      </c>
      <c r="Q135" s="217"/>
      <c r="R135" s="217"/>
      <c r="S135" s="217"/>
      <c r="T135" s="217"/>
      <c r="U135" s="217"/>
      <c r="V135" s="217"/>
      <c r="W135" s="217"/>
      <c r="X135" s="217"/>
      <c r="Y135" s="217"/>
    </row>
    <row r="136" spans="1:25" ht="16" x14ac:dyDescent="0.2">
      <c r="A136" s="219">
        <v>2921</v>
      </c>
      <c r="B136" s="219" t="s">
        <v>29</v>
      </c>
      <c r="C136" s="219" t="s">
        <v>1719</v>
      </c>
      <c r="D136" s="219">
        <v>346.19900000000001</v>
      </c>
      <c r="E136" s="219">
        <v>1131</v>
      </c>
      <c r="F136" s="219">
        <v>344.6</v>
      </c>
      <c r="G136" s="219" t="s">
        <v>1740</v>
      </c>
      <c r="H136" s="219" t="s">
        <v>1741</v>
      </c>
      <c r="I136" s="219">
        <v>21</v>
      </c>
      <c r="J136" s="217"/>
      <c r="K136" s="219" t="s">
        <v>222</v>
      </c>
      <c r="L136" s="219">
        <v>17222</v>
      </c>
      <c r="M136" s="219">
        <v>131.19999999999999</v>
      </c>
      <c r="N136" s="219">
        <v>1152.79</v>
      </c>
      <c r="O136" s="219">
        <v>14.939</v>
      </c>
      <c r="P136" s="219">
        <v>0.114</v>
      </c>
      <c r="Q136" s="217"/>
      <c r="R136" s="217"/>
      <c r="S136" s="217"/>
      <c r="T136" s="217"/>
      <c r="U136" s="217"/>
      <c r="V136" s="217"/>
      <c r="W136" s="217"/>
      <c r="X136" s="217"/>
      <c r="Y136" s="217"/>
    </row>
    <row r="137" spans="1:25" ht="16" x14ac:dyDescent="0.2">
      <c r="A137" s="219">
        <v>2922</v>
      </c>
      <c r="B137" s="219" t="s">
        <v>29</v>
      </c>
      <c r="C137" s="219" t="s">
        <v>1719</v>
      </c>
      <c r="D137" s="219">
        <v>347.2</v>
      </c>
      <c r="E137" s="219">
        <v>1131</v>
      </c>
      <c r="F137" s="219">
        <v>345.6</v>
      </c>
      <c r="G137" s="219" t="s">
        <v>1742</v>
      </c>
      <c r="H137" s="219" t="s">
        <v>1743</v>
      </c>
      <c r="I137" s="219">
        <v>21</v>
      </c>
      <c r="J137" s="217"/>
      <c r="K137" s="219" t="s">
        <v>222</v>
      </c>
      <c r="L137" s="219">
        <v>22922</v>
      </c>
      <c r="M137" s="219">
        <v>151.4</v>
      </c>
      <c r="N137" s="219">
        <v>1528.75</v>
      </c>
      <c r="O137" s="219">
        <v>14.994</v>
      </c>
      <c r="P137" s="219">
        <v>9.9000000000000005E-2</v>
      </c>
      <c r="Q137" s="217"/>
      <c r="R137" s="217"/>
      <c r="S137" s="217"/>
      <c r="T137" s="217"/>
      <c r="U137" s="217"/>
      <c r="V137" s="217"/>
      <c r="W137" s="217"/>
      <c r="X137" s="217"/>
      <c r="Y137" s="217"/>
    </row>
    <row r="138" spans="1:25" ht="16" x14ac:dyDescent="0.2">
      <c r="A138" s="219">
        <v>2923</v>
      </c>
      <c r="B138" s="219" t="s">
        <v>29</v>
      </c>
      <c r="C138" s="219" t="s">
        <v>1719</v>
      </c>
      <c r="D138" s="219">
        <v>348.20600000000002</v>
      </c>
      <c r="E138" s="219">
        <v>1131</v>
      </c>
      <c r="F138" s="219">
        <v>346.6</v>
      </c>
      <c r="G138" s="219" t="s">
        <v>1744</v>
      </c>
      <c r="H138" s="219" t="s">
        <v>1745</v>
      </c>
      <c r="I138" s="219">
        <v>21</v>
      </c>
      <c r="J138" s="217"/>
      <c r="K138" s="219" t="s">
        <v>222</v>
      </c>
      <c r="L138" s="219">
        <v>19250</v>
      </c>
      <c r="M138" s="219">
        <v>138.69999999999999</v>
      </c>
      <c r="N138" s="219">
        <v>1261.3800000000001</v>
      </c>
      <c r="O138" s="219">
        <v>15.260999999999999</v>
      </c>
      <c r="P138" s="219">
        <v>0.11</v>
      </c>
      <c r="Q138" s="217"/>
      <c r="R138" s="217"/>
      <c r="S138" s="217"/>
      <c r="T138" s="217"/>
      <c r="U138" s="217"/>
      <c r="V138" s="217"/>
      <c r="W138" s="217"/>
      <c r="X138" s="217"/>
      <c r="Y138" s="217"/>
    </row>
    <row r="139" spans="1:25" ht="16" x14ac:dyDescent="0.2">
      <c r="A139" s="219">
        <v>2924</v>
      </c>
      <c r="B139" s="219" t="s">
        <v>29</v>
      </c>
      <c r="C139" s="219" t="s">
        <v>1719</v>
      </c>
      <c r="D139" s="219">
        <v>349.20699999999999</v>
      </c>
      <c r="E139" s="219">
        <v>1131</v>
      </c>
      <c r="F139" s="219">
        <v>347.6</v>
      </c>
      <c r="G139" s="219" t="s">
        <v>1746</v>
      </c>
      <c r="H139" s="219" t="s">
        <v>1747</v>
      </c>
      <c r="I139" s="219">
        <v>21</v>
      </c>
      <c r="J139" s="217"/>
      <c r="K139" s="219" t="s">
        <v>222</v>
      </c>
      <c r="L139" s="219">
        <v>26238</v>
      </c>
      <c r="M139" s="219">
        <v>162</v>
      </c>
      <c r="N139" s="219">
        <v>1690.57</v>
      </c>
      <c r="O139" s="219">
        <v>15.52</v>
      </c>
      <c r="P139" s="219">
        <v>9.6000000000000002E-2</v>
      </c>
      <c r="Q139" s="217"/>
      <c r="R139" s="217"/>
      <c r="S139" s="217"/>
      <c r="T139" s="217"/>
      <c r="U139" s="217"/>
      <c r="V139" s="217"/>
      <c r="W139" s="217"/>
      <c r="X139" s="217"/>
      <c r="Y139" s="217"/>
    </row>
    <row r="140" spans="1:25" ht="16" x14ac:dyDescent="0.2">
      <c r="A140" s="219">
        <v>2925</v>
      </c>
      <c r="B140" s="219" t="s">
        <v>29</v>
      </c>
      <c r="C140" s="219" t="s">
        <v>1719</v>
      </c>
      <c r="D140" s="219">
        <v>350.20699999999999</v>
      </c>
      <c r="E140" s="219">
        <v>1131</v>
      </c>
      <c r="F140" s="219">
        <v>348.6</v>
      </c>
      <c r="G140" s="219" t="s">
        <v>1748</v>
      </c>
      <c r="H140" s="219" t="s">
        <v>1749</v>
      </c>
      <c r="I140" s="219">
        <v>21</v>
      </c>
      <c r="J140" s="217"/>
      <c r="K140" s="219" t="s">
        <v>222</v>
      </c>
      <c r="L140" s="219">
        <v>18423</v>
      </c>
      <c r="M140" s="219">
        <v>135.69999999999999</v>
      </c>
      <c r="N140" s="219">
        <v>1192.98</v>
      </c>
      <c r="O140" s="219">
        <v>15.443</v>
      </c>
      <c r="P140" s="219">
        <v>0.114</v>
      </c>
      <c r="Q140" s="217"/>
      <c r="R140" s="217"/>
      <c r="S140" s="217"/>
      <c r="T140" s="217"/>
      <c r="U140" s="217"/>
      <c r="V140" s="217"/>
      <c r="W140" s="217"/>
      <c r="X140" s="217"/>
      <c r="Y140" s="217"/>
    </row>
    <row r="141" spans="1:25" ht="16" x14ac:dyDescent="0.2">
      <c r="A141" s="219">
        <v>2926</v>
      </c>
      <c r="B141" s="219" t="s">
        <v>29</v>
      </c>
      <c r="C141" s="219" t="s">
        <v>1719</v>
      </c>
      <c r="D141" s="219">
        <v>352.20800000000003</v>
      </c>
      <c r="E141" s="219">
        <v>1131</v>
      </c>
      <c r="F141" s="219">
        <v>350.6</v>
      </c>
      <c r="G141" s="219" t="s">
        <v>1750</v>
      </c>
      <c r="H141" s="219" t="s">
        <v>1751</v>
      </c>
      <c r="I141" s="219">
        <v>21</v>
      </c>
      <c r="J141" s="217"/>
      <c r="K141" s="219" t="s">
        <v>222</v>
      </c>
      <c r="L141" s="219">
        <v>19081</v>
      </c>
      <c r="M141" s="219">
        <v>138.1</v>
      </c>
      <c r="N141" s="219">
        <v>1209.44</v>
      </c>
      <c r="O141" s="219">
        <v>15.776999999999999</v>
      </c>
      <c r="P141" s="219">
        <v>0.114</v>
      </c>
      <c r="Q141" s="217"/>
      <c r="R141" s="217"/>
      <c r="S141" s="217"/>
      <c r="T141" s="217"/>
      <c r="U141" s="217"/>
      <c r="V141" s="217"/>
      <c r="W141" s="217"/>
      <c r="X141" s="217"/>
      <c r="Y141" s="217"/>
    </row>
    <row r="142" spans="1:25" ht="16" x14ac:dyDescent="0.2">
      <c r="A142" s="219">
        <v>2927</v>
      </c>
      <c r="B142" s="219" t="s">
        <v>29</v>
      </c>
      <c r="C142" s="219" t="s">
        <v>1719</v>
      </c>
      <c r="D142" s="219">
        <v>354.21499999999997</v>
      </c>
      <c r="E142" s="219">
        <v>1131</v>
      </c>
      <c r="F142" s="219">
        <v>352.6</v>
      </c>
      <c r="G142" s="219" t="s">
        <v>1752</v>
      </c>
      <c r="H142" s="219" t="s">
        <v>1753</v>
      </c>
      <c r="I142" s="219">
        <v>21</v>
      </c>
      <c r="J142" s="217"/>
      <c r="K142" s="219" t="s">
        <v>222</v>
      </c>
      <c r="L142" s="219">
        <v>19555</v>
      </c>
      <c r="M142" s="219">
        <v>139.80000000000001</v>
      </c>
      <c r="N142" s="219">
        <v>1249.05</v>
      </c>
      <c r="O142" s="219">
        <v>15.656000000000001</v>
      </c>
      <c r="P142" s="219">
        <v>0.112</v>
      </c>
      <c r="Q142" s="217"/>
      <c r="R142" s="217"/>
      <c r="S142" s="217"/>
      <c r="T142" s="217"/>
      <c r="U142" s="217"/>
      <c r="V142" s="217"/>
      <c r="W142" s="217"/>
      <c r="X142" s="217"/>
      <c r="Y142" s="217"/>
    </row>
    <row r="143" spans="1:25" ht="16" x14ac:dyDescent="0.2">
      <c r="A143" s="219">
        <v>2928</v>
      </c>
      <c r="B143" s="219" t="s">
        <v>29</v>
      </c>
      <c r="C143" s="219" t="s">
        <v>1719</v>
      </c>
      <c r="D143" s="219">
        <v>357.20800000000003</v>
      </c>
      <c r="E143" s="219">
        <v>1131</v>
      </c>
      <c r="F143" s="219">
        <v>355.5</v>
      </c>
      <c r="G143" s="219" t="s">
        <v>1754</v>
      </c>
      <c r="H143" s="219" t="s">
        <v>1755</v>
      </c>
      <c r="I143" s="219">
        <v>21</v>
      </c>
      <c r="J143" s="217"/>
      <c r="K143" s="219" t="s">
        <v>222</v>
      </c>
      <c r="L143" s="219">
        <v>18125</v>
      </c>
      <c r="M143" s="219">
        <v>134.6</v>
      </c>
      <c r="N143" s="219">
        <v>1143.7</v>
      </c>
      <c r="O143" s="219">
        <v>15.848000000000001</v>
      </c>
      <c r="P143" s="219">
        <v>0.11799999999999999</v>
      </c>
      <c r="Q143" s="217"/>
      <c r="R143" s="217"/>
      <c r="S143" s="217"/>
      <c r="T143" s="217"/>
      <c r="U143" s="217"/>
      <c r="V143" s="217"/>
      <c r="W143" s="217"/>
      <c r="X143" s="217"/>
      <c r="Y143" s="217"/>
    </row>
    <row r="144" spans="1:25" ht="16" x14ac:dyDescent="0.2">
      <c r="A144" s="219">
        <v>2929</v>
      </c>
      <c r="B144" s="219" t="s">
        <v>29</v>
      </c>
      <c r="C144" s="219" t="s">
        <v>1719</v>
      </c>
      <c r="D144" s="219">
        <v>360.209</v>
      </c>
      <c r="E144" s="219">
        <v>1131</v>
      </c>
      <c r="F144" s="219">
        <v>358.5</v>
      </c>
      <c r="G144" s="219" t="s">
        <v>1756</v>
      </c>
      <c r="H144" s="219" t="s">
        <v>1757</v>
      </c>
      <c r="I144" s="219">
        <v>21</v>
      </c>
      <c r="J144" s="217"/>
      <c r="K144" s="219" t="s">
        <v>222</v>
      </c>
      <c r="L144" s="219">
        <v>18186</v>
      </c>
      <c r="M144" s="219">
        <v>134.9</v>
      </c>
      <c r="N144" s="219">
        <v>1183.5</v>
      </c>
      <c r="O144" s="219">
        <v>15.366</v>
      </c>
      <c r="P144" s="219">
        <v>0.114</v>
      </c>
      <c r="Q144" s="217"/>
      <c r="R144" s="217"/>
      <c r="S144" s="217"/>
      <c r="T144" s="217"/>
      <c r="U144" s="217"/>
      <c r="V144" s="217"/>
      <c r="W144" s="217"/>
      <c r="X144" s="217"/>
      <c r="Y144" s="217"/>
    </row>
    <row r="145" spans="1:25" ht="16" x14ac:dyDescent="0.2">
      <c r="A145" s="219">
        <v>2930</v>
      </c>
      <c r="B145" s="219" t="s">
        <v>29</v>
      </c>
      <c r="C145" s="219" t="s">
        <v>1719</v>
      </c>
      <c r="D145" s="219">
        <v>363.21699999999998</v>
      </c>
      <c r="E145" s="219">
        <v>1131</v>
      </c>
      <c r="F145" s="219">
        <v>361.5</v>
      </c>
      <c r="G145" s="219" t="s">
        <v>1758</v>
      </c>
      <c r="H145" s="219" t="s">
        <v>1759</v>
      </c>
      <c r="I145" s="219">
        <v>21</v>
      </c>
      <c r="J145" s="217"/>
      <c r="K145" s="219" t="s">
        <v>222</v>
      </c>
      <c r="L145" s="219">
        <v>17303</v>
      </c>
      <c r="M145" s="219">
        <v>131.5</v>
      </c>
      <c r="N145" s="219">
        <v>1125.83</v>
      </c>
      <c r="O145" s="219">
        <v>15.369</v>
      </c>
      <c r="P145" s="219">
        <v>0.11700000000000001</v>
      </c>
      <c r="Q145" s="217"/>
      <c r="R145" s="217"/>
      <c r="S145" s="217"/>
      <c r="T145" s="217"/>
      <c r="U145" s="217"/>
      <c r="V145" s="217"/>
      <c r="W145" s="217"/>
      <c r="X145" s="217"/>
      <c r="Y145" s="217"/>
    </row>
    <row r="146" spans="1:25" ht="16" x14ac:dyDescent="0.2">
      <c r="A146" s="219">
        <v>2931</v>
      </c>
      <c r="B146" s="219" t="s">
        <v>29</v>
      </c>
      <c r="C146" s="219" t="s">
        <v>1719</v>
      </c>
      <c r="D146" s="219">
        <v>366.22399999999999</v>
      </c>
      <c r="E146" s="219">
        <v>1131</v>
      </c>
      <c r="F146" s="219">
        <v>364.5</v>
      </c>
      <c r="G146" s="219" t="s">
        <v>1760</v>
      </c>
      <c r="H146" s="219" t="s">
        <v>1761</v>
      </c>
      <c r="I146" s="219">
        <v>21</v>
      </c>
      <c r="J146" s="217"/>
      <c r="K146" s="219" t="s">
        <v>222</v>
      </c>
      <c r="L146" s="219">
        <v>16771</v>
      </c>
      <c r="M146" s="219">
        <v>129.5</v>
      </c>
      <c r="N146" s="219">
        <v>1129.82</v>
      </c>
      <c r="O146" s="219">
        <v>14.843999999999999</v>
      </c>
      <c r="P146" s="219">
        <v>0.115</v>
      </c>
      <c r="Q146" s="217"/>
      <c r="R146" s="217"/>
      <c r="S146" s="217"/>
      <c r="T146" s="217"/>
      <c r="U146" s="217"/>
      <c r="V146" s="217"/>
      <c r="W146" s="217"/>
      <c r="X146" s="217"/>
      <c r="Y146" s="217"/>
    </row>
    <row r="147" spans="1:25" ht="16" x14ac:dyDescent="0.2">
      <c r="A147" s="219">
        <v>2932</v>
      </c>
      <c r="B147" s="219" t="s">
        <v>29</v>
      </c>
      <c r="C147" s="219" t="s">
        <v>1719</v>
      </c>
      <c r="D147" s="219">
        <v>369.22399999999999</v>
      </c>
      <c r="E147" s="219">
        <v>1131</v>
      </c>
      <c r="F147" s="219">
        <v>367.5</v>
      </c>
      <c r="G147" s="219" t="s">
        <v>1762</v>
      </c>
      <c r="H147" s="219" t="s">
        <v>1763</v>
      </c>
      <c r="I147" s="219">
        <v>21</v>
      </c>
      <c r="J147" s="217"/>
      <c r="K147" s="219" t="s">
        <v>222</v>
      </c>
      <c r="L147" s="219">
        <v>16705</v>
      </c>
      <c r="M147" s="219">
        <v>129.19999999999999</v>
      </c>
      <c r="N147" s="219">
        <v>1145.51</v>
      </c>
      <c r="O147" s="219">
        <v>14.583</v>
      </c>
      <c r="P147" s="219">
        <v>0.113</v>
      </c>
      <c r="Q147" s="217"/>
      <c r="R147" s="217"/>
      <c r="S147" s="217"/>
      <c r="T147" s="217"/>
      <c r="U147" s="217"/>
      <c r="V147" s="217"/>
      <c r="W147" s="217"/>
      <c r="X147" s="217"/>
      <c r="Y147" s="217"/>
    </row>
    <row r="148" spans="1:25" ht="16" x14ac:dyDescent="0.2">
      <c r="A148" s="219">
        <v>2933</v>
      </c>
      <c r="B148" s="219" t="s">
        <v>29</v>
      </c>
      <c r="C148" s="219" t="s">
        <v>1719</v>
      </c>
      <c r="D148" s="219">
        <v>374.22399999999999</v>
      </c>
      <c r="E148" s="219">
        <v>1131</v>
      </c>
      <c r="F148" s="219">
        <v>372.4</v>
      </c>
      <c r="G148" s="219" t="s">
        <v>1764</v>
      </c>
      <c r="H148" s="219" t="s">
        <v>1765</v>
      </c>
      <c r="I148" s="219">
        <v>21</v>
      </c>
      <c r="J148" s="217"/>
      <c r="K148" s="219" t="s">
        <v>222</v>
      </c>
      <c r="L148" s="219">
        <v>16048</v>
      </c>
      <c r="M148" s="219">
        <v>126.7</v>
      </c>
      <c r="N148" s="219">
        <v>1175.81</v>
      </c>
      <c r="O148" s="219">
        <v>13.648</v>
      </c>
      <c r="P148" s="219">
        <v>0.108</v>
      </c>
      <c r="Q148" s="217"/>
      <c r="R148" s="217"/>
      <c r="S148" s="217"/>
      <c r="T148" s="217"/>
      <c r="U148" s="217"/>
      <c r="V148" s="217"/>
      <c r="W148" s="217"/>
      <c r="X148" s="217"/>
      <c r="Y148" s="217"/>
    </row>
    <row r="149" spans="1:25" ht="16" x14ac:dyDescent="0.2">
      <c r="A149" s="219">
        <v>2934</v>
      </c>
      <c r="B149" s="219" t="s">
        <v>29</v>
      </c>
      <c r="C149" s="219" t="s">
        <v>1719</v>
      </c>
      <c r="D149" s="219">
        <v>379.22399999999999</v>
      </c>
      <c r="E149" s="219">
        <v>1131</v>
      </c>
      <c r="F149" s="219">
        <v>377.4</v>
      </c>
      <c r="G149" s="219" t="s">
        <v>1766</v>
      </c>
      <c r="H149" s="219" t="s">
        <v>1767</v>
      </c>
      <c r="I149" s="219">
        <v>21</v>
      </c>
      <c r="J149" s="217"/>
      <c r="K149" s="219" t="s">
        <v>222</v>
      </c>
      <c r="L149" s="219">
        <v>18183</v>
      </c>
      <c r="M149" s="219">
        <v>134.80000000000001</v>
      </c>
      <c r="N149" s="219">
        <v>1391.88</v>
      </c>
      <c r="O149" s="219">
        <v>13.064</v>
      </c>
      <c r="P149" s="219">
        <v>9.7000000000000003E-2</v>
      </c>
      <c r="Q149" s="217"/>
      <c r="R149" s="217"/>
      <c r="S149" s="217"/>
      <c r="T149" s="217"/>
      <c r="U149" s="217"/>
      <c r="V149" s="217"/>
      <c r="W149" s="217"/>
      <c r="X149" s="217"/>
      <c r="Y149" s="217"/>
    </row>
    <row r="150" spans="1:25" ht="16" x14ac:dyDescent="0.2">
      <c r="A150" s="219">
        <v>2935</v>
      </c>
      <c r="B150" s="219" t="s">
        <v>29</v>
      </c>
      <c r="C150" s="219" t="s">
        <v>1719</v>
      </c>
      <c r="D150" s="219">
        <v>384.22399999999999</v>
      </c>
      <c r="E150" s="219">
        <v>1131</v>
      </c>
      <c r="F150" s="219">
        <v>382.4</v>
      </c>
      <c r="G150" s="219" t="s">
        <v>1768</v>
      </c>
      <c r="H150" s="219" t="s">
        <v>1769</v>
      </c>
      <c r="I150" s="219">
        <v>21</v>
      </c>
      <c r="J150" s="217"/>
      <c r="K150" s="219" t="s">
        <v>222</v>
      </c>
      <c r="L150" s="219">
        <v>13467</v>
      </c>
      <c r="M150" s="219">
        <v>116</v>
      </c>
      <c r="N150" s="219">
        <v>1081.3800000000001</v>
      </c>
      <c r="O150" s="219">
        <v>12.454000000000001</v>
      </c>
      <c r="P150" s="219">
        <v>0.107</v>
      </c>
      <c r="Q150" s="217"/>
      <c r="R150" s="217"/>
      <c r="S150" s="217"/>
      <c r="T150" s="217"/>
      <c r="U150" s="217"/>
      <c r="V150" s="217"/>
      <c r="W150" s="217"/>
      <c r="X150" s="217"/>
      <c r="Y150" s="217"/>
    </row>
    <row r="151" spans="1:25" ht="16" x14ac:dyDescent="0.2">
      <c r="A151" s="219">
        <v>2936</v>
      </c>
      <c r="B151" s="219" t="s">
        <v>29</v>
      </c>
      <c r="C151" s="219" t="s">
        <v>1719</v>
      </c>
      <c r="D151" s="219">
        <v>389.22399999999999</v>
      </c>
      <c r="E151" s="219">
        <v>1131</v>
      </c>
      <c r="F151" s="219">
        <v>387.3</v>
      </c>
      <c r="G151" s="219" t="s">
        <v>1770</v>
      </c>
      <c r="H151" s="219" t="s">
        <v>1771</v>
      </c>
      <c r="I151" s="219">
        <v>21</v>
      </c>
      <c r="J151" s="217"/>
      <c r="K151" s="219" t="s">
        <v>222</v>
      </c>
      <c r="L151" s="219">
        <v>13449</v>
      </c>
      <c r="M151" s="219">
        <v>116</v>
      </c>
      <c r="N151" s="219">
        <v>1178.81</v>
      </c>
      <c r="O151" s="219">
        <v>11.409000000000001</v>
      </c>
      <c r="P151" s="219">
        <v>9.8000000000000004E-2</v>
      </c>
      <c r="Q151" s="217"/>
      <c r="R151" s="217"/>
      <c r="S151" s="217"/>
      <c r="T151" s="217"/>
      <c r="U151" s="217"/>
      <c r="V151" s="217"/>
      <c r="W151" s="217"/>
      <c r="X151" s="217"/>
      <c r="Y151" s="217"/>
    </row>
    <row r="152" spans="1:25" ht="16" x14ac:dyDescent="0.2">
      <c r="A152" s="219">
        <v>2937</v>
      </c>
      <c r="B152" s="219" t="s">
        <v>29</v>
      </c>
      <c r="C152" s="219" t="s">
        <v>1719</v>
      </c>
      <c r="D152" s="219">
        <v>394.22399999999999</v>
      </c>
      <c r="E152" s="219">
        <v>1131</v>
      </c>
      <c r="F152" s="219">
        <v>392.3</v>
      </c>
      <c r="G152" s="219" t="s">
        <v>1772</v>
      </c>
      <c r="H152" s="219" t="s">
        <v>1773</v>
      </c>
      <c r="I152" s="219">
        <v>21</v>
      </c>
      <c r="J152" s="217"/>
      <c r="K152" s="219" t="s">
        <v>222</v>
      </c>
      <c r="L152" s="219">
        <v>18073</v>
      </c>
      <c r="M152" s="219">
        <v>134.4</v>
      </c>
      <c r="N152" s="219">
        <v>1807.09</v>
      </c>
      <c r="O152" s="219">
        <v>10.000999999999999</v>
      </c>
      <c r="P152" s="219">
        <v>7.3999999999999996E-2</v>
      </c>
      <c r="Q152" s="217"/>
      <c r="R152" s="217"/>
      <c r="S152" s="217"/>
      <c r="T152" s="217"/>
      <c r="U152" s="217"/>
      <c r="V152" s="217"/>
      <c r="W152" s="217"/>
      <c r="X152" s="217"/>
      <c r="Y152" s="217"/>
    </row>
    <row r="153" spans="1:25" ht="16" x14ac:dyDescent="0.2">
      <c r="A153" s="219">
        <v>2938</v>
      </c>
      <c r="B153" s="219" t="s">
        <v>157</v>
      </c>
      <c r="C153" s="219" t="s">
        <v>1719</v>
      </c>
      <c r="D153" s="219">
        <v>251.00800000000001</v>
      </c>
      <c r="E153" s="219">
        <v>1131</v>
      </c>
      <c r="F153" s="219">
        <v>250</v>
      </c>
      <c r="G153" s="219" t="s">
        <v>1774</v>
      </c>
      <c r="H153" s="219" t="s">
        <v>1775</v>
      </c>
      <c r="I153" s="219">
        <v>44.6</v>
      </c>
      <c r="J153" s="217"/>
      <c r="K153" s="219" t="s">
        <v>222</v>
      </c>
      <c r="L153" s="219">
        <v>2379329</v>
      </c>
      <c r="M153" s="219">
        <v>1542.5</v>
      </c>
      <c r="N153" s="219">
        <v>1192806.93</v>
      </c>
      <c r="O153" s="219">
        <v>1.9950000000000001</v>
      </c>
      <c r="P153" s="219">
        <v>1E-3</v>
      </c>
      <c r="Q153" s="219" t="s">
        <v>1776</v>
      </c>
      <c r="R153" s="217"/>
      <c r="S153" s="217"/>
      <c r="T153" s="217"/>
      <c r="U153" s="217"/>
      <c r="V153" s="217"/>
      <c r="W153" s="217"/>
      <c r="X153" s="217"/>
      <c r="Y153" s="217"/>
    </row>
    <row r="154" spans="1:25" ht="16" x14ac:dyDescent="0.2">
      <c r="A154" s="219">
        <v>2939</v>
      </c>
      <c r="B154" s="219" t="s">
        <v>120</v>
      </c>
      <c r="C154" s="219" t="s">
        <v>1719</v>
      </c>
      <c r="D154" s="217"/>
      <c r="E154" s="217"/>
      <c r="F154" s="217"/>
      <c r="G154" s="219" t="s">
        <v>1777</v>
      </c>
      <c r="H154" s="219" t="s">
        <v>1778</v>
      </c>
      <c r="I154" s="217"/>
      <c r="J154" s="217"/>
      <c r="K154" s="217"/>
      <c r="L154" s="217"/>
      <c r="M154" s="217"/>
      <c r="N154" s="217"/>
      <c r="O154" s="219" t="e">
        <v>#DIV/0!</v>
      </c>
      <c r="P154" s="219" t="e">
        <v>#DIV/0!</v>
      </c>
      <c r="Q154" s="217"/>
      <c r="R154" s="217"/>
      <c r="S154" s="217"/>
      <c r="T154" s="217"/>
      <c r="U154" s="217"/>
      <c r="V154" s="217"/>
      <c r="W154" s="217"/>
      <c r="X154" s="217"/>
      <c r="Y154" s="217"/>
    </row>
    <row r="155" spans="1:25" ht="16" x14ac:dyDescent="0.2">
      <c r="A155" s="219">
        <v>2940</v>
      </c>
      <c r="B155" s="219" t="s">
        <v>120</v>
      </c>
      <c r="C155" s="219" t="s">
        <v>1719</v>
      </c>
      <c r="D155" s="217"/>
      <c r="E155" s="217"/>
      <c r="F155" s="217"/>
      <c r="G155" s="219" t="s">
        <v>1779</v>
      </c>
      <c r="H155" s="219" t="s">
        <v>1780</v>
      </c>
      <c r="I155" s="217"/>
      <c r="J155" s="217"/>
      <c r="K155" s="217"/>
      <c r="L155" s="217"/>
      <c r="M155" s="217"/>
      <c r="N155" s="217"/>
      <c r="O155" s="219" t="e">
        <v>#DIV/0!</v>
      </c>
      <c r="P155" s="219" t="e">
        <v>#DIV/0!</v>
      </c>
      <c r="Q155" s="217"/>
      <c r="R155" s="217"/>
      <c r="S155" s="217"/>
      <c r="T155" s="217"/>
      <c r="U155" s="217"/>
      <c r="V155" s="217"/>
      <c r="W155" s="217"/>
      <c r="X155" s="217"/>
      <c r="Y155" s="217"/>
    </row>
    <row r="156" spans="1:25" ht="16" x14ac:dyDescent="0.2">
      <c r="A156" s="219">
        <v>2941</v>
      </c>
      <c r="B156" s="219" t="s">
        <v>120</v>
      </c>
      <c r="C156" s="219" t="s">
        <v>1719</v>
      </c>
      <c r="D156" s="217"/>
      <c r="E156" s="217"/>
      <c r="F156" s="217"/>
      <c r="G156" s="219" t="s">
        <v>1781</v>
      </c>
      <c r="H156" s="219" t="s">
        <v>1782</v>
      </c>
      <c r="I156" s="217"/>
      <c r="J156" s="217"/>
      <c r="K156" s="217"/>
      <c r="L156" s="217"/>
      <c r="M156" s="217"/>
      <c r="N156" s="217"/>
      <c r="O156" s="217"/>
      <c r="P156" s="219" t="e">
        <v>#DIV/0!</v>
      </c>
      <c r="Q156" s="217"/>
      <c r="R156" s="217"/>
      <c r="S156" s="217"/>
      <c r="T156" s="217"/>
      <c r="U156" s="217"/>
      <c r="V156" s="217"/>
      <c r="W156" s="217"/>
      <c r="X156" s="217"/>
      <c r="Y156" s="217"/>
    </row>
    <row r="157" spans="1:25" ht="16" x14ac:dyDescent="0.2">
      <c r="A157" s="219">
        <v>2942</v>
      </c>
      <c r="B157" s="219" t="s">
        <v>120</v>
      </c>
      <c r="C157" s="219" t="s">
        <v>1719</v>
      </c>
      <c r="D157" s="217"/>
      <c r="E157" s="217"/>
      <c r="F157" s="217"/>
      <c r="G157" s="219" t="s">
        <v>1783</v>
      </c>
      <c r="H157" s="219" t="s">
        <v>1784</v>
      </c>
      <c r="I157" s="217"/>
      <c r="J157" s="217"/>
      <c r="K157" s="217"/>
      <c r="L157" s="217"/>
      <c r="M157" s="217"/>
      <c r="N157" s="217"/>
      <c r="O157" s="217"/>
      <c r="P157" s="219" t="e">
        <v>#DIV/0!</v>
      </c>
      <c r="Q157" s="217"/>
      <c r="R157" s="217"/>
      <c r="S157" s="217"/>
      <c r="T157" s="217"/>
      <c r="U157" s="217"/>
      <c r="V157" s="217"/>
      <c r="W157" s="217"/>
      <c r="X157" s="217"/>
      <c r="Y157" s="217"/>
    </row>
    <row r="158" spans="1:25" ht="16" x14ac:dyDescent="0.2">
      <c r="A158" s="219">
        <v>2943</v>
      </c>
      <c r="B158" s="219" t="s">
        <v>120</v>
      </c>
      <c r="C158" s="219" t="s">
        <v>1719</v>
      </c>
      <c r="D158" s="217"/>
      <c r="E158" s="217"/>
      <c r="F158" s="217"/>
      <c r="G158" s="219" t="s">
        <v>1785</v>
      </c>
      <c r="H158" s="219" t="s">
        <v>1786</v>
      </c>
      <c r="I158" s="217"/>
      <c r="J158" s="217"/>
      <c r="K158" s="217"/>
      <c r="L158" s="217"/>
      <c r="M158" s="217"/>
      <c r="N158" s="217"/>
      <c r="O158" s="217"/>
      <c r="P158" s="219" t="e">
        <v>#DIV/0!</v>
      </c>
      <c r="Q158" s="217"/>
      <c r="R158" s="217"/>
      <c r="S158" s="217"/>
      <c r="T158" s="217"/>
      <c r="U158" s="217"/>
      <c r="V158" s="217"/>
      <c r="W158" s="217"/>
      <c r="X158" s="217"/>
      <c r="Y158" s="217"/>
    </row>
    <row r="159" spans="1:25" ht="16" x14ac:dyDescent="0.2">
      <c r="A159" s="219">
        <v>2944</v>
      </c>
      <c r="B159" s="219" t="s">
        <v>120</v>
      </c>
      <c r="C159" s="219" t="s">
        <v>1719</v>
      </c>
      <c r="D159" s="217"/>
      <c r="E159" s="217"/>
      <c r="F159" s="217"/>
      <c r="G159" s="219" t="s">
        <v>1787</v>
      </c>
      <c r="H159" s="219" t="s">
        <v>1788</v>
      </c>
      <c r="I159" s="217"/>
      <c r="J159" s="217"/>
      <c r="K159" s="217"/>
      <c r="L159" s="217"/>
      <c r="M159" s="217"/>
      <c r="N159" s="217"/>
      <c r="O159" s="217"/>
      <c r="P159" s="219" t="e">
        <v>#DIV/0!</v>
      </c>
      <c r="Q159" s="219" t="s">
        <v>1789</v>
      </c>
      <c r="R159" s="217"/>
      <c r="S159" s="217"/>
      <c r="T159" s="217"/>
      <c r="U159" s="217"/>
      <c r="V159" s="217"/>
      <c r="W159" s="217"/>
      <c r="X159" s="217"/>
      <c r="Y159" s="217"/>
    </row>
    <row r="160" spans="1:25" ht="16" x14ac:dyDescent="0.2">
      <c r="A160" s="219">
        <v>2945</v>
      </c>
      <c r="B160" s="219" t="s">
        <v>120</v>
      </c>
      <c r="C160" s="219" t="s">
        <v>1719</v>
      </c>
      <c r="D160" s="217"/>
      <c r="E160" s="217"/>
      <c r="F160" s="217"/>
      <c r="G160" s="219" t="s">
        <v>1790</v>
      </c>
      <c r="H160" s="219" t="s">
        <v>1791</v>
      </c>
      <c r="I160" s="217"/>
      <c r="J160" s="217"/>
      <c r="K160" s="217"/>
      <c r="L160" s="217"/>
      <c r="M160" s="217"/>
      <c r="N160" s="217"/>
      <c r="O160" s="217"/>
      <c r="P160" s="217"/>
      <c r="Q160" s="217"/>
      <c r="R160" s="217"/>
      <c r="S160" s="217"/>
      <c r="T160" s="217"/>
      <c r="U160" s="217"/>
      <c r="V160" s="217"/>
      <c r="W160" s="217"/>
      <c r="X160" s="217"/>
      <c r="Y160" s="217"/>
    </row>
    <row r="161" spans="1:25" ht="16" x14ac:dyDescent="0.2">
      <c r="A161" s="219">
        <v>2946</v>
      </c>
      <c r="B161" s="219" t="s">
        <v>120</v>
      </c>
      <c r="C161" s="219" t="s">
        <v>1719</v>
      </c>
      <c r="D161" s="217"/>
      <c r="E161" s="217"/>
      <c r="F161" s="217"/>
      <c r="G161" s="219" t="s">
        <v>1792</v>
      </c>
      <c r="H161" s="219" t="s">
        <v>1793</v>
      </c>
      <c r="I161" s="217"/>
      <c r="J161" s="217"/>
      <c r="K161" s="217"/>
      <c r="L161" s="217"/>
      <c r="M161" s="217"/>
      <c r="N161" s="217"/>
      <c r="O161" s="217"/>
      <c r="P161" s="217"/>
      <c r="Q161" s="217"/>
      <c r="R161" s="217"/>
      <c r="S161" s="217"/>
      <c r="T161" s="217"/>
      <c r="U161" s="217"/>
      <c r="V161" s="217"/>
      <c r="W161" s="217"/>
      <c r="X161" s="217"/>
      <c r="Y161" s="217"/>
    </row>
    <row r="162" spans="1:25" ht="16" x14ac:dyDescent="0.2">
      <c r="A162" s="219">
        <v>2947</v>
      </c>
      <c r="B162" s="219" t="s">
        <v>30</v>
      </c>
      <c r="C162" s="219" t="s">
        <v>1719</v>
      </c>
      <c r="D162" s="219">
        <v>331.5</v>
      </c>
      <c r="E162" s="219">
        <v>875</v>
      </c>
      <c r="F162" s="219">
        <v>329.7</v>
      </c>
      <c r="G162" s="219" t="s">
        <v>1794</v>
      </c>
      <c r="H162" s="219" t="s">
        <v>1795</v>
      </c>
      <c r="I162" s="219">
        <v>18</v>
      </c>
      <c r="J162" s="217"/>
      <c r="K162" s="219" t="s">
        <v>222</v>
      </c>
      <c r="L162" s="219">
        <v>904</v>
      </c>
      <c r="M162" s="219">
        <v>30.1</v>
      </c>
      <c r="N162" s="219">
        <v>3401.45</v>
      </c>
      <c r="O162" s="219">
        <v>0.26600000000000001</v>
      </c>
      <c r="P162" s="219">
        <v>8.9999999999999993E-3</v>
      </c>
      <c r="Q162" s="217"/>
      <c r="R162" s="217"/>
      <c r="S162" s="217"/>
      <c r="T162" s="217"/>
      <c r="U162" s="217"/>
      <c r="V162" s="217"/>
      <c r="W162" s="217"/>
      <c r="X162" s="217"/>
      <c r="Y162" s="217"/>
    </row>
    <row r="163" spans="1:25" ht="16" x14ac:dyDescent="0.2">
      <c r="A163" s="219">
        <v>2948</v>
      </c>
      <c r="B163" s="219" t="s">
        <v>30</v>
      </c>
      <c r="C163" s="219" t="s">
        <v>1719</v>
      </c>
      <c r="D163" s="219">
        <v>333.5</v>
      </c>
      <c r="E163" s="219">
        <v>875</v>
      </c>
      <c r="F163" s="219">
        <v>331.7</v>
      </c>
      <c r="G163" s="219" t="s">
        <v>1796</v>
      </c>
      <c r="H163" s="219" t="s">
        <v>1797</v>
      </c>
      <c r="I163" s="219">
        <v>19</v>
      </c>
      <c r="J163" s="217"/>
      <c r="K163" s="219" t="s">
        <v>222</v>
      </c>
      <c r="L163" s="219">
        <v>1271</v>
      </c>
      <c r="M163" s="219">
        <v>35.700000000000003</v>
      </c>
      <c r="N163" s="219">
        <v>3445.1</v>
      </c>
      <c r="O163" s="219">
        <v>0.36899999999999999</v>
      </c>
      <c r="P163" s="219">
        <v>0.01</v>
      </c>
      <c r="Q163" s="217"/>
      <c r="R163" s="217"/>
      <c r="S163" s="217"/>
      <c r="T163" s="217"/>
      <c r="U163" s="217"/>
      <c r="V163" s="217"/>
      <c r="W163" s="217"/>
      <c r="X163" s="217"/>
      <c r="Y163" s="217"/>
    </row>
    <row r="164" spans="1:25" ht="16" x14ac:dyDescent="0.2">
      <c r="A164" s="219">
        <v>2949</v>
      </c>
      <c r="B164" s="219" t="s">
        <v>30</v>
      </c>
      <c r="C164" s="219" t="s">
        <v>1719</v>
      </c>
      <c r="D164" s="219">
        <v>335.5</v>
      </c>
      <c r="E164" s="219">
        <v>875</v>
      </c>
      <c r="F164" s="219">
        <v>333.7</v>
      </c>
      <c r="G164" s="219" t="s">
        <v>1798</v>
      </c>
      <c r="H164" s="219" t="s">
        <v>1799</v>
      </c>
      <c r="I164" s="219">
        <v>19</v>
      </c>
      <c r="J164" s="217"/>
      <c r="K164" s="219" t="s">
        <v>222</v>
      </c>
      <c r="L164" s="219">
        <v>1663</v>
      </c>
      <c r="M164" s="219">
        <v>40.799999999999997</v>
      </c>
      <c r="N164" s="219">
        <v>3042.5</v>
      </c>
      <c r="O164" s="219">
        <v>0.54700000000000004</v>
      </c>
      <c r="P164" s="219">
        <v>1.2999999999999999E-2</v>
      </c>
      <c r="Q164" s="217"/>
      <c r="R164" s="217"/>
      <c r="S164" s="217"/>
      <c r="T164" s="217"/>
      <c r="U164" s="217"/>
      <c r="V164" s="217"/>
      <c r="W164" s="217"/>
      <c r="X164" s="217"/>
      <c r="Y164" s="217"/>
    </row>
    <row r="165" spans="1:25" ht="16" x14ac:dyDescent="0.2">
      <c r="A165" s="219">
        <v>2950</v>
      </c>
      <c r="B165" s="219" t="s">
        <v>30</v>
      </c>
      <c r="C165" s="219" t="s">
        <v>1719</v>
      </c>
      <c r="D165" s="219">
        <v>337.5</v>
      </c>
      <c r="E165" s="219">
        <v>875</v>
      </c>
      <c r="F165" s="219">
        <v>335.7</v>
      </c>
      <c r="G165" s="219" t="s">
        <v>1800</v>
      </c>
      <c r="H165" s="219" t="s">
        <v>1801</v>
      </c>
      <c r="I165" s="219">
        <v>19</v>
      </c>
      <c r="J165" s="217"/>
      <c r="K165" s="219" t="s">
        <v>222</v>
      </c>
      <c r="L165" s="219">
        <v>1902</v>
      </c>
      <c r="M165" s="219">
        <v>43.6</v>
      </c>
      <c r="N165" s="219">
        <v>2262.44</v>
      </c>
      <c r="O165" s="219">
        <v>0.84099999999999997</v>
      </c>
      <c r="P165" s="219">
        <v>1.9E-2</v>
      </c>
      <c r="Q165" s="217"/>
      <c r="R165" s="217"/>
      <c r="S165" s="217"/>
      <c r="T165" s="217"/>
      <c r="U165" s="217"/>
      <c r="V165" s="217"/>
      <c r="W165" s="217"/>
      <c r="X165" s="217"/>
      <c r="Y165" s="217"/>
    </row>
    <row r="166" spans="1:25" ht="16" x14ac:dyDescent="0.2">
      <c r="A166" s="219">
        <v>2951</v>
      </c>
      <c r="B166" s="219" t="s">
        <v>30</v>
      </c>
      <c r="C166" s="219" t="s">
        <v>1719</v>
      </c>
      <c r="D166" s="219">
        <v>339.5</v>
      </c>
      <c r="E166" s="219">
        <v>875</v>
      </c>
      <c r="F166" s="219">
        <v>337.7</v>
      </c>
      <c r="G166" s="219" t="s">
        <v>1802</v>
      </c>
      <c r="H166" s="219" t="s">
        <v>1803</v>
      </c>
      <c r="I166" s="219">
        <v>18</v>
      </c>
      <c r="J166" s="217"/>
      <c r="K166" s="219" t="s">
        <v>222</v>
      </c>
      <c r="L166" s="219">
        <v>3749</v>
      </c>
      <c r="M166" s="219">
        <v>61.2</v>
      </c>
      <c r="N166" s="219">
        <v>2353.1</v>
      </c>
      <c r="O166" s="219">
        <v>1.593</v>
      </c>
      <c r="P166" s="219">
        <v>2.5999999999999999E-2</v>
      </c>
      <c r="Q166" s="217"/>
      <c r="R166" s="217"/>
      <c r="S166" s="217"/>
      <c r="T166" s="217"/>
      <c r="U166" s="217"/>
      <c r="V166" s="217"/>
      <c r="W166" s="217"/>
      <c r="X166" s="217"/>
      <c r="Y166" s="217"/>
    </row>
    <row r="167" spans="1:25" ht="16" x14ac:dyDescent="0.2">
      <c r="A167" s="219">
        <v>2952</v>
      </c>
      <c r="B167" s="219" t="s">
        <v>30</v>
      </c>
      <c r="C167" s="219" t="s">
        <v>1719</v>
      </c>
      <c r="D167" s="219">
        <v>340.5</v>
      </c>
      <c r="E167" s="219">
        <v>875</v>
      </c>
      <c r="F167" s="219">
        <v>338.7</v>
      </c>
      <c r="G167" s="219" t="s">
        <v>1804</v>
      </c>
      <c r="H167" s="219" t="s">
        <v>1805</v>
      </c>
      <c r="I167" s="219">
        <v>18</v>
      </c>
      <c r="J167" s="217"/>
      <c r="K167" s="219" t="s">
        <v>222</v>
      </c>
      <c r="L167" s="219">
        <v>4929</v>
      </c>
      <c r="M167" s="219">
        <v>70.2</v>
      </c>
      <c r="N167" s="219">
        <v>2067.9699999999998</v>
      </c>
      <c r="O167" s="219">
        <v>2.383</v>
      </c>
      <c r="P167" s="219">
        <v>3.4000000000000002E-2</v>
      </c>
      <c r="Q167" s="217"/>
      <c r="R167" s="217"/>
      <c r="S167" s="217"/>
      <c r="T167" s="217"/>
      <c r="U167" s="217"/>
      <c r="V167" s="217"/>
      <c r="W167" s="217"/>
      <c r="X167" s="217"/>
      <c r="Y167" s="217"/>
    </row>
    <row r="168" spans="1:25" ht="16" x14ac:dyDescent="0.2">
      <c r="A168" s="219">
        <v>2953</v>
      </c>
      <c r="B168" s="219" t="s">
        <v>30</v>
      </c>
      <c r="C168" s="219" t="s">
        <v>1719</v>
      </c>
      <c r="D168" s="219">
        <v>341.5</v>
      </c>
      <c r="E168" s="219">
        <v>875</v>
      </c>
      <c r="F168" s="219">
        <v>339.7</v>
      </c>
      <c r="G168" s="219" t="s">
        <v>1806</v>
      </c>
      <c r="H168" s="219" t="s">
        <v>1807</v>
      </c>
      <c r="I168" s="219">
        <v>18</v>
      </c>
      <c r="J168" s="217"/>
      <c r="K168" s="219" t="s">
        <v>222</v>
      </c>
      <c r="L168" s="219">
        <v>9752</v>
      </c>
      <c r="M168" s="219">
        <v>98.8</v>
      </c>
      <c r="N168" s="219">
        <v>2134.11</v>
      </c>
      <c r="O168" s="219">
        <v>4.57</v>
      </c>
      <c r="P168" s="219">
        <v>4.5999999999999999E-2</v>
      </c>
      <c r="Q168" s="217"/>
      <c r="R168" s="217"/>
      <c r="S168" s="217"/>
      <c r="T168" s="217"/>
      <c r="U168" s="217"/>
      <c r="V168" s="217"/>
      <c r="W168" s="217"/>
      <c r="X168" s="217"/>
      <c r="Y168" s="217"/>
    </row>
    <row r="169" spans="1:25" ht="16" x14ac:dyDescent="0.2">
      <c r="A169" s="219">
        <v>2954</v>
      </c>
      <c r="B169" s="219" t="s">
        <v>30</v>
      </c>
      <c r="C169" s="219" t="s">
        <v>1719</v>
      </c>
      <c r="D169" s="219">
        <v>342.5</v>
      </c>
      <c r="E169" s="219">
        <v>875</v>
      </c>
      <c r="F169" s="219">
        <v>340.7</v>
      </c>
      <c r="G169" s="219" t="s">
        <v>1808</v>
      </c>
      <c r="H169" s="219" t="s">
        <v>1809</v>
      </c>
      <c r="I169" s="219">
        <v>17</v>
      </c>
      <c r="J169" s="217"/>
      <c r="K169" s="219" t="s">
        <v>222</v>
      </c>
      <c r="L169" s="219">
        <v>18563</v>
      </c>
      <c r="M169" s="219">
        <v>136.19999999999999</v>
      </c>
      <c r="N169" s="219">
        <v>2192.38</v>
      </c>
      <c r="O169" s="219">
        <v>8.4670000000000005</v>
      </c>
      <c r="P169" s="219">
        <v>6.2E-2</v>
      </c>
      <c r="Q169" s="217"/>
      <c r="R169" s="217"/>
      <c r="S169" s="217"/>
      <c r="T169" s="217"/>
      <c r="U169" s="217"/>
      <c r="V169" s="217"/>
      <c r="W169" s="217"/>
      <c r="X169" s="217"/>
      <c r="Y169" s="217"/>
    </row>
    <row r="170" spans="1:25" ht="16" x14ac:dyDescent="0.2">
      <c r="A170" s="219">
        <v>2955</v>
      </c>
      <c r="B170" s="219" t="s">
        <v>30</v>
      </c>
      <c r="C170" s="219" t="s">
        <v>1719</v>
      </c>
      <c r="D170" s="219">
        <v>343.5</v>
      </c>
      <c r="E170" s="219">
        <v>895</v>
      </c>
      <c r="F170" s="219">
        <v>341.7</v>
      </c>
      <c r="G170" s="219" t="s">
        <v>1810</v>
      </c>
      <c r="H170" s="219" t="s">
        <v>1811</v>
      </c>
      <c r="I170" s="219">
        <v>17</v>
      </c>
      <c r="J170" s="217"/>
      <c r="K170" s="219" t="s">
        <v>222</v>
      </c>
      <c r="L170" s="219">
        <v>27512</v>
      </c>
      <c r="M170" s="219">
        <v>165.9</v>
      </c>
      <c r="N170" s="219">
        <v>2271</v>
      </c>
      <c r="O170" s="219">
        <v>12.114000000000001</v>
      </c>
      <c r="P170" s="219">
        <v>7.2999999999999995E-2</v>
      </c>
      <c r="Q170" s="217"/>
      <c r="R170" s="217"/>
      <c r="S170" s="217"/>
      <c r="T170" s="217"/>
      <c r="U170" s="217"/>
      <c r="V170" s="217"/>
      <c r="W170" s="217"/>
      <c r="X170" s="217"/>
      <c r="Y170" s="217"/>
    </row>
    <row r="171" spans="1:25" ht="16" x14ac:dyDescent="0.2">
      <c r="A171" s="219">
        <v>2956</v>
      </c>
      <c r="B171" s="219" t="s">
        <v>30</v>
      </c>
      <c r="C171" s="219" t="s">
        <v>1719</v>
      </c>
      <c r="D171" s="219">
        <v>344.5</v>
      </c>
      <c r="E171" s="219">
        <v>895</v>
      </c>
      <c r="F171" s="219">
        <v>342.7</v>
      </c>
      <c r="G171" s="219" t="s">
        <v>1812</v>
      </c>
      <c r="H171" s="219" t="s">
        <v>1813</v>
      </c>
      <c r="I171" s="219">
        <v>18</v>
      </c>
      <c r="J171" s="217"/>
      <c r="K171" s="219" t="s">
        <v>222</v>
      </c>
      <c r="L171" s="219">
        <v>28897</v>
      </c>
      <c r="M171" s="219">
        <v>170</v>
      </c>
      <c r="N171" s="219">
        <v>2038.38</v>
      </c>
      <c r="O171" s="219">
        <v>14.176</v>
      </c>
      <c r="P171" s="219">
        <v>8.3000000000000004E-2</v>
      </c>
      <c r="Q171" s="217"/>
      <c r="R171" s="217"/>
      <c r="S171" s="217"/>
      <c r="T171" s="217"/>
      <c r="U171" s="217"/>
      <c r="V171" s="217"/>
      <c r="W171" s="217"/>
      <c r="X171" s="217"/>
      <c r="Y171" s="217"/>
    </row>
    <row r="172" spans="1:25" ht="16" x14ac:dyDescent="0.2">
      <c r="A172" s="219">
        <v>2957</v>
      </c>
      <c r="B172" s="219" t="s">
        <v>30</v>
      </c>
      <c r="C172" s="219" t="s">
        <v>1719</v>
      </c>
      <c r="D172" s="219">
        <v>345.5</v>
      </c>
      <c r="E172" s="219">
        <v>895</v>
      </c>
      <c r="F172" s="219">
        <v>343.7</v>
      </c>
      <c r="G172" s="219" t="s">
        <v>1814</v>
      </c>
      <c r="H172" s="219" t="s">
        <v>1815</v>
      </c>
      <c r="I172" s="219">
        <v>17</v>
      </c>
      <c r="J172" s="217"/>
      <c r="K172" s="219" t="s">
        <v>222</v>
      </c>
      <c r="L172" s="219">
        <v>30297</v>
      </c>
      <c r="M172" s="219">
        <v>174.1</v>
      </c>
      <c r="N172" s="219">
        <v>2020.32</v>
      </c>
      <c r="O172" s="219">
        <v>14.996</v>
      </c>
      <c r="P172" s="219">
        <v>8.5999999999999993E-2</v>
      </c>
      <c r="Q172" s="217"/>
      <c r="R172" s="217"/>
      <c r="S172" s="217"/>
      <c r="T172" s="217"/>
      <c r="U172" s="217"/>
      <c r="V172" s="217"/>
      <c r="W172" s="217"/>
      <c r="X172" s="217"/>
      <c r="Y172" s="217"/>
    </row>
    <row r="173" spans="1:25" ht="16" x14ac:dyDescent="0.2">
      <c r="A173" s="219">
        <v>2958</v>
      </c>
      <c r="B173" s="219" t="s">
        <v>30</v>
      </c>
      <c r="C173" s="219" t="s">
        <v>1719</v>
      </c>
      <c r="D173" s="219">
        <v>346.5</v>
      </c>
      <c r="E173" s="219">
        <v>895</v>
      </c>
      <c r="F173" s="219">
        <v>344.7</v>
      </c>
      <c r="G173" s="219" t="s">
        <v>1816</v>
      </c>
      <c r="H173" s="219" t="s">
        <v>1817</v>
      </c>
      <c r="I173" s="219">
        <v>17</v>
      </c>
      <c r="J173" s="217"/>
      <c r="K173" s="219" t="s">
        <v>222</v>
      </c>
      <c r="L173" s="219">
        <v>35724</v>
      </c>
      <c r="M173" s="219">
        <v>189</v>
      </c>
      <c r="N173" s="219">
        <v>2282.67</v>
      </c>
      <c r="O173" s="219">
        <v>15.65</v>
      </c>
      <c r="P173" s="219">
        <v>8.3000000000000004E-2</v>
      </c>
      <c r="Q173" s="217"/>
      <c r="R173" s="217"/>
      <c r="S173" s="217"/>
      <c r="T173" s="217"/>
      <c r="U173" s="217"/>
      <c r="V173" s="217"/>
      <c r="W173" s="217"/>
      <c r="X173" s="217"/>
      <c r="Y173" s="217"/>
    </row>
    <row r="174" spans="1:25" ht="16" x14ac:dyDescent="0.2">
      <c r="A174" s="219">
        <v>2959</v>
      </c>
      <c r="B174" s="219" t="s">
        <v>30</v>
      </c>
      <c r="C174" s="219" t="s">
        <v>1719</v>
      </c>
      <c r="D174" s="219">
        <v>347.5</v>
      </c>
      <c r="E174" s="219">
        <v>895</v>
      </c>
      <c r="F174" s="219">
        <v>345.7</v>
      </c>
      <c r="G174" s="219" t="s">
        <v>1818</v>
      </c>
      <c r="H174" s="219" t="s">
        <v>1819</v>
      </c>
      <c r="I174" s="219">
        <v>18</v>
      </c>
      <c r="J174" s="217"/>
      <c r="K174" s="219" t="s">
        <v>222</v>
      </c>
      <c r="L174" s="219">
        <v>34322</v>
      </c>
      <c r="M174" s="219">
        <v>185.3</v>
      </c>
      <c r="N174" s="219">
        <v>2105.4899999999998</v>
      </c>
      <c r="O174" s="219">
        <v>16.300999999999998</v>
      </c>
      <c r="P174" s="219">
        <v>8.7999999999999995E-2</v>
      </c>
      <c r="Q174" s="217"/>
      <c r="R174" s="217"/>
      <c r="S174" s="217"/>
      <c r="T174" s="217"/>
      <c r="U174" s="217"/>
      <c r="V174" s="217"/>
      <c r="W174" s="217"/>
      <c r="X174" s="217"/>
      <c r="Y174" s="217"/>
    </row>
    <row r="175" spans="1:25" ht="16" x14ac:dyDescent="0.2">
      <c r="A175" s="219">
        <v>2960</v>
      </c>
      <c r="B175" s="219" t="s">
        <v>30</v>
      </c>
      <c r="C175" s="219" t="s">
        <v>1719</v>
      </c>
      <c r="D175" s="219">
        <v>348.5</v>
      </c>
      <c r="E175" s="219">
        <v>895</v>
      </c>
      <c r="F175" s="219">
        <v>346.6</v>
      </c>
      <c r="G175" s="219" t="s">
        <v>1820</v>
      </c>
      <c r="H175" s="219" t="s">
        <v>1821</v>
      </c>
      <c r="I175" s="219">
        <v>19</v>
      </c>
      <c r="J175" s="217"/>
      <c r="K175" s="219" t="s">
        <v>222</v>
      </c>
      <c r="L175" s="219">
        <v>35638</v>
      </c>
      <c r="M175" s="219">
        <v>188.8</v>
      </c>
      <c r="N175" s="219">
        <v>2160.77</v>
      </c>
      <c r="O175" s="219">
        <v>16.492999999999999</v>
      </c>
      <c r="P175" s="219">
        <v>8.6999999999999994E-2</v>
      </c>
      <c r="Q175" s="217"/>
      <c r="R175" s="217"/>
      <c r="S175" s="217"/>
      <c r="T175" s="217"/>
      <c r="U175" s="217"/>
      <c r="V175" s="217"/>
      <c r="W175" s="217"/>
      <c r="X175" s="217"/>
      <c r="Y175" s="217"/>
    </row>
    <row r="176" spans="1:25" ht="16" x14ac:dyDescent="0.2">
      <c r="A176" s="219">
        <v>2961</v>
      </c>
      <c r="B176" s="219" t="s">
        <v>30</v>
      </c>
      <c r="C176" s="219" t="s">
        <v>1719</v>
      </c>
      <c r="D176" s="219">
        <v>349.5</v>
      </c>
      <c r="E176" s="219">
        <v>895</v>
      </c>
      <c r="F176" s="219">
        <v>347.6</v>
      </c>
      <c r="G176" s="219" t="s">
        <v>1822</v>
      </c>
      <c r="H176" s="219" t="s">
        <v>1823</v>
      </c>
      <c r="I176" s="219">
        <v>19</v>
      </c>
      <c r="J176" s="217"/>
      <c r="K176" s="219" t="s">
        <v>222</v>
      </c>
      <c r="L176" s="219">
        <v>40049</v>
      </c>
      <c r="M176" s="219">
        <v>200.1</v>
      </c>
      <c r="N176" s="219">
        <v>2464.52</v>
      </c>
      <c r="O176" s="219">
        <v>16.25</v>
      </c>
      <c r="P176" s="219">
        <v>8.1000000000000003E-2</v>
      </c>
      <c r="Q176" s="217"/>
      <c r="R176" s="217"/>
      <c r="S176" s="217"/>
      <c r="T176" s="217"/>
      <c r="U176" s="217"/>
      <c r="V176" s="217"/>
      <c r="W176" s="217"/>
      <c r="X176" s="217"/>
      <c r="Y176" s="217"/>
    </row>
    <row r="177" spans="1:25" ht="16" x14ac:dyDescent="0.2">
      <c r="A177" s="219">
        <v>2962</v>
      </c>
      <c r="B177" s="219" t="s">
        <v>30</v>
      </c>
      <c r="C177" s="219" t="s">
        <v>1719</v>
      </c>
      <c r="D177" s="219">
        <v>351.5</v>
      </c>
      <c r="E177" s="219">
        <v>895</v>
      </c>
      <c r="F177" s="219">
        <v>349.6</v>
      </c>
      <c r="G177" s="219" t="s">
        <v>1824</v>
      </c>
      <c r="H177" s="219" t="s">
        <v>1825</v>
      </c>
      <c r="I177" s="219">
        <v>19</v>
      </c>
      <c r="J177" s="217"/>
      <c r="K177" s="219" t="s">
        <v>222</v>
      </c>
      <c r="L177" s="219">
        <v>40389</v>
      </c>
      <c r="M177" s="219">
        <v>201</v>
      </c>
      <c r="N177" s="219">
        <v>2412.5500000000002</v>
      </c>
      <c r="O177" s="219">
        <v>16.741</v>
      </c>
      <c r="P177" s="219">
        <v>8.3000000000000004E-2</v>
      </c>
      <c r="Q177" s="217"/>
      <c r="R177" s="217"/>
      <c r="S177" s="217"/>
      <c r="T177" s="217"/>
      <c r="U177" s="217"/>
      <c r="V177" s="217"/>
      <c r="W177" s="217"/>
      <c r="X177" s="217"/>
      <c r="Y177" s="217"/>
    </row>
    <row r="178" spans="1:25" ht="16" x14ac:dyDescent="0.2">
      <c r="A178" s="219">
        <v>2963</v>
      </c>
      <c r="B178" s="219" t="s">
        <v>30</v>
      </c>
      <c r="C178" s="219" t="s">
        <v>1719</v>
      </c>
      <c r="D178" s="219">
        <v>353.5</v>
      </c>
      <c r="E178" s="219">
        <v>895</v>
      </c>
      <c r="F178" s="219">
        <v>351.6</v>
      </c>
      <c r="G178" s="219" t="s">
        <v>1826</v>
      </c>
      <c r="H178" s="219" t="s">
        <v>1827</v>
      </c>
      <c r="I178" s="219">
        <v>18</v>
      </c>
      <c r="J178" s="217"/>
      <c r="K178" s="219" t="s">
        <v>222</v>
      </c>
      <c r="L178" s="219">
        <v>36275</v>
      </c>
      <c r="M178" s="219">
        <v>190.5</v>
      </c>
      <c r="N178" s="219">
        <v>2193.75</v>
      </c>
      <c r="O178" s="219">
        <v>16.536000000000001</v>
      </c>
      <c r="P178" s="219">
        <v>8.6999999999999994E-2</v>
      </c>
      <c r="Q178" s="217"/>
      <c r="R178" s="217"/>
      <c r="S178" s="217"/>
      <c r="T178" s="217"/>
      <c r="U178" s="217"/>
      <c r="V178" s="217"/>
      <c r="W178" s="217"/>
      <c r="X178" s="217"/>
      <c r="Y178" s="217"/>
    </row>
    <row r="179" spans="1:25" ht="16" x14ac:dyDescent="0.2">
      <c r="A179" s="219">
        <v>2964</v>
      </c>
      <c r="B179" s="219" t="s">
        <v>30</v>
      </c>
      <c r="C179" s="219" t="s">
        <v>1719</v>
      </c>
      <c r="D179" s="219">
        <v>355.5</v>
      </c>
      <c r="E179" s="219">
        <v>895</v>
      </c>
      <c r="F179" s="219">
        <v>353.6</v>
      </c>
      <c r="G179" s="219" t="s">
        <v>1828</v>
      </c>
      <c r="H179" s="219" t="s">
        <v>1829</v>
      </c>
      <c r="I179" s="219">
        <v>19</v>
      </c>
      <c r="J179" s="217"/>
      <c r="K179" s="219" t="s">
        <v>222</v>
      </c>
      <c r="L179" s="219">
        <v>37100</v>
      </c>
      <c r="M179" s="219">
        <v>192.6</v>
      </c>
      <c r="N179" s="219">
        <v>2233.3200000000002</v>
      </c>
      <c r="O179" s="219">
        <v>16.611999999999998</v>
      </c>
      <c r="P179" s="219">
        <v>8.5999999999999993E-2</v>
      </c>
      <c r="Q179" s="217"/>
      <c r="R179" s="217"/>
      <c r="S179" s="217"/>
      <c r="T179" s="217"/>
      <c r="U179" s="217"/>
      <c r="V179" s="217"/>
      <c r="W179" s="217"/>
      <c r="X179" s="217"/>
      <c r="Y179" s="217"/>
    </row>
    <row r="180" spans="1:25" ht="16" x14ac:dyDescent="0.2">
      <c r="A180" s="219">
        <v>2965</v>
      </c>
      <c r="B180" s="219" t="s">
        <v>30</v>
      </c>
      <c r="C180" s="219" t="s">
        <v>1719</v>
      </c>
      <c r="D180" s="219">
        <v>358.5</v>
      </c>
      <c r="E180" s="219">
        <v>895</v>
      </c>
      <c r="F180" s="219">
        <v>356.6</v>
      </c>
      <c r="G180" s="219" t="s">
        <v>1830</v>
      </c>
      <c r="H180" s="219" t="s">
        <v>1831</v>
      </c>
      <c r="I180" s="219">
        <v>18</v>
      </c>
      <c r="J180" s="217"/>
      <c r="K180" s="219" t="s">
        <v>222</v>
      </c>
      <c r="L180" s="219">
        <v>48495</v>
      </c>
      <c r="M180" s="219">
        <v>220.2</v>
      </c>
      <c r="N180" s="219">
        <v>2931.09</v>
      </c>
      <c r="O180" s="219">
        <v>16.545000000000002</v>
      </c>
      <c r="P180" s="219">
        <v>7.4999999999999997E-2</v>
      </c>
      <c r="Q180" s="217"/>
      <c r="R180" s="217"/>
      <c r="S180" s="217"/>
      <c r="T180" s="217"/>
      <c r="U180" s="217"/>
      <c r="V180" s="217"/>
      <c r="W180" s="217"/>
      <c r="X180" s="217"/>
      <c r="Y180" s="217"/>
    </row>
    <row r="181" spans="1:25" ht="16" x14ac:dyDescent="0.2">
      <c r="A181" s="219">
        <v>2966</v>
      </c>
      <c r="B181" s="219" t="s">
        <v>30</v>
      </c>
      <c r="C181" s="219" t="s">
        <v>1719</v>
      </c>
      <c r="D181" s="219">
        <v>361.5</v>
      </c>
      <c r="E181" s="219">
        <v>895</v>
      </c>
      <c r="F181" s="219">
        <v>359.6</v>
      </c>
      <c r="G181" s="219" t="s">
        <v>1832</v>
      </c>
      <c r="H181" s="219" t="s">
        <v>1833</v>
      </c>
      <c r="I181" s="219">
        <v>18</v>
      </c>
      <c r="J181" s="217"/>
      <c r="K181" s="219" t="s">
        <v>222</v>
      </c>
      <c r="L181" s="219">
        <v>34176</v>
      </c>
      <c r="M181" s="219">
        <v>184.9</v>
      </c>
      <c r="N181" s="219">
        <v>2137.21</v>
      </c>
      <c r="O181" s="219">
        <v>15.991</v>
      </c>
      <c r="P181" s="219">
        <v>8.5999999999999993E-2</v>
      </c>
      <c r="Q181" s="217"/>
      <c r="R181" s="217"/>
      <c r="S181" s="217"/>
      <c r="T181" s="217"/>
      <c r="U181" s="217"/>
      <c r="V181" s="217"/>
      <c r="W181" s="217"/>
      <c r="X181" s="217"/>
      <c r="Y181" s="217"/>
    </row>
    <row r="182" spans="1:25" ht="16" x14ac:dyDescent="0.2">
      <c r="A182" s="219">
        <v>2967</v>
      </c>
      <c r="B182" s="219" t="s">
        <v>30</v>
      </c>
      <c r="C182" s="219" t="s">
        <v>1719</v>
      </c>
      <c r="D182" s="219">
        <v>364.5</v>
      </c>
      <c r="E182" s="219">
        <v>895</v>
      </c>
      <c r="F182" s="219">
        <v>362.5</v>
      </c>
      <c r="G182" s="219" t="s">
        <v>1834</v>
      </c>
      <c r="H182" s="219" t="s">
        <v>1835</v>
      </c>
      <c r="I182" s="219">
        <v>18</v>
      </c>
      <c r="J182" s="217"/>
      <c r="K182" s="219" t="s">
        <v>222</v>
      </c>
      <c r="L182" s="219">
        <v>35040</v>
      </c>
      <c r="M182" s="219">
        <v>187.2</v>
      </c>
      <c r="N182" s="219">
        <v>2205.42</v>
      </c>
      <c r="O182" s="219">
        <v>15.888</v>
      </c>
      <c r="P182" s="219">
        <v>8.5000000000000006E-2</v>
      </c>
      <c r="Q182" s="217"/>
      <c r="R182" s="217"/>
      <c r="S182" s="217"/>
      <c r="T182" s="217"/>
      <c r="U182" s="217"/>
      <c r="V182" s="217"/>
      <c r="W182" s="217"/>
      <c r="X182" s="217"/>
      <c r="Y182" s="217"/>
    </row>
    <row r="183" spans="1:25" ht="16" x14ac:dyDescent="0.2">
      <c r="A183" s="219">
        <v>2968</v>
      </c>
      <c r="B183" s="219" t="s">
        <v>30</v>
      </c>
      <c r="C183" s="219" t="s">
        <v>1719</v>
      </c>
      <c r="D183" s="219">
        <v>367.5</v>
      </c>
      <c r="E183" s="219">
        <v>895</v>
      </c>
      <c r="F183" s="219">
        <v>365.5</v>
      </c>
      <c r="G183" s="219" t="s">
        <v>1836</v>
      </c>
      <c r="H183" s="219" t="s">
        <v>1837</v>
      </c>
      <c r="I183" s="219">
        <v>19</v>
      </c>
      <c r="J183" s="217"/>
      <c r="K183" s="219" t="s">
        <v>222</v>
      </c>
      <c r="L183" s="219">
        <v>52405</v>
      </c>
      <c r="M183" s="219">
        <v>228.9</v>
      </c>
      <c r="N183" s="219">
        <v>3404.72</v>
      </c>
      <c r="O183" s="219">
        <v>15.391999999999999</v>
      </c>
      <c r="P183" s="219">
        <v>6.7000000000000004E-2</v>
      </c>
      <c r="Q183" s="217"/>
      <c r="R183" s="217"/>
      <c r="S183" s="217"/>
      <c r="T183" s="217"/>
      <c r="U183" s="217"/>
      <c r="V183" s="217"/>
      <c r="W183" s="217"/>
      <c r="X183" s="217"/>
      <c r="Y183" s="217"/>
    </row>
    <row r="184" spans="1:25" ht="16" x14ac:dyDescent="0.2">
      <c r="A184" s="219">
        <v>2969</v>
      </c>
      <c r="B184" s="219" t="s">
        <v>30</v>
      </c>
      <c r="C184" s="219" t="s">
        <v>1719</v>
      </c>
      <c r="D184" s="219">
        <v>372.5</v>
      </c>
      <c r="E184" s="219">
        <v>895</v>
      </c>
      <c r="F184" s="219">
        <v>370.5</v>
      </c>
      <c r="G184" s="219" t="s">
        <v>1838</v>
      </c>
      <c r="H184" s="219" t="s">
        <v>1839</v>
      </c>
      <c r="I184" s="219">
        <v>19</v>
      </c>
      <c r="J184" s="217"/>
      <c r="K184" s="219" t="s">
        <v>222</v>
      </c>
      <c r="L184" s="219">
        <v>34721</v>
      </c>
      <c r="M184" s="219">
        <v>186.3</v>
      </c>
      <c r="N184" s="219">
        <v>2333.3200000000002</v>
      </c>
      <c r="O184" s="219">
        <v>14.881</v>
      </c>
      <c r="P184" s="219">
        <v>0.08</v>
      </c>
      <c r="Q184" s="217"/>
      <c r="R184" s="217"/>
      <c r="S184" s="217"/>
      <c r="T184" s="217"/>
      <c r="U184" s="217"/>
      <c r="V184" s="217"/>
      <c r="W184" s="217"/>
      <c r="X184" s="217"/>
      <c r="Y184" s="217"/>
    </row>
    <row r="185" spans="1:25" ht="16" x14ac:dyDescent="0.2">
      <c r="A185" s="219">
        <v>2970</v>
      </c>
      <c r="B185" s="219" t="s">
        <v>30</v>
      </c>
      <c r="C185" s="219" t="s">
        <v>1719</v>
      </c>
      <c r="D185" s="219">
        <v>377.5</v>
      </c>
      <c r="E185" s="219">
        <v>895</v>
      </c>
      <c r="F185" s="219">
        <v>375.4</v>
      </c>
      <c r="G185" s="219" t="s">
        <v>1840</v>
      </c>
      <c r="H185" s="219" t="s">
        <v>1841</v>
      </c>
      <c r="I185" s="219">
        <v>20</v>
      </c>
      <c r="J185" s="217"/>
      <c r="K185" s="219" t="s">
        <v>222</v>
      </c>
      <c r="L185" s="219">
        <v>30673</v>
      </c>
      <c r="M185" s="219">
        <v>175.1</v>
      </c>
      <c r="N185" s="219">
        <v>2212.16</v>
      </c>
      <c r="O185" s="219">
        <v>13.866</v>
      </c>
      <c r="P185" s="219">
        <v>7.9000000000000001E-2</v>
      </c>
      <c r="Q185" s="217"/>
      <c r="R185" s="217"/>
      <c r="S185" s="217"/>
      <c r="T185" s="217"/>
      <c r="U185" s="217"/>
      <c r="V185" s="217"/>
      <c r="W185" s="217"/>
      <c r="X185" s="217"/>
      <c r="Y185" s="217"/>
    </row>
    <row r="186" spans="1:25" ht="16" x14ac:dyDescent="0.2">
      <c r="A186" s="219">
        <v>2971</v>
      </c>
      <c r="B186" s="219" t="s">
        <v>30</v>
      </c>
      <c r="C186" s="219" t="s">
        <v>1719</v>
      </c>
      <c r="D186" s="219">
        <v>382.5</v>
      </c>
      <c r="E186" s="219">
        <v>895</v>
      </c>
      <c r="F186" s="219">
        <v>380.4</v>
      </c>
      <c r="G186" s="219" t="s">
        <v>1842</v>
      </c>
      <c r="H186" s="219" t="s">
        <v>1843</v>
      </c>
      <c r="I186" s="219">
        <v>19</v>
      </c>
      <c r="J186" s="217"/>
      <c r="K186" s="219" t="s">
        <v>222</v>
      </c>
      <c r="L186" s="219">
        <v>29181</v>
      </c>
      <c r="M186" s="219">
        <v>170.8</v>
      </c>
      <c r="N186" s="219">
        <v>2229.4</v>
      </c>
      <c r="O186" s="219">
        <v>13.089</v>
      </c>
      <c r="P186" s="219">
        <v>7.6999999999999999E-2</v>
      </c>
      <c r="Q186" s="217"/>
      <c r="R186" s="217"/>
      <c r="S186" s="217"/>
      <c r="T186" s="217"/>
      <c r="U186" s="217"/>
      <c r="V186" s="217"/>
      <c r="W186" s="217"/>
      <c r="X186" s="217"/>
      <c r="Y186" s="217"/>
    </row>
    <row r="187" spans="1:25" ht="16" x14ac:dyDescent="0.2">
      <c r="A187" s="219">
        <v>2972</v>
      </c>
      <c r="B187" s="219" t="s">
        <v>30</v>
      </c>
      <c r="C187" s="219" t="s">
        <v>1719</v>
      </c>
      <c r="D187" s="219">
        <v>387.5</v>
      </c>
      <c r="E187" s="219">
        <v>895</v>
      </c>
      <c r="F187" s="219">
        <v>385.4</v>
      </c>
      <c r="G187" s="219" t="s">
        <v>1844</v>
      </c>
      <c r="H187" s="219" t="s">
        <v>1845</v>
      </c>
      <c r="I187" s="219">
        <v>18</v>
      </c>
      <c r="J187" s="217"/>
      <c r="K187" s="219" t="s">
        <v>222</v>
      </c>
      <c r="L187" s="219">
        <v>27673</v>
      </c>
      <c r="M187" s="219">
        <v>166.4</v>
      </c>
      <c r="N187" s="219">
        <v>2373.9899999999998</v>
      </c>
      <c r="O187" s="219">
        <v>11.657</v>
      </c>
      <c r="P187" s="219">
        <v>7.0000000000000007E-2</v>
      </c>
      <c r="Q187" s="217"/>
      <c r="R187" s="217"/>
      <c r="S187" s="217"/>
      <c r="T187" s="217"/>
      <c r="U187" s="217"/>
      <c r="V187" s="217"/>
      <c r="W187" s="217"/>
      <c r="X187" s="217"/>
      <c r="Y187" s="217"/>
    </row>
    <row r="188" spans="1:25" ht="16" x14ac:dyDescent="0.2">
      <c r="A188" s="219">
        <v>2973</v>
      </c>
      <c r="B188" s="219" t="s">
        <v>30</v>
      </c>
      <c r="C188" s="219" t="s">
        <v>1719</v>
      </c>
      <c r="D188" s="219">
        <v>392.5</v>
      </c>
      <c r="E188" s="219">
        <v>895</v>
      </c>
      <c r="F188" s="219">
        <v>390.3</v>
      </c>
      <c r="G188" s="219" t="s">
        <v>1846</v>
      </c>
      <c r="H188" s="219" t="s">
        <v>1847</v>
      </c>
      <c r="I188" s="219">
        <v>19</v>
      </c>
      <c r="J188" s="217"/>
      <c r="K188" s="219" t="s">
        <v>222</v>
      </c>
      <c r="L188" s="219">
        <v>24262</v>
      </c>
      <c r="M188" s="219">
        <v>155.80000000000001</v>
      </c>
      <c r="N188" s="219">
        <v>2359.2600000000002</v>
      </c>
      <c r="O188" s="219">
        <v>10.284000000000001</v>
      </c>
      <c r="P188" s="219">
        <v>6.6000000000000003E-2</v>
      </c>
      <c r="Q188" s="217"/>
      <c r="R188" s="217"/>
      <c r="S188" s="217"/>
      <c r="T188" s="217"/>
      <c r="U188" s="217"/>
      <c r="V188" s="217"/>
      <c r="W188" s="217"/>
      <c r="X188" s="217"/>
      <c r="Y188" s="217"/>
    </row>
    <row r="189" spans="1:25" ht="16" x14ac:dyDescent="0.2">
      <c r="A189" s="219">
        <v>2974</v>
      </c>
      <c r="B189" s="219" t="s">
        <v>30</v>
      </c>
      <c r="C189" s="219" t="s">
        <v>1719</v>
      </c>
      <c r="D189" s="219">
        <v>395.6</v>
      </c>
      <c r="E189" s="219">
        <v>895</v>
      </c>
      <c r="F189" s="219">
        <v>393.4</v>
      </c>
      <c r="G189" s="219" t="s">
        <v>1848</v>
      </c>
      <c r="H189" s="219" t="s">
        <v>1849</v>
      </c>
      <c r="I189" s="219">
        <v>18</v>
      </c>
      <c r="J189" s="217"/>
      <c r="K189" s="219" t="s">
        <v>222</v>
      </c>
      <c r="L189" s="219">
        <v>24061</v>
      </c>
      <c r="M189" s="219">
        <v>155.1</v>
      </c>
      <c r="N189" s="219">
        <v>2560.27</v>
      </c>
      <c r="O189" s="219">
        <v>9.3979999999999997</v>
      </c>
      <c r="P189" s="219">
        <v>6.0999999999999999E-2</v>
      </c>
      <c r="Q189" s="217"/>
      <c r="R189" s="217"/>
      <c r="S189" s="217"/>
      <c r="T189" s="217"/>
      <c r="U189" s="217"/>
      <c r="V189" s="217"/>
      <c r="W189" s="217"/>
      <c r="X189" s="217"/>
      <c r="Y189" s="217"/>
    </row>
    <row r="190" spans="1:25" ht="16" x14ac:dyDescent="0.2">
      <c r="A190" s="219">
        <v>2975</v>
      </c>
      <c r="B190" s="219" t="s">
        <v>310</v>
      </c>
      <c r="C190" s="219" t="s">
        <v>1719</v>
      </c>
      <c r="D190" s="219">
        <v>351.7</v>
      </c>
      <c r="E190" s="219">
        <v>1100</v>
      </c>
      <c r="F190" s="219">
        <v>350</v>
      </c>
      <c r="G190" s="219" t="s">
        <v>1850</v>
      </c>
      <c r="H190" s="219" t="s">
        <v>1851</v>
      </c>
      <c r="I190" s="219">
        <v>66</v>
      </c>
      <c r="J190" s="217"/>
      <c r="K190" s="219" t="s">
        <v>222</v>
      </c>
      <c r="L190" s="217"/>
      <c r="M190" s="219">
        <v>0</v>
      </c>
      <c r="N190" s="217"/>
      <c r="O190" s="219" t="e">
        <v>#DIV/0!</v>
      </c>
      <c r="P190" s="219" t="e">
        <v>#DIV/0!</v>
      </c>
      <c r="Q190" s="217"/>
      <c r="R190" s="217"/>
      <c r="S190" s="217"/>
      <c r="T190" s="217"/>
      <c r="U190" s="217"/>
      <c r="V190" s="217"/>
      <c r="W190" s="217"/>
      <c r="X190" s="217"/>
      <c r="Y190" s="217"/>
    </row>
    <row r="191" spans="1:25" ht="16" x14ac:dyDescent="0.2">
      <c r="A191" s="219">
        <v>2976</v>
      </c>
      <c r="B191" s="219" t="s">
        <v>310</v>
      </c>
      <c r="C191" s="219" t="s">
        <v>1719</v>
      </c>
      <c r="D191" s="219">
        <v>351.7</v>
      </c>
      <c r="E191" s="219">
        <v>1100</v>
      </c>
      <c r="F191" s="219">
        <v>350</v>
      </c>
      <c r="G191" s="219" t="s">
        <v>1852</v>
      </c>
      <c r="H191" s="219" t="s">
        <v>1853</v>
      </c>
      <c r="I191" s="219">
        <v>15</v>
      </c>
      <c r="J191" s="217"/>
      <c r="K191" s="219" t="s">
        <v>222</v>
      </c>
      <c r="L191" s="217"/>
      <c r="M191" s="219">
        <v>0</v>
      </c>
      <c r="N191" s="217"/>
      <c r="O191" s="219" t="e">
        <v>#DIV/0!</v>
      </c>
      <c r="P191" s="219" t="e">
        <v>#DIV/0!</v>
      </c>
      <c r="Q191" s="217"/>
      <c r="R191" s="217"/>
      <c r="S191" s="217"/>
      <c r="T191" s="217"/>
      <c r="U191" s="217"/>
      <c r="V191" s="217"/>
      <c r="W191" s="217"/>
      <c r="X191" s="217"/>
      <c r="Y191" s="217"/>
    </row>
    <row r="192" spans="1:25" ht="16" x14ac:dyDescent="0.2">
      <c r="A192" s="219">
        <v>2977</v>
      </c>
      <c r="B192" s="219" t="s">
        <v>157</v>
      </c>
      <c r="C192" s="219" t="s">
        <v>1719</v>
      </c>
      <c r="D192" s="219">
        <v>351.2</v>
      </c>
      <c r="E192" s="219">
        <v>1156</v>
      </c>
      <c r="F192" s="219">
        <v>349.6</v>
      </c>
      <c r="G192" s="219" t="s">
        <v>1854</v>
      </c>
      <c r="H192" s="219" t="s">
        <v>1855</v>
      </c>
      <c r="I192" s="219" t="s">
        <v>1856</v>
      </c>
      <c r="J192" s="217"/>
      <c r="K192" s="219" t="s">
        <v>222</v>
      </c>
      <c r="L192" s="217"/>
      <c r="M192" s="219">
        <v>0</v>
      </c>
      <c r="N192" s="217"/>
      <c r="O192" s="219" t="e">
        <v>#DIV/0!</v>
      </c>
      <c r="P192" s="219" t="e">
        <v>#DIV/0!</v>
      </c>
      <c r="Q192" s="219" t="s">
        <v>1857</v>
      </c>
      <c r="R192" s="217"/>
      <c r="S192" s="217"/>
      <c r="T192" s="217"/>
      <c r="U192" s="217"/>
      <c r="V192" s="217"/>
      <c r="W192" s="217"/>
      <c r="X192" s="217"/>
      <c r="Y192" s="217"/>
    </row>
    <row r="193" spans="1:25" ht="16" x14ac:dyDescent="0.2">
      <c r="A193" s="219">
        <v>2978</v>
      </c>
      <c r="B193" s="219" t="s">
        <v>29</v>
      </c>
      <c r="C193" s="219" t="s">
        <v>1858</v>
      </c>
      <c r="D193" s="219">
        <v>331.5</v>
      </c>
      <c r="E193" s="219">
        <v>991</v>
      </c>
      <c r="F193" s="219">
        <v>329.9</v>
      </c>
      <c r="G193" s="219" t="s">
        <v>1859</v>
      </c>
      <c r="H193" s="219" t="s">
        <v>1860</v>
      </c>
      <c r="I193" s="219">
        <v>26</v>
      </c>
      <c r="J193" s="217"/>
      <c r="K193" s="219" t="s">
        <v>222</v>
      </c>
      <c r="L193" s="219">
        <v>510</v>
      </c>
      <c r="M193" s="219">
        <v>22.6</v>
      </c>
      <c r="N193" s="219">
        <v>3121.99</v>
      </c>
      <c r="O193" s="219">
        <v>0.16300000000000001</v>
      </c>
      <c r="P193" s="219">
        <v>7.0000000000000001E-3</v>
      </c>
      <c r="Q193" s="219" t="s">
        <v>1861</v>
      </c>
      <c r="R193" s="217"/>
      <c r="S193" s="217"/>
      <c r="T193" s="217"/>
      <c r="U193" s="217"/>
      <c r="V193" s="217"/>
      <c r="W193" s="217"/>
      <c r="X193" s="217"/>
      <c r="Y193" s="217"/>
    </row>
    <row r="194" spans="1:25" ht="16" x14ac:dyDescent="0.2">
      <c r="A194" s="219">
        <v>2979</v>
      </c>
      <c r="B194" s="219" t="s">
        <v>29</v>
      </c>
      <c r="C194" s="219" t="s">
        <v>1858</v>
      </c>
      <c r="D194" s="219">
        <v>333.5</v>
      </c>
      <c r="E194" s="219">
        <v>991</v>
      </c>
      <c r="F194" s="219">
        <v>331.8</v>
      </c>
      <c r="G194" s="219" t="s">
        <v>1862</v>
      </c>
      <c r="H194" s="219" t="s">
        <v>1863</v>
      </c>
      <c r="I194" s="219">
        <v>26</v>
      </c>
      <c r="J194" s="217"/>
      <c r="K194" s="219" t="s">
        <v>222</v>
      </c>
      <c r="L194" s="219">
        <v>549</v>
      </c>
      <c r="M194" s="219">
        <v>23.4</v>
      </c>
      <c r="N194" s="219">
        <v>2905.61</v>
      </c>
      <c r="O194" s="219">
        <v>0.189</v>
      </c>
      <c r="P194" s="219">
        <v>8.0000000000000002E-3</v>
      </c>
      <c r="Q194" s="217"/>
      <c r="R194" s="217"/>
      <c r="S194" s="217"/>
      <c r="T194" s="217"/>
      <c r="U194" s="217"/>
      <c r="V194" s="217"/>
      <c r="W194" s="217"/>
      <c r="X194" s="217"/>
      <c r="Y194" s="217"/>
    </row>
    <row r="195" spans="1:25" ht="16" x14ac:dyDescent="0.2">
      <c r="A195" s="219">
        <v>2980</v>
      </c>
      <c r="B195" s="219" t="s">
        <v>29</v>
      </c>
      <c r="C195" s="219" t="s">
        <v>1858</v>
      </c>
      <c r="D195" s="219">
        <v>335.5</v>
      </c>
      <c r="E195" s="219">
        <v>991</v>
      </c>
      <c r="F195" s="219">
        <v>333.8</v>
      </c>
      <c r="G195" s="219" t="s">
        <v>1864</v>
      </c>
      <c r="H195" s="219" t="s">
        <v>1865</v>
      </c>
      <c r="I195" s="219">
        <v>26</v>
      </c>
      <c r="J195" s="217"/>
      <c r="K195" s="219" t="s">
        <v>222</v>
      </c>
      <c r="L195" s="219">
        <v>842</v>
      </c>
      <c r="M195" s="219">
        <v>29</v>
      </c>
      <c r="N195" s="219">
        <v>2733.39</v>
      </c>
      <c r="O195" s="219">
        <v>0.308</v>
      </c>
      <c r="P195" s="219">
        <v>1.0999999999999999E-2</v>
      </c>
      <c r="Q195" s="217"/>
      <c r="R195" s="217"/>
      <c r="S195" s="217"/>
      <c r="T195" s="217"/>
      <c r="U195" s="217"/>
      <c r="V195" s="217"/>
      <c r="W195" s="217"/>
      <c r="X195" s="217"/>
      <c r="Y195" s="217"/>
    </row>
    <row r="196" spans="1:25" ht="16" x14ac:dyDescent="0.2">
      <c r="A196" s="219">
        <v>2981</v>
      </c>
      <c r="B196" s="219" t="s">
        <v>29</v>
      </c>
      <c r="C196" s="219" t="s">
        <v>1858</v>
      </c>
      <c r="D196" s="219">
        <v>337.5</v>
      </c>
      <c r="E196" s="219">
        <v>991</v>
      </c>
      <c r="F196" s="219">
        <v>335.8</v>
      </c>
      <c r="G196" s="219" t="s">
        <v>1866</v>
      </c>
      <c r="H196" s="219" t="s">
        <v>1867</v>
      </c>
      <c r="I196" s="219">
        <v>26</v>
      </c>
      <c r="J196" s="217"/>
      <c r="K196" s="219" t="s">
        <v>222</v>
      </c>
      <c r="L196" s="219">
        <v>1417</v>
      </c>
      <c r="M196" s="219">
        <v>37.6</v>
      </c>
      <c r="N196" s="219">
        <v>2807.97</v>
      </c>
      <c r="O196" s="219">
        <v>0.505</v>
      </c>
      <c r="P196" s="219">
        <v>1.2999999999999999E-2</v>
      </c>
      <c r="Q196" s="217"/>
      <c r="R196" s="217"/>
      <c r="S196" s="217"/>
      <c r="T196" s="217"/>
      <c r="U196" s="217"/>
      <c r="V196" s="217"/>
      <c r="W196" s="217"/>
      <c r="X196" s="217"/>
      <c r="Y196" s="217"/>
    </row>
    <row r="197" spans="1:25" ht="16" x14ac:dyDescent="0.2">
      <c r="A197" s="219">
        <v>2982</v>
      </c>
      <c r="B197" s="219" t="s">
        <v>29</v>
      </c>
      <c r="C197" s="219" t="s">
        <v>1858</v>
      </c>
      <c r="D197" s="219">
        <v>339.5</v>
      </c>
      <c r="E197" s="219">
        <v>991</v>
      </c>
      <c r="F197" s="219">
        <v>337.8</v>
      </c>
      <c r="G197" s="219" t="s">
        <v>1868</v>
      </c>
      <c r="H197" s="219" t="s">
        <v>1869</v>
      </c>
      <c r="I197" s="219">
        <v>26</v>
      </c>
      <c r="J197" s="217"/>
      <c r="K197" s="219" t="s">
        <v>222</v>
      </c>
      <c r="L197" s="219">
        <v>2333</v>
      </c>
      <c r="M197" s="219">
        <v>48.3</v>
      </c>
      <c r="N197" s="219">
        <v>2566.9899999999998</v>
      </c>
      <c r="O197" s="219">
        <v>0.90900000000000003</v>
      </c>
      <c r="P197" s="219">
        <v>1.9E-2</v>
      </c>
      <c r="Q197" s="217"/>
      <c r="R197" s="217"/>
      <c r="S197" s="217"/>
      <c r="T197" s="217"/>
      <c r="U197" s="217"/>
      <c r="V197" s="217"/>
      <c r="W197" s="217"/>
      <c r="X197" s="217"/>
      <c r="Y197" s="217"/>
    </row>
    <row r="198" spans="1:25" ht="16" x14ac:dyDescent="0.2">
      <c r="A198" s="219">
        <v>2983</v>
      </c>
      <c r="B198" s="219" t="s">
        <v>29</v>
      </c>
      <c r="C198" s="219" t="s">
        <v>1858</v>
      </c>
      <c r="D198" s="219">
        <v>340.5</v>
      </c>
      <c r="E198" s="219">
        <v>991</v>
      </c>
      <c r="F198" s="219">
        <v>338.8</v>
      </c>
      <c r="G198" s="219" t="s">
        <v>1870</v>
      </c>
      <c r="H198" s="219" t="s">
        <v>1871</v>
      </c>
      <c r="I198" s="219">
        <v>25</v>
      </c>
      <c r="J198" s="217"/>
      <c r="K198" s="219" t="s">
        <v>222</v>
      </c>
      <c r="L198" s="219">
        <v>3509</v>
      </c>
      <c r="M198" s="219">
        <v>59.2</v>
      </c>
      <c r="N198" s="219">
        <v>2555.08</v>
      </c>
      <c r="O198" s="219">
        <v>1.373</v>
      </c>
      <c r="P198" s="219">
        <v>2.3E-2</v>
      </c>
      <c r="Q198" s="217"/>
      <c r="R198" s="217"/>
      <c r="S198" s="217"/>
      <c r="T198" s="217"/>
      <c r="U198" s="217"/>
      <c r="V198" s="217"/>
      <c r="W198" s="217"/>
      <c r="X198" s="217"/>
      <c r="Y198" s="217"/>
    </row>
    <row r="199" spans="1:25" ht="16" x14ac:dyDescent="0.2">
      <c r="A199" s="219">
        <v>2984</v>
      </c>
      <c r="B199" s="219" t="s">
        <v>29</v>
      </c>
      <c r="C199" s="219" t="s">
        <v>1858</v>
      </c>
      <c r="D199" s="219">
        <v>341.5</v>
      </c>
      <c r="E199" s="219">
        <v>991</v>
      </c>
      <c r="F199" s="219">
        <v>339.8</v>
      </c>
      <c r="G199" s="219" t="s">
        <v>1872</v>
      </c>
      <c r="H199" s="219" t="s">
        <v>1873</v>
      </c>
      <c r="I199" s="219">
        <v>25</v>
      </c>
      <c r="J199" s="217"/>
      <c r="K199" s="219" t="s">
        <v>222</v>
      </c>
      <c r="L199" s="219">
        <v>6773</v>
      </c>
      <c r="M199" s="219">
        <v>82.3</v>
      </c>
      <c r="N199" s="219">
        <v>2840.6</v>
      </c>
      <c r="O199" s="219">
        <v>2.3839999999999999</v>
      </c>
      <c r="P199" s="219">
        <v>2.9000000000000001E-2</v>
      </c>
      <c r="Q199" s="217"/>
      <c r="R199" s="217"/>
      <c r="S199" s="217"/>
      <c r="T199" s="217"/>
      <c r="U199" s="217"/>
      <c r="V199" s="217"/>
      <c r="W199" s="217"/>
      <c r="X199" s="217"/>
      <c r="Y199" s="217"/>
    </row>
    <row r="200" spans="1:25" ht="16" x14ac:dyDescent="0.2">
      <c r="A200" s="219">
        <v>2985</v>
      </c>
      <c r="B200" s="219" t="s">
        <v>29</v>
      </c>
      <c r="C200" s="219" t="s">
        <v>1858</v>
      </c>
      <c r="D200" s="219">
        <v>342.5</v>
      </c>
      <c r="E200" s="219">
        <v>991</v>
      </c>
      <c r="F200" s="219">
        <v>340.8</v>
      </c>
      <c r="G200" s="219" t="s">
        <v>1874</v>
      </c>
      <c r="H200" s="219" t="s">
        <v>1875</v>
      </c>
      <c r="I200" s="219">
        <v>26</v>
      </c>
      <c r="J200" s="217"/>
      <c r="K200" s="219" t="s">
        <v>222</v>
      </c>
      <c r="L200" s="219">
        <v>10969</v>
      </c>
      <c r="M200" s="219">
        <v>104.7</v>
      </c>
      <c r="N200" s="219">
        <v>2504.3000000000002</v>
      </c>
      <c r="O200" s="219">
        <v>4.38</v>
      </c>
      <c r="P200" s="219">
        <v>4.2000000000000003E-2</v>
      </c>
      <c r="Q200" s="217"/>
      <c r="R200" s="217"/>
      <c r="S200" s="217"/>
      <c r="T200" s="217"/>
      <c r="U200" s="217"/>
      <c r="V200" s="217"/>
      <c r="W200" s="217"/>
      <c r="X200" s="217"/>
      <c r="Y200" s="217"/>
    </row>
    <row r="201" spans="1:25" ht="16" x14ac:dyDescent="0.2">
      <c r="A201" s="219">
        <v>2986</v>
      </c>
      <c r="B201" s="219" t="s">
        <v>29</v>
      </c>
      <c r="C201" s="219" t="s">
        <v>1858</v>
      </c>
      <c r="D201" s="219">
        <v>343.5</v>
      </c>
      <c r="E201" s="219">
        <v>991</v>
      </c>
      <c r="F201" s="219">
        <v>341.8</v>
      </c>
      <c r="G201" s="219" t="s">
        <v>1876</v>
      </c>
      <c r="H201" s="219" t="s">
        <v>1877</v>
      </c>
      <c r="I201" s="219">
        <v>27</v>
      </c>
      <c r="J201" s="217"/>
      <c r="K201" s="219" t="s">
        <v>222</v>
      </c>
      <c r="L201" s="219">
        <v>20273</v>
      </c>
      <c r="M201" s="219">
        <v>142.4</v>
      </c>
      <c r="N201" s="219">
        <v>2773.52</v>
      </c>
      <c r="O201" s="219">
        <v>7.3090000000000002</v>
      </c>
      <c r="P201" s="219">
        <v>5.0999999999999997E-2</v>
      </c>
      <c r="Q201" s="217"/>
      <c r="R201" s="217"/>
      <c r="S201" s="217"/>
      <c r="T201" s="217"/>
      <c r="U201" s="217"/>
      <c r="V201" s="217"/>
      <c r="W201" s="217"/>
      <c r="X201" s="217"/>
      <c r="Y201" s="217"/>
    </row>
    <row r="202" spans="1:25" ht="16" x14ac:dyDescent="0.2">
      <c r="A202" s="219">
        <v>2987</v>
      </c>
      <c r="B202" s="219" t="s">
        <v>29</v>
      </c>
      <c r="C202" s="219" t="s">
        <v>1858</v>
      </c>
      <c r="D202" s="219">
        <v>344.5</v>
      </c>
      <c r="E202" s="219">
        <v>991</v>
      </c>
      <c r="F202" s="219">
        <v>342.8</v>
      </c>
      <c r="G202" s="219" t="s">
        <v>1878</v>
      </c>
      <c r="H202" s="219" t="s">
        <v>1879</v>
      </c>
      <c r="I202" s="219">
        <v>27</v>
      </c>
      <c r="J202" s="217"/>
      <c r="K202" s="219" t="s">
        <v>222</v>
      </c>
      <c r="L202" s="219">
        <v>25206</v>
      </c>
      <c r="M202" s="219">
        <v>158.80000000000001</v>
      </c>
      <c r="N202" s="219">
        <v>2558.16</v>
      </c>
      <c r="O202" s="219">
        <v>9.8529999999999998</v>
      </c>
      <c r="P202" s="219">
        <v>6.2E-2</v>
      </c>
      <c r="Q202" s="217"/>
      <c r="R202" s="217"/>
      <c r="S202" s="217"/>
      <c r="T202" s="217"/>
      <c r="U202" s="217"/>
      <c r="V202" s="217"/>
      <c r="W202" s="217"/>
      <c r="X202" s="217"/>
      <c r="Y202" s="217"/>
    </row>
    <row r="203" spans="1:25" ht="16" x14ac:dyDescent="0.2">
      <c r="A203" s="219">
        <v>2988</v>
      </c>
      <c r="B203" s="219" t="s">
        <v>29</v>
      </c>
      <c r="C203" s="219" t="s">
        <v>1858</v>
      </c>
      <c r="D203" s="219">
        <v>345.5</v>
      </c>
      <c r="E203" s="219">
        <v>991</v>
      </c>
      <c r="F203" s="219">
        <v>343.8</v>
      </c>
      <c r="G203" s="219" t="s">
        <v>1880</v>
      </c>
      <c r="H203" s="219" t="s">
        <v>1881</v>
      </c>
      <c r="I203" s="219">
        <v>27</v>
      </c>
      <c r="J203" s="217"/>
      <c r="K203" s="219" t="s">
        <v>222</v>
      </c>
      <c r="L203" s="219">
        <v>29853</v>
      </c>
      <c r="M203" s="219">
        <v>172.8</v>
      </c>
      <c r="N203" s="219">
        <v>2574.4</v>
      </c>
      <c r="O203" s="219">
        <v>11.596</v>
      </c>
      <c r="P203" s="219">
        <v>6.7000000000000004E-2</v>
      </c>
      <c r="Q203" s="217"/>
      <c r="R203" s="217"/>
      <c r="S203" s="217"/>
      <c r="T203" s="217"/>
      <c r="U203" s="217"/>
      <c r="V203" s="217"/>
      <c r="W203" s="217"/>
      <c r="X203" s="217"/>
      <c r="Y203" s="217"/>
    </row>
    <row r="204" spans="1:25" ht="16" x14ac:dyDescent="0.2">
      <c r="A204" s="219">
        <v>2989</v>
      </c>
      <c r="B204" s="219" t="s">
        <v>29</v>
      </c>
      <c r="C204" s="219" t="s">
        <v>1858</v>
      </c>
      <c r="D204" s="219">
        <v>346.5</v>
      </c>
      <c r="E204" s="219">
        <v>980</v>
      </c>
      <c r="F204" s="219">
        <v>344.7</v>
      </c>
      <c r="G204" s="219" t="s">
        <v>1882</v>
      </c>
      <c r="H204" s="219" t="s">
        <v>1883</v>
      </c>
      <c r="I204" s="219">
        <v>25</v>
      </c>
      <c r="J204" s="217"/>
      <c r="K204" s="219" t="s">
        <v>222</v>
      </c>
      <c r="L204" s="219">
        <v>37434</v>
      </c>
      <c r="M204" s="219">
        <v>193.5</v>
      </c>
      <c r="N204" s="219">
        <v>2864.84</v>
      </c>
      <c r="O204" s="219">
        <v>13.067</v>
      </c>
      <c r="P204" s="219">
        <v>6.8000000000000005E-2</v>
      </c>
      <c r="Q204" s="217"/>
      <c r="R204" s="217"/>
      <c r="S204" s="217"/>
      <c r="T204" s="217"/>
      <c r="U204" s="217"/>
      <c r="V204" s="217"/>
      <c r="W204" s="217"/>
      <c r="X204" s="217"/>
      <c r="Y204" s="217"/>
    </row>
    <row r="205" spans="1:25" ht="16" x14ac:dyDescent="0.2">
      <c r="A205" s="219">
        <v>2990</v>
      </c>
      <c r="B205" s="219" t="s">
        <v>29</v>
      </c>
      <c r="C205" s="219" t="s">
        <v>1858</v>
      </c>
      <c r="D205" s="219">
        <v>347.5</v>
      </c>
      <c r="E205" s="219">
        <v>980</v>
      </c>
      <c r="F205" s="219">
        <v>345.7</v>
      </c>
      <c r="G205" s="219" t="s">
        <v>1884</v>
      </c>
      <c r="H205" s="219" t="s">
        <v>1885</v>
      </c>
      <c r="I205" s="219">
        <v>26</v>
      </c>
      <c r="J205" s="217"/>
      <c r="K205" s="219" t="s">
        <v>222</v>
      </c>
      <c r="L205" s="219">
        <v>34152</v>
      </c>
      <c r="M205" s="219">
        <v>184.8</v>
      </c>
      <c r="N205" s="219">
        <v>2568.56</v>
      </c>
      <c r="O205" s="219">
        <v>13.295999999999999</v>
      </c>
      <c r="P205" s="219">
        <v>7.1999999999999995E-2</v>
      </c>
      <c r="Q205" s="217"/>
      <c r="R205" s="217"/>
      <c r="S205" s="217"/>
      <c r="T205" s="217"/>
      <c r="U205" s="217"/>
      <c r="V205" s="217"/>
      <c r="W205" s="217"/>
      <c r="X205" s="217"/>
      <c r="Y205" s="217"/>
    </row>
    <row r="206" spans="1:25" ht="16" x14ac:dyDescent="0.2">
      <c r="A206" s="219">
        <v>2991</v>
      </c>
      <c r="B206" s="219" t="s">
        <v>29</v>
      </c>
      <c r="C206" s="219" t="s">
        <v>1858</v>
      </c>
      <c r="D206" s="219">
        <v>348.5</v>
      </c>
      <c r="E206" s="219">
        <v>1000</v>
      </c>
      <c r="F206" s="219">
        <v>346.7</v>
      </c>
      <c r="G206" s="219" t="s">
        <v>1886</v>
      </c>
      <c r="H206" s="219" t="s">
        <v>1887</v>
      </c>
      <c r="I206" s="219">
        <v>29</v>
      </c>
      <c r="J206" s="217"/>
      <c r="K206" s="219" t="s">
        <v>222</v>
      </c>
      <c r="L206" s="219">
        <v>30233</v>
      </c>
      <c r="M206" s="219">
        <v>173.9</v>
      </c>
      <c r="N206" s="219">
        <v>2376.62</v>
      </c>
      <c r="O206" s="219">
        <v>12.721</v>
      </c>
      <c r="P206" s="219">
        <v>7.2999999999999995E-2</v>
      </c>
      <c r="Q206" s="217"/>
      <c r="R206" s="217"/>
      <c r="S206" s="217"/>
      <c r="T206" s="217"/>
      <c r="U206" s="217"/>
      <c r="V206" s="217"/>
      <c r="W206" s="217"/>
      <c r="X206" s="217"/>
      <c r="Y206" s="217"/>
    </row>
    <row r="207" spans="1:25" ht="16" x14ac:dyDescent="0.2">
      <c r="A207" s="219">
        <v>2992</v>
      </c>
      <c r="B207" s="219" t="s">
        <v>29</v>
      </c>
      <c r="C207" s="219" t="s">
        <v>1858</v>
      </c>
      <c r="D207" s="219">
        <v>349.5</v>
      </c>
      <c r="E207" s="219">
        <v>1000</v>
      </c>
      <c r="F207" s="219">
        <v>347.7</v>
      </c>
      <c r="G207" s="219" t="s">
        <v>1888</v>
      </c>
      <c r="H207" s="219" t="s">
        <v>1889</v>
      </c>
      <c r="I207" s="219">
        <v>28</v>
      </c>
      <c r="J207" s="217"/>
      <c r="K207" s="219" t="s">
        <v>222</v>
      </c>
      <c r="L207" s="219">
        <v>31035</v>
      </c>
      <c r="M207" s="219">
        <v>176.2</v>
      </c>
      <c r="N207" s="219">
        <v>2531.29</v>
      </c>
      <c r="O207" s="219">
        <v>12.260999999999999</v>
      </c>
      <c r="P207" s="219">
        <v>7.0000000000000007E-2</v>
      </c>
      <c r="Q207" s="217"/>
      <c r="R207" s="217"/>
      <c r="S207" s="217"/>
      <c r="T207" s="217"/>
      <c r="U207" s="217"/>
      <c r="V207" s="217"/>
      <c r="W207" s="217"/>
      <c r="X207" s="217"/>
      <c r="Y207" s="217"/>
    </row>
    <row r="208" spans="1:25" ht="16" x14ac:dyDescent="0.2">
      <c r="A208" s="219">
        <v>2993</v>
      </c>
      <c r="B208" s="219" t="s">
        <v>29</v>
      </c>
      <c r="C208" s="219" t="s">
        <v>1858</v>
      </c>
      <c r="D208" s="219">
        <v>351.5</v>
      </c>
      <c r="E208" s="219">
        <v>1000</v>
      </c>
      <c r="F208" s="219">
        <v>349.7</v>
      </c>
      <c r="G208" s="219" t="s">
        <v>1890</v>
      </c>
      <c r="H208" s="219" t="s">
        <v>1891</v>
      </c>
      <c r="I208" s="219">
        <v>28</v>
      </c>
      <c r="J208" s="217"/>
      <c r="K208" s="219" t="s">
        <v>222</v>
      </c>
      <c r="L208" s="219">
        <v>28782</v>
      </c>
      <c r="M208" s="219">
        <v>169.7</v>
      </c>
      <c r="N208" s="219">
        <v>2888.72</v>
      </c>
      <c r="O208" s="219">
        <v>9.9640000000000004</v>
      </c>
      <c r="P208" s="219">
        <v>5.8999999999999997E-2</v>
      </c>
      <c r="Q208" s="217"/>
      <c r="R208" s="217"/>
      <c r="S208" s="217"/>
      <c r="T208" s="217"/>
      <c r="U208" s="217"/>
      <c r="V208" s="217"/>
      <c r="W208" s="217"/>
      <c r="X208" s="217"/>
      <c r="Y208" s="217"/>
    </row>
    <row r="209" spans="1:25" ht="16" x14ac:dyDescent="0.2">
      <c r="A209" s="219">
        <v>2994</v>
      </c>
      <c r="B209" s="219" t="s">
        <v>29</v>
      </c>
      <c r="C209" s="219" t="s">
        <v>1858</v>
      </c>
      <c r="D209" s="219">
        <v>353.5</v>
      </c>
      <c r="E209" s="219">
        <v>1000</v>
      </c>
      <c r="F209" s="219">
        <v>351.7</v>
      </c>
      <c r="G209" s="219" t="s">
        <v>1892</v>
      </c>
      <c r="H209" s="219" t="s">
        <v>1893</v>
      </c>
      <c r="I209" s="219">
        <v>28</v>
      </c>
      <c r="J209" s="217"/>
      <c r="K209" s="219" t="s">
        <v>222</v>
      </c>
      <c r="L209" s="219">
        <v>17999</v>
      </c>
      <c r="M209" s="219">
        <v>134.19999999999999</v>
      </c>
      <c r="N209" s="219">
        <v>2538.69</v>
      </c>
      <c r="O209" s="219">
        <v>7.09</v>
      </c>
      <c r="P209" s="219">
        <v>5.2999999999999999E-2</v>
      </c>
      <c r="Q209" s="217"/>
      <c r="R209" s="217"/>
      <c r="S209" s="217"/>
      <c r="T209" s="217"/>
      <c r="U209" s="217"/>
      <c r="V209" s="217"/>
      <c r="W209" s="217"/>
      <c r="X209" s="217"/>
      <c r="Y209" s="217"/>
    </row>
    <row r="210" spans="1:25" ht="16" x14ac:dyDescent="0.2">
      <c r="A210" s="219">
        <v>2995</v>
      </c>
      <c r="B210" s="219" t="s">
        <v>29</v>
      </c>
      <c r="C210" s="219" t="s">
        <v>1858</v>
      </c>
      <c r="D210" s="219">
        <v>355.5</v>
      </c>
      <c r="E210" s="219">
        <v>1000</v>
      </c>
      <c r="F210" s="219">
        <v>353.7</v>
      </c>
      <c r="G210" s="219" t="s">
        <v>1894</v>
      </c>
      <c r="H210" s="219" t="s">
        <v>1895</v>
      </c>
      <c r="I210" s="219">
        <v>29</v>
      </c>
      <c r="J210" s="217"/>
      <c r="K210" s="219" t="s">
        <v>222</v>
      </c>
      <c r="L210" s="219">
        <v>12139</v>
      </c>
      <c r="M210" s="219">
        <v>110.2</v>
      </c>
      <c r="N210" s="219">
        <v>2564.6999999999998</v>
      </c>
      <c r="O210" s="219">
        <v>4.7329999999999997</v>
      </c>
      <c r="P210" s="219">
        <v>4.2999999999999997E-2</v>
      </c>
      <c r="Q210" s="217"/>
      <c r="R210" s="217"/>
      <c r="S210" s="217"/>
      <c r="T210" s="217"/>
      <c r="U210" s="217"/>
      <c r="V210" s="217"/>
      <c r="W210" s="217"/>
      <c r="X210" s="217"/>
      <c r="Y210" s="217"/>
    </row>
    <row r="211" spans="1:25" ht="16" x14ac:dyDescent="0.2">
      <c r="A211" s="219">
        <v>2996</v>
      </c>
      <c r="B211" s="219" t="s">
        <v>29</v>
      </c>
      <c r="C211" s="219" t="s">
        <v>1858</v>
      </c>
      <c r="D211" s="219">
        <v>358.5</v>
      </c>
      <c r="E211" s="219">
        <v>1000</v>
      </c>
      <c r="F211" s="219">
        <v>356.7</v>
      </c>
      <c r="G211" s="219" t="s">
        <v>1896</v>
      </c>
      <c r="H211" s="219" t="s">
        <v>1897</v>
      </c>
      <c r="I211" s="219">
        <v>28</v>
      </c>
      <c r="J211" s="217"/>
      <c r="K211" s="219" t="s">
        <v>222</v>
      </c>
      <c r="L211" s="219">
        <v>6929</v>
      </c>
      <c r="M211" s="219">
        <v>83.2</v>
      </c>
      <c r="N211" s="219">
        <v>2789.44</v>
      </c>
      <c r="O211" s="219">
        <v>2.484</v>
      </c>
      <c r="P211" s="219">
        <v>0.03</v>
      </c>
      <c r="Q211" s="217"/>
      <c r="R211" s="217"/>
      <c r="S211" s="217"/>
      <c r="T211" s="217"/>
      <c r="U211" s="217"/>
      <c r="V211" s="217"/>
      <c r="W211" s="217"/>
      <c r="X211" s="217"/>
      <c r="Y211" s="217"/>
    </row>
    <row r="212" spans="1:25" ht="16" x14ac:dyDescent="0.2">
      <c r="A212" s="219">
        <v>2997</v>
      </c>
      <c r="B212" s="219" t="s">
        <v>29</v>
      </c>
      <c r="C212" s="219" t="s">
        <v>1858</v>
      </c>
      <c r="D212" s="219">
        <v>361.5</v>
      </c>
      <c r="E212" s="219">
        <v>1000</v>
      </c>
      <c r="F212" s="219">
        <v>359.7</v>
      </c>
      <c r="G212" s="219" t="s">
        <v>1898</v>
      </c>
      <c r="H212" s="219" t="s">
        <v>1899</v>
      </c>
      <c r="I212" s="219">
        <v>28</v>
      </c>
      <c r="J212" s="217"/>
      <c r="K212" s="219" t="s">
        <v>222</v>
      </c>
      <c r="L212" s="219">
        <v>3390</v>
      </c>
      <c r="M212" s="219">
        <v>58.2</v>
      </c>
      <c r="N212" s="219">
        <v>2513.44</v>
      </c>
      <c r="O212" s="219">
        <v>1.349</v>
      </c>
      <c r="P212" s="219">
        <v>2.3E-2</v>
      </c>
      <c r="Q212" s="217"/>
      <c r="R212" s="217"/>
      <c r="S212" s="217"/>
      <c r="T212" s="217"/>
      <c r="U212" s="217"/>
      <c r="V212" s="217"/>
      <c r="W212" s="217"/>
      <c r="X212" s="217"/>
      <c r="Y212" s="217"/>
    </row>
    <row r="213" spans="1:25" ht="16" x14ac:dyDescent="0.2">
      <c r="A213" s="219">
        <v>2998</v>
      </c>
      <c r="B213" s="219" t="s">
        <v>29</v>
      </c>
      <c r="C213" s="219" t="s">
        <v>1858</v>
      </c>
      <c r="D213" s="219">
        <v>365.5</v>
      </c>
      <c r="E213" s="219">
        <v>1000</v>
      </c>
      <c r="F213" s="219">
        <v>363.6</v>
      </c>
      <c r="G213" s="219" t="s">
        <v>1900</v>
      </c>
      <c r="H213" s="219" t="s">
        <v>1901</v>
      </c>
      <c r="I213" s="219">
        <v>28</v>
      </c>
      <c r="J213" s="217"/>
      <c r="K213" s="219" t="s">
        <v>222</v>
      </c>
      <c r="L213" s="219">
        <v>1957</v>
      </c>
      <c r="M213" s="219">
        <v>44.2</v>
      </c>
      <c r="N213" s="219">
        <v>2819.65</v>
      </c>
      <c r="O213" s="219">
        <v>0.69399999999999995</v>
      </c>
      <c r="P213" s="219">
        <v>1.6E-2</v>
      </c>
      <c r="Q213" s="217"/>
      <c r="R213" s="217"/>
      <c r="S213" s="222" t="s">
        <v>2071</v>
      </c>
      <c r="T213" s="217"/>
      <c r="U213" s="217"/>
      <c r="V213" s="217"/>
      <c r="W213" s="217"/>
      <c r="X213" s="217"/>
      <c r="Y213" s="217"/>
    </row>
    <row r="214" spans="1:25" ht="16" x14ac:dyDescent="0.2">
      <c r="A214" s="219">
        <v>2999</v>
      </c>
      <c r="B214" s="219" t="s">
        <v>29</v>
      </c>
      <c r="C214" s="219" t="s">
        <v>1858</v>
      </c>
      <c r="D214" s="219">
        <v>370.5</v>
      </c>
      <c r="E214" s="219">
        <v>1000</v>
      </c>
      <c r="F214" s="219">
        <v>368.6</v>
      </c>
      <c r="G214" s="219" t="s">
        <v>1902</v>
      </c>
      <c r="H214" s="219" t="s">
        <v>1903</v>
      </c>
      <c r="I214" s="219">
        <v>27</v>
      </c>
      <c r="J214" s="217"/>
      <c r="K214" s="219" t="s">
        <v>222</v>
      </c>
      <c r="L214" s="219">
        <v>956</v>
      </c>
      <c r="M214" s="219">
        <v>30.9</v>
      </c>
      <c r="N214" s="219">
        <v>2573.7199999999998</v>
      </c>
      <c r="O214" s="219">
        <v>0.371</v>
      </c>
      <c r="P214" s="219">
        <v>1.2E-2</v>
      </c>
      <c r="Q214" s="217"/>
      <c r="R214" s="217" t="s">
        <v>2072</v>
      </c>
      <c r="S214" s="217" t="s">
        <v>2073</v>
      </c>
      <c r="T214" s="222" t="s">
        <v>2074</v>
      </c>
      <c r="U214" s="222" t="s">
        <v>2075</v>
      </c>
      <c r="V214" s="222" t="s">
        <v>2076</v>
      </c>
      <c r="W214" s="222" t="s">
        <v>2077</v>
      </c>
      <c r="X214" s="222" t="s">
        <v>2078</v>
      </c>
      <c r="Y214" s="222" t="s">
        <v>2079</v>
      </c>
    </row>
    <row r="215" spans="1:25" ht="16" x14ac:dyDescent="0.2">
      <c r="A215" s="219">
        <v>3000</v>
      </c>
      <c r="B215" s="219" t="s">
        <v>157</v>
      </c>
      <c r="C215" s="219" t="s">
        <v>1858</v>
      </c>
      <c r="D215" s="219">
        <v>215.85</v>
      </c>
      <c r="E215" s="219">
        <v>1076</v>
      </c>
      <c r="F215" s="219">
        <v>215.1</v>
      </c>
      <c r="G215" s="219" t="s">
        <v>1904</v>
      </c>
      <c r="H215" s="219" t="s">
        <v>1905</v>
      </c>
      <c r="I215" s="219">
        <v>14</v>
      </c>
      <c r="J215" s="217"/>
      <c r="K215" s="219" t="s">
        <v>222</v>
      </c>
      <c r="L215" s="219">
        <v>1628</v>
      </c>
      <c r="M215" s="219">
        <v>40.299999999999997</v>
      </c>
      <c r="N215" s="219">
        <v>177345.28</v>
      </c>
      <c r="O215" s="219">
        <v>8.9999999999999993E-3</v>
      </c>
      <c r="P215" s="219">
        <v>0</v>
      </c>
      <c r="Q215" s="217"/>
      <c r="R215" s="217">
        <v>0</v>
      </c>
      <c r="S215" s="217"/>
      <c r="T215" s="217"/>
      <c r="U215" s="217">
        <v>0</v>
      </c>
      <c r="V215" s="217"/>
      <c r="W215" s="222">
        <v>100</v>
      </c>
      <c r="X215" s="217"/>
      <c r="Y215" s="217"/>
    </row>
    <row r="216" spans="1:25" ht="16" x14ac:dyDescent="0.2">
      <c r="A216" s="219">
        <v>3001</v>
      </c>
      <c r="B216" s="219" t="s">
        <v>2453</v>
      </c>
      <c r="C216" s="219" t="s">
        <v>1858</v>
      </c>
      <c r="D216" s="219">
        <v>250.6</v>
      </c>
      <c r="E216" s="219">
        <v>1610</v>
      </c>
      <c r="F216" s="219">
        <v>250.1</v>
      </c>
      <c r="G216" s="219" t="s">
        <v>1906</v>
      </c>
      <c r="H216" s="219" t="s">
        <v>1907</v>
      </c>
      <c r="I216" s="219">
        <v>96</v>
      </c>
      <c r="J216" s="217"/>
      <c r="K216" s="219" t="s">
        <v>222</v>
      </c>
      <c r="L216" s="219">
        <v>22622</v>
      </c>
      <c r="M216" s="219">
        <v>150.4</v>
      </c>
      <c r="N216" s="219">
        <v>101903.66</v>
      </c>
      <c r="O216" s="219">
        <v>0.222</v>
      </c>
      <c r="P216" s="219">
        <v>1E-3</v>
      </c>
      <c r="Q216" s="217"/>
      <c r="R216" s="217">
        <v>215.1</v>
      </c>
      <c r="S216" s="222">
        <v>22</v>
      </c>
      <c r="T216" s="222">
        <v>4.6904157599999996</v>
      </c>
      <c r="U216" s="222">
        <v>1.2405179320000001E-4</v>
      </c>
      <c r="V216" s="222">
        <v>2.644793118E-5</v>
      </c>
      <c r="W216" s="222">
        <v>1</v>
      </c>
      <c r="X216" s="222">
        <v>8.9999999999999993E-3</v>
      </c>
      <c r="Y216" s="222" t="s">
        <v>1858</v>
      </c>
    </row>
    <row r="217" spans="1:25" ht="16" x14ac:dyDescent="0.2">
      <c r="A217" s="219">
        <v>3002</v>
      </c>
      <c r="B217" s="219" t="s">
        <v>2453</v>
      </c>
      <c r="C217" s="219" t="s">
        <v>1858</v>
      </c>
      <c r="D217" s="219">
        <v>248.6</v>
      </c>
      <c r="E217" s="219">
        <v>1805</v>
      </c>
      <c r="F217" s="219">
        <v>248.3</v>
      </c>
      <c r="G217" s="219" t="s">
        <v>1908</v>
      </c>
      <c r="H217" s="219" t="s">
        <v>1909</v>
      </c>
      <c r="I217" s="219">
        <v>114</v>
      </c>
      <c r="J217" s="217"/>
      <c r="K217" s="219" t="s">
        <v>222</v>
      </c>
      <c r="L217" s="219">
        <v>44653</v>
      </c>
      <c r="M217" s="219">
        <v>211.3</v>
      </c>
      <c r="N217" s="219">
        <v>161790.89000000001</v>
      </c>
      <c r="O217" s="219">
        <v>0.27600000000000002</v>
      </c>
      <c r="P217" s="219">
        <v>1E-3</v>
      </c>
      <c r="Q217" s="217"/>
      <c r="R217" s="217">
        <v>250.1</v>
      </c>
      <c r="S217" s="222">
        <v>407</v>
      </c>
      <c r="T217" s="222">
        <v>20.174240999999999</v>
      </c>
      <c r="U217" s="222">
        <v>3.9939684210000001E-3</v>
      </c>
      <c r="V217" s="222">
        <v>1.979736646E-4</v>
      </c>
      <c r="W217" s="222">
        <v>1</v>
      </c>
      <c r="X217" s="222">
        <v>0.222</v>
      </c>
      <c r="Y217" s="222" t="s">
        <v>1858</v>
      </c>
    </row>
    <row r="218" spans="1:25" ht="16" x14ac:dyDescent="0.2">
      <c r="A218" s="219">
        <v>3003</v>
      </c>
      <c r="B218" s="219" t="s">
        <v>2453</v>
      </c>
      <c r="C218" s="219" t="s">
        <v>1858</v>
      </c>
      <c r="D218" s="219">
        <v>246.6</v>
      </c>
      <c r="E218" s="219">
        <v>1805</v>
      </c>
      <c r="F218" s="219">
        <v>246.3</v>
      </c>
      <c r="G218" s="219" t="s">
        <v>1910</v>
      </c>
      <c r="H218" s="219" t="s">
        <v>1911</v>
      </c>
      <c r="I218" s="219">
        <v>115</v>
      </c>
      <c r="J218" s="217"/>
      <c r="K218" s="219" t="s">
        <v>222</v>
      </c>
      <c r="L218" s="219">
        <v>50355</v>
      </c>
      <c r="M218" s="219">
        <v>224.4</v>
      </c>
      <c r="N218" s="219">
        <v>144511.03</v>
      </c>
      <c r="O218" s="219">
        <v>0.34799999999999998</v>
      </c>
      <c r="P218" s="219">
        <v>2E-3</v>
      </c>
      <c r="Q218" s="217"/>
      <c r="R218" s="217">
        <v>248.3</v>
      </c>
      <c r="S218" s="222">
        <v>945</v>
      </c>
      <c r="T218" s="222">
        <v>30.7408523</v>
      </c>
      <c r="U218" s="222">
        <v>5.840872746E-3</v>
      </c>
      <c r="V218" s="222">
        <v>1.9000360460000001E-4</v>
      </c>
      <c r="W218" s="222">
        <v>1</v>
      </c>
      <c r="X218" s="222">
        <v>0.27600000000000002</v>
      </c>
      <c r="Y218" s="222" t="s">
        <v>1858</v>
      </c>
    </row>
    <row r="219" spans="1:25" ht="16" x14ac:dyDescent="0.2">
      <c r="A219" s="219">
        <v>3004</v>
      </c>
      <c r="B219" s="219" t="s">
        <v>2453</v>
      </c>
      <c r="C219" s="219" t="s">
        <v>1858</v>
      </c>
      <c r="D219" s="219">
        <v>244.6</v>
      </c>
      <c r="E219" s="219">
        <v>1805</v>
      </c>
      <c r="F219" s="219">
        <v>244.3</v>
      </c>
      <c r="G219" s="219" t="s">
        <v>1912</v>
      </c>
      <c r="H219" s="219" t="s">
        <v>1913</v>
      </c>
      <c r="I219" s="219">
        <v>116</v>
      </c>
      <c r="J219" s="217"/>
      <c r="K219" s="219" t="s">
        <v>222</v>
      </c>
      <c r="L219" s="219">
        <v>39464</v>
      </c>
      <c r="M219" s="219">
        <v>198.7</v>
      </c>
      <c r="N219" s="219">
        <v>91493.65</v>
      </c>
      <c r="O219" s="219">
        <v>0.43099999999999999</v>
      </c>
      <c r="P219" s="219">
        <v>2E-3</v>
      </c>
      <c r="Q219" s="217"/>
      <c r="R219" s="217">
        <v>246.3</v>
      </c>
      <c r="S219" s="222">
        <v>1118</v>
      </c>
      <c r="T219" s="222">
        <v>33.436506989999998</v>
      </c>
      <c r="U219" s="222">
        <v>7.7364336830000003E-3</v>
      </c>
      <c r="V219" s="222">
        <v>2.3137685060000001E-4</v>
      </c>
      <c r="W219" s="222">
        <v>1</v>
      </c>
      <c r="X219" s="222">
        <v>0.34799999999999998</v>
      </c>
      <c r="Y219" s="222" t="s">
        <v>1858</v>
      </c>
    </row>
    <row r="220" spans="1:25" ht="16" x14ac:dyDescent="0.2">
      <c r="A220" s="219">
        <v>3005</v>
      </c>
      <c r="B220" s="219" t="s">
        <v>2453</v>
      </c>
      <c r="C220" s="219" t="s">
        <v>1858</v>
      </c>
      <c r="D220" s="219">
        <v>242.6</v>
      </c>
      <c r="E220" s="219">
        <v>1805</v>
      </c>
      <c r="F220" s="219">
        <v>242.4</v>
      </c>
      <c r="G220" s="219" t="s">
        <v>1914</v>
      </c>
      <c r="H220" s="219" t="s">
        <v>1915</v>
      </c>
      <c r="I220" s="219">
        <v>117</v>
      </c>
      <c r="J220" s="217"/>
      <c r="K220" s="219" t="s">
        <v>222</v>
      </c>
      <c r="L220" s="219">
        <v>60323</v>
      </c>
      <c r="M220" s="219">
        <v>245.6</v>
      </c>
      <c r="N220" s="219">
        <v>114598.85</v>
      </c>
      <c r="O220" s="219">
        <v>0.52600000000000002</v>
      </c>
      <c r="P220" s="219">
        <v>2E-3</v>
      </c>
      <c r="Q220" s="217"/>
      <c r="R220" s="217">
        <v>244.3</v>
      </c>
      <c r="S220" s="222">
        <v>778</v>
      </c>
      <c r="T220" s="222">
        <v>27.892651359999999</v>
      </c>
      <c r="U220" s="222">
        <v>8.5033223620000001E-3</v>
      </c>
      <c r="V220" s="222">
        <v>3.0485887670000001E-4</v>
      </c>
      <c r="W220" s="222">
        <v>1</v>
      </c>
      <c r="X220" s="222">
        <v>0.43099999999999999</v>
      </c>
      <c r="Y220" s="222" t="s">
        <v>1858</v>
      </c>
    </row>
    <row r="221" spans="1:25" ht="16" x14ac:dyDescent="0.2">
      <c r="A221" s="219">
        <v>3006</v>
      </c>
      <c r="B221" s="219" t="s">
        <v>2453</v>
      </c>
      <c r="C221" s="219" t="s">
        <v>1858</v>
      </c>
      <c r="D221" s="219">
        <v>240.6</v>
      </c>
      <c r="E221" s="219">
        <v>1805</v>
      </c>
      <c r="F221" s="219">
        <v>240.4</v>
      </c>
      <c r="G221" s="219" t="s">
        <v>1916</v>
      </c>
      <c r="H221" s="219" t="s">
        <v>1917</v>
      </c>
      <c r="I221" s="219">
        <v>118</v>
      </c>
      <c r="J221" s="217"/>
      <c r="K221" s="219" t="s">
        <v>222</v>
      </c>
      <c r="L221" s="219">
        <v>80783</v>
      </c>
      <c r="M221" s="219">
        <v>284.2</v>
      </c>
      <c r="N221" s="219">
        <v>123830.3</v>
      </c>
      <c r="O221" s="219">
        <v>0.65200000000000002</v>
      </c>
      <c r="P221" s="219">
        <v>2E-3</v>
      </c>
      <c r="Q221" s="217"/>
      <c r="R221" s="217">
        <v>242.4</v>
      </c>
      <c r="S221" s="222">
        <v>968</v>
      </c>
      <c r="T221" s="222">
        <v>31.11269837</v>
      </c>
      <c r="U221" s="222">
        <v>8.4468561419999994E-3</v>
      </c>
      <c r="V221" s="222">
        <v>2.7149223899999999E-4</v>
      </c>
      <c r="W221" s="222">
        <v>1</v>
      </c>
      <c r="X221" s="222">
        <v>0.52600000000000002</v>
      </c>
      <c r="Y221" s="222" t="s">
        <v>1858</v>
      </c>
    </row>
    <row r="222" spans="1:25" ht="16" x14ac:dyDescent="0.2">
      <c r="A222" s="219">
        <v>3007</v>
      </c>
      <c r="B222" s="219" t="s">
        <v>2453</v>
      </c>
      <c r="C222" s="219" t="s">
        <v>1858</v>
      </c>
      <c r="D222" s="219">
        <v>239.6</v>
      </c>
      <c r="E222" s="219">
        <v>1805</v>
      </c>
      <c r="F222" s="219">
        <v>239.4</v>
      </c>
      <c r="G222" s="219" t="s">
        <v>1918</v>
      </c>
      <c r="H222" s="219" t="s">
        <v>1919</v>
      </c>
      <c r="I222" s="219">
        <v>118</v>
      </c>
      <c r="J222" s="217"/>
      <c r="K222" s="219" t="s">
        <v>222</v>
      </c>
      <c r="L222" s="219">
        <v>94863</v>
      </c>
      <c r="M222" s="219">
        <v>308</v>
      </c>
      <c r="N222" s="219">
        <v>130986.84</v>
      </c>
      <c r="O222" s="219">
        <v>0.72399999999999998</v>
      </c>
      <c r="P222" s="219">
        <v>2E-3</v>
      </c>
      <c r="Q222" s="217"/>
      <c r="R222" s="217">
        <v>240.4</v>
      </c>
      <c r="S222" s="222">
        <v>786</v>
      </c>
      <c r="T222" s="222">
        <v>28.035691539999998</v>
      </c>
      <c r="U222" s="222">
        <v>6.3473963969999997E-3</v>
      </c>
      <c r="V222" s="222">
        <v>2.264041316E-4</v>
      </c>
      <c r="W222" s="222">
        <v>1</v>
      </c>
      <c r="X222" s="222">
        <v>0.65200000000000002</v>
      </c>
      <c r="Y222" s="222" t="s">
        <v>1858</v>
      </c>
    </row>
    <row r="223" spans="1:25" ht="16" x14ac:dyDescent="0.2">
      <c r="A223" s="219">
        <v>3008</v>
      </c>
      <c r="B223" s="219" t="s">
        <v>2453</v>
      </c>
      <c r="C223" s="219" t="s">
        <v>1858</v>
      </c>
      <c r="D223" s="219">
        <v>238.6</v>
      </c>
      <c r="E223" s="219">
        <v>1805</v>
      </c>
      <c r="F223" s="219">
        <v>238.4</v>
      </c>
      <c r="G223" s="219" t="s">
        <v>1920</v>
      </c>
      <c r="H223" s="219" t="s">
        <v>1921</v>
      </c>
      <c r="I223" s="219">
        <v>122</v>
      </c>
      <c r="J223" s="217"/>
      <c r="K223" s="219" t="s">
        <v>222</v>
      </c>
      <c r="L223" s="219">
        <v>81605</v>
      </c>
      <c r="M223" s="219">
        <v>285.7</v>
      </c>
      <c r="N223" s="219">
        <v>101634.59</v>
      </c>
      <c r="O223" s="219">
        <v>0.80300000000000005</v>
      </c>
      <c r="P223" s="219">
        <v>3.0000000000000001E-3</v>
      </c>
      <c r="Q223" s="217"/>
      <c r="R223" s="217">
        <v>239.4</v>
      </c>
      <c r="S223" s="222">
        <v>613</v>
      </c>
      <c r="T223" s="222">
        <v>24.758836809999998</v>
      </c>
      <c r="U223" s="222">
        <v>4.6798594419999997E-3</v>
      </c>
      <c r="V223" s="222">
        <v>1.890177426E-4</v>
      </c>
      <c r="W223" s="222">
        <v>1</v>
      </c>
      <c r="X223" s="222">
        <v>0.72399999999999998</v>
      </c>
      <c r="Y223" s="222" t="s">
        <v>1858</v>
      </c>
    </row>
    <row r="224" spans="1:25" ht="16" x14ac:dyDescent="0.2">
      <c r="A224" s="219">
        <v>3009</v>
      </c>
      <c r="B224" s="219" t="s">
        <v>2453</v>
      </c>
      <c r="C224" s="219" t="s">
        <v>1858</v>
      </c>
      <c r="D224" s="219">
        <v>237.6</v>
      </c>
      <c r="E224" s="219">
        <v>1805</v>
      </c>
      <c r="F224" s="219">
        <v>237.4</v>
      </c>
      <c r="G224" s="219" t="s">
        <v>1922</v>
      </c>
      <c r="H224" s="219" t="s">
        <v>1923</v>
      </c>
      <c r="I224" s="219">
        <v>121</v>
      </c>
      <c r="J224" s="217"/>
      <c r="K224" s="219" t="s">
        <v>222</v>
      </c>
      <c r="L224" s="219">
        <v>56032</v>
      </c>
      <c r="M224" s="219">
        <v>236.7</v>
      </c>
      <c r="N224" s="219">
        <v>61181.46</v>
      </c>
      <c r="O224" s="219">
        <v>0.91600000000000004</v>
      </c>
      <c r="P224" s="219">
        <v>4.0000000000000001E-3</v>
      </c>
      <c r="Q224" s="217"/>
      <c r="R224" s="217">
        <v>238.4</v>
      </c>
      <c r="S224" s="222">
        <v>224</v>
      </c>
      <c r="T224" s="222">
        <v>14.96662955</v>
      </c>
      <c r="U224" s="222">
        <v>2.2039740599999998E-3</v>
      </c>
      <c r="V224" s="222">
        <v>1.4725921110000001E-4</v>
      </c>
      <c r="W224" s="222">
        <v>1</v>
      </c>
      <c r="X224" s="222">
        <v>0.80300000000000005</v>
      </c>
      <c r="Y224" s="222" t="s">
        <v>1858</v>
      </c>
    </row>
    <row r="225" spans="1:25" ht="16" x14ac:dyDescent="0.2">
      <c r="A225" s="219">
        <v>3010</v>
      </c>
      <c r="B225" s="219" t="s">
        <v>2453</v>
      </c>
      <c r="C225" s="219" t="s">
        <v>1858</v>
      </c>
      <c r="D225" s="219">
        <v>235.6</v>
      </c>
      <c r="E225" s="219">
        <v>1805</v>
      </c>
      <c r="F225" s="219">
        <v>235.4</v>
      </c>
      <c r="G225" s="219" t="s">
        <v>1924</v>
      </c>
      <c r="H225" s="219" t="s">
        <v>1925</v>
      </c>
      <c r="I225" s="219">
        <v>121</v>
      </c>
      <c r="J225" s="217"/>
      <c r="K225" s="219" t="s">
        <v>222</v>
      </c>
      <c r="L225" s="219">
        <v>89910</v>
      </c>
      <c r="M225" s="219">
        <v>299.8</v>
      </c>
      <c r="N225" s="219">
        <v>69950.929999999993</v>
      </c>
      <c r="O225" s="219">
        <v>1.2849999999999999</v>
      </c>
      <c r="P225" s="219">
        <v>4.0000000000000001E-3</v>
      </c>
      <c r="Q225" s="217"/>
      <c r="R225" s="217">
        <v>237.4</v>
      </c>
      <c r="S225" s="222">
        <v>15</v>
      </c>
      <c r="T225" s="222">
        <v>3.8729833459999998</v>
      </c>
      <c r="U225" s="222">
        <v>2.4517231199999999E-4</v>
      </c>
      <c r="V225" s="222">
        <v>6.3303218759999997E-5</v>
      </c>
      <c r="W225" s="222">
        <v>1</v>
      </c>
      <c r="X225" s="222">
        <v>0.91600000000000004</v>
      </c>
      <c r="Y225" s="222" t="s">
        <v>1858</v>
      </c>
    </row>
    <row r="226" spans="1:25" ht="16" x14ac:dyDescent="0.2">
      <c r="A226" s="219">
        <v>3011</v>
      </c>
      <c r="B226" s="219" t="s">
        <v>2453</v>
      </c>
      <c r="C226" s="219" t="s">
        <v>1858</v>
      </c>
      <c r="D226" s="219">
        <v>230.6</v>
      </c>
      <c r="E226" s="219">
        <v>1805</v>
      </c>
      <c r="F226" s="219">
        <v>230.4</v>
      </c>
      <c r="G226" s="219" t="s">
        <v>1926</v>
      </c>
      <c r="H226" s="219" t="s">
        <v>1927</v>
      </c>
      <c r="I226" s="219">
        <v>121</v>
      </c>
      <c r="J226" s="217"/>
      <c r="K226" s="219" t="s">
        <v>222</v>
      </c>
      <c r="L226" s="219">
        <v>157079</v>
      </c>
      <c r="M226" s="219">
        <v>396.3</v>
      </c>
      <c r="N226" s="219">
        <v>81585.73</v>
      </c>
      <c r="O226" s="219">
        <v>1.925</v>
      </c>
      <c r="P226" s="219">
        <v>5.0000000000000001E-3</v>
      </c>
      <c r="Q226" s="217"/>
      <c r="R226" s="217">
        <v>235.4</v>
      </c>
      <c r="S226" s="222">
        <v>14</v>
      </c>
      <c r="T226" s="222">
        <v>3.7416573870000001</v>
      </c>
      <c r="U226" s="222">
        <v>2.0014029830000001E-4</v>
      </c>
      <c r="V226" s="222">
        <v>5.3489744690000002E-5</v>
      </c>
      <c r="W226" s="222">
        <v>1</v>
      </c>
      <c r="X226" s="222">
        <v>1.2849999999999999</v>
      </c>
      <c r="Y226" s="222" t="s">
        <v>1858</v>
      </c>
    </row>
    <row r="227" spans="1:25" ht="16" x14ac:dyDescent="0.2">
      <c r="A227" s="219">
        <v>3012</v>
      </c>
      <c r="B227" s="219" t="s">
        <v>2453</v>
      </c>
      <c r="C227" s="219" t="s">
        <v>1858</v>
      </c>
      <c r="D227" s="219">
        <v>228.6</v>
      </c>
      <c r="E227" s="219">
        <v>1901</v>
      </c>
      <c r="F227" s="219">
        <v>228.5</v>
      </c>
      <c r="G227" s="219" t="s">
        <v>1928</v>
      </c>
      <c r="H227" s="219" t="s">
        <v>1929</v>
      </c>
      <c r="I227" s="219">
        <v>123</v>
      </c>
      <c r="J227" s="217"/>
      <c r="K227" s="219" t="s">
        <v>222</v>
      </c>
      <c r="L227" s="219">
        <v>149518</v>
      </c>
      <c r="M227" s="219">
        <v>386.7</v>
      </c>
      <c r="N227" s="219">
        <v>79876.06</v>
      </c>
      <c r="O227" s="219">
        <v>1.8720000000000001</v>
      </c>
      <c r="P227" s="219">
        <v>5.0000000000000001E-3</v>
      </c>
      <c r="Q227" s="217"/>
      <c r="R227" s="217">
        <v>230.4</v>
      </c>
      <c r="S227" s="222">
        <v>29</v>
      </c>
      <c r="T227" s="222">
        <v>5.3851648069999998</v>
      </c>
      <c r="U227" s="222">
        <v>3.5545431780000002E-4</v>
      </c>
      <c r="V227" s="222">
        <v>6.6006209749999993E-5</v>
      </c>
      <c r="W227" s="222">
        <v>1</v>
      </c>
      <c r="X227" s="222">
        <v>1.925</v>
      </c>
      <c r="Y227" s="222" t="s">
        <v>1858</v>
      </c>
    </row>
    <row r="228" spans="1:25" ht="16" x14ac:dyDescent="0.2">
      <c r="A228" s="219">
        <v>3013</v>
      </c>
      <c r="B228" s="219" t="s">
        <v>2453</v>
      </c>
      <c r="C228" s="219" t="s">
        <v>1858</v>
      </c>
      <c r="D228" s="219">
        <v>226.6</v>
      </c>
      <c r="E228" s="219">
        <v>1901</v>
      </c>
      <c r="F228" s="219">
        <v>226.6</v>
      </c>
      <c r="G228" s="219" t="s">
        <v>1930</v>
      </c>
      <c r="H228" s="219" t="s">
        <v>1931</v>
      </c>
      <c r="I228" s="219">
        <v>122</v>
      </c>
      <c r="J228" s="217"/>
      <c r="K228" s="219" t="s">
        <v>222</v>
      </c>
      <c r="L228" s="219">
        <v>95172</v>
      </c>
      <c r="M228" s="219">
        <v>308.5</v>
      </c>
      <c r="N228" s="219">
        <v>72922.31</v>
      </c>
      <c r="O228" s="219">
        <v>1.3049999999999999</v>
      </c>
      <c r="P228" s="219">
        <v>4.0000000000000001E-3</v>
      </c>
      <c r="Q228" s="217"/>
      <c r="R228" s="217">
        <v>228.5</v>
      </c>
      <c r="S228" s="222">
        <v>27</v>
      </c>
      <c r="T228" s="222">
        <v>5.196152423</v>
      </c>
      <c r="U228" s="222">
        <v>3.380236832E-4</v>
      </c>
      <c r="V228" s="222">
        <v>6.5052688159999999E-5</v>
      </c>
      <c r="W228" s="222">
        <v>1</v>
      </c>
      <c r="X228" s="222">
        <v>1.8720000000000001</v>
      </c>
      <c r="Y228" s="222" t="s">
        <v>1858</v>
      </c>
    </row>
    <row r="229" spans="1:25" ht="16" x14ac:dyDescent="0.2">
      <c r="A229" s="219">
        <v>3014</v>
      </c>
      <c r="B229" s="219" t="s">
        <v>157</v>
      </c>
      <c r="C229" s="219" t="s">
        <v>1858</v>
      </c>
      <c r="D229" s="219">
        <v>244.1</v>
      </c>
      <c r="E229" s="219">
        <v>2008</v>
      </c>
      <c r="F229" s="219">
        <v>244</v>
      </c>
      <c r="G229" s="219" t="s">
        <v>1932</v>
      </c>
      <c r="H229" s="219" t="s">
        <v>1933</v>
      </c>
      <c r="I229" s="219" t="s">
        <v>1934</v>
      </c>
      <c r="J229" s="217"/>
      <c r="K229" s="219" t="s">
        <v>222</v>
      </c>
      <c r="L229" s="219">
        <v>2479446</v>
      </c>
      <c r="M229" s="219">
        <v>1574.6</v>
      </c>
      <c r="N229" s="219">
        <v>5880130.8600000003</v>
      </c>
      <c r="O229" s="219">
        <v>0.42199999999999999</v>
      </c>
      <c r="P229" s="219">
        <v>0</v>
      </c>
      <c r="Q229" s="219" t="s">
        <v>1935</v>
      </c>
      <c r="R229" s="217">
        <v>226.6</v>
      </c>
      <c r="S229" s="222">
        <v>10</v>
      </c>
      <c r="T229" s="222">
        <v>3.16227766</v>
      </c>
      <c r="U229" s="222">
        <v>1.3713224390000001E-4</v>
      </c>
      <c r="V229" s="222">
        <v>4.336502313E-5</v>
      </c>
      <c r="W229" s="222">
        <v>1</v>
      </c>
      <c r="X229" s="222">
        <v>1.3049999999999999</v>
      </c>
      <c r="Y229" s="222" t="s">
        <v>1858</v>
      </c>
    </row>
    <row r="230" spans="1:25" ht="16" x14ac:dyDescent="0.2">
      <c r="A230" s="219">
        <v>3015</v>
      </c>
      <c r="B230" s="219" t="s">
        <v>30</v>
      </c>
      <c r="C230" s="219" t="s">
        <v>1858</v>
      </c>
      <c r="D230" s="219">
        <v>331.5</v>
      </c>
      <c r="E230" s="219">
        <v>1038</v>
      </c>
      <c r="F230" s="219">
        <v>329.9</v>
      </c>
      <c r="G230" s="219" t="s">
        <v>1936</v>
      </c>
      <c r="H230" s="219" t="s">
        <v>1937</v>
      </c>
      <c r="I230" s="219">
        <v>26</v>
      </c>
      <c r="J230" s="217"/>
      <c r="K230" s="219" t="s">
        <v>222</v>
      </c>
      <c r="L230" s="219">
        <v>491</v>
      </c>
      <c r="M230" s="219">
        <v>22.2</v>
      </c>
      <c r="N230" s="219">
        <v>3380.3</v>
      </c>
      <c r="O230" s="219">
        <v>0.14499999999999999</v>
      </c>
      <c r="P230" s="219">
        <v>7.0000000000000001E-3</v>
      </c>
      <c r="Q230" s="217"/>
      <c r="R230" s="217">
        <v>244</v>
      </c>
      <c r="S230" s="222">
        <v>46912</v>
      </c>
      <c r="T230" s="222">
        <v>216.5917819</v>
      </c>
      <c r="U230" s="222">
        <v>7.9780537399999994E-3</v>
      </c>
      <c r="V230" s="222">
        <v>3.6834517309999999E-5</v>
      </c>
      <c r="W230" s="222">
        <v>1</v>
      </c>
      <c r="X230" s="222">
        <v>0.42199999999999999</v>
      </c>
      <c r="Y230" s="222" t="s">
        <v>1858</v>
      </c>
    </row>
    <row r="231" spans="1:25" ht="16" x14ac:dyDescent="0.2">
      <c r="A231" s="219">
        <v>3016</v>
      </c>
      <c r="B231" s="219" t="s">
        <v>30</v>
      </c>
      <c r="C231" s="219" t="s">
        <v>1858</v>
      </c>
      <c r="D231" s="219">
        <v>333.5</v>
      </c>
      <c r="E231" s="219">
        <v>1038</v>
      </c>
      <c r="F231" s="219">
        <v>331.9</v>
      </c>
      <c r="G231" s="219" t="s">
        <v>1938</v>
      </c>
      <c r="H231" s="219" t="s">
        <v>1939</v>
      </c>
      <c r="I231" s="219">
        <v>26</v>
      </c>
      <c r="J231" s="217"/>
      <c r="K231" s="219" t="s">
        <v>222</v>
      </c>
      <c r="L231" s="219">
        <v>537</v>
      </c>
      <c r="M231" s="219">
        <v>23.2</v>
      </c>
      <c r="N231" s="219">
        <v>2552.31</v>
      </c>
      <c r="O231" s="219">
        <v>0.21</v>
      </c>
      <c r="P231" s="219">
        <v>8.9999999999999993E-3</v>
      </c>
      <c r="Q231" s="217"/>
      <c r="R231" s="217">
        <v>256.39999999999998</v>
      </c>
      <c r="S231" s="222">
        <v>83</v>
      </c>
      <c r="T231" s="222">
        <v>9.1104335790000004</v>
      </c>
      <c r="U231" s="222">
        <v>9.3833733180000004E-4</v>
      </c>
      <c r="V231" s="222">
        <v>1.029959028E-4</v>
      </c>
      <c r="W231" s="222">
        <v>1</v>
      </c>
      <c r="X231" s="222">
        <v>0.13500000000000001</v>
      </c>
      <c r="Y231" s="222" t="s">
        <v>1858</v>
      </c>
    </row>
    <row r="232" spans="1:25" ht="16" x14ac:dyDescent="0.2">
      <c r="A232" s="219">
        <v>3017</v>
      </c>
      <c r="B232" s="219" t="s">
        <v>9</v>
      </c>
      <c r="C232" s="219" t="s">
        <v>1858</v>
      </c>
      <c r="D232" s="219">
        <v>335.5</v>
      </c>
      <c r="E232" s="219">
        <v>1038</v>
      </c>
      <c r="F232" s="219">
        <v>333.9</v>
      </c>
      <c r="G232" s="219" t="s">
        <v>1940</v>
      </c>
      <c r="H232" s="219" t="s">
        <v>1941</v>
      </c>
      <c r="I232" s="219">
        <v>26</v>
      </c>
      <c r="J232" s="217"/>
      <c r="K232" s="219" t="s">
        <v>222</v>
      </c>
      <c r="L232" s="217"/>
      <c r="M232" s="219">
        <v>0</v>
      </c>
      <c r="N232" s="217"/>
      <c r="O232" s="219" t="e">
        <v>#DIV/0!</v>
      </c>
      <c r="P232" s="219" t="e">
        <v>#DIV/0!</v>
      </c>
      <c r="Q232" s="219" t="s">
        <v>1942</v>
      </c>
      <c r="R232" s="217">
        <v>260.3</v>
      </c>
      <c r="S232" s="222">
        <v>47</v>
      </c>
      <c r="T232" s="222">
        <v>6.8556546000000003</v>
      </c>
      <c r="U232" s="222">
        <v>5.3067996359999997E-4</v>
      </c>
      <c r="V232" s="222">
        <v>7.7407628379999997E-5</v>
      </c>
      <c r="W232" s="222">
        <v>1</v>
      </c>
      <c r="X232" s="222">
        <v>0.13900000000000001</v>
      </c>
      <c r="Y232" s="222" t="s">
        <v>1858</v>
      </c>
    </row>
    <row r="233" spans="1:25" ht="16" x14ac:dyDescent="0.2">
      <c r="A233" s="219">
        <v>3018</v>
      </c>
      <c r="B233" s="219" t="s">
        <v>30</v>
      </c>
      <c r="C233" s="219" t="s">
        <v>1858</v>
      </c>
      <c r="D233" s="219">
        <v>335.5</v>
      </c>
      <c r="E233" s="219">
        <v>1038</v>
      </c>
      <c r="F233" s="219">
        <v>333.9</v>
      </c>
      <c r="G233" s="219" t="s">
        <v>1943</v>
      </c>
      <c r="H233" s="219" t="s">
        <v>1944</v>
      </c>
      <c r="I233" s="219">
        <v>27</v>
      </c>
      <c r="J233" s="217"/>
      <c r="K233" s="219" t="s">
        <v>222</v>
      </c>
      <c r="L233" s="219">
        <v>1221</v>
      </c>
      <c r="M233" s="219">
        <v>34.9</v>
      </c>
      <c r="N233" s="219">
        <v>4295.1899999999996</v>
      </c>
      <c r="O233" s="219">
        <v>0.28399999999999997</v>
      </c>
      <c r="P233" s="219">
        <v>8.0000000000000002E-3</v>
      </c>
      <c r="Q233" s="217"/>
      <c r="R233" s="217">
        <v>232.6</v>
      </c>
      <c r="S233" s="222">
        <v>25</v>
      </c>
      <c r="T233" s="222">
        <v>5</v>
      </c>
      <c r="U233" s="222">
        <v>3.089936941E-4</v>
      </c>
      <c r="V233" s="222">
        <v>6.1798738810000002E-5</v>
      </c>
      <c r="W233" s="222">
        <v>1</v>
      </c>
      <c r="X233" s="222">
        <v>1.67</v>
      </c>
      <c r="Y233" s="222" t="s">
        <v>1858</v>
      </c>
    </row>
    <row r="234" spans="1:25" ht="16" x14ac:dyDescent="0.2">
      <c r="A234" s="219">
        <v>3019</v>
      </c>
      <c r="B234" s="219" t="s">
        <v>30</v>
      </c>
      <c r="C234" s="219" t="s">
        <v>1858</v>
      </c>
      <c r="D234" s="219">
        <v>337.5</v>
      </c>
      <c r="E234" s="219">
        <v>1038</v>
      </c>
      <c r="F234" s="219">
        <v>335.9</v>
      </c>
      <c r="G234" s="219" t="s">
        <v>1945</v>
      </c>
      <c r="H234" s="219" t="s">
        <v>1946</v>
      </c>
      <c r="I234" s="219">
        <v>27</v>
      </c>
      <c r="J234" s="217"/>
      <c r="K234" s="219" t="s">
        <v>222</v>
      </c>
      <c r="L234" s="219">
        <v>1352</v>
      </c>
      <c r="M234" s="219">
        <v>36.799999999999997</v>
      </c>
      <c r="N234" s="219">
        <v>2860.22</v>
      </c>
      <c r="O234" s="219">
        <v>0.47299999999999998</v>
      </c>
      <c r="P234" s="219">
        <v>1.2999999999999999E-2</v>
      </c>
      <c r="Q234" s="217"/>
      <c r="R234" s="217">
        <v>185.3</v>
      </c>
      <c r="S234" s="222">
        <v>29</v>
      </c>
      <c r="T234" s="222">
        <v>5.3851648069999998</v>
      </c>
      <c r="U234" s="222">
        <v>2.8069000650000001E-5</v>
      </c>
      <c r="V234" s="222">
        <v>5.2122825680000003E-6</v>
      </c>
      <c r="W234" s="222">
        <v>1</v>
      </c>
      <c r="X234" s="222">
        <v>2E-3</v>
      </c>
      <c r="Y234" s="222" t="s">
        <v>1858</v>
      </c>
    </row>
    <row r="235" spans="1:25" ht="16" x14ac:dyDescent="0.2">
      <c r="A235" s="219">
        <v>3020</v>
      </c>
      <c r="B235" s="219" t="s">
        <v>30</v>
      </c>
      <c r="C235" s="219" t="s">
        <v>1858</v>
      </c>
      <c r="D235" s="219">
        <v>339.5</v>
      </c>
      <c r="E235" s="219">
        <v>1038</v>
      </c>
      <c r="F235" s="219">
        <v>337.8</v>
      </c>
      <c r="G235" s="219" t="s">
        <v>1947</v>
      </c>
      <c r="H235" s="219" t="s">
        <v>1948</v>
      </c>
      <c r="I235" s="219">
        <v>26</v>
      </c>
      <c r="J235" s="217"/>
      <c r="K235" s="219" t="s">
        <v>222</v>
      </c>
      <c r="L235" s="219">
        <v>2198</v>
      </c>
      <c r="M235" s="219">
        <v>46.9</v>
      </c>
      <c r="N235" s="219">
        <v>2377.9499999999998</v>
      </c>
      <c r="O235" s="219">
        <v>0.92400000000000004</v>
      </c>
      <c r="P235" s="219">
        <v>0.02</v>
      </c>
      <c r="Q235" s="217"/>
      <c r="R235" s="217">
        <v>220.6</v>
      </c>
      <c r="S235" s="222">
        <v>5</v>
      </c>
      <c r="T235" s="222">
        <v>2.2360679769999998</v>
      </c>
      <c r="U235" s="222">
        <v>5.25903979E-5</v>
      </c>
      <c r="V235" s="222">
        <v>2.351914093E-5</v>
      </c>
      <c r="W235" s="222">
        <v>1</v>
      </c>
      <c r="X235" s="222">
        <v>0.04</v>
      </c>
      <c r="Y235" s="222" t="s">
        <v>1858</v>
      </c>
    </row>
    <row r="236" spans="1:25" ht="16" x14ac:dyDescent="0.2">
      <c r="A236" s="219">
        <v>3021</v>
      </c>
      <c r="B236" s="219" t="s">
        <v>30</v>
      </c>
      <c r="C236" s="219" t="s">
        <v>1858</v>
      </c>
      <c r="D236" s="219">
        <v>340.5</v>
      </c>
      <c r="E236" s="219">
        <v>1038</v>
      </c>
      <c r="F236" s="219">
        <v>338.8</v>
      </c>
      <c r="G236" s="219" t="s">
        <v>1949</v>
      </c>
      <c r="H236" s="219" t="s">
        <v>1950</v>
      </c>
      <c r="I236" s="219">
        <v>26</v>
      </c>
      <c r="J236" s="217"/>
      <c r="K236" s="219" t="s">
        <v>222</v>
      </c>
      <c r="L236" s="219">
        <v>2652</v>
      </c>
      <c r="M236" s="219">
        <v>51.5</v>
      </c>
      <c r="N236" s="219">
        <v>2024.56</v>
      </c>
      <c r="O236" s="219">
        <v>1.31</v>
      </c>
      <c r="P236" s="219">
        <v>2.5000000000000001E-2</v>
      </c>
      <c r="Q236" s="217"/>
      <c r="R236" s="217">
        <v>150.1</v>
      </c>
      <c r="S236" s="222">
        <v>28</v>
      </c>
      <c r="T236" s="222">
        <v>5.2915026220000003</v>
      </c>
      <c r="U236" s="222">
        <v>4.9037015980000002E-6</v>
      </c>
      <c r="V236" s="222">
        <v>9.2671249520000001E-7</v>
      </c>
      <c r="W236" s="222">
        <v>1</v>
      </c>
      <c r="X236" s="222">
        <v>0</v>
      </c>
      <c r="Y236" s="222" t="s">
        <v>1858</v>
      </c>
    </row>
    <row r="237" spans="1:25" ht="16" x14ac:dyDescent="0.2">
      <c r="A237" s="219">
        <v>3022</v>
      </c>
      <c r="B237" s="219" t="s">
        <v>30</v>
      </c>
      <c r="C237" s="219" t="s">
        <v>1858</v>
      </c>
      <c r="D237" s="219">
        <v>341.5</v>
      </c>
      <c r="E237" s="219">
        <v>1038</v>
      </c>
      <c r="F237" s="219">
        <v>339.8</v>
      </c>
      <c r="G237" s="219" t="s">
        <v>1951</v>
      </c>
      <c r="H237" s="219" t="s">
        <v>1952</v>
      </c>
      <c r="I237" s="219">
        <v>26</v>
      </c>
      <c r="J237" s="217"/>
      <c r="K237" s="219" t="s">
        <v>222</v>
      </c>
      <c r="L237" s="219">
        <v>5308</v>
      </c>
      <c r="M237" s="219">
        <v>72.900000000000006</v>
      </c>
      <c r="N237" s="219">
        <v>2345.73</v>
      </c>
      <c r="O237" s="219">
        <v>2.2629999999999999</v>
      </c>
      <c r="P237" s="219">
        <v>3.1E-2</v>
      </c>
      <c r="Q237" s="217"/>
      <c r="R237" s="217">
        <v>264.8</v>
      </c>
      <c r="S237" s="222">
        <v>42</v>
      </c>
      <c r="T237" s="222">
        <v>6.480740698</v>
      </c>
      <c r="U237" s="222">
        <v>3.9670035980000001E-4</v>
      </c>
      <c r="V237" s="222">
        <v>6.1212194439999999E-5</v>
      </c>
      <c r="W237" s="222">
        <v>1</v>
      </c>
      <c r="X237" s="217"/>
      <c r="Y237" s="222" t="s">
        <v>1858</v>
      </c>
    </row>
    <row r="238" spans="1:25" ht="16" x14ac:dyDescent="0.2">
      <c r="A238" s="219">
        <v>3023</v>
      </c>
      <c r="B238" s="219" t="s">
        <v>30</v>
      </c>
      <c r="C238" s="219" t="s">
        <v>1858</v>
      </c>
      <c r="D238" s="219">
        <v>342.5</v>
      </c>
      <c r="E238" s="219">
        <v>1038</v>
      </c>
      <c r="F238" s="219">
        <v>340.8</v>
      </c>
      <c r="G238" s="219" t="s">
        <v>1953</v>
      </c>
      <c r="H238" s="219" t="s">
        <v>1954</v>
      </c>
      <c r="I238" s="219">
        <v>26</v>
      </c>
      <c r="J238" s="217"/>
      <c r="K238" s="219" t="s">
        <v>222</v>
      </c>
      <c r="L238" s="219">
        <v>9422</v>
      </c>
      <c r="M238" s="219">
        <v>97.1</v>
      </c>
      <c r="N238" s="219">
        <v>2113.89</v>
      </c>
      <c r="O238" s="219">
        <v>4.4569999999999999</v>
      </c>
      <c r="P238" s="219">
        <v>4.5999999999999999E-2</v>
      </c>
      <c r="Q238" s="217"/>
      <c r="R238" s="217">
        <v>269.8</v>
      </c>
      <c r="S238" s="222">
        <v>12</v>
      </c>
      <c r="T238" s="222">
        <v>3.4641016150000001</v>
      </c>
      <c r="U238" s="222">
        <v>4.7246735840000001E-4</v>
      </c>
      <c r="V238" s="222">
        <v>1.3638957830000001E-4</v>
      </c>
      <c r="W238" s="222">
        <v>1</v>
      </c>
      <c r="X238" s="217"/>
      <c r="Y238" s="222" t="s">
        <v>1858</v>
      </c>
    </row>
    <row r="239" spans="1:25" ht="16" x14ac:dyDescent="0.2">
      <c r="A239" s="219">
        <v>3024</v>
      </c>
      <c r="B239" s="219" t="s">
        <v>30</v>
      </c>
      <c r="C239" s="219" t="s">
        <v>1858</v>
      </c>
      <c r="D239" s="219">
        <v>343.5</v>
      </c>
      <c r="E239" s="219">
        <v>1038</v>
      </c>
      <c r="F239" s="219">
        <v>341.8</v>
      </c>
      <c r="G239" s="219" t="s">
        <v>1955</v>
      </c>
      <c r="H239" s="219" t="s">
        <v>1855</v>
      </c>
      <c r="I239" s="219">
        <v>26</v>
      </c>
      <c r="J239" s="217"/>
      <c r="K239" s="219" t="s">
        <v>222</v>
      </c>
      <c r="L239" s="219">
        <v>14741</v>
      </c>
      <c r="M239" s="219">
        <v>121.4</v>
      </c>
      <c r="N239" s="219">
        <v>2103.69</v>
      </c>
      <c r="O239" s="219">
        <v>7.0069999999999997</v>
      </c>
      <c r="P239" s="219">
        <v>5.8000000000000003E-2</v>
      </c>
      <c r="Q239" s="217"/>
      <c r="R239" s="217">
        <v>269.8</v>
      </c>
      <c r="S239" s="222">
        <v>37</v>
      </c>
      <c r="T239" s="222">
        <v>6.0827625300000001</v>
      </c>
      <c r="U239" s="222">
        <v>5.1798456409999998E-4</v>
      </c>
      <c r="V239" s="222">
        <v>8.5156137769999994E-5</v>
      </c>
      <c r="W239" s="222">
        <v>1</v>
      </c>
      <c r="X239" s="217"/>
      <c r="Y239" s="222" t="s">
        <v>1858</v>
      </c>
    </row>
    <row r="240" spans="1:25" ht="16" x14ac:dyDescent="0.2">
      <c r="A240" s="219">
        <v>3025</v>
      </c>
      <c r="B240" s="219" t="s">
        <v>30</v>
      </c>
      <c r="C240" s="219" t="s">
        <v>1858</v>
      </c>
      <c r="D240" s="219">
        <v>344.5</v>
      </c>
      <c r="E240" s="219">
        <v>1038</v>
      </c>
      <c r="F240" s="219">
        <v>342.8</v>
      </c>
      <c r="G240" s="219" t="s">
        <v>1956</v>
      </c>
      <c r="H240" s="219" t="s">
        <v>1957</v>
      </c>
      <c r="I240" s="219">
        <v>26</v>
      </c>
      <c r="J240" s="217"/>
      <c r="K240" s="219" t="s">
        <v>222</v>
      </c>
      <c r="L240" s="219">
        <v>19038</v>
      </c>
      <c r="M240" s="219">
        <v>138</v>
      </c>
      <c r="N240" s="219">
        <v>2038.69</v>
      </c>
      <c r="O240" s="219">
        <v>9.3379999999999992</v>
      </c>
      <c r="P240" s="219">
        <v>6.8000000000000005E-2</v>
      </c>
      <c r="Q240" s="217"/>
      <c r="R240" s="217">
        <v>170</v>
      </c>
      <c r="S240" s="222">
        <v>43</v>
      </c>
      <c r="T240" s="222">
        <v>6.5574385240000002</v>
      </c>
      <c r="U240" s="222">
        <v>3.8076466859999999E-5</v>
      </c>
      <c r="V240" s="222">
        <v>5.8066067600000004E-6</v>
      </c>
      <c r="W240" s="222">
        <v>1</v>
      </c>
      <c r="X240" s="217"/>
      <c r="Y240" s="222" t="s">
        <v>1858</v>
      </c>
    </row>
    <row r="241" spans="1:25" ht="16" x14ac:dyDescent="0.2">
      <c r="A241" s="219">
        <v>3026</v>
      </c>
      <c r="B241" s="219" t="s">
        <v>30</v>
      </c>
      <c r="C241" s="219" t="s">
        <v>1858</v>
      </c>
      <c r="D241" s="219">
        <v>345.5</v>
      </c>
      <c r="E241" s="219">
        <v>1038</v>
      </c>
      <c r="F241" s="219">
        <v>343.8</v>
      </c>
      <c r="G241" s="219" t="s">
        <v>1958</v>
      </c>
      <c r="H241" s="219" t="s">
        <v>1959</v>
      </c>
      <c r="I241" s="219">
        <v>26</v>
      </c>
      <c r="J241" s="217"/>
      <c r="K241" s="219" t="s">
        <v>222</v>
      </c>
      <c r="L241" s="219">
        <v>26561</v>
      </c>
      <c r="M241" s="219">
        <v>163</v>
      </c>
      <c r="N241" s="219">
        <v>2461.0700000000002</v>
      </c>
      <c r="O241" s="219">
        <v>10.792</v>
      </c>
      <c r="P241" s="219">
        <v>6.6000000000000003E-2</v>
      </c>
      <c r="Q241" s="217"/>
      <c r="R241" s="217">
        <v>160</v>
      </c>
      <c r="S241" s="222">
        <v>31</v>
      </c>
      <c r="T241" s="222">
        <v>5.5677643630000002</v>
      </c>
      <c r="U241" s="222">
        <v>1.8747425030000001E-5</v>
      </c>
      <c r="V241" s="222">
        <v>3.3671369339999999E-6</v>
      </c>
      <c r="W241" s="222">
        <v>1</v>
      </c>
      <c r="X241" s="217"/>
      <c r="Y241" s="222" t="s">
        <v>1858</v>
      </c>
    </row>
    <row r="242" spans="1:25" ht="16" x14ac:dyDescent="0.2">
      <c r="A242" s="219">
        <v>3027</v>
      </c>
      <c r="B242" s="219" t="s">
        <v>30</v>
      </c>
      <c r="C242" s="219" t="s">
        <v>1858</v>
      </c>
      <c r="D242" s="219">
        <v>346.5</v>
      </c>
      <c r="E242" s="219">
        <v>1038</v>
      </c>
      <c r="F242" s="219">
        <v>344.8</v>
      </c>
      <c r="G242" s="219" t="s">
        <v>1960</v>
      </c>
      <c r="H242" s="219" t="s">
        <v>1961</v>
      </c>
      <c r="I242" s="219">
        <v>26</v>
      </c>
      <c r="J242" s="217"/>
      <c r="K242" s="219" t="s">
        <v>222</v>
      </c>
      <c r="L242" s="219">
        <v>27500</v>
      </c>
      <c r="M242" s="219">
        <v>165.8</v>
      </c>
      <c r="N242" s="219">
        <v>2317.71</v>
      </c>
      <c r="O242" s="219">
        <v>11.865</v>
      </c>
      <c r="P242" s="219">
        <v>7.1999999999999995E-2</v>
      </c>
      <c r="Q242" s="217"/>
      <c r="R242" s="217">
        <v>120</v>
      </c>
      <c r="S242" s="222">
        <v>2</v>
      </c>
      <c r="T242" s="222">
        <v>1.414213562</v>
      </c>
      <c r="U242" s="222">
        <v>4.3103402480000001E-7</v>
      </c>
      <c r="V242" s="222">
        <v>3.0478708179999998E-7</v>
      </c>
      <c r="W242" s="222">
        <v>1</v>
      </c>
      <c r="X242" s="217"/>
      <c r="Y242" s="222" t="s">
        <v>1858</v>
      </c>
    </row>
    <row r="243" spans="1:25" ht="16" x14ac:dyDescent="0.2">
      <c r="A243" s="219">
        <v>3028</v>
      </c>
      <c r="B243" s="219" t="s">
        <v>30</v>
      </c>
      <c r="C243" s="219" t="s">
        <v>1858</v>
      </c>
      <c r="D243" s="219">
        <v>347.5</v>
      </c>
      <c r="E243" s="219">
        <v>1038</v>
      </c>
      <c r="F243" s="219">
        <v>345.8</v>
      </c>
      <c r="G243" s="219" t="s">
        <v>1962</v>
      </c>
      <c r="H243" s="219" t="s">
        <v>1963</v>
      </c>
      <c r="I243" s="219">
        <v>26</v>
      </c>
      <c r="J243" s="217"/>
      <c r="K243" s="219" t="s">
        <v>222</v>
      </c>
      <c r="L243" s="219">
        <v>24929</v>
      </c>
      <c r="M243" s="219">
        <v>157.9</v>
      </c>
      <c r="N243" s="219">
        <v>2059.35</v>
      </c>
      <c r="O243" s="219">
        <v>12.105</v>
      </c>
      <c r="P243" s="219">
        <v>7.6999999999999999E-2</v>
      </c>
      <c r="Q243" s="217"/>
      <c r="R243" s="217"/>
      <c r="S243" s="217"/>
      <c r="T243" s="217"/>
      <c r="U243" s="217"/>
      <c r="V243" s="217"/>
      <c r="W243" s="217"/>
      <c r="X243" s="217"/>
      <c r="Y243" s="217"/>
    </row>
    <row r="244" spans="1:25" ht="16" x14ac:dyDescent="0.2">
      <c r="A244" s="219">
        <v>3029</v>
      </c>
      <c r="B244" s="219" t="s">
        <v>30</v>
      </c>
      <c r="C244" s="219" t="s">
        <v>1858</v>
      </c>
      <c r="D244" s="219">
        <v>348.5</v>
      </c>
      <c r="E244" s="219">
        <v>1038</v>
      </c>
      <c r="F244" s="219">
        <v>346.8</v>
      </c>
      <c r="G244" s="219" t="s">
        <v>1964</v>
      </c>
      <c r="H244" s="219" t="s">
        <v>1965</v>
      </c>
      <c r="I244" s="219">
        <v>26</v>
      </c>
      <c r="J244" s="217"/>
      <c r="K244" s="219" t="s">
        <v>222</v>
      </c>
      <c r="L244" s="219">
        <v>26179</v>
      </c>
      <c r="M244" s="219">
        <v>161.80000000000001</v>
      </c>
      <c r="N244" s="219">
        <v>2181.52</v>
      </c>
      <c r="O244" s="219">
        <v>12</v>
      </c>
      <c r="P244" s="219">
        <v>7.3999999999999996E-2</v>
      </c>
      <c r="Q244" s="217"/>
      <c r="R244" s="217">
        <v>244</v>
      </c>
      <c r="S244" s="222">
        <v>8684</v>
      </c>
      <c r="T244" s="222">
        <v>93.187982059999996</v>
      </c>
      <c r="U244" s="222">
        <v>9.0894190860000001E-3</v>
      </c>
      <c r="V244" s="222">
        <v>9.7538533249999997E-5</v>
      </c>
      <c r="W244" s="222">
        <v>1</v>
      </c>
      <c r="X244" s="217"/>
      <c r="Y244" s="222" t="s">
        <v>2080</v>
      </c>
    </row>
    <row r="245" spans="1:25" ht="16" x14ac:dyDescent="0.2">
      <c r="A245" s="219">
        <v>3030</v>
      </c>
      <c r="B245" s="219" t="s">
        <v>30</v>
      </c>
      <c r="C245" s="219" t="s">
        <v>1858</v>
      </c>
      <c r="D245" s="219">
        <v>349.5</v>
      </c>
      <c r="E245" s="219">
        <v>1038</v>
      </c>
      <c r="F245" s="219">
        <v>347.8</v>
      </c>
      <c r="G245" s="219" t="s">
        <v>1966</v>
      </c>
      <c r="H245" s="219" t="s">
        <v>1967</v>
      </c>
      <c r="I245" s="219">
        <v>25</v>
      </c>
      <c r="J245" s="217"/>
      <c r="K245" s="219" t="s">
        <v>222</v>
      </c>
      <c r="L245" s="219">
        <v>23069</v>
      </c>
      <c r="M245" s="219">
        <v>151.9</v>
      </c>
      <c r="N245" s="219">
        <v>2078.79</v>
      </c>
      <c r="O245" s="219">
        <v>11.097</v>
      </c>
      <c r="P245" s="219">
        <v>7.2999999999999995E-2</v>
      </c>
      <c r="Q245" s="217"/>
      <c r="R245" s="217">
        <v>235.6</v>
      </c>
      <c r="S245" s="222">
        <v>26</v>
      </c>
      <c r="T245" s="222">
        <v>5.0990195140000001</v>
      </c>
      <c r="U245" s="222">
        <v>2.227076106E-4</v>
      </c>
      <c r="V245" s="222">
        <v>4.3676555860000003E-5</v>
      </c>
      <c r="W245" s="222">
        <v>1</v>
      </c>
      <c r="X245" s="217"/>
      <c r="Y245" s="222" t="s">
        <v>2080</v>
      </c>
    </row>
    <row r="246" spans="1:25" ht="16" x14ac:dyDescent="0.2">
      <c r="A246" s="219">
        <v>3031</v>
      </c>
      <c r="B246" s="219" t="s">
        <v>30</v>
      </c>
      <c r="C246" s="219" t="s">
        <v>1858</v>
      </c>
      <c r="D246" s="219">
        <v>351.5</v>
      </c>
      <c r="E246" s="219">
        <v>1038</v>
      </c>
      <c r="F246" s="219">
        <v>349.8</v>
      </c>
      <c r="G246" s="219" t="s">
        <v>1968</v>
      </c>
      <c r="H246" s="219" t="s">
        <v>1969</v>
      </c>
      <c r="I246" s="219">
        <v>26</v>
      </c>
      <c r="J246" s="217"/>
      <c r="K246" s="219" t="s">
        <v>222</v>
      </c>
      <c r="L246" s="219">
        <v>21266</v>
      </c>
      <c r="M246" s="219">
        <v>145.80000000000001</v>
      </c>
      <c r="N246" s="219">
        <v>2404.89</v>
      </c>
      <c r="O246" s="219">
        <v>8.843</v>
      </c>
      <c r="P246" s="219">
        <v>6.0999999999999999E-2</v>
      </c>
      <c r="Q246" s="217"/>
      <c r="R246" s="217">
        <v>237.4</v>
      </c>
      <c r="S246" s="222">
        <v>58</v>
      </c>
      <c r="T246" s="222">
        <v>7.6157731059999998</v>
      </c>
      <c r="U246" s="222">
        <v>4.4574437849999999E-4</v>
      </c>
      <c r="V246" s="222">
        <v>5.8529104309999997E-5</v>
      </c>
      <c r="W246" s="222">
        <v>1</v>
      </c>
      <c r="X246" s="217"/>
      <c r="Y246" s="222" t="s">
        <v>2080</v>
      </c>
    </row>
    <row r="247" spans="1:25" ht="16" x14ac:dyDescent="0.2">
      <c r="A247" s="219">
        <v>3032</v>
      </c>
      <c r="B247" s="219" t="s">
        <v>30</v>
      </c>
      <c r="C247" s="219" t="s">
        <v>1858</v>
      </c>
      <c r="D247" s="219">
        <v>353.5</v>
      </c>
      <c r="E247" s="219">
        <v>1038</v>
      </c>
      <c r="F247" s="219">
        <v>351.8</v>
      </c>
      <c r="G247" s="219" t="s">
        <v>1970</v>
      </c>
      <c r="H247" s="219" t="s">
        <v>1971</v>
      </c>
      <c r="I247" s="219">
        <v>26</v>
      </c>
      <c r="J247" s="217"/>
      <c r="K247" s="219" t="s">
        <v>222</v>
      </c>
      <c r="L247" s="219">
        <v>14245</v>
      </c>
      <c r="M247" s="219">
        <v>119.4</v>
      </c>
      <c r="N247" s="219">
        <v>2310.9299999999998</v>
      </c>
      <c r="O247" s="219">
        <v>6.1639999999999997</v>
      </c>
      <c r="P247" s="219">
        <v>5.1999999999999998E-2</v>
      </c>
      <c r="Q247" s="217"/>
      <c r="R247" s="217">
        <v>237.9</v>
      </c>
      <c r="S247" s="222">
        <v>127</v>
      </c>
      <c r="T247" s="222">
        <v>11.269427670000001</v>
      </c>
      <c r="U247" s="222">
        <v>1.078990425E-3</v>
      </c>
      <c r="V247" s="222">
        <v>9.5744917739999999E-5</v>
      </c>
      <c r="W247" s="222">
        <v>1</v>
      </c>
      <c r="X247" s="217"/>
      <c r="Y247" s="222" t="s">
        <v>2080</v>
      </c>
    </row>
    <row r="248" spans="1:25" ht="16" x14ac:dyDescent="0.2">
      <c r="A248" s="219">
        <v>3033</v>
      </c>
      <c r="B248" s="219" t="s">
        <v>30</v>
      </c>
      <c r="C248" s="219" t="s">
        <v>1858</v>
      </c>
      <c r="D248" s="219">
        <v>355.5</v>
      </c>
      <c r="E248" s="219">
        <v>1038</v>
      </c>
      <c r="F248" s="219">
        <v>353.7</v>
      </c>
      <c r="G248" s="219" t="s">
        <v>1972</v>
      </c>
      <c r="H248" s="219" t="s">
        <v>1973</v>
      </c>
      <c r="I248" s="219">
        <v>26</v>
      </c>
      <c r="J248" s="217"/>
      <c r="K248" s="219" t="s">
        <v>222</v>
      </c>
      <c r="L248" s="219">
        <v>8721</v>
      </c>
      <c r="M248" s="219">
        <v>93.4</v>
      </c>
      <c r="N248" s="219">
        <v>2157.5300000000002</v>
      </c>
      <c r="O248" s="219">
        <v>4.0419999999999998</v>
      </c>
      <c r="P248" s="219">
        <v>4.2999999999999997E-2</v>
      </c>
      <c r="Q248" s="217"/>
      <c r="R248" s="217">
        <v>238.5</v>
      </c>
      <c r="S248" s="222">
        <v>310</v>
      </c>
      <c r="T248" s="222">
        <v>17.606816859999999</v>
      </c>
      <c r="U248" s="222">
        <v>2.5071585440000002E-3</v>
      </c>
      <c r="V248" s="222">
        <v>1.4239703659999999E-4</v>
      </c>
      <c r="W248" s="222">
        <v>1</v>
      </c>
      <c r="X248" s="217"/>
      <c r="Y248" s="222" t="s">
        <v>2080</v>
      </c>
    </row>
    <row r="249" spans="1:25" ht="16" x14ac:dyDescent="0.2">
      <c r="A249" s="219">
        <v>3034</v>
      </c>
      <c r="B249" s="219" t="s">
        <v>30</v>
      </c>
      <c r="C249" s="219" t="s">
        <v>1858</v>
      </c>
      <c r="D249" s="219">
        <v>358.5</v>
      </c>
      <c r="E249" s="219">
        <v>1038</v>
      </c>
      <c r="F249" s="219">
        <v>356.7</v>
      </c>
      <c r="G249" s="219" t="s">
        <v>1974</v>
      </c>
      <c r="H249" s="219" t="s">
        <v>1975</v>
      </c>
      <c r="I249" s="219">
        <v>25</v>
      </c>
      <c r="J249" s="217"/>
      <c r="K249" s="219" t="s">
        <v>222</v>
      </c>
      <c r="L249" s="219">
        <v>5713</v>
      </c>
      <c r="M249" s="219">
        <v>75.599999999999994</v>
      </c>
      <c r="N249" s="219">
        <v>2742.2</v>
      </c>
      <c r="O249" s="219">
        <v>2.0830000000000002</v>
      </c>
      <c r="P249" s="219">
        <v>2.8000000000000001E-2</v>
      </c>
      <c r="Q249" s="217"/>
      <c r="R249" s="217">
        <v>239</v>
      </c>
      <c r="S249" s="222">
        <v>425</v>
      </c>
      <c r="T249" s="222">
        <v>20.615528130000001</v>
      </c>
      <c r="U249" s="222">
        <v>3.7527106710000002E-3</v>
      </c>
      <c r="V249" s="222">
        <v>1.8203320560000001E-4</v>
      </c>
      <c r="W249" s="222">
        <v>1</v>
      </c>
      <c r="X249" s="217"/>
      <c r="Y249" s="222" t="s">
        <v>2080</v>
      </c>
    </row>
    <row r="250" spans="1:25" ht="16" x14ac:dyDescent="0.2">
      <c r="A250" s="219">
        <v>3035</v>
      </c>
      <c r="B250" s="219" t="s">
        <v>30</v>
      </c>
      <c r="C250" s="219" t="s">
        <v>1858</v>
      </c>
      <c r="D250" s="219">
        <v>361.5</v>
      </c>
      <c r="E250" s="219">
        <v>1038</v>
      </c>
      <c r="F250" s="219">
        <v>359.7</v>
      </c>
      <c r="G250" s="219" t="s">
        <v>1976</v>
      </c>
      <c r="H250" s="219" t="s">
        <v>1977</v>
      </c>
      <c r="I250" s="219">
        <v>25</v>
      </c>
      <c r="J250" s="217"/>
      <c r="K250" s="219" t="s">
        <v>222</v>
      </c>
      <c r="L250" s="219">
        <v>2447</v>
      </c>
      <c r="M250" s="219">
        <v>49.5</v>
      </c>
      <c r="N250" s="219">
        <v>2070.65</v>
      </c>
      <c r="O250" s="219">
        <v>1.1819999999999999</v>
      </c>
      <c r="P250" s="219">
        <v>2.4E-2</v>
      </c>
      <c r="Q250" s="217"/>
      <c r="R250" s="217">
        <v>239.5</v>
      </c>
      <c r="S250" s="222">
        <v>650</v>
      </c>
      <c r="T250" s="222">
        <v>25.495097569999999</v>
      </c>
      <c r="U250" s="222">
        <v>5.145810499E-3</v>
      </c>
      <c r="V250" s="222">
        <v>2.018352934E-4</v>
      </c>
      <c r="W250" s="222">
        <v>1</v>
      </c>
      <c r="X250" s="217"/>
      <c r="Y250" s="222" t="s">
        <v>2080</v>
      </c>
    </row>
    <row r="251" spans="1:25" ht="16" x14ac:dyDescent="0.2">
      <c r="A251" s="219">
        <v>3036</v>
      </c>
      <c r="B251" s="219" t="s">
        <v>30</v>
      </c>
      <c r="C251" s="219" t="s">
        <v>1858</v>
      </c>
      <c r="D251" s="219">
        <v>365.5</v>
      </c>
      <c r="E251" s="219">
        <v>1038</v>
      </c>
      <c r="F251" s="219">
        <v>363.7</v>
      </c>
      <c r="G251" s="219" t="s">
        <v>1978</v>
      </c>
      <c r="H251" s="219" t="s">
        <v>1979</v>
      </c>
      <c r="I251" s="219">
        <v>25</v>
      </c>
      <c r="J251" s="217"/>
      <c r="K251" s="219" t="s">
        <v>222</v>
      </c>
      <c r="L251" s="219">
        <v>3373</v>
      </c>
      <c r="M251" s="219">
        <v>58.1</v>
      </c>
      <c r="N251" s="219">
        <v>5413.71</v>
      </c>
      <c r="O251" s="219">
        <v>0.623</v>
      </c>
      <c r="P251" s="219">
        <v>1.0999999999999999E-2</v>
      </c>
      <c r="Q251" s="217"/>
      <c r="R251" s="217">
        <v>240.5</v>
      </c>
      <c r="S251" s="222">
        <v>983</v>
      </c>
      <c r="T251" s="222">
        <v>31.35283081</v>
      </c>
      <c r="U251" s="222">
        <v>7.8555486870000007E-3</v>
      </c>
      <c r="V251" s="222">
        <v>2.505530915E-4</v>
      </c>
      <c r="W251" s="222">
        <v>1</v>
      </c>
      <c r="X251" s="217"/>
      <c r="Y251" s="222" t="s">
        <v>2080</v>
      </c>
    </row>
    <row r="252" spans="1:25" ht="16" x14ac:dyDescent="0.2">
      <c r="A252" s="219">
        <v>3037</v>
      </c>
      <c r="B252" s="219" t="s">
        <v>30</v>
      </c>
      <c r="C252" s="219" t="s">
        <v>1858</v>
      </c>
      <c r="D252" s="219">
        <v>370.5</v>
      </c>
      <c r="E252" s="219">
        <v>1038</v>
      </c>
      <c r="F252" s="219">
        <v>368.6</v>
      </c>
      <c r="G252" s="219" t="s">
        <v>1980</v>
      </c>
      <c r="H252" s="219" t="s">
        <v>1981</v>
      </c>
      <c r="I252" s="219">
        <v>25</v>
      </c>
      <c r="J252" s="217"/>
      <c r="K252" s="219" t="s">
        <v>222</v>
      </c>
      <c r="L252" s="219">
        <v>854</v>
      </c>
      <c r="M252" s="219">
        <v>29.2</v>
      </c>
      <c r="N252" s="219">
        <v>2365.16</v>
      </c>
      <c r="O252" s="219">
        <v>0.36099999999999999</v>
      </c>
      <c r="P252" s="219">
        <v>1.2E-2</v>
      </c>
      <c r="Q252" s="217"/>
      <c r="R252" s="217">
        <v>241.5</v>
      </c>
      <c r="S252" s="222">
        <v>1096</v>
      </c>
      <c r="T252" s="222">
        <v>33.105890709999997</v>
      </c>
      <c r="U252" s="222">
        <v>8.7203630980000005E-3</v>
      </c>
      <c r="V252" s="222">
        <v>2.6340820049999998E-4</v>
      </c>
      <c r="W252" s="222">
        <v>1</v>
      </c>
      <c r="X252" s="217"/>
      <c r="Y252" s="222" t="s">
        <v>2080</v>
      </c>
    </row>
    <row r="253" spans="1:25" ht="16" x14ac:dyDescent="0.2">
      <c r="A253" s="219">
        <v>3038</v>
      </c>
      <c r="B253" s="219" t="s">
        <v>2453</v>
      </c>
      <c r="C253" s="219" t="s">
        <v>1858</v>
      </c>
      <c r="D253" s="219">
        <v>256.60000000000002</v>
      </c>
      <c r="E253" s="219">
        <v>1909</v>
      </c>
      <c r="F253" s="219">
        <v>256.39999999999998</v>
      </c>
      <c r="G253" s="219" t="s">
        <v>1982</v>
      </c>
      <c r="H253" s="219" t="s">
        <v>1983</v>
      </c>
      <c r="I253" s="219">
        <v>119</v>
      </c>
      <c r="J253" s="217"/>
      <c r="K253" s="219" t="s">
        <v>222</v>
      </c>
      <c r="L253" s="219">
        <v>11901</v>
      </c>
      <c r="M253" s="219">
        <v>109.1</v>
      </c>
      <c r="N253" s="219">
        <v>88454.33</v>
      </c>
      <c r="O253" s="219">
        <v>0.13500000000000001</v>
      </c>
      <c r="P253" s="219">
        <v>1E-3</v>
      </c>
      <c r="Q253" s="217"/>
      <c r="R253" s="217">
        <v>242.5</v>
      </c>
      <c r="S253" s="222">
        <v>1006</v>
      </c>
      <c r="T253" s="222">
        <v>31.717503050000001</v>
      </c>
      <c r="U253" s="222">
        <v>8.0282280799999998E-3</v>
      </c>
      <c r="V253" s="222">
        <v>2.5311664880000001E-4</v>
      </c>
      <c r="W253" s="222">
        <v>1</v>
      </c>
      <c r="X253" s="217"/>
      <c r="Y253" s="222" t="s">
        <v>2080</v>
      </c>
    </row>
    <row r="254" spans="1:25" ht="16" x14ac:dyDescent="0.2">
      <c r="A254" s="219">
        <v>3039</v>
      </c>
      <c r="B254" s="219" t="s">
        <v>2453</v>
      </c>
      <c r="C254" s="219" t="s">
        <v>1858</v>
      </c>
      <c r="D254" s="219">
        <v>260.60000000000002</v>
      </c>
      <c r="E254" s="219">
        <v>1909</v>
      </c>
      <c r="F254" s="219">
        <v>260.3</v>
      </c>
      <c r="G254" s="219" t="s">
        <v>1984</v>
      </c>
      <c r="H254" s="219" t="s">
        <v>1985</v>
      </c>
      <c r="I254" s="219">
        <v>120</v>
      </c>
      <c r="J254" s="217"/>
      <c r="K254" s="219" t="s">
        <v>222</v>
      </c>
      <c r="L254" s="219">
        <v>12342</v>
      </c>
      <c r="M254" s="219">
        <v>111.1</v>
      </c>
      <c r="N254" s="219">
        <v>88565.62</v>
      </c>
      <c r="O254" s="219">
        <v>0.13900000000000001</v>
      </c>
      <c r="P254" s="219">
        <v>1E-3</v>
      </c>
      <c r="Q254" s="217"/>
      <c r="R254" s="217">
        <v>246.3</v>
      </c>
      <c r="S254" s="222">
        <v>893</v>
      </c>
      <c r="T254" s="222">
        <v>29.88310559</v>
      </c>
      <c r="U254" s="222">
        <v>7.1207692030000004E-3</v>
      </c>
      <c r="V254" s="222">
        <v>2.3828745579999999E-4</v>
      </c>
      <c r="W254" s="222">
        <v>1</v>
      </c>
      <c r="X254" s="217"/>
      <c r="Y254" s="222" t="s">
        <v>2080</v>
      </c>
    </row>
    <row r="255" spans="1:25" ht="16" x14ac:dyDescent="0.2">
      <c r="A255" s="219">
        <v>3040</v>
      </c>
      <c r="B255" s="219" t="s">
        <v>2453</v>
      </c>
      <c r="C255" s="219" t="s">
        <v>1858</v>
      </c>
      <c r="D255" s="219">
        <v>232.7</v>
      </c>
      <c r="E255" s="219">
        <v>1909</v>
      </c>
      <c r="F255" s="219">
        <v>232.6</v>
      </c>
      <c r="G255" s="219" t="s">
        <v>1986</v>
      </c>
      <c r="H255" s="219" t="s">
        <v>1987</v>
      </c>
      <c r="I255" s="219">
        <v>127</v>
      </c>
      <c r="J255" s="217"/>
      <c r="K255" s="219" t="s">
        <v>222</v>
      </c>
      <c r="L255" s="219">
        <v>135143</v>
      </c>
      <c r="M255" s="219">
        <v>367.6</v>
      </c>
      <c r="N255" s="219">
        <v>80907.8</v>
      </c>
      <c r="O255" s="219">
        <v>1.67</v>
      </c>
      <c r="P255" s="219">
        <v>5.0000000000000001E-3</v>
      </c>
      <c r="Q255" s="217"/>
      <c r="R255" s="217">
        <v>248.3</v>
      </c>
      <c r="S255" s="222">
        <v>769</v>
      </c>
      <c r="T255" s="222">
        <v>27.730849249999999</v>
      </c>
      <c r="U255" s="222">
        <v>5.7331455590000002E-3</v>
      </c>
      <c r="V255" s="222">
        <v>2.0674251649999999E-4</v>
      </c>
      <c r="W255" s="222">
        <v>1</v>
      </c>
      <c r="X255" s="217"/>
      <c r="Y255" s="222" t="s">
        <v>2080</v>
      </c>
    </row>
    <row r="256" spans="1:25" ht="16" x14ac:dyDescent="0.2">
      <c r="A256" s="219">
        <v>3041</v>
      </c>
      <c r="B256" s="219" t="s">
        <v>157</v>
      </c>
      <c r="C256" s="219" t="s">
        <v>1858</v>
      </c>
      <c r="D256" s="219">
        <v>184.7</v>
      </c>
      <c r="E256" s="219">
        <v>2297</v>
      </c>
      <c r="F256" s="219">
        <v>185.3</v>
      </c>
      <c r="G256" s="219" t="s">
        <v>1988</v>
      </c>
      <c r="H256" s="219" t="s">
        <v>1989</v>
      </c>
      <c r="I256" s="219">
        <v>130</v>
      </c>
      <c r="J256" s="217"/>
      <c r="K256" s="219" t="s">
        <v>222</v>
      </c>
      <c r="L256" s="219">
        <v>1817</v>
      </c>
      <c r="M256" s="219">
        <v>42.6</v>
      </c>
      <c r="N256" s="219">
        <v>1033168.24</v>
      </c>
      <c r="O256" s="219">
        <v>2E-3</v>
      </c>
      <c r="P256" s="219">
        <v>0</v>
      </c>
      <c r="Q256" s="217"/>
      <c r="R256" s="217">
        <v>250.1</v>
      </c>
      <c r="S256" s="222">
        <v>550</v>
      </c>
      <c r="T256" s="222">
        <v>23.452078799999999</v>
      </c>
      <c r="U256" s="222">
        <v>4.3537361550000002E-3</v>
      </c>
      <c r="V256" s="222">
        <v>1.8564393339999999E-4</v>
      </c>
      <c r="W256" s="222">
        <v>1</v>
      </c>
      <c r="X256" s="217"/>
      <c r="Y256" s="222" t="s">
        <v>2080</v>
      </c>
    </row>
    <row r="257" spans="1:25" ht="16" x14ac:dyDescent="0.2">
      <c r="A257" s="219">
        <v>3042</v>
      </c>
      <c r="B257" s="219" t="s">
        <v>157</v>
      </c>
      <c r="C257" s="219" t="s">
        <v>1858</v>
      </c>
      <c r="D257" s="219">
        <v>220.2</v>
      </c>
      <c r="E257" s="219">
        <v>2297</v>
      </c>
      <c r="F257" s="219">
        <v>220.6</v>
      </c>
      <c r="G257" s="219" t="s">
        <v>1990</v>
      </c>
      <c r="H257" s="219" t="s">
        <v>1991</v>
      </c>
      <c r="I257" s="219">
        <v>134</v>
      </c>
      <c r="J257" s="217"/>
      <c r="K257" s="219" t="s">
        <v>222</v>
      </c>
      <c r="L257" s="219">
        <v>3838</v>
      </c>
      <c r="M257" s="219">
        <v>62</v>
      </c>
      <c r="N257" s="219">
        <v>95074.39</v>
      </c>
      <c r="O257" s="219">
        <v>0.04</v>
      </c>
      <c r="P257" s="219">
        <v>1E-3</v>
      </c>
      <c r="Q257" s="217"/>
      <c r="R257" s="217">
        <v>252.1</v>
      </c>
      <c r="S257" s="222">
        <v>342</v>
      </c>
      <c r="T257" s="222">
        <v>18.493242009999999</v>
      </c>
      <c r="U257" s="222">
        <v>2.8379632520000001E-3</v>
      </c>
      <c r="V257" s="222">
        <v>1.534594773E-4</v>
      </c>
      <c r="W257" s="222">
        <v>1</v>
      </c>
      <c r="X257" s="217"/>
      <c r="Y257" s="222" t="s">
        <v>2080</v>
      </c>
    </row>
    <row r="258" spans="1:25" ht="16" x14ac:dyDescent="0.2">
      <c r="A258" s="219">
        <v>3043</v>
      </c>
      <c r="B258" s="219" t="s">
        <v>157</v>
      </c>
      <c r="C258" s="219" t="s">
        <v>1858</v>
      </c>
      <c r="D258" s="219">
        <v>149.15</v>
      </c>
      <c r="E258" s="219">
        <v>2334</v>
      </c>
      <c r="F258" s="219">
        <v>150.1</v>
      </c>
      <c r="G258" s="219" t="s">
        <v>1992</v>
      </c>
      <c r="H258" s="219" t="s">
        <v>1993</v>
      </c>
      <c r="I258" s="219">
        <v>104</v>
      </c>
      <c r="J258" s="217"/>
      <c r="K258" s="219" t="s">
        <v>222</v>
      </c>
      <c r="L258" s="219">
        <v>694</v>
      </c>
      <c r="M258" s="219">
        <v>26.3</v>
      </c>
      <c r="N258" s="219">
        <v>5709972.2400000002</v>
      </c>
      <c r="O258" s="219">
        <v>0</v>
      </c>
      <c r="P258" s="219">
        <v>0</v>
      </c>
      <c r="Q258" s="217"/>
      <c r="R258" s="217">
        <v>254</v>
      </c>
      <c r="S258" s="222">
        <v>256</v>
      </c>
      <c r="T258" s="222">
        <v>16</v>
      </c>
      <c r="U258" s="222">
        <v>2.0575834000000001E-3</v>
      </c>
      <c r="V258" s="222">
        <v>1.2859896250000001E-4</v>
      </c>
      <c r="W258" s="222">
        <v>1</v>
      </c>
      <c r="X258" s="217"/>
      <c r="Y258" s="222" t="s">
        <v>2080</v>
      </c>
    </row>
    <row r="259" spans="1:25" ht="16" x14ac:dyDescent="0.2">
      <c r="A259" s="219">
        <v>3044</v>
      </c>
      <c r="B259" s="219" t="s">
        <v>31</v>
      </c>
      <c r="C259" s="219" t="s">
        <v>1858</v>
      </c>
      <c r="D259" s="219">
        <v>331.5</v>
      </c>
      <c r="E259" s="219">
        <v>1076</v>
      </c>
      <c r="F259" s="219">
        <v>329.9</v>
      </c>
      <c r="G259" s="219" t="s">
        <v>1994</v>
      </c>
      <c r="H259" s="219" t="s">
        <v>1995</v>
      </c>
      <c r="I259" s="219">
        <v>28</v>
      </c>
      <c r="J259" s="217"/>
      <c r="K259" s="219" t="s">
        <v>222</v>
      </c>
      <c r="L259" s="219">
        <v>257</v>
      </c>
      <c r="M259" s="219">
        <v>16</v>
      </c>
      <c r="N259" s="219">
        <v>2100.9899999999998</v>
      </c>
      <c r="O259" s="219">
        <v>0.122</v>
      </c>
      <c r="P259" s="219">
        <v>8.0000000000000002E-3</v>
      </c>
      <c r="Q259" s="217"/>
      <c r="R259" s="217">
        <v>256</v>
      </c>
      <c r="S259" s="222">
        <v>101</v>
      </c>
      <c r="T259" s="222">
        <v>10.04987562</v>
      </c>
      <c r="U259" s="222">
        <v>1.242650675E-3</v>
      </c>
      <c r="V259" s="222">
        <v>1.2364836360000001E-4</v>
      </c>
      <c r="W259" s="222">
        <v>1</v>
      </c>
      <c r="X259" s="217"/>
      <c r="Y259" s="222" t="s">
        <v>2080</v>
      </c>
    </row>
    <row r="260" spans="1:25" ht="16" x14ac:dyDescent="0.2">
      <c r="A260" s="219">
        <v>3045</v>
      </c>
      <c r="B260" s="219" t="s">
        <v>31</v>
      </c>
      <c r="C260" s="219" t="s">
        <v>1858</v>
      </c>
      <c r="D260" s="219">
        <v>333.5</v>
      </c>
      <c r="E260" s="219">
        <v>1076</v>
      </c>
      <c r="F260" s="219">
        <v>331.9</v>
      </c>
      <c r="G260" s="219" t="s">
        <v>1996</v>
      </c>
      <c r="H260" s="219" t="s">
        <v>1997</v>
      </c>
      <c r="I260" s="219">
        <v>28</v>
      </c>
      <c r="J260" s="217"/>
      <c r="K260" s="219" t="s">
        <v>222</v>
      </c>
      <c r="L260" s="219">
        <v>370</v>
      </c>
      <c r="M260" s="219">
        <v>19.2</v>
      </c>
      <c r="N260" s="219">
        <v>2116.7199999999998</v>
      </c>
      <c r="O260" s="219">
        <v>0.17499999999999999</v>
      </c>
      <c r="P260" s="219">
        <v>8.9999999999999993E-3</v>
      </c>
      <c r="Q260" s="217"/>
      <c r="R260" s="217">
        <v>260</v>
      </c>
      <c r="S260" s="222">
        <v>38</v>
      </c>
      <c r="T260" s="222">
        <v>6.1644140030000001</v>
      </c>
      <c r="U260" s="222">
        <v>5.370776503E-4</v>
      </c>
      <c r="V260" s="222">
        <v>8.7125499680000003E-5</v>
      </c>
      <c r="W260" s="222">
        <v>1</v>
      </c>
      <c r="X260" s="217"/>
      <c r="Y260" s="222" t="s">
        <v>2080</v>
      </c>
    </row>
    <row r="261" spans="1:25" ht="16" x14ac:dyDescent="0.2">
      <c r="A261" s="219">
        <v>3046</v>
      </c>
      <c r="B261" s="219" t="s">
        <v>31</v>
      </c>
      <c r="C261" s="219" t="s">
        <v>1858</v>
      </c>
      <c r="D261" s="219">
        <v>335.5</v>
      </c>
      <c r="E261" s="219">
        <v>1076</v>
      </c>
      <c r="F261" s="219">
        <v>333.9</v>
      </c>
      <c r="G261" s="219" t="s">
        <v>1998</v>
      </c>
      <c r="H261" s="219" t="s">
        <v>1999</v>
      </c>
      <c r="I261" s="219">
        <v>27</v>
      </c>
      <c r="J261" s="217"/>
      <c r="K261" s="219" t="s">
        <v>222</v>
      </c>
      <c r="L261" s="219">
        <v>583</v>
      </c>
      <c r="M261" s="219">
        <v>24.1</v>
      </c>
      <c r="N261" s="219">
        <v>2294.89</v>
      </c>
      <c r="O261" s="219">
        <v>0.254</v>
      </c>
      <c r="P261" s="219">
        <v>1.0999999999999999E-2</v>
      </c>
      <c r="Q261" s="217"/>
      <c r="R261" s="217">
        <v>264</v>
      </c>
      <c r="S261" s="222">
        <v>36</v>
      </c>
      <c r="T261" s="222">
        <v>6</v>
      </c>
      <c r="U261" s="222">
        <v>3.393878875E-4</v>
      </c>
      <c r="V261" s="222">
        <v>5.6564647920000003E-5</v>
      </c>
      <c r="W261" s="222">
        <v>1</v>
      </c>
      <c r="X261" s="217"/>
      <c r="Y261" s="222" t="s">
        <v>2080</v>
      </c>
    </row>
    <row r="262" spans="1:25" ht="16" x14ac:dyDescent="0.2">
      <c r="A262" s="219">
        <v>3047</v>
      </c>
      <c r="B262" s="219" t="s">
        <v>31</v>
      </c>
      <c r="C262" s="219" t="s">
        <v>1858</v>
      </c>
      <c r="D262" s="219">
        <v>337.5</v>
      </c>
      <c r="E262" s="219">
        <v>1076</v>
      </c>
      <c r="F262" s="219">
        <v>335.9</v>
      </c>
      <c r="G262" s="219" t="s">
        <v>2000</v>
      </c>
      <c r="H262" s="219" t="s">
        <v>2001</v>
      </c>
      <c r="I262" s="219">
        <v>27</v>
      </c>
      <c r="J262" s="217"/>
      <c r="K262" s="219" t="s">
        <v>222</v>
      </c>
      <c r="L262" s="219">
        <v>1184</v>
      </c>
      <c r="M262" s="219">
        <v>34.4</v>
      </c>
      <c r="N262" s="219">
        <v>2773.12</v>
      </c>
      <c r="O262" s="219">
        <v>0.42699999999999999</v>
      </c>
      <c r="P262" s="219">
        <v>1.2E-2</v>
      </c>
      <c r="Q262" s="217"/>
      <c r="R262" s="217">
        <v>268</v>
      </c>
      <c r="S262" s="222">
        <v>27</v>
      </c>
      <c r="T262" s="222">
        <v>5.196152423</v>
      </c>
      <c r="U262" s="222">
        <v>3.0574480909999999E-4</v>
      </c>
      <c r="V262" s="222">
        <v>5.8840615939999998E-5</v>
      </c>
      <c r="W262" s="222">
        <v>1</v>
      </c>
      <c r="X262" s="217"/>
      <c r="Y262" s="222" t="s">
        <v>2080</v>
      </c>
    </row>
    <row r="263" spans="1:25" ht="16" x14ac:dyDescent="0.2">
      <c r="A263" s="219">
        <v>3048</v>
      </c>
      <c r="B263" s="219" t="s">
        <v>31</v>
      </c>
      <c r="C263" s="219" t="s">
        <v>1858</v>
      </c>
      <c r="D263" s="219">
        <v>339.5</v>
      </c>
      <c r="E263" s="219">
        <v>1076</v>
      </c>
      <c r="F263" s="219">
        <v>337.9</v>
      </c>
      <c r="G263" s="219" t="s">
        <v>2002</v>
      </c>
      <c r="H263" s="219" t="s">
        <v>2003</v>
      </c>
      <c r="I263" s="219">
        <v>27</v>
      </c>
      <c r="J263" s="217"/>
      <c r="K263" s="219" t="s">
        <v>222</v>
      </c>
      <c r="L263" s="219">
        <v>1590</v>
      </c>
      <c r="M263" s="219">
        <v>39.9</v>
      </c>
      <c r="N263" s="219">
        <v>2039.9</v>
      </c>
      <c r="O263" s="219">
        <v>0.77900000000000003</v>
      </c>
      <c r="P263" s="219">
        <v>0.02</v>
      </c>
      <c r="Q263" s="217"/>
      <c r="R263" s="217">
        <v>235.6</v>
      </c>
      <c r="S263" s="222">
        <v>49</v>
      </c>
      <c r="T263" s="222">
        <v>7</v>
      </c>
      <c r="U263" s="222">
        <v>1.9737690129999999E-4</v>
      </c>
      <c r="V263" s="222">
        <v>2.8196700180000001E-5</v>
      </c>
      <c r="W263" s="222">
        <v>1</v>
      </c>
      <c r="X263" s="217"/>
      <c r="Y263" s="222" t="s">
        <v>2080</v>
      </c>
    </row>
    <row r="264" spans="1:25" ht="16" x14ac:dyDescent="0.2">
      <c r="A264" s="219">
        <v>3049</v>
      </c>
      <c r="B264" s="219" t="s">
        <v>31</v>
      </c>
      <c r="C264" s="219" t="s">
        <v>1858</v>
      </c>
      <c r="D264" s="219">
        <v>340.5</v>
      </c>
      <c r="E264" s="219">
        <v>1076</v>
      </c>
      <c r="F264" s="219">
        <v>338.9</v>
      </c>
      <c r="G264" s="219" t="s">
        <v>2004</v>
      </c>
      <c r="H264" s="219" t="s">
        <v>2005</v>
      </c>
      <c r="I264" s="219">
        <v>27</v>
      </c>
      <c r="J264" s="217"/>
      <c r="K264" s="219" t="s">
        <v>222</v>
      </c>
      <c r="L264" s="219">
        <v>2469</v>
      </c>
      <c r="M264" s="219">
        <v>49.7</v>
      </c>
      <c r="N264" s="219">
        <v>2066.5</v>
      </c>
      <c r="O264" s="219">
        <v>1.1950000000000001</v>
      </c>
      <c r="P264" s="219">
        <v>2.4E-2</v>
      </c>
      <c r="Q264" s="217"/>
      <c r="R264" s="217">
        <v>234.6</v>
      </c>
      <c r="S264" s="222">
        <v>27</v>
      </c>
      <c r="T264" s="222">
        <v>5.196152423</v>
      </c>
      <c r="U264" s="222">
        <v>2.301114072E-4</v>
      </c>
      <c r="V264" s="222">
        <v>4.4284960960000001E-5</v>
      </c>
      <c r="W264" s="222">
        <v>1</v>
      </c>
      <c r="X264" s="217"/>
      <c r="Y264" s="222" t="s">
        <v>2080</v>
      </c>
    </row>
    <row r="265" spans="1:25" ht="16" x14ac:dyDescent="0.2">
      <c r="A265" s="219">
        <v>3050</v>
      </c>
      <c r="B265" s="219" t="s">
        <v>31</v>
      </c>
      <c r="C265" s="219" t="s">
        <v>1858</v>
      </c>
      <c r="D265" s="219">
        <v>341.5</v>
      </c>
      <c r="E265" s="219">
        <v>1076</v>
      </c>
      <c r="F265" s="219">
        <v>339.9</v>
      </c>
      <c r="G265" s="219" t="s">
        <v>2006</v>
      </c>
      <c r="H265" s="219" t="s">
        <v>2007</v>
      </c>
      <c r="I265" s="219">
        <v>27</v>
      </c>
      <c r="J265" s="217"/>
      <c r="K265" s="219" t="s">
        <v>222</v>
      </c>
      <c r="L265" s="219">
        <v>4127</v>
      </c>
      <c r="M265" s="219">
        <v>64.2</v>
      </c>
      <c r="N265" s="219">
        <v>2093.9899999999998</v>
      </c>
      <c r="O265" s="219">
        <v>1.9710000000000001</v>
      </c>
      <c r="P265" s="219">
        <v>3.1E-2</v>
      </c>
      <c r="Q265" s="217"/>
      <c r="R265" s="217">
        <v>233.6</v>
      </c>
      <c r="S265" s="222">
        <v>21</v>
      </c>
      <c r="T265" s="222">
        <v>4.5825756950000001</v>
      </c>
      <c r="U265" s="222">
        <v>1.6851062759999999E-4</v>
      </c>
      <c r="V265" s="222">
        <v>3.6772033650000002E-5</v>
      </c>
      <c r="W265" s="222">
        <v>1</v>
      </c>
      <c r="X265" s="217"/>
      <c r="Y265" s="222" t="s">
        <v>2080</v>
      </c>
    </row>
    <row r="266" spans="1:25" ht="16" x14ac:dyDescent="0.2">
      <c r="A266" s="219">
        <v>3051</v>
      </c>
      <c r="B266" s="219" t="s">
        <v>31</v>
      </c>
      <c r="C266" s="219" t="s">
        <v>1858</v>
      </c>
      <c r="D266" s="219">
        <v>342.5</v>
      </c>
      <c r="E266" s="219">
        <v>1076</v>
      </c>
      <c r="F266" s="219">
        <v>340.9</v>
      </c>
      <c r="G266" s="219" t="s">
        <v>2008</v>
      </c>
      <c r="H266" s="219" t="s">
        <v>2009</v>
      </c>
      <c r="I266" s="219">
        <v>27</v>
      </c>
      <c r="J266" s="217"/>
      <c r="K266" s="219" t="s">
        <v>222</v>
      </c>
      <c r="L266" s="219">
        <v>20482</v>
      </c>
      <c r="M266" s="219">
        <v>143.1</v>
      </c>
      <c r="N266" s="219">
        <v>5243.69</v>
      </c>
      <c r="O266" s="219">
        <v>3.9060000000000001</v>
      </c>
      <c r="P266" s="219">
        <v>2.7E-2</v>
      </c>
      <c r="Q266" s="217"/>
      <c r="R266" s="217">
        <v>232.6</v>
      </c>
      <c r="S266" s="222">
        <v>30</v>
      </c>
      <c r="T266" s="222">
        <v>5.4772255750000003</v>
      </c>
      <c r="U266" s="222">
        <v>2.6424961650000001E-4</v>
      </c>
      <c r="V266" s="222">
        <v>4.8245158599999998E-5</v>
      </c>
      <c r="W266" s="222">
        <v>1</v>
      </c>
      <c r="X266" s="217"/>
      <c r="Y266" s="222" t="s">
        <v>2080</v>
      </c>
    </row>
    <row r="267" spans="1:25" ht="16" x14ac:dyDescent="0.2">
      <c r="A267" s="219">
        <v>3052</v>
      </c>
      <c r="B267" s="219" t="s">
        <v>31</v>
      </c>
      <c r="C267" s="219" t="s">
        <v>1858</v>
      </c>
      <c r="D267" s="219">
        <v>343.5</v>
      </c>
      <c r="E267" s="219">
        <v>1076</v>
      </c>
      <c r="F267" s="219">
        <v>341.9</v>
      </c>
      <c r="G267" s="219" t="s">
        <v>2010</v>
      </c>
      <c r="H267" s="219" t="s">
        <v>2011</v>
      </c>
      <c r="I267" s="219">
        <v>27</v>
      </c>
      <c r="J267" s="217"/>
      <c r="K267" s="219" t="s">
        <v>222</v>
      </c>
      <c r="L267" s="219">
        <v>17256</v>
      </c>
      <c r="M267" s="219">
        <v>131.4</v>
      </c>
      <c r="N267" s="219">
        <v>2742.19</v>
      </c>
      <c r="O267" s="219">
        <v>6.2930000000000001</v>
      </c>
      <c r="P267" s="219">
        <v>4.8000000000000001E-2</v>
      </c>
      <c r="Q267" s="217"/>
      <c r="R267" s="217">
        <v>231.7</v>
      </c>
      <c r="S267" s="222">
        <v>50</v>
      </c>
      <c r="T267" s="222">
        <v>7.0710678119999999</v>
      </c>
      <c r="U267" s="222">
        <v>3.3338720869999997E-4</v>
      </c>
      <c r="V267" s="222">
        <v>4.7148071209999997E-5</v>
      </c>
      <c r="W267" s="222">
        <v>1</v>
      </c>
      <c r="X267" s="217"/>
      <c r="Y267" s="222" t="s">
        <v>2080</v>
      </c>
    </row>
    <row r="268" spans="1:25" ht="16" x14ac:dyDescent="0.2">
      <c r="A268" s="219">
        <v>3053</v>
      </c>
      <c r="B268" s="219" t="s">
        <v>31</v>
      </c>
      <c r="C268" s="219" t="s">
        <v>1858</v>
      </c>
      <c r="D268" s="219">
        <v>344.5</v>
      </c>
      <c r="E268" s="219">
        <v>1076</v>
      </c>
      <c r="F268" s="219">
        <v>342.9</v>
      </c>
      <c r="G268" s="219" t="s">
        <v>2012</v>
      </c>
      <c r="H268" s="219" t="s">
        <v>2013</v>
      </c>
      <c r="I268" s="219">
        <v>27</v>
      </c>
      <c r="J268" s="217"/>
      <c r="K268" s="219" t="s">
        <v>222</v>
      </c>
      <c r="L268" s="219">
        <v>18239</v>
      </c>
      <c r="M268" s="219">
        <v>135.1</v>
      </c>
      <c r="N268" s="219">
        <v>2091.6999999999998</v>
      </c>
      <c r="O268" s="219">
        <v>8.7200000000000006</v>
      </c>
      <c r="P268" s="219">
        <v>6.5000000000000002E-2</v>
      </c>
      <c r="Q268" s="217"/>
      <c r="R268" s="217">
        <v>233.6</v>
      </c>
      <c r="S268" s="222">
        <v>16</v>
      </c>
      <c r="T268" s="222">
        <v>4</v>
      </c>
      <c r="U268" s="222">
        <v>1.1795706040000001E-4</v>
      </c>
      <c r="V268" s="222">
        <v>2.9489265100000002E-5</v>
      </c>
      <c r="W268" s="222">
        <v>1</v>
      </c>
      <c r="X268" s="217"/>
      <c r="Y268" s="222" t="s">
        <v>2080</v>
      </c>
    </row>
    <row r="269" spans="1:25" ht="16" x14ac:dyDescent="0.2">
      <c r="A269" s="219">
        <v>3054</v>
      </c>
      <c r="B269" s="219" t="s">
        <v>31</v>
      </c>
      <c r="C269" s="219" t="s">
        <v>1858</v>
      </c>
      <c r="D269" s="219">
        <v>345.5</v>
      </c>
      <c r="E269" s="219">
        <v>1076</v>
      </c>
      <c r="F269" s="219">
        <v>343.8</v>
      </c>
      <c r="G269" s="219" t="s">
        <v>2014</v>
      </c>
      <c r="H269" s="219" t="s">
        <v>2015</v>
      </c>
      <c r="I269" s="219">
        <v>27</v>
      </c>
      <c r="J269" s="217"/>
      <c r="K269" s="219" t="s">
        <v>222</v>
      </c>
      <c r="L269" s="219">
        <v>21322</v>
      </c>
      <c r="M269" s="219">
        <v>146</v>
      </c>
      <c r="N269" s="219">
        <v>2147.29</v>
      </c>
      <c r="O269" s="219">
        <v>9.93</v>
      </c>
      <c r="P269" s="219">
        <v>6.8000000000000005E-2</v>
      </c>
      <c r="Q269" s="217"/>
      <c r="R269" s="217">
        <v>230.4</v>
      </c>
      <c r="S269" s="222">
        <v>208</v>
      </c>
      <c r="T269" s="222">
        <v>14.422205099999999</v>
      </c>
      <c r="U269" s="222">
        <v>2.340146689E-4</v>
      </c>
      <c r="V269" s="222">
        <v>1.6225997850000001E-5</v>
      </c>
      <c r="W269" s="222">
        <v>1</v>
      </c>
      <c r="X269" s="217"/>
      <c r="Y269" s="222" t="s">
        <v>2080</v>
      </c>
    </row>
    <row r="270" spans="1:25" ht="16" x14ac:dyDescent="0.2">
      <c r="A270" s="219">
        <v>3055</v>
      </c>
      <c r="B270" s="219" t="s">
        <v>31</v>
      </c>
      <c r="C270" s="219" t="s">
        <v>1858</v>
      </c>
      <c r="D270" s="219">
        <v>346.5</v>
      </c>
      <c r="E270" s="219">
        <v>1076</v>
      </c>
      <c r="F270" s="219">
        <v>344.8</v>
      </c>
      <c r="G270" s="219" t="s">
        <v>2016</v>
      </c>
      <c r="H270" s="219" t="s">
        <v>2017</v>
      </c>
      <c r="I270" s="219">
        <v>27</v>
      </c>
      <c r="J270" s="217"/>
      <c r="K270" s="219" t="s">
        <v>222</v>
      </c>
      <c r="L270" s="219">
        <v>23959</v>
      </c>
      <c r="M270" s="219">
        <v>154.80000000000001</v>
      </c>
      <c r="N270" s="219">
        <v>2296.1999999999998</v>
      </c>
      <c r="O270" s="219">
        <v>10.433999999999999</v>
      </c>
      <c r="P270" s="219">
        <v>6.7000000000000004E-2</v>
      </c>
      <c r="Q270" s="217"/>
      <c r="R270" s="217">
        <v>229.4</v>
      </c>
      <c r="S270" s="222">
        <v>46</v>
      </c>
      <c r="T270" s="222">
        <v>6.7823299830000003</v>
      </c>
      <c r="U270" s="222">
        <v>3.1181677809999998E-4</v>
      </c>
      <c r="V270" s="222">
        <v>4.5974875719999998E-5</v>
      </c>
      <c r="W270" s="222">
        <v>1</v>
      </c>
      <c r="X270" s="217"/>
      <c r="Y270" s="222" t="s">
        <v>2080</v>
      </c>
    </row>
    <row r="271" spans="1:25" ht="16" x14ac:dyDescent="0.2">
      <c r="A271" s="219">
        <v>3056</v>
      </c>
      <c r="B271" s="219" t="s">
        <v>31</v>
      </c>
      <c r="C271" s="219" t="s">
        <v>1858</v>
      </c>
      <c r="D271" s="219">
        <v>347.5</v>
      </c>
      <c r="E271" s="219">
        <v>1076</v>
      </c>
      <c r="F271" s="219">
        <v>345.8</v>
      </c>
      <c r="G271" s="219" t="s">
        <v>2018</v>
      </c>
      <c r="H271" s="219" t="s">
        <v>2019</v>
      </c>
      <c r="I271" s="219">
        <v>27</v>
      </c>
      <c r="J271" s="217"/>
      <c r="K271" s="219" t="s">
        <v>222</v>
      </c>
      <c r="L271" s="219">
        <v>21818</v>
      </c>
      <c r="M271" s="219">
        <v>147.69999999999999</v>
      </c>
      <c r="N271" s="219">
        <v>2067.1999999999998</v>
      </c>
      <c r="O271" s="219">
        <v>10.554</v>
      </c>
      <c r="P271" s="219">
        <v>7.0999999999999994E-2</v>
      </c>
      <c r="Q271" s="217"/>
      <c r="R271" s="217">
        <v>228.4</v>
      </c>
      <c r="S271" s="222">
        <v>43</v>
      </c>
      <c r="T271" s="222">
        <v>6.5574385240000002</v>
      </c>
      <c r="U271" s="222">
        <v>3.0157433019999998E-4</v>
      </c>
      <c r="V271" s="222">
        <v>4.5989654209999998E-5</v>
      </c>
      <c r="W271" s="222">
        <v>1</v>
      </c>
      <c r="X271" s="217"/>
      <c r="Y271" s="222" t="s">
        <v>2080</v>
      </c>
    </row>
    <row r="272" spans="1:25" ht="16" x14ac:dyDescent="0.2">
      <c r="A272" s="219">
        <v>3057</v>
      </c>
      <c r="B272" s="219" t="s">
        <v>31</v>
      </c>
      <c r="C272" s="219" t="s">
        <v>1858</v>
      </c>
      <c r="D272" s="219">
        <v>348.5</v>
      </c>
      <c r="E272" s="219">
        <v>1076</v>
      </c>
      <c r="F272" s="219">
        <v>346.8</v>
      </c>
      <c r="G272" s="219" t="s">
        <v>2020</v>
      </c>
      <c r="H272" s="219" t="s">
        <v>2021</v>
      </c>
      <c r="I272" s="219">
        <v>27</v>
      </c>
      <c r="J272" s="217"/>
      <c r="K272" s="219" t="s">
        <v>222</v>
      </c>
      <c r="L272" s="219">
        <v>21805</v>
      </c>
      <c r="M272" s="219">
        <v>147.69999999999999</v>
      </c>
      <c r="N272" s="219">
        <v>2130.77</v>
      </c>
      <c r="O272" s="219">
        <v>10.233000000000001</v>
      </c>
      <c r="P272" s="219">
        <v>6.9000000000000006E-2</v>
      </c>
      <c r="Q272" s="217"/>
      <c r="R272" s="217">
        <v>227.4</v>
      </c>
      <c r="S272" s="222">
        <v>40</v>
      </c>
      <c r="T272" s="222">
        <v>6.32455532</v>
      </c>
      <c r="U272" s="222">
        <v>2.0183429020000001E-4</v>
      </c>
      <c r="V272" s="222">
        <v>3.1912803350000003E-5</v>
      </c>
      <c r="W272" s="222">
        <v>1</v>
      </c>
      <c r="X272" s="217"/>
      <c r="Y272" s="222" t="s">
        <v>2080</v>
      </c>
    </row>
    <row r="273" spans="1:25" ht="16" x14ac:dyDescent="0.2">
      <c r="A273" s="219">
        <v>3058</v>
      </c>
      <c r="B273" s="219" t="s">
        <v>31</v>
      </c>
      <c r="C273" s="219" t="s">
        <v>1858</v>
      </c>
      <c r="D273" s="219">
        <v>349.5</v>
      </c>
      <c r="E273" s="219">
        <v>1076</v>
      </c>
      <c r="F273" s="219">
        <v>347.8</v>
      </c>
      <c r="G273" s="219" t="s">
        <v>2022</v>
      </c>
      <c r="H273" s="219" t="s">
        <v>2023</v>
      </c>
      <c r="I273" s="219">
        <v>27</v>
      </c>
      <c r="J273" s="217"/>
      <c r="K273" s="219" t="s">
        <v>222</v>
      </c>
      <c r="L273" s="219">
        <v>21043</v>
      </c>
      <c r="M273" s="219">
        <v>145.1</v>
      </c>
      <c r="N273" s="219">
        <v>2236.4699999999998</v>
      </c>
      <c r="O273" s="219">
        <v>9.4090000000000007</v>
      </c>
      <c r="P273" s="219">
        <v>6.5000000000000002E-2</v>
      </c>
      <c r="Q273" s="217"/>
      <c r="R273" s="217">
        <v>226.4</v>
      </c>
      <c r="S273" s="222">
        <v>34</v>
      </c>
      <c r="T273" s="222">
        <v>5.8309518950000001</v>
      </c>
      <c r="U273" s="222">
        <v>1.3617112900000001E-4</v>
      </c>
      <c r="V273" s="222">
        <v>2.3353155959999999E-5</v>
      </c>
      <c r="W273" s="222">
        <v>1</v>
      </c>
      <c r="X273" s="217"/>
      <c r="Y273" s="222" t="s">
        <v>2080</v>
      </c>
    </row>
    <row r="274" spans="1:25" ht="16" x14ac:dyDescent="0.2">
      <c r="A274" s="219">
        <v>3059</v>
      </c>
      <c r="B274" s="219" t="s">
        <v>31</v>
      </c>
      <c r="C274" s="219" t="s">
        <v>1858</v>
      </c>
      <c r="D274" s="219">
        <v>351.5</v>
      </c>
      <c r="E274" s="219">
        <v>1076</v>
      </c>
      <c r="F274" s="219">
        <v>349.8</v>
      </c>
      <c r="G274" s="219" t="s">
        <v>2024</v>
      </c>
      <c r="H274" s="219" t="s">
        <v>2025</v>
      </c>
      <c r="I274" s="219">
        <v>27</v>
      </c>
      <c r="J274" s="217"/>
      <c r="K274" s="219" t="s">
        <v>222</v>
      </c>
      <c r="L274" s="219">
        <v>15082</v>
      </c>
      <c r="M274" s="219">
        <v>122.8</v>
      </c>
      <c r="N274" s="219">
        <v>2076.46</v>
      </c>
      <c r="O274" s="219">
        <v>7.2629999999999999</v>
      </c>
      <c r="P274" s="219">
        <v>5.8999999999999997E-2</v>
      </c>
      <c r="Q274" s="217"/>
      <c r="R274" s="217">
        <v>225.4</v>
      </c>
      <c r="S274" s="222">
        <v>36</v>
      </c>
      <c r="T274" s="222">
        <v>6</v>
      </c>
      <c r="U274" s="222">
        <v>1.067267309E-4</v>
      </c>
      <c r="V274" s="222">
        <v>1.7787788480000002E-5</v>
      </c>
      <c r="W274" s="222">
        <v>1</v>
      </c>
      <c r="X274" s="217"/>
      <c r="Y274" s="222" t="s">
        <v>2080</v>
      </c>
    </row>
    <row r="275" spans="1:25" ht="16" x14ac:dyDescent="0.2">
      <c r="A275" s="219">
        <v>3060</v>
      </c>
      <c r="B275" s="219" t="s">
        <v>31</v>
      </c>
      <c r="C275" s="219" t="s">
        <v>1858</v>
      </c>
      <c r="D275" s="219">
        <v>353.5</v>
      </c>
      <c r="E275" s="219">
        <v>1076</v>
      </c>
      <c r="F275" s="219">
        <v>351.8</v>
      </c>
      <c r="G275" s="219" t="s">
        <v>2026</v>
      </c>
      <c r="H275" s="219" t="s">
        <v>2027</v>
      </c>
      <c r="I275" s="219">
        <v>27</v>
      </c>
      <c r="J275" s="217"/>
      <c r="K275" s="219" t="s">
        <v>222</v>
      </c>
      <c r="L275" s="219">
        <v>10227</v>
      </c>
      <c r="M275" s="219">
        <v>101.1</v>
      </c>
      <c r="N275" s="219">
        <v>2086.79</v>
      </c>
      <c r="O275" s="219">
        <v>4.9009999999999998</v>
      </c>
      <c r="P275" s="219">
        <v>4.8000000000000001E-2</v>
      </c>
      <c r="Q275" s="217"/>
      <c r="R275" s="217">
        <v>224.4</v>
      </c>
      <c r="S275" s="222">
        <v>42</v>
      </c>
      <c r="T275" s="222">
        <v>6.480740698</v>
      </c>
      <c r="U275" s="222">
        <v>1.586651696E-4</v>
      </c>
      <c r="V275" s="222">
        <v>2.4482567190000001E-5</v>
      </c>
      <c r="W275" s="222">
        <v>1</v>
      </c>
      <c r="X275" s="217"/>
      <c r="Y275" s="222" t="s">
        <v>2080</v>
      </c>
    </row>
    <row r="276" spans="1:25" ht="16" x14ac:dyDescent="0.2">
      <c r="A276" s="219">
        <v>3061</v>
      </c>
      <c r="B276" s="219" t="s">
        <v>31</v>
      </c>
      <c r="C276" s="219" t="s">
        <v>1858</v>
      </c>
      <c r="D276" s="219">
        <v>355.5</v>
      </c>
      <c r="E276" s="219">
        <v>1076</v>
      </c>
      <c r="F276" s="219">
        <v>353.8</v>
      </c>
      <c r="G276" s="219" t="s">
        <v>2028</v>
      </c>
      <c r="H276" s="219" t="s">
        <v>2029</v>
      </c>
      <c r="I276" s="219">
        <v>27</v>
      </c>
      <c r="J276" s="217"/>
      <c r="K276" s="219" t="s">
        <v>222</v>
      </c>
      <c r="L276" s="219">
        <v>6861</v>
      </c>
      <c r="M276" s="219">
        <v>82.8</v>
      </c>
      <c r="N276" s="219">
        <v>2143.29</v>
      </c>
      <c r="O276" s="219">
        <v>3.2010000000000001</v>
      </c>
      <c r="P276" s="219">
        <v>3.9E-2</v>
      </c>
      <c r="Q276" s="217"/>
      <c r="R276" s="217">
        <v>234.2</v>
      </c>
      <c r="S276" s="222">
        <v>25</v>
      </c>
      <c r="T276" s="222">
        <v>5</v>
      </c>
      <c r="U276" s="222">
        <v>1.8701926229999999E-4</v>
      </c>
      <c r="V276" s="222">
        <v>3.7403852459999997E-5</v>
      </c>
      <c r="W276" s="222">
        <v>1</v>
      </c>
      <c r="X276" s="217"/>
      <c r="Y276" s="222" t="s">
        <v>2080</v>
      </c>
    </row>
    <row r="277" spans="1:25" ht="16" x14ac:dyDescent="0.2">
      <c r="A277" s="219">
        <v>3062</v>
      </c>
      <c r="B277" s="219" t="s">
        <v>31</v>
      </c>
      <c r="C277" s="219" t="s">
        <v>1858</v>
      </c>
      <c r="D277" s="219">
        <v>358.5</v>
      </c>
      <c r="E277" s="219">
        <v>1076</v>
      </c>
      <c r="F277" s="219">
        <v>356.8</v>
      </c>
      <c r="G277" s="219" t="s">
        <v>2030</v>
      </c>
      <c r="H277" s="219" t="s">
        <v>2031</v>
      </c>
      <c r="I277" s="219">
        <v>27</v>
      </c>
      <c r="J277" s="217"/>
      <c r="K277" s="219" t="s">
        <v>222</v>
      </c>
      <c r="L277" s="219">
        <v>3459</v>
      </c>
      <c r="M277" s="219">
        <v>58.8</v>
      </c>
      <c r="N277" s="219">
        <v>2096.02</v>
      </c>
      <c r="O277" s="219">
        <v>1.65</v>
      </c>
      <c r="P277" s="219">
        <v>2.8000000000000001E-2</v>
      </c>
      <c r="Q277" s="217"/>
      <c r="R277" s="217">
        <v>233.2</v>
      </c>
      <c r="S277" s="222">
        <v>49</v>
      </c>
      <c r="T277" s="222">
        <v>7</v>
      </c>
      <c r="U277" s="222">
        <v>2.950373454E-4</v>
      </c>
      <c r="V277" s="222">
        <v>4.2148192199999999E-5</v>
      </c>
      <c r="W277" s="222">
        <v>1</v>
      </c>
      <c r="X277" s="217"/>
      <c r="Y277" s="222" t="s">
        <v>2080</v>
      </c>
    </row>
    <row r="278" spans="1:25" ht="16" x14ac:dyDescent="0.2">
      <c r="A278" s="219">
        <v>3063</v>
      </c>
      <c r="B278" s="219" t="s">
        <v>31</v>
      </c>
      <c r="C278" s="219" t="s">
        <v>1858</v>
      </c>
      <c r="D278" s="219">
        <v>361.5</v>
      </c>
      <c r="E278" s="219">
        <v>1076</v>
      </c>
      <c r="F278" s="219">
        <v>359.7</v>
      </c>
      <c r="G278" s="219" t="s">
        <v>2032</v>
      </c>
      <c r="H278" s="219" t="s">
        <v>2033</v>
      </c>
      <c r="I278" s="219">
        <v>26</v>
      </c>
      <c r="J278" s="217"/>
      <c r="K278" s="219" t="s">
        <v>222</v>
      </c>
      <c r="L278" s="219">
        <v>2473</v>
      </c>
      <c r="M278" s="219">
        <v>49.7</v>
      </c>
      <c r="N278" s="219">
        <v>2529.1799999999998</v>
      </c>
      <c r="O278" s="219">
        <v>0.97799999999999998</v>
      </c>
      <c r="P278" s="219">
        <v>0.02</v>
      </c>
      <c r="Q278" s="217"/>
      <c r="R278" s="217">
        <v>236.3</v>
      </c>
      <c r="S278" s="222">
        <v>57</v>
      </c>
      <c r="T278" s="222">
        <v>7.5498344350000002</v>
      </c>
      <c r="U278" s="222">
        <v>1.907728271E-4</v>
      </c>
      <c r="V278" s="222">
        <v>2.526847823E-5</v>
      </c>
      <c r="W278" s="222">
        <v>1</v>
      </c>
      <c r="X278" s="217"/>
      <c r="Y278" s="222" t="s">
        <v>2080</v>
      </c>
    </row>
    <row r="279" spans="1:25" ht="16" x14ac:dyDescent="0.2">
      <c r="A279" s="219">
        <v>3064</v>
      </c>
      <c r="B279" s="219" t="s">
        <v>31</v>
      </c>
      <c r="C279" s="219" t="s">
        <v>1858</v>
      </c>
      <c r="D279" s="219">
        <v>365.5</v>
      </c>
      <c r="E279" s="219">
        <v>1076</v>
      </c>
      <c r="F279" s="219">
        <v>363.7</v>
      </c>
      <c r="G279" s="219" t="s">
        <v>2034</v>
      </c>
      <c r="H279" s="219" t="s">
        <v>2035</v>
      </c>
      <c r="I279" s="219">
        <v>27</v>
      </c>
      <c r="J279" s="217"/>
      <c r="K279" s="219" t="s">
        <v>222</v>
      </c>
      <c r="L279" s="219">
        <v>1383</v>
      </c>
      <c r="M279" s="219">
        <v>37.200000000000003</v>
      </c>
      <c r="N279" s="219">
        <v>2849.96</v>
      </c>
      <c r="O279" s="219">
        <v>0.48499999999999999</v>
      </c>
      <c r="P279" s="219">
        <v>1.2999999999999999E-2</v>
      </c>
      <c r="Q279" s="217"/>
      <c r="R279" s="217">
        <v>231</v>
      </c>
      <c r="S279" s="222">
        <v>16</v>
      </c>
      <c r="T279" s="222">
        <v>4</v>
      </c>
      <c r="U279" s="222">
        <v>2.057148088E-4</v>
      </c>
      <c r="V279" s="222">
        <v>5.14287022E-5</v>
      </c>
      <c r="W279" s="222">
        <v>1</v>
      </c>
      <c r="X279" s="217"/>
      <c r="Y279" s="222" t="s">
        <v>2080</v>
      </c>
    </row>
    <row r="280" spans="1:25" ht="16" x14ac:dyDescent="0.2">
      <c r="A280" s="219">
        <v>3065</v>
      </c>
      <c r="B280" s="219" t="s">
        <v>31</v>
      </c>
      <c r="C280" s="219" t="s">
        <v>1858</v>
      </c>
      <c r="D280" s="219">
        <v>370.5</v>
      </c>
      <c r="E280" s="219">
        <v>1076</v>
      </c>
      <c r="F280" s="219">
        <v>368.7</v>
      </c>
      <c r="G280" s="219" t="s">
        <v>2036</v>
      </c>
      <c r="H280" s="219" t="s">
        <v>2037</v>
      </c>
      <c r="I280" s="219">
        <v>27</v>
      </c>
      <c r="J280" s="217"/>
      <c r="K280" s="219" t="s">
        <v>222</v>
      </c>
      <c r="L280" s="219">
        <v>728</v>
      </c>
      <c r="M280" s="219">
        <v>27</v>
      </c>
      <c r="N280" s="219">
        <v>2598.89</v>
      </c>
      <c r="O280" s="219">
        <v>0.28000000000000003</v>
      </c>
      <c r="P280" s="219">
        <v>0.01</v>
      </c>
      <c r="Q280" s="217"/>
      <c r="R280" s="217"/>
      <c r="S280" s="217"/>
      <c r="T280" s="217"/>
      <c r="U280" s="217"/>
      <c r="V280" s="217"/>
      <c r="W280" s="217"/>
      <c r="X280" s="217"/>
      <c r="Y280" s="217"/>
    </row>
    <row r="281" spans="1:25" ht="16" x14ac:dyDescent="0.2">
      <c r="A281" s="219">
        <v>3066</v>
      </c>
      <c r="B281" s="219" t="s">
        <v>2453</v>
      </c>
      <c r="C281" s="219" t="s">
        <v>1858</v>
      </c>
      <c r="D281" s="219">
        <v>265.10000000000002</v>
      </c>
      <c r="E281" s="219">
        <v>1945</v>
      </c>
      <c r="F281" s="219">
        <v>264.8</v>
      </c>
      <c r="G281" s="219" t="s">
        <v>2038</v>
      </c>
      <c r="H281" s="219" t="s">
        <v>2039</v>
      </c>
      <c r="I281" s="219">
        <v>118</v>
      </c>
      <c r="J281" s="217"/>
      <c r="K281" s="219" t="s">
        <v>222</v>
      </c>
      <c r="L281" s="219">
        <v>16004</v>
      </c>
      <c r="M281" s="219">
        <v>126.5</v>
      </c>
      <c r="N281" s="219">
        <v>105873.36</v>
      </c>
      <c r="O281" s="219">
        <v>0.151</v>
      </c>
      <c r="P281" s="219">
        <v>1E-3</v>
      </c>
      <c r="Q281" s="217"/>
      <c r="R281" s="217"/>
      <c r="S281" s="217"/>
      <c r="T281" s="217"/>
      <c r="U281" s="217"/>
      <c r="V281" s="217"/>
      <c r="W281" s="217"/>
      <c r="X281" s="217"/>
      <c r="Y281" s="217"/>
    </row>
    <row r="282" spans="1:25" ht="16" x14ac:dyDescent="0.2">
      <c r="A282" s="219">
        <v>3067</v>
      </c>
      <c r="B282" s="219" t="s">
        <v>2453</v>
      </c>
      <c r="C282" s="219" t="s">
        <v>1858</v>
      </c>
      <c r="D282" s="219">
        <v>270.10000000000002</v>
      </c>
      <c r="E282" s="219">
        <v>1945</v>
      </c>
      <c r="F282" s="219">
        <v>269.8</v>
      </c>
      <c r="G282" s="219" t="s">
        <v>2040</v>
      </c>
      <c r="H282" s="219" t="s">
        <v>2041</v>
      </c>
      <c r="I282" s="219">
        <v>115</v>
      </c>
      <c r="J282" s="217"/>
      <c r="K282" s="219" t="s">
        <v>222</v>
      </c>
      <c r="L282" s="219">
        <v>4915</v>
      </c>
      <c r="M282" s="219">
        <v>70.099999999999994</v>
      </c>
      <c r="N282" s="219">
        <v>25398.58</v>
      </c>
      <c r="O282" s="219">
        <v>0.19400000000000001</v>
      </c>
      <c r="P282" s="219">
        <v>3.0000000000000001E-3</v>
      </c>
      <c r="Q282" s="219" t="s">
        <v>2042</v>
      </c>
      <c r="R282" s="217"/>
      <c r="S282" s="217"/>
      <c r="T282" s="217"/>
      <c r="U282" s="222">
        <v>33</v>
      </c>
      <c r="V282" s="222" t="s">
        <v>2081</v>
      </c>
      <c r="W282" s="217"/>
      <c r="X282" s="217"/>
      <c r="Y282" s="217"/>
    </row>
    <row r="283" spans="1:25" ht="16" x14ac:dyDescent="0.2">
      <c r="A283" s="219">
        <v>3068</v>
      </c>
      <c r="B283" s="219" t="s">
        <v>2453</v>
      </c>
      <c r="C283" s="219" t="s">
        <v>1858</v>
      </c>
      <c r="D283" s="219">
        <v>270.10000000000002</v>
      </c>
      <c r="E283" s="219">
        <v>1945</v>
      </c>
      <c r="F283" s="219">
        <v>269.8</v>
      </c>
      <c r="G283" s="219" t="s">
        <v>1534</v>
      </c>
      <c r="H283" s="219" t="s">
        <v>2043</v>
      </c>
      <c r="I283" s="219">
        <v>117</v>
      </c>
      <c r="J283" s="217"/>
      <c r="K283" s="219" t="s">
        <v>222</v>
      </c>
      <c r="L283" s="219">
        <v>13563</v>
      </c>
      <c r="M283" s="219">
        <v>116.5</v>
      </c>
      <c r="N283" s="219">
        <v>71430.7</v>
      </c>
      <c r="O283" s="219">
        <v>0.19</v>
      </c>
      <c r="P283" s="219">
        <v>2E-3</v>
      </c>
      <c r="Q283" s="217"/>
      <c r="R283" s="217"/>
      <c r="S283" s="217"/>
      <c r="T283" s="217"/>
      <c r="U283" s="222">
        <v>39</v>
      </c>
      <c r="V283" s="222" t="s">
        <v>2082</v>
      </c>
      <c r="W283" s="217"/>
      <c r="X283" s="217"/>
      <c r="Y283" s="217"/>
    </row>
    <row r="284" spans="1:25" ht="16" x14ac:dyDescent="0.2">
      <c r="A284" s="219">
        <v>3069</v>
      </c>
      <c r="B284" s="219" t="s">
        <v>157</v>
      </c>
      <c r="C284" s="219" t="s">
        <v>1858</v>
      </c>
      <c r="D284" s="219">
        <v>129.9</v>
      </c>
      <c r="E284" s="219">
        <v>2137</v>
      </c>
      <c r="F284" s="219">
        <v>130.69999999999999</v>
      </c>
      <c r="G284" s="219" t="s">
        <v>2044</v>
      </c>
      <c r="H284" s="219" t="s">
        <v>2045</v>
      </c>
      <c r="I284" s="219">
        <v>104</v>
      </c>
      <c r="J284" s="217"/>
      <c r="K284" s="219" t="s">
        <v>222</v>
      </c>
      <c r="L284" s="219">
        <v>134</v>
      </c>
      <c r="M284" s="219">
        <v>11.6</v>
      </c>
      <c r="N284" s="219">
        <v>5731873.96</v>
      </c>
      <c r="O284" s="219">
        <v>0</v>
      </c>
      <c r="P284" s="219">
        <v>0</v>
      </c>
      <c r="Q284" s="219" t="s">
        <v>2046</v>
      </c>
      <c r="R284" s="217"/>
      <c r="S284" s="217"/>
      <c r="T284" s="217"/>
      <c r="U284" s="222">
        <v>40</v>
      </c>
      <c r="V284" s="222" t="s">
        <v>2083</v>
      </c>
      <c r="W284" s="217"/>
      <c r="X284" s="217"/>
      <c r="Y284" s="217"/>
    </row>
    <row r="285" spans="1:25" ht="16" x14ac:dyDescent="0.2">
      <c r="A285" s="219">
        <v>3070</v>
      </c>
      <c r="B285" s="219" t="s">
        <v>32</v>
      </c>
      <c r="C285" s="219" t="s">
        <v>1858</v>
      </c>
      <c r="D285" s="219">
        <v>331.5</v>
      </c>
      <c r="E285" s="219">
        <v>1076</v>
      </c>
      <c r="F285" s="219">
        <v>329.9</v>
      </c>
      <c r="G285" s="219" t="s">
        <v>2047</v>
      </c>
      <c r="H285" s="219" t="s">
        <v>2048</v>
      </c>
      <c r="I285" s="219">
        <v>27.6</v>
      </c>
      <c r="J285" s="217"/>
      <c r="K285" s="219" t="s">
        <v>222</v>
      </c>
      <c r="L285" s="219">
        <v>1065</v>
      </c>
      <c r="M285" s="219">
        <v>32.6</v>
      </c>
      <c r="N285" s="219">
        <v>8878.94</v>
      </c>
      <c r="O285" s="219">
        <v>0.12</v>
      </c>
      <c r="P285" s="219">
        <v>4.0000000000000001E-3</v>
      </c>
      <c r="Q285" s="217"/>
      <c r="R285" s="217"/>
      <c r="S285" s="217"/>
      <c r="T285" s="217"/>
      <c r="U285" s="222">
        <v>44</v>
      </c>
      <c r="V285" s="222" t="s">
        <v>2084</v>
      </c>
      <c r="W285" s="217"/>
      <c r="X285" s="217"/>
      <c r="Y285" s="217"/>
    </row>
    <row r="286" spans="1:25" ht="16" x14ac:dyDescent="0.2">
      <c r="A286" s="219">
        <v>3071</v>
      </c>
      <c r="B286" s="219" t="s">
        <v>32</v>
      </c>
      <c r="C286" s="219" t="s">
        <v>1858</v>
      </c>
      <c r="D286" s="219">
        <v>333.5</v>
      </c>
      <c r="E286" s="219">
        <v>1076</v>
      </c>
      <c r="F286" s="219">
        <v>331.9</v>
      </c>
      <c r="G286" s="219" t="s">
        <v>2049</v>
      </c>
      <c r="H286" s="219" t="s">
        <v>2050</v>
      </c>
      <c r="I286" s="219">
        <v>27</v>
      </c>
      <c r="J286" s="217"/>
      <c r="K286" s="219" t="s">
        <v>222</v>
      </c>
      <c r="L286" s="219">
        <v>689</v>
      </c>
      <c r="M286" s="219">
        <v>26.2</v>
      </c>
      <c r="N286" s="219">
        <v>4062.67</v>
      </c>
      <c r="O286" s="219">
        <v>0.17</v>
      </c>
      <c r="P286" s="219">
        <v>6.0000000000000001E-3</v>
      </c>
      <c r="Q286" s="217"/>
      <c r="R286" s="217"/>
      <c r="S286" s="217"/>
      <c r="T286" s="217"/>
      <c r="U286" s="222">
        <v>42</v>
      </c>
      <c r="V286" s="222" t="s">
        <v>2085</v>
      </c>
      <c r="W286" s="217"/>
      <c r="X286" s="217"/>
      <c r="Y286" s="217"/>
    </row>
    <row r="287" spans="1:25" ht="16" x14ac:dyDescent="0.2">
      <c r="A287" s="219">
        <v>3072</v>
      </c>
      <c r="B287" s="219" t="s">
        <v>32</v>
      </c>
      <c r="C287" s="219" t="s">
        <v>1858</v>
      </c>
      <c r="D287" s="219">
        <v>335.5</v>
      </c>
      <c r="E287" s="219">
        <v>1076</v>
      </c>
      <c r="F287" s="219">
        <v>333.9</v>
      </c>
      <c r="G287" s="219" t="s">
        <v>2051</v>
      </c>
      <c r="H287" s="219" t="s">
        <v>2052</v>
      </c>
      <c r="I287" s="219">
        <v>26.3</v>
      </c>
      <c r="J287" s="217"/>
      <c r="K287" s="219" t="s">
        <v>222</v>
      </c>
      <c r="L287" s="219">
        <v>943</v>
      </c>
      <c r="M287" s="219">
        <v>30.7</v>
      </c>
      <c r="N287" s="219">
        <v>3649.48</v>
      </c>
      <c r="O287" s="219">
        <v>0.25800000000000001</v>
      </c>
      <c r="P287" s="219">
        <v>8.0000000000000002E-3</v>
      </c>
      <c r="Q287" s="217"/>
      <c r="R287" s="217"/>
      <c r="S287" s="217"/>
      <c r="T287" s="217"/>
      <c r="U287" s="222">
        <v>30</v>
      </c>
      <c r="V287" s="222" t="s">
        <v>2086</v>
      </c>
      <c r="W287" s="217"/>
      <c r="X287" s="217"/>
      <c r="Y287" s="217"/>
    </row>
    <row r="288" spans="1:25" ht="16" x14ac:dyDescent="0.2">
      <c r="A288" s="219">
        <v>3073</v>
      </c>
      <c r="B288" s="219" t="s">
        <v>32</v>
      </c>
      <c r="C288" s="219" t="s">
        <v>1858</v>
      </c>
      <c r="D288" s="219">
        <v>337.5</v>
      </c>
      <c r="E288" s="219">
        <v>1076</v>
      </c>
      <c r="F288" s="219">
        <v>335.9</v>
      </c>
      <c r="G288" s="219" t="s">
        <v>2053</v>
      </c>
      <c r="H288" s="219" t="s">
        <v>2054</v>
      </c>
      <c r="I288" s="219">
        <v>26.12</v>
      </c>
      <c r="J288" s="217"/>
      <c r="K288" s="219" t="s">
        <v>222</v>
      </c>
      <c r="L288" s="219">
        <v>884</v>
      </c>
      <c r="M288" s="219">
        <v>29.7</v>
      </c>
      <c r="N288" s="219">
        <v>1973.97</v>
      </c>
      <c r="O288" s="219">
        <v>0.44800000000000001</v>
      </c>
      <c r="P288" s="219">
        <v>1.4999999999999999E-2</v>
      </c>
      <c r="Q288" s="217"/>
      <c r="R288" s="217"/>
      <c r="S288" s="217"/>
      <c r="T288" s="217"/>
      <c r="U288" s="222">
        <v>25</v>
      </c>
      <c r="V288" s="222" t="s">
        <v>2087</v>
      </c>
      <c r="W288" s="217"/>
      <c r="X288" s="217"/>
      <c r="Y288" s="217"/>
    </row>
    <row r="289" spans="1:25" ht="16" x14ac:dyDescent="0.2">
      <c r="A289" s="219">
        <v>3074</v>
      </c>
      <c r="B289" s="219" t="s">
        <v>32</v>
      </c>
      <c r="C289" s="219" t="s">
        <v>1858</v>
      </c>
      <c r="D289" s="219">
        <v>339.5</v>
      </c>
      <c r="E289" s="219">
        <v>1076</v>
      </c>
      <c r="F289" s="219">
        <v>337.9</v>
      </c>
      <c r="G289" s="219" t="s">
        <v>2055</v>
      </c>
      <c r="H289" s="219" t="s">
        <v>2056</v>
      </c>
      <c r="I289" s="219">
        <v>25.88</v>
      </c>
      <c r="J289" s="217"/>
      <c r="K289" s="219" t="s">
        <v>222</v>
      </c>
      <c r="L289" s="219">
        <v>1467</v>
      </c>
      <c r="M289" s="219">
        <v>38.299999999999997</v>
      </c>
      <c r="N289" s="219">
        <v>1882.41</v>
      </c>
      <c r="O289" s="219">
        <v>0.77900000000000003</v>
      </c>
      <c r="P289" s="219">
        <v>0.02</v>
      </c>
      <c r="Q289" s="217"/>
      <c r="R289" s="217"/>
      <c r="S289" s="217"/>
      <c r="T289" s="217"/>
      <c r="U289" s="222">
        <v>19</v>
      </c>
      <c r="V289" s="222" t="s">
        <v>2088</v>
      </c>
      <c r="W289" s="217"/>
      <c r="X289" s="217"/>
      <c r="Y289" s="217"/>
    </row>
    <row r="290" spans="1:25" ht="16" x14ac:dyDescent="0.2">
      <c r="A290" s="219">
        <v>3075</v>
      </c>
      <c r="B290" s="219" t="s">
        <v>32</v>
      </c>
      <c r="C290" s="219" t="s">
        <v>1858</v>
      </c>
      <c r="D290" s="219">
        <v>340.5</v>
      </c>
      <c r="E290" s="219">
        <v>1076</v>
      </c>
      <c r="F290" s="219">
        <v>338.9</v>
      </c>
      <c r="G290" s="219" t="s">
        <v>2057</v>
      </c>
      <c r="H290" s="219" t="s">
        <v>2058</v>
      </c>
      <c r="I290" s="219">
        <v>25.65</v>
      </c>
      <c r="J290" s="217"/>
      <c r="K290" s="219" t="s">
        <v>222</v>
      </c>
      <c r="L290" s="219">
        <v>2869</v>
      </c>
      <c r="M290" s="219">
        <v>53.6</v>
      </c>
      <c r="N290" s="219">
        <v>2266.64</v>
      </c>
      <c r="O290" s="219">
        <v>1.266</v>
      </c>
      <c r="P290" s="219">
        <v>2.4E-2</v>
      </c>
      <c r="Q290" s="217"/>
      <c r="R290" s="217"/>
      <c r="S290" s="217"/>
      <c r="T290" s="217"/>
      <c r="U290" s="222">
        <v>13</v>
      </c>
      <c r="V290" s="222" t="s">
        <v>2089</v>
      </c>
      <c r="W290" s="217"/>
      <c r="X290" s="217"/>
      <c r="Y290" s="217"/>
    </row>
    <row r="291" spans="1:25" ht="16" x14ac:dyDescent="0.2">
      <c r="A291" s="219">
        <v>3076</v>
      </c>
      <c r="B291" s="219" t="s">
        <v>32</v>
      </c>
      <c r="C291" s="219" t="s">
        <v>1858</v>
      </c>
      <c r="D291" s="219">
        <v>341.5</v>
      </c>
      <c r="E291" s="219">
        <v>1076</v>
      </c>
      <c r="F291" s="219">
        <v>339.9</v>
      </c>
      <c r="G291" s="219" t="s">
        <v>2059</v>
      </c>
      <c r="H291" s="219" t="s">
        <v>2060</v>
      </c>
      <c r="I291" s="219">
        <v>25.66</v>
      </c>
      <c r="J291" s="217"/>
      <c r="K291" s="219" t="s">
        <v>222</v>
      </c>
      <c r="L291" s="219">
        <v>4140</v>
      </c>
      <c r="M291" s="219">
        <v>64.3</v>
      </c>
      <c r="N291" s="219">
        <v>1813.47</v>
      </c>
      <c r="O291" s="219">
        <v>2.2829999999999999</v>
      </c>
      <c r="P291" s="219">
        <v>3.5000000000000003E-2</v>
      </c>
      <c r="Q291" s="217"/>
      <c r="R291" s="217"/>
      <c r="S291" s="217"/>
      <c r="T291" s="217"/>
      <c r="U291" s="222">
        <v>11</v>
      </c>
      <c r="V291" s="222" t="s">
        <v>2090</v>
      </c>
      <c r="W291" s="217"/>
      <c r="X291" s="217"/>
      <c r="Y291" s="217"/>
    </row>
    <row r="292" spans="1:25" ht="16" x14ac:dyDescent="0.2">
      <c r="A292" s="219">
        <v>3077</v>
      </c>
      <c r="B292" s="219" t="s">
        <v>32</v>
      </c>
      <c r="C292" s="219" t="s">
        <v>1858</v>
      </c>
      <c r="D292" s="219">
        <v>342.5</v>
      </c>
      <c r="E292" s="219">
        <v>1076</v>
      </c>
      <c r="F292" s="219">
        <v>340.9</v>
      </c>
      <c r="G292" s="219" t="s">
        <v>2061</v>
      </c>
      <c r="H292" s="219" t="s">
        <v>2014</v>
      </c>
      <c r="I292" s="219">
        <v>25.81</v>
      </c>
      <c r="J292" s="217"/>
      <c r="K292" s="219" t="s">
        <v>222</v>
      </c>
      <c r="L292" s="219">
        <v>13594</v>
      </c>
      <c r="M292" s="219">
        <v>116.6</v>
      </c>
      <c r="N292" s="219">
        <v>3208.34</v>
      </c>
      <c r="O292" s="219">
        <v>4.2370000000000001</v>
      </c>
      <c r="P292" s="219">
        <v>3.5999999999999997E-2</v>
      </c>
      <c r="Q292" s="217"/>
      <c r="R292" s="217"/>
      <c r="S292" s="217"/>
      <c r="T292" s="217"/>
      <c r="U292" s="222">
        <v>10</v>
      </c>
      <c r="V292" s="222" t="s">
        <v>2091</v>
      </c>
      <c r="W292" s="217"/>
      <c r="X292" s="217"/>
      <c r="Y292" s="217"/>
    </row>
    <row r="293" spans="1:25" ht="16" x14ac:dyDescent="0.2">
      <c r="A293" s="219">
        <v>3078</v>
      </c>
      <c r="B293" s="219" t="s">
        <v>32</v>
      </c>
      <c r="C293" s="219" t="s">
        <v>1858</v>
      </c>
      <c r="D293" s="219">
        <v>343.5</v>
      </c>
      <c r="E293" s="219">
        <v>1076</v>
      </c>
      <c r="F293" s="219">
        <v>341.9</v>
      </c>
      <c r="G293" s="219" t="s">
        <v>2062</v>
      </c>
      <c r="H293" s="219" t="s">
        <v>2063</v>
      </c>
      <c r="I293" s="219">
        <v>26.43</v>
      </c>
      <c r="J293" s="217"/>
      <c r="K293" s="219" t="s">
        <v>222</v>
      </c>
      <c r="L293" s="219">
        <v>13207</v>
      </c>
      <c r="M293" s="219">
        <v>114.9</v>
      </c>
      <c r="N293" s="219">
        <v>1889.66</v>
      </c>
      <c r="O293" s="219">
        <v>6.9889999999999999</v>
      </c>
      <c r="P293" s="219">
        <v>6.0999999999999999E-2</v>
      </c>
      <c r="Q293" s="217"/>
      <c r="R293" s="217"/>
      <c r="S293" s="217"/>
      <c r="T293" s="217"/>
      <c r="U293" s="217"/>
      <c r="V293" s="217"/>
      <c r="W293" s="217"/>
      <c r="X293" s="217"/>
      <c r="Y293" s="217"/>
    </row>
    <row r="294" spans="1:25" ht="16" x14ac:dyDescent="0.2">
      <c r="A294" s="219">
        <v>3079</v>
      </c>
      <c r="B294" s="219" t="s">
        <v>32</v>
      </c>
      <c r="C294" s="219" t="s">
        <v>1858</v>
      </c>
      <c r="D294" s="219">
        <v>344.5</v>
      </c>
      <c r="E294" s="219">
        <v>1076</v>
      </c>
      <c r="F294" s="219">
        <v>342.9</v>
      </c>
      <c r="G294" s="219" t="s">
        <v>2064</v>
      </c>
      <c r="H294" s="219" t="s">
        <v>2065</v>
      </c>
      <c r="I294" s="219">
        <v>27.6</v>
      </c>
      <c r="J294" s="217"/>
      <c r="K294" s="219" t="s">
        <v>222</v>
      </c>
      <c r="L294" s="219">
        <v>16653</v>
      </c>
      <c r="M294" s="219">
        <v>129</v>
      </c>
      <c r="N294" s="219">
        <v>1786.01</v>
      </c>
      <c r="O294" s="219">
        <v>9.3239999999999998</v>
      </c>
      <c r="P294" s="219">
        <v>7.1999999999999995E-2</v>
      </c>
      <c r="Q294" s="217"/>
      <c r="R294" s="217"/>
      <c r="S294" s="217"/>
      <c r="T294" s="217"/>
      <c r="U294" s="217"/>
      <c r="V294" s="217"/>
      <c r="W294" s="217"/>
      <c r="X294" s="217"/>
      <c r="Y294" s="217"/>
    </row>
    <row r="295" spans="1:25" ht="16" x14ac:dyDescent="0.2">
      <c r="A295" s="219">
        <v>3080</v>
      </c>
      <c r="B295" s="219" t="s">
        <v>32</v>
      </c>
      <c r="C295" s="219" t="s">
        <v>1858</v>
      </c>
      <c r="D295" s="219">
        <v>345.5</v>
      </c>
      <c r="E295" s="219">
        <v>1076</v>
      </c>
      <c r="F295" s="219">
        <v>343.8</v>
      </c>
      <c r="G295" s="219" t="s">
        <v>2066</v>
      </c>
      <c r="H295" s="219" t="s">
        <v>2067</v>
      </c>
      <c r="I295" s="219">
        <v>27.77</v>
      </c>
      <c r="J295" s="217"/>
      <c r="K295" s="219" t="s">
        <v>222</v>
      </c>
      <c r="L295" s="219">
        <v>18875</v>
      </c>
      <c r="M295" s="219">
        <v>137.4</v>
      </c>
      <c r="N295" s="219">
        <v>1858.27</v>
      </c>
      <c r="O295" s="219">
        <v>10.157</v>
      </c>
      <c r="P295" s="219">
        <v>7.3999999999999996E-2</v>
      </c>
      <c r="Q295" s="217"/>
      <c r="R295" s="217"/>
      <c r="S295" s="217"/>
      <c r="T295" s="217"/>
      <c r="U295" s="217"/>
      <c r="V295" s="217"/>
      <c r="W295" s="217"/>
      <c r="X295" s="217"/>
      <c r="Y295" s="217"/>
    </row>
    <row r="296" spans="1:25" ht="16" x14ac:dyDescent="0.2">
      <c r="A296" s="219">
        <v>3081</v>
      </c>
      <c r="B296" s="219" t="s">
        <v>32</v>
      </c>
      <c r="C296" s="219" t="s">
        <v>1858</v>
      </c>
      <c r="D296" s="219">
        <v>346.5</v>
      </c>
      <c r="E296" s="219">
        <v>1076</v>
      </c>
      <c r="F296" s="219">
        <v>344.8</v>
      </c>
      <c r="G296" s="219" t="s">
        <v>2068</v>
      </c>
      <c r="H296" s="219" t="s">
        <v>2069</v>
      </c>
      <c r="I296" s="219">
        <v>31</v>
      </c>
      <c r="J296" s="217"/>
      <c r="K296" s="219" t="s">
        <v>222</v>
      </c>
      <c r="L296" s="219">
        <v>25203</v>
      </c>
      <c r="M296" s="219">
        <v>158.80000000000001</v>
      </c>
      <c r="N296" s="219">
        <v>2350.5100000000002</v>
      </c>
      <c r="O296" s="219">
        <v>10.722</v>
      </c>
      <c r="P296" s="219">
        <v>6.8000000000000005E-2</v>
      </c>
      <c r="Q296" s="217"/>
      <c r="R296" s="217"/>
      <c r="S296" s="217"/>
      <c r="T296" s="217"/>
      <c r="U296" s="217"/>
      <c r="V296" s="217"/>
      <c r="W296" s="217"/>
      <c r="X296" s="217"/>
      <c r="Y296" s="217"/>
    </row>
    <row r="297" spans="1:25" ht="16" x14ac:dyDescent="0.2">
      <c r="A297" s="219">
        <v>3082</v>
      </c>
      <c r="B297" s="219" t="s">
        <v>32</v>
      </c>
      <c r="C297" s="219" t="s">
        <v>1858</v>
      </c>
      <c r="D297" s="219">
        <v>347.5</v>
      </c>
      <c r="E297" s="219">
        <v>1076</v>
      </c>
      <c r="F297" s="219">
        <v>345.8</v>
      </c>
      <c r="G297" s="219" t="s">
        <v>2092</v>
      </c>
      <c r="H297" s="219" t="s">
        <v>2093</v>
      </c>
      <c r="I297" s="219">
        <v>30.59</v>
      </c>
      <c r="J297" s="217"/>
      <c r="K297" s="219" t="s">
        <v>222</v>
      </c>
      <c r="L297" s="219">
        <v>17944</v>
      </c>
      <c r="M297" s="219">
        <v>134</v>
      </c>
      <c r="N297" s="219">
        <v>1727.46</v>
      </c>
      <c r="O297" s="219">
        <v>10.388</v>
      </c>
      <c r="P297" s="219">
        <v>7.8E-2</v>
      </c>
      <c r="Q297" s="217"/>
      <c r="R297" s="217"/>
      <c r="S297" s="217"/>
      <c r="T297" s="217"/>
      <c r="U297" s="217"/>
      <c r="V297" s="217"/>
      <c r="W297" s="217"/>
      <c r="X297" s="217"/>
      <c r="Y297" s="217"/>
    </row>
    <row r="298" spans="1:25" ht="16" x14ac:dyDescent="0.2">
      <c r="A298" s="219">
        <v>3083</v>
      </c>
      <c r="B298" s="219" t="s">
        <v>32</v>
      </c>
      <c r="C298" s="219" t="s">
        <v>1858</v>
      </c>
      <c r="D298" s="219">
        <v>348.5</v>
      </c>
      <c r="E298" s="219">
        <v>1076</v>
      </c>
      <c r="F298" s="219">
        <v>346.8</v>
      </c>
      <c r="G298" s="219" t="s">
        <v>2094</v>
      </c>
      <c r="H298" s="219" t="s">
        <v>2095</v>
      </c>
      <c r="I298" s="219">
        <v>30.65</v>
      </c>
      <c r="J298" s="217"/>
      <c r="K298" s="219" t="s">
        <v>222</v>
      </c>
      <c r="L298" s="219">
        <v>17806</v>
      </c>
      <c r="M298" s="219">
        <v>133.4</v>
      </c>
      <c r="N298" s="219">
        <v>1804.7</v>
      </c>
      <c r="O298" s="219">
        <v>9.8659999999999997</v>
      </c>
      <c r="P298" s="219">
        <v>7.3999999999999996E-2</v>
      </c>
      <c r="Q298" s="217"/>
      <c r="R298" s="217"/>
      <c r="S298" s="217"/>
      <c r="T298" s="217"/>
      <c r="U298" s="217"/>
      <c r="V298" s="217"/>
      <c r="W298" s="217"/>
      <c r="X298" s="217"/>
      <c r="Y298" s="217"/>
    </row>
    <row r="299" spans="1:25" ht="16" x14ac:dyDescent="0.2">
      <c r="A299" s="219">
        <v>3084</v>
      </c>
      <c r="B299" s="219" t="s">
        <v>32</v>
      </c>
      <c r="C299" s="219" t="s">
        <v>1858</v>
      </c>
      <c r="D299" s="219">
        <v>349.5</v>
      </c>
      <c r="E299" s="219">
        <v>1076</v>
      </c>
      <c r="F299" s="219">
        <v>347.8</v>
      </c>
      <c r="G299" s="219" t="s">
        <v>2096</v>
      </c>
      <c r="H299" s="219" t="s">
        <v>2097</v>
      </c>
      <c r="I299" s="219">
        <v>30.62</v>
      </c>
      <c r="J299" s="217"/>
      <c r="K299" s="219" t="s">
        <v>222</v>
      </c>
      <c r="L299" s="219">
        <v>15367</v>
      </c>
      <c r="M299" s="219">
        <v>124</v>
      </c>
      <c r="N299" s="219">
        <v>1706.15</v>
      </c>
      <c r="O299" s="219">
        <v>9.0069999999999997</v>
      </c>
      <c r="P299" s="219">
        <v>7.2999999999999995E-2</v>
      </c>
      <c r="Q299" s="217"/>
      <c r="R299" s="217"/>
      <c r="S299" s="217"/>
      <c r="T299" s="217"/>
      <c r="U299" s="217"/>
      <c r="V299" s="217"/>
      <c r="W299" s="217"/>
      <c r="X299" s="217"/>
      <c r="Y299" s="217"/>
    </row>
    <row r="300" spans="1:25" ht="16" x14ac:dyDescent="0.2">
      <c r="A300" s="219">
        <v>3085</v>
      </c>
      <c r="B300" s="219" t="s">
        <v>32</v>
      </c>
      <c r="C300" s="219" t="s">
        <v>1858</v>
      </c>
      <c r="D300" s="219">
        <v>351.5</v>
      </c>
      <c r="E300" s="219">
        <v>1076</v>
      </c>
      <c r="F300" s="219">
        <v>349.8</v>
      </c>
      <c r="G300" s="219" t="s">
        <v>2098</v>
      </c>
      <c r="H300" s="219" t="s">
        <v>2099</v>
      </c>
      <c r="I300" s="219">
        <v>30.52</v>
      </c>
      <c r="J300" s="217"/>
      <c r="K300" s="219" t="s">
        <v>222</v>
      </c>
      <c r="L300" s="219">
        <v>12297</v>
      </c>
      <c r="M300" s="219">
        <v>110.9</v>
      </c>
      <c r="N300" s="219">
        <v>1839.25</v>
      </c>
      <c r="O300" s="219">
        <v>6.6859999999999999</v>
      </c>
      <c r="P300" s="219">
        <v>0.06</v>
      </c>
      <c r="Q300" s="217"/>
      <c r="R300" s="217"/>
      <c r="S300" s="217"/>
      <c r="T300" s="217"/>
      <c r="U300" s="217"/>
      <c r="V300" s="217"/>
      <c r="W300" s="217"/>
      <c r="X300" s="217"/>
      <c r="Y300" s="217"/>
    </row>
    <row r="301" spans="1:25" ht="16" x14ac:dyDescent="0.2">
      <c r="A301" s="219">
        <v>3086</v>
      </c>
      <c r="B301" s="219" t="s">
        <v>32</v>
      </c>
      <c r="C301" s="219" t="s">
        <v>1858</v>
      </c>
      <c r="D301" s="219">
        <v>353.5</v>
      </c>
      <c r="E301" s="219">
        <v>1076</v>
      </c>
      <c r="F301" s="219">
        <v>351.8</v>
      </c>
      <c r="G301" s="219" t="s">
        <v>2100</v>
      </c>
      <c r="H301" s="219" t="s">
        <v>2101</v>
      </c>
      <c r="I301" s="219">
        <v>30.47</v>
      </c>
      <c r="J301" s="217"/>
      <c r="K301" s="219" t="s">
        <v>222</v>
      </c>
      <c r="L301" s="219">
        <v>8685</v>
      </c>
      <c r="M301" s="219">
        <v>93.2</v>
      </c>
      <c r="N301" s="219">
        <v>1959.99</v>
      </c>
      <c r="O301" s="219">
        <v>4.431</v>
      </c>
      <c r="P301" s="219">
        <v>4.8000000000000001E-2</v>
      </c>
      <c r="Q301" s="217"/>
      <c r="R301" s="217"/>
      <c r="S301" s="217"/>
      <c r="T301" s="217"/>
      <c r="U301" s="217"/>
      <c r="V301" s="217"/>
      <c r="W301" s="217"/>
      <c r="X301" s="217"/>
      <c r="Y301" s="217"/>
    </row>
    <row r="302" spans="1:25" ht="16" x14ac:dyDescent="0.2">
      <c r="A302" s="219">
        <v>3087</v>
      </c>
      <c r="B302" s="219" t="s">
        <v>32</v>
      </c>
      <c r="C302" s="219" t="s">
        <v>1858</v>
      </c>
      <c r="D302" s="219">
        <v>355.5</v>
      </c>
      <c r="E302" s="219">
        <v>1076</v>
      </c>
      <c r="F302" s="219">
        <v>353.8</v>
      </c>
      <c r="G302" s="219" t="s">
        <v>2102</v>
      </c>
      <c r="H302" s="219" t="s">
        <v>2103</v>
      </c>
      <c r="I302" s="219">
        <v>30.42</v>
      </c>
      <c r="J302" s="217"/>
      <c r="K302" s="219" t="s">
        <v>222</v>
      </c>
      <c r="L302" s="219">
        <v>4845</v>
      </c>
      <c r="M302" s="219">
        <v>69.599999999999994</v>
      </c>
      <c r="N302" s="219">
        <v>1741.73</v>
      </c>
      <c r="O302" s="219">
        <v>2.782</v>
      </c>
      <c r="P302" s="219">
        <v>0.04</v>
      </c>
      <c r="Q302" s="217"/>
      <c r="R302" s="217"/>
      <c r="S302" s="217"/>
      <c r="T302" s="217"/>
      <c r="U302" s="217"/>
      <c r="V302" s="217"/>
      <c r="W302" s="217"/>
      <c r="X302" s="217"/>
      <c r="Y302" s="217"/>
    </row>
    <row r="303" spans="1:25" ht="16" x14ac:dyDescent="0.2">
      <c r="A303" s="219">
        <v>3088</v>
      </c>
      <c r="B303" s="219" t="s">
        <v>32</v>
      </c>
      <c r="C303" s="219" t="s">
        <v>1858</v>
      </c>
      <c r="D303" s="219">
        <v>358.5</v>
      </c>
      <c r="E303" s="219">
        <v>1076</v>
      </c>
      <c r="F303" s="219">
        <v>356.8</v>
      </c>
      <c r="G303" s="219" t="s">
        <v>2104</v>
      </c>
      <c r="H303" s="219" t="s">
        <v>2105</v>
      </c>
      <c r="I303" s="219">
        <v>30.22</v>
      </c>
      <c r="J303" s="217"/>
      <c r="K303" s="219" t="s">
        <v>222</v>
      </c>
      <c r="L303" s="219">
        <v>2624</v>
      </c>
      <c r="M303" s="219">
        <v>51.2</v>
      </c>
      <c r="N303" s="219">
        <v>1859.52</v>
      </c>
      <c r="O303" s="219">
        <v>1.411</v>
      </c>
      <c r="P303" s="219">
        <v>2.8000000000000001E-2</v>
      </c>
      <c r="Q303" s="217"/>
      <c r="R303" s="217"/>
      <c r="S303" s="217"/>
      <c r="T303" s="217"/>
      <c r="U303" s="217"/>
      <c r="V303" s="217"/>
      <c r="W303" s="217"/>
      <c r="X303" s="217"/>
      <c r="Y303" s="217"/>
    </row>
    <row r="304" spans="1:25" ht="16" x14ac:dyDescent="0.2">
      <c r="A304" s="219">
        <v>3089</v>
      </c>
      <c r="B304" s="219" t="s">
        <v>32</v>
      </c>
      <c r="C304" s="219" t="s">
        <v>1858</v>
      </c>
      <c r="D304" s="219">
        <v>361.5</v>
      </c>
      <c r="E304" s="219">
        <v>1076</v>
      </c>
      <c r="F304" s="219">
        <v>359.7</v>
      </c>
      <c r="G304" s="219" t="s">
        <v>2106</v>
      </c>
      <c r="H304" s="219" t="s">
        <v>2033</v>
      </c>
      <c r="I304" s="219">
        <v>30.08</v>
      </c>
      <c r="J304" s="217"/>
      <c r="K304" s="219" t="s">
        <v>222</v>
      </c>
      <c r="L304" s="219">
        <v>1387</v>
      </c>
      <c r="M304" s="219">
        <v>37.200000000000003</v>
      </c>
      <c r="N304" s="219">
        <v>1750.83</v>
      </c>
      <c r="O304" s="219">
        <v>0.79200000000000004</v>
      </c>
      <c r="P304" s="219">
        <v>2.1000000000000001E-2</v>
      </c>
      <c r="Q304" s="217"/>
      <c r="R304" s="217"/>
      <c r="S304" s="217"/>
      <c r="T304" s="217"/>
      <c r="U304" s="217"/>
      <c r="V304" s="217"/>
      <c r="W304" s="217"/>
      <c r="X304" s="217"/>
      <c r="Y304" s="217"/>
    </row>
    <row r="305" spans="1:25" ht="16" x14ac:dyDescent="0.2">
      <c r="A305" s="219">
        <v>3090</v>
      </c>
      <c r="B305" s="219" t="s">
        <v>32</v>
      </c>
      <c r="C305" s="219" t="s">
        <v>1858</v>
      </c>
      <c r="D305" s="219">
        <v>365.5</v>
      </c>
      <c r="E305" s="219">
        <v>1076</v>
      </c>
      <c r="F305" s="219">
        <v>363.7</v>
      </c>
      <c r="G305" s="219" t="s">
        <v>2107</v>
      </c>
      <c r="H305" s="219" t="s">
        <v>2108</v>
      </c>
      <c r="I305" s="219">
        <v>29.84</v>
      </c>
      <c r="J305" s="217"/>
      <c r="K305" s="219" t="s">
        <v>222</v>
      </c>
      <c r="L305" s="219">
        <v>796</v>
      </c>
      <c r="M305" s="219">
        <v>28.2</v>
      </c>
      <c r="N305" s="219">
        <v>1689.57</v>
      </c>
      <c r="O305" s="219">
        <v>0.47099999999999997</v>
      </c>
      <c r="P305" s="219">
        <v>1.7000000000000001E-2</v>
      </c>
      <c r="Q305" s="217"/>
      <c r="R305" s="217"/>
      <c r="S305" s="217"/>
      <c r="T305" s="217"/>
      <c r="U305" s="217"/>
      <c r="V305" s="217"/>
      <c r="W305" s="217"/>
      <c r="X305" s="217"/>
      <c r="Y305" s="217"/>
    </row>
    <row r="306" spans="1:25" ht="16" x14ac:dyDescent="0.2">
      <c r="A306" s="219">
        <v>3091</v>
      </c>
      <c r="B306" s="219" t="s">
        <v>32</v>
      </c>
      <c r="C306" s="219" t="s">
        <v>1858</v>
      </c>
      <c r="D306" s="219">
        <v>370.5</v>
      </c>
      <c r="E306" s="219">
        <v>1076</v>
      </c>
      <c r="F306" s="219">
        <v>368.7</v>
      </c>
      <c r="G306" s="219" t="s">
        <v>2109</v>
      </c>
      <c r="H306" s="219" t="s">
        <v>2110</v>
      </c>
      <c r="I306" s="219">
        <v>29.44</v>
      </c>
      <c r="J306" s="217"/>
      <c r="K306" s="219" t="s">
        <v>222</v>
      </c>
      <c r="L306" s="219">
        <v>1141</v>
      </c>
      <c r="M306" s="219">
        <v>33.799999999999997</v>
      </c>
      <c r="N306" s="219">
        <v>4505.8100000000004</v>
      </c>
      <c r="O306" s="219">
        <v>0.253</v>
      </c>
      <c r="P306" s="219">
        <v>7.0000000000000001E-3</v>
      </c>
      <c r="Q306" s="217"/>
      <c r="R306" s="217"/>
      <c r="S306" s="217"/>
      <c r="T306" s="217"/>
      <c r="U306" s="217"/>
      <c r="V306" s="217"/>
      <c r="W306" s="217"/>
      <c r="X306" s="217"/>
      <c r="Y306" s="217"/>
    </row>
    <row r="307" spans="1:25" ht="16" x14ac:dyDescent="0.2">
      <c r="A307" s="219">
        <v>3092</v>
      </c>
      <c r="B307" s="219" t="s">
        <v>157</v>
      </c>
      <c r="C307" s="219" t="s">
        <v>1858</v>
      </c>
      <c r="D307" s="219">
        <v>169.5</v>
      </c>
      <c r="E307" s="219">
        <v>2093</v>
      </c>
      <c r="F307" s="219">
        <v>170</v>
      </c>
      <c r="G307" s="219" t="s">
        <v>2111</v>
      </c>
      <c r="H307" s="219" t="s">
        <v>2112</v>
      </c>
      <c r="I307" s="219">
        <v>162.51</v>
      </c>
      <c r="J307" s="217"/>
      <c r="K307" s="219" t="s">
        <v>222</v>
      </c>
      <c r="L307" s="219">
        <v>735</v>
      </c>
      <c r="M307" s="219">
        <v>27.1</v>
      </c>
      <c r="N307" s="219">
        <v>1129306.46</v>
      </c>
      <c r="O307" s="219">
        <v>1E-3</v>
      </c>
      <c r="P307" s="219">
        <v>0</v>
      </c>
      <c r="Q307" s="217"/>
      <c r="R307" s="217"/>
      <c r="S307" s="217"/>
      <c r="T307" s="217"/>
      <c r="U307" s="217"/>
      <c r="V307" s="217"/>
      <c r="W307" s="217"/>
      <c r="X307" s="217"/>
      <c r="Y307" s="217"/>
    </row>
    <row r="308" spans="1:25" ht="16" x14ac:dyDescent="0.2">
      <c r="A308" s="219">
        <v>3093</v>
      </c>
      <c r="B308" s="219" t="s">
        <v>157</v>
      </c>
      <c r="C308" s="219" t="s">
        <v>1858</v>
      </c>
      <c r="D308" s="219">
        <v>159.5</v>
      </c>
      <c r="E308" s="219">
        <v>1956</v>
      </c>
      <c r="F308" s="219">
        <v>160</v>
      </c>
      <c r="G308" s="219" t="s">
        <v>2113</v>
      </c>
      <c r="H308" s="219" t="s">
        <v>2114</v>
      </c>
      <c r="I308" s="219">
        <v>159.5</v>
      </c>
      <c r="J308" s="217"/>
      <c r="K308" s="219" t="s">
        <v>222</v>
      </c>
      <c r="L308" s="219">
        <v>504</v>
      </c>
      <c r="M308" s="219">
        <v>22.4</v>
      </c>
      <c r="N308" s="219">
        <v>1653560.42</v>
      </c>
      <c r="O308" s="219">
        <v>0</v>
      </c>
      <c r="P308" s="219">
        <v>0</v>
      </c>
      <c r="Q308" s="217"/>
      <c r="R308" s="217"/>
      <c r="S308" s="217"/>
      <c r="T308" s="217"/>
      <c r="U308" s="217"/>
      <c r="V308" s="217"/>
      <c r="W308" s="217"/>
      <c r="X308" s="217"/>
      <c r="Y308" s="217"/>
    </row>
    <row r="309" spans="1:25" ht="16" x14ac:dyDescent="0.2">
      <c r="A309" s="219">
        <v>3094</v>
      </c>
      <c r="B309" s="219" t="s">
        <v>157</v>
      </c>
      <c r="C309" s="219" t="s">
        <v>1858</v>
      </c>
      <c r="D309" s="219">
        <v>119.509</v>
      </c>
      <c r="E309" s="219">
        <v>1736</v>
      </c>
      <c r="F309" s="219">
        <v>120</v>
      </c>
      <c r="G309" s="219" t="s">
        <v>2115</v>
      </c>
      <c r="H309" s="219" t="s">
        <v>2116</v>
      </c>
      <c r="I309" s="219">
        <v>116.9</v>
      </c>
      <c r="J309" s="217"/>
      <c r="K309" s="219" t="s">
        <v>222</v>
      </c>
      <c r="L309" s="219">
        <v>33</v>
      </c>
      <c r="M309" s="219">
        <v>5.7</v>
      </c>
      <c r="N309" s="219">
        <v>4640004.93</v>
      </c>
      <c r="O309" s="219">
        <v>0</v>
      </c>
      <c r="P309" s="219">
        <v>0</v>
      </c>
      <c r="Q309" s="219" t="s">
        <v>2117</v>
      </c>
      <c r="R309" s="217"/>
      <c r="S309" s="217"/>
      <c r="T309" s="217"/>
      <c r="U309" s="217"/>
      <c r="V309" s="217"/>
      <c r="W309" s="217"/>
      <c r="X309" s="217"/>
      <c r="Y309" s="217"/>
    </row>
    <row r="310" spans="1:25" ht="16" x14ac:dyDescent="0.2">
      <c r="A310" s="219">
        <v>3095</v>
      </c>
      <c r="B310" s="219" t="s">
        <v>33</v>
      </c>
      <c r="C310" s="219" t="s">
        <v>1858</v>
      </c>
      <c r="D310" s="219">
        <v>331.54300000000001</v>
      </c>
      <c r="E310" s="219">
        <v>1076</v>
      </c>
      <c r="F310" s="219">
        <v>330</v>
      </c>
      <c r="G310" s="219" t="s">
        <v>2118</v>
      </c>
      <c r="H310" s="219" t="s">
        <v>2119</v>
      </c>
      <c r="I310" s="219">
        <v>44.13</v>
      </c>
      <c r="J310" s="217"/>
      <c r="K310" s="219" t="s">
        <v>222</v>
      </c>
      <c r="L310" s="219">
        <v>589</v>
      </c>
      <c r="M310" s="219">
        <v>24.3</v>
      </c>
      <c r="N310" s="219">
        <v>4708.4799999999996</v>
      </c>
      <c r="O310" s="219">
        <v>0.125</v>
      </c>
      <c r="P310" s="219">
        <v>5.0000000000000001E-3</v>
      </c>
      <c r="Q310" s="217"/>
      <c r="R310" s="217"/>
      <c r="S310" s="217"/>
      <c r="T310" s="217"/>
      <c r="U310" s="217"/>
      <c r="V310" s="217"/>
      <c r="W310" s="217"/>
      <c r="X310" s="217"/>
      <c r="Y310" s="217"/>
    </row>
    <row r="311" spans="1:25" ht="16" x14ac:dyDescent="0.2">
      <c r="A311" s="219">
        <v>3096</v>
      </c>
      <c r="B311" s="219" t="s">
        <v>33</v>
      </c>
      <c r="C311" s="219" t="s">
        <v>1858</v>
      </c>
      <c r="D311" s="219">
        <v>333.54300000000001</v>
      </c>
      <c r="E311" s="219">
        <v>1076</v>
      </c>
      <c r="F311" s="219">
        <v>332</v>
      </c>
      <c r="G311" s="219" t="s">
        <v>2120</v>
      </c>
      <c r="H311" s="219" t="s">
        <v>2121</v>
      </c>
      <c r="I311" s="219">
        <v>46.7</v>
      </c>
      <c r="J311" s="217"/>
      <c r="K311" s="219" t="s">
        <v>222</v>
      </c>
      <c r="L311" s="219">
        <v>1028</v>
      </c>
      <c r="M311" s="219">
        <v>32.1</v>
      </c>
      <c r="N311" s="219">
        <v>5125.5200000000004</v>
      </c>
      <c r="O311" s="219">
        <v>0.20100000000000001</v>
      </c>
      <c r="P311" s="219">
        <v>6.0000000000000001E-3</v>
      </c>
      <c r="Q311" s="217"/>
      <c r="R311" s="217"/>
      <c r="S311" s="217"/>
      <c r="T311" s="217"/>
      <c r="U311" s="217"/>
      <c r="V311" s="217"/>
      <c r="W311" s="217"/>
      <c r="X311" s="217"/>
      <c r="Y311" s="217"/>
    </row>
    <row r="312" spans="1:25" ht="16" x14ac:dyDescent="0.2">
      <c r="A312" s="219">
        <v>3097</v>
      </c>
      <c r="B312" s="219" t="s">
        <v>33</v>
      </c>
      <c r="C312" s="219" t="s">
        <v>1858</v>
      </c>
      <c r="D312" s="219">
        <v>335.524</v>
      </c>
      <c r="E312" s="219">
        <v>1076</v>
      </c>
      <c r="F312" s="219">
        <v>333.9</v>
      </c>
      <c r="G312" s="219" t="s">
        <v>2122</v>
      </c>
      <c r="H312" s="219" t="s">
        <v>2123</v>
      </c>
      <c r="I312" s="219">
        <v>46.97</v>
      </c>
      <c r="J312" s="217"/>
      <c r="K312" s="219" t="s">
        <v>222</v>
      </c>
      <c r="L312" s="219">
        <v>981</v>
      </c>
      <c r="M312" s="219">
        <v>31.3</v>
      </c>
      <c r="N312" s="219">
        <v>3613.61</v>
      </c>
      <c r="O312" s="219">
        <v>0.27100000000000002</v>
      </c>
      <c r="P312" s="219">
        <v>8.9999999999999993E-3</v>
      </c>
      <c r="Q312" s="217"/>
      <c r="R312" s="217"/>
      <c r="S312" s="217"/>
      <c r="T312" s="217"/>
      <c r="U312" s="217"/>
      <c r="V312" s="217"/>
      <c r="W312" s="217"/>
      <c r="X312" s="217"/>
      <c r="Y312" s="217"/>
    </row>
    <row r="313" spans="1:25" ht="16" x14ac:dyDescent="0.2">
      <c r="A313" s="219">
        <v>3098</v>
      </c>
      <c r="B313" s="219" t="s">
        <v>33</v>
      </c>
      <c r="C313" s="219" t="s">
        <v>1858</v>
      </c>
      <c r="D313" s="219">
        <v>337.51100000000002</v>
      </c>
      <c r="E313" s="219">
        <v>1076</v>
      </c>
      <c r="F313" s="219">
        <v>335.9</v>
      </c>
      <c r="G313" s="219" t="s">
        <v>2124</v>
      </c>
      <c r="H313" s="219" t="s">
        <v>2125</v>
      </c>
      <c r="I313" s="219">
        <v>46.9</v>
      </c>
      <c r="J313" s="217"/>
      <c r="K313" s="219" t="s">
        <v>222</v>
      </c>
      <c r="L313" s="219">
        <v>1171</v>
      </c>
      <c r="M313" s="219">
        <v>34.200000000000003</v>
      </c>
      <c r="N313" s="219">
        <v>2853.03</v>
      </c>
      <c r="O313" s="219">
        <v>0.41</v>
      </c>
      <c r="P313" s="219">
        <v>1.2E-2</v>
      </c>
      <c r="Q313" s="217"/>
      <c r="R313" s="217"/>
      <c r="S313" s="217"/>
      <c r="T313" s="217"/>
      <c r="U313" s="217"/>
      <c r="V313" s="217"/>
      <c r="W313" s="217"/>
      <c r="X313" s="217"/>
      <c r="Y313" s="217"/>
    </row>
    <row r="314" spans="1:25" ht="16" x14ac:dyDescent="0.2">
      <c r="A314" s="219">
        <v>3099</v>
      </c>
      <c r="B314" s="219" t="s">
        <v>33</v>
      </c>
      <c r="C314" s="219" t="s">
        <v>1858</v>
      </c>
      <c r="D314" s="219">
        <v>339.51900000000001</v>
      </c>
      <c r="E314" s="219">
        <v>1076</v>
      </c>
      <c r="F314" s="219">
        <v>337.9</v>
      </c>
      <c r="G314" s="219" t="s">
        <v>2126</v>
      </c>
      <c r="H314" s="219" t="s">
        <v>2127</v>
      </c>
      <c r="I314" s="219">
        <v>46.65</v>
      </c>
      <c r="J314" s="217"/>
      <c r="K314" s="219" t="s">
        <v>222</v>
      </c>
      <c r="L314" s="219">
        <v>2217</v>
      </c>
      <c r="M314" s="219">
        <v>47.1</v>
      </c>
      <c r="N314" s="219">
        <v>2766.83</v>
      </c>
      <c r="O314" s="219">
        <v>0.80100000000000005</v>
      </c>
      <c r="P314" s="219">
        <v>1.7000000000000001E-2</v>
      </c>
      <c r="Q314" s="217"/>
      <c r="R314" s="217"/>
      <c r="S314" s="217"/>
      <c r="T314" s="217"/>
      <c r="U314" s="217"/>
      <c r="V314" s="217"/>
      <c r="W314" s="217"/>
      <c r="X314" s="217"/>
      <c r="Y314" s="217"/>
    </row>
    <row r="315" spans="1:25" ht="16" x14ac:dyDescent="0.2">
      <c r="A315" s="219">
        <v>3100</v>
      </c>
      <c r="B315" s="219" t="s">
        <v>33</v>
      </c>
      <c r="C315" s="219" t="s">
        <v>1858</v>
      </c>
      <c r="D315" s="219">
        <v>340.512</v>
      </c>
      <c r="E315" s="219">
        <v>1076</v>
      </c>
      <c r="F315" s="219">
        <v>338.9</v>
      </c>
      <c r="G315" s="219" t="s">
        <v>2128</v>
      </c>
      <c r="H315" s="219" t="s">
        <v>2129</v>
      </c>
      <c r="I315" s="219">
        <v>46.72</v>
      </c>
      <c r="J315" s="217"/>
      <c r="K315" s="219" t="s">
        <v>222</v>
      </c>
      <c r="L315" s="219">
        <v>4652</v>
      </c>
      <c r="M315" s="219">
        <v>68.2</v>
      </c>
      <c r="N315" s="219">
        <v>3720.19</v>
      </c>
      <c r="O315" s="219">
        <v>1.25</v>
      </c>
      <c r="P315" s="219">
        <v>1.7999999999999999E-2</v>
      </c>
      <c r="Q315" s="217"/>
      <c r="R315" s="217"/>
      <c r="S315" s="217"/>
      <c r="T315" s="217"/>
      <c r="U315" s="217"/>
      <c r="V315" s="217"/>
      <c r="W315" s="217"/>
      <c r="X315" s="217"/>
      <c r="Y315" s="217"/>
    </row>
    <row r="316" spans="1:25" ht="16" x14ac:dyDescent="0.2">
      <c r="A316" s="219">
        <v>3101</v>
      </c>
      <c r="B316" s="219" t="s">
        <v>33</v>
      </c>
      <c r="C316" s="219" t="s">
        <v>1858</v>
      </c>
      <c r="D316" s="219">
        <v>341.50599999999997</v>
      </c>
      <c r="E316" s="219">
        <v>1076</v>
      </c>
      <c r="F316" s="219">
        <v>339.9</v>
      </c>
      <c r="G316" s="219" t="s">
        <v>2130</v>
      </c>
      <c r="H316" s="219" t="s">
        <v>2131</v>
      </c>
      <c r="I316" s="219">
        <v>46.48</v>
      </c>
      <c r="J316" s="217"/>
      <c r="K316" s="219" t="s">
        <v>222</v>
      </c>
      <c r="L316" s="219">
        <v>5421</v>
      </c>
      <c r="M316" s="219">
        <v>73.599999999999994</v>
      </c>
      <c r="N316" s="219">
        <v>2474.9</v>
      </c>
      <c r="O316" s="219">
        <v>2.19</v>
      </c>
      <c r="P316" s="219">
        <v>0.03</v>
      </c>
      <c r="Q316" s="217"/>
      <c r="R316" s="217"/>
      <c r="S316" s="217"/>
      <c r="T316" s="217"/>
      <c r="U316" s="217"/>
      <c r="V316" s="217"/>
      <c r="W316" s="217"/>
      <c r="X316" s="217"/>
      <c r="Y316" s="217"/>
    </row>
    <row r="317" spans="1:25" ht="16" x14ac:dyDescent="0.2">
      <c r="A317" s="219">
        <v>3102</v>
      </c>
      <c r="B317" s="219" t="s">
        <v>33</v>
      </c>
      <c r="C317" s="219" t="s">
        <v>1858</v>
      </c>
      <c r="D317" s="219">
        <v>342.52</v>
      </c>
      <c r="E317" s="219">
        <v>886</v>
      </c>
      <c r="F317" s="219">
        <v>340.7</v>
      </c>
      <c r="G317" s="219" t="s">
        <v>2132</v>
      </c>
      <c r="H317" s="219" t="s">
        <v>2133</v>
      </c>
      <c r="I317" s="219">
        <v>23.95</v>
      </c>
      <c r="J317" s="217"/>
      <c r="K317" s="219" t="s">
        <v>222</v>
      </c>
      <c r="L317" s="219">
        <v>4912</v>
      </c>
      <c r="M317" s="219">
        <v>70.099999999999994</v>
      </c>
      <c r="N317" s="219">
        <v>1298.3499999999999</v>
      </c>
      <c r="O317" s="219">
        <v>3.7829999999999999</v>
      </c>
      <c r="P317" s="219">
        <v>5.3999999999999999E-2</v>
      </c>
      <c r="Q317" s="217"/>
      <c r="R317" s="217"/>
      <c r="S317" s="217"/>
      <c r="T317" s="217"/>
      <c r="U317" s="217"/>
      <c r="V317" s="217"/>
      <c r="W317" s="217"/>
      <c r="X317" s="217"/>
      <c r="Y317" s="217"/>
    </row>
    <row r="318" spans="1:25" ht="16" x14ac:dyDescent="0.2">
      <c r="A318" s="219">
        <v>3103</v>
      </c>
      <c r="B318" s="219" t="s">
        <v>33</v>
      </c>
      <c r="C318" s="219" t="s">
        <v>1858</v>
      </c>
      <c r="D318" s="219">
        <v>343.51400000000001</v>
      </c>
      <c r="E318" s="219">
        <v>886</v>
      </c>
      <c r="F318" s="219">
        <v>341.7</v>
      </c>
      <c r="G318" s="219" t="s">
        <v>2134</v>
      </c>
      <c r="H318" s="219" t="s">
        <v>2135</v>
      </c>
      <c r="I318" s="219">
        <v>25.66</v>
      </c>
      <c r="J318" s="217"/>
      <c r="K318" s="219" t="s">
        <v>222</v>
      </c>
      <c r="L318" s="219">
        <v>9372</v>
      </c>
      <c r="M318" s="219">
        <v>96.8</v>
      </c>
      <c r="N318" s="219">
        <v>1523.32</v>
      </c>
      <c r="O318" s="219">
        <v>6.1520000000000001</v>
      </c>
      <c r="P318" s="219">
        <v>6.4000000000000001E-2</v>
      </c>
      <c r="Q318" s="217"/>
      <c r="R318" s="217"/>
      <c r="S318" s="217"/>
      <c r="T318" s="217"/>
      <c r="U318" s="217"/>
      <c r="V318" s="217"/>
      <c r="W318" s="217"/>
      <c r="X318" s="217"/>
      <c r="Y318" s="217"/>
    </row>
    <row r="319" spans="1:25" ht="16" x14ac:dyDescent="0.2">
      <c r="A319" s="219">
        <v>3104</v>
      </c>
      <c r="B319" s="219" t="s">
        <v>33</v>
      </c>
      <c r="C319" s="219" t="s">
        <v>1858</v>
      </c>
      <c r="D319" s="219">
        <v>344.50700000000001</v>
      </c>
      <c r="E319" s="219">
        <v>886</v>
      </c>
      <c r="F319" s="219">
        <v>342.7</v>
      </c>
      <c r="G319" s="219" t="s">
        <v>2136</v>
      </c>
      <c r="H319" s="219" t="s">
        <v>2137</v>
      </c>
      <c r="I319" s="219">
        <v>28.88</v>
      </c>
      <c r="J319" s="217"/>
      <c r="K319" s="219" t="s">
        <v>222</v>
      </c>
      <c r="L319" s="219">
        <v>14904</v>
      </c>
      <c r="M319" s="219">
        <v>122.1</v>
      </c>
      <c r="N319" s="219">
        <v>1889.2</v>
      </c>
      <c r="O319" s="219">
        <v>7.8890000000000002</v>
      </c>
      <c r="P319" s="219">
        <v>6.5000000000000002E-2</v>
      </c>
      <c r="Q319" s="217"/>
      <c r="R319" s="217"/>
      <c r="S319" s="217"/>
      <c r="T319" s="217"/>
      <c r="U319" s="217"/>
      <c r="V319" s="217"/>
      <c r="W319" s="217"/>
      <c r="X319" s="217"/>
      <c r="Y319" s="217"/>
    </row>
    <row r="320" spans="1:25" ht="16" x14ac:dyDescent="0.2">
      <c r="A320" s="219">
        <v>3105</v>
      </c>
      <c r="B320" s="219" t="s">
        <v>33</v>
      </c>
      <c r="C320" s="219" t="s">
        <v>1858</v>
      </c>
      <c r="D320" s="219">
        <v>345.51400000000001</v>
      </c>
      <c r="E320" s="219">
        <v>886</v>
      </c>
      <c r="F320" s="219">
        <v>343.7</v>
      </c>
      <c r="G320" s="219" t="s">
        <v>2138</v>
      </c>
      <c r="H320" s="219" t="s">
        <v>2139</v>
      </c>
      <c r="I320" s="219">
        <v>30.74</v>
      </c>
      <c r="J320" s="217"/>
      <c r="K320" s="219" t="s">
        <v>222</v>
      </c>
      <c r="L320" s="219">
        <v>16461</v>
      </c>
      <c r="M320" s="219">
        <v>128.30000000000001</v>
      </c>
      <c r="N320" s="219">
        <v>1848.14</v>
      </c>
      <c r="O320" s="219">
        <v>8.907</v>
      </c>
      <c r="P320" s="219">
        <v>6.9000000000000006E-2</v>
      </c>
      <c r="Q320" s="217"/>
      <c r="R320" s="217"/>
      <c r="S320" s="217"/>
      <c r="T320" s="217"/>
      <c r="U320" s="217"/>
      <c r="V320" s="217"/>
      <c r="W320" s="217"/>
      <c r="X320" s="217"/>
      <c r="Y320" s="217"/>
    </row>
    <row r="321" spans="1:25" ht="16" x14ac:dyDescent="0.2">
      <c r="A321" s="219">
        <v>3106</v>
      </c>
      <c r="B321" s="219" t="s">
        <v>33</v>
      </c>
      <c r="C321" s="219" t="s">
        <v>1858</v>
      </c>
      <c r="D321" s="219">
        <v>346.51499999999999</v>
      </c>
      <c r="E321" s="219">
        <v>886</v>
      </c>
      <c r="F321" s="219">
        <v>344.7</v>
      </c>
      <c r="G321" s="219" t="s">
        <v>2140</v>
      </c>
      <c r="H321" s="219" t="s">
        <v>2141</v>
      </c>
      <c r="I321" s="219">
        <v>31.21</v>
      </c>
      <c r="J321" s="217"/>
      <c r="K321" s="219" t="s">
        <v>222</v>
      </c>
      <c r="L321" s="219">
        <v>15310</v>
      </c>
      <c r="M321" s="219">
        <v>123.7</v>
      </c>
      <c r="N321" s="219">
        <v>1661.67</v>
      </c>
      <c r="O321" s="219">
        <v>9.2140000000000004</v>
      </c>
      <c r="P321" s="219">
        <v>7.3999999999999996E-2</v>
      </c>
      <c r="Q321" s="217"/>
      <c r="R321" s="217"/>
      <c r="S321" s="217"/>
      <c r="T321" s="217"/>
      <c r="U321" s="217"/>
      <c r="V321" s="217"/>
      <c r="W321" s="217"/>
      <c r="X321" s="217"/>
      <c r="Y321" s="217"/>
    </row>
    <row r="322" spans="1:25" ht="16" x14ac:dyDescent="0.2">
      <c r="A322" s="219">
        <v>3107</v>
      </c>
      <c r="B322" s="219" t="s">
        <v>33</v>
      </c>
      <c r="C322" s="219" t="s">
        <v>1858</v>
      </c>
      <c r="D322" s="219">
        <v>347.51499999999999</v>
      </c>
      <c r="E322" s="219">
        <v>886</v>
      </c>
      <c r="F322" s="219">
        <v>345.7</v>
      </c>
      <c r="G322" s="219" t="s">
        <v>2142</v>
      </c>
      <c r="H322" s="219" t="s">
        <v>2143</v>
      </c>
      <c r="I322" s="219">
        <v>30.25</v>
      </c>
      <c r="J322" s="217"/>
      <c r="K322" s="219" t="s">
        <v>222</v>
      </c>
      <c r="L322" s="219">
        <v>15327</v>
      </c>
      <c r="M322" s="219">
        <v>123.8</v>
      </c>
      <c r="N322" s="219">
        <v>1694.5</v>
      </c>
      <c r="O322" s="219">
        <v>9.0449999999999999</v>
      </c>
      <c r="P322" s="219">
        <v>7.2999999999999995E-2</v>
      </c>
      <c r="Q322" s="217"/>
      <c r="R322" s="217"/>
      <c r="S322" s="217"/>
      <c r="T322" s="217"/>
      <c r="U322" s="217"/>
      <c r="V322" s="217"/>
      <c r="W322" s="217"/>
      <c r="X322" s="217"/>
      <c r="Y322" s="217"/>
    </row>
    <row r="323" spans="1:25" ht="16" x14ac:dyDescent="0.2">
      <c r="A323" s="219">
        <v>3108</v>
      </c>
      <c r="B323" s="219" t="s">
        <v>33</v>
      </c>
      <c r="C323" s="219" t="s">
        <v>1858</v>
      </c>
      <c r="D323" s="219">
        <v>348.52199999999999</v>
      </c>
      <c r="E323" s="219">
        <v>886</v>
      </c>
      <c r="F323" s="219">
        <v>346.7</v>
      </c>
      <c r="G323" s="219" t="s">
        <v>2144</v>
      </c>
      <c r="H323" s="219" t="s">
        <v>2145</v>
      </c>
      <c r="I323" s="219">
        <v>31.47</v>
      </c>
      <c r="J323" s="217"/>
      <c r="K323" s="219" t="s">
        <v>222</v>
      </c>
      <c r="L323" s="219">
        <v>15713</v>
      </c>
      <c r="M323" s="219">
        <v>125.4</v>
      </c>
      <c r="N323" s="219">
        <v>1834.69</v>
      </c>
      <c r="O323" s="219">
        <v>8.5640000000000001</v>
      </c>
      <c r="P323" s="219">
        <v>6.8000000000000005E-2</v>
      </c>
      <c r="Q323" s="217"/>
      <c r="R323" s="217"/>
      <c r="S323" s="217"/>
      <c r="T323" s="217"/>
      <c r="U323" s="217"/>
      <c r="V323" s="217"/>
      <c r="W323" s="217"/>
      <c r="X323" s="217"/>
      <c r="Y323" s="217"/>
    </row>
    <row r="324" spans="1:25" ht="16" x14ac:dyDescent="0.2">
      <c r="A324" s="219">
        <v>3109</v>
      </c>
      <c r="B324" s="219" t="s">
        <v>33</v>
      </c>
      <c r="C324" s="219" t="s">
        <v>1858</v>
      </c>
      <c r="D324" s="219">
        <v>349.52300000000002</v>
      </c>
      <c r="E324" s="219">
        <v>886</v>
      </c>
      <c r="F324" s="219">
        <v>347.7</v>
      </c>
      <c r="G324" s="219" t="s">
        <v>2146</v>
      </c>
      <c r="H324" s="219" t="s">
        <v>2147</v>
      </c>
      <c r="I324" s="219">
        <v>31.83</v>
      </c>
      <c r="J324" s="217"/>
      <c r="K324" s="219" t="s">
        <v>222</v>
      </c>
      <c r="L324" s="219">
        <v>13700</v>
      </c>
      <c r="M324" s="219">
        <v>117</v>
      </c>
      <c r="N324" s="219">
        <v>1784.97</v>
      </c>
      <c r="O324" s="219">
        <v>7.6749999999999998</v>
      </c>
      <c r="P324" s="219">
        <v>6.6000000000000003E-2</v>
      </c>
      <c r="Q324" s="217"/>
      <c r="R324" s="217"/>
      <c r="S324" s="217"/>
      <c r="T324" s="217"/>
      <c r="U324" s="217"/>
      <c r="V324" s="217"/>
      <c r="W324" s="217"/>
      <c r="X324" s="217"/>
      <c r="Y324" s="217"/>
    </row>
    <row r="325" spans="1:25" ht="16" x14ac:dyDescent="0.2">
      <c r="A325" s="219">
        <v>3110</v>
      </c>
      <c r="B325" s="219" t="s">
        <v>33</v>
      </c>
      <c r="C325" s="219" t="s">
        <v>1858</v>
      </c>
      <c r="D325" s="219">
        <v>351.517</v>
      </c>
      <c r="E325" s="219">
        <v>886</v>
      </c>
      <c r="F325" s="219">
        <v>349.6</v>
      </c>
      <c r="G325" s="219" t="s">
        <v>2148</v>
      </c>
      <c r="H325" s="219" t="s">
        <v>2149</v>
      </c>
      <c r="I325" s="219">
        <v>33.700000000000003</v>
      </c>
      <c r="J325" s="217"/>
      <c r="K325" s="219" t="s">
        <v>222</v>
      </c>
      <c r="L325" s="219">
        <v>9735</v>
      </c>
      <c r="M325" s="219">
        <v>98.7</v>
      </c>
      <c r="N325" s="219">
        <v>1796.23</v>
      </c>
      <c r="O325" s="219">
        <v>5.42</v>
      </c>
      <c r="P325" s="219">
        <v>5.5E-2</v>
      </c>
      <c r="Q325" s="217"/>
      <c r="R325" s="217"/>
      <c r="S325" s="217"/>
      <c r="T325" s="217"/>
      <c r="U325" s="217"/>
      <c r="V325" s="217"/>
      <c r="W325" s="217"/>
      <c r="X325" s="217"/>
      <c r="Y325" s="217"/>
    </row>
    <row r="326" spans="1:25" ht="16" x14ac:dyDescent="0.2">
      <c r="A326" s="219">
        <v>3111</v>
      </c>
      <c r="B326" s="219" t="s">
        <v>33</v>
      </c>
      <c r="C326" s="219" t="s">
        <v>1858</v>
      </c>
      <c r="D326" s="219">
        <v>353.517</v>
      </c>
      <c r="E326" s="219">
        <v>886</v>
      </c>
      <c r="F326" s="219">
        <v>351.6</v>
      </c>
      <c r="G326" s="219" t="s">
        <v>1938</v>
      </c>
      <c r="H326" s="219" t="s">
        <v>2150</v>
      </c>
      <c r="I326" s="219">
        <v>31.87</v>
      </c>
      <c r="J326" s="217"/>
      <c r="K326" s="219" t="s">
        <v>222</v>
      </c>
      <c r="L326" s="219">
        <v>7164</v>
      </c>
      <c r="M326" s="219">
        <v>84.6</v>
      </c>
      <c r="N326" s="219">
        <v>1796.02</v>
      </c>
      <c r="O326" s="219">
        <v>3.9889999999999999</v>
      </c>
      <c r="P326" s="219">
        <v>4.7E-2</v>
      </c>
      <c r="Q326" s="217"/>
      <c r="R326" s="217"/>
      <c r="S326" s="217"/>
      <c r="T326" s="217"/>
      <c r="U326" s="217"/>
      <c r="V326" s="217"/>
      <c r="W326" s="217"/>
      <c r="X326" s="217"/>
      <c r="Y326" s="217"/>
    </row>
    <row r="327" spans="1:25" ht="16" x14ac:dyDescent="0.2">
      <c r="A327" s="219">
        <v>3112</v>
      </c>
      <c r="B327" s="219" t="s">
        <v>33</v>
      </c>
      <c r="C327" s="219" t="s">
        <v>1858</v>
      </c>
      <c r="D327" s="219">
        <v>355.51799999999997</v>
      </c>
      <c r="E327" s="219">
        <v>886</v>
      </c>
      <c r="F327" s="219">
        <v>353.6</v>
      </c>
      <c r="G327" s="219" t="s">
        <v>2151</v>
      </c>
      <c r="H327" s="219" t="s">
        <v>2152</v>
      </c>
      <c r="I327" s="219">
        <v>31.43</v>
      </c>
      <c r="J327" s="217"/>
      <c r="K327" s="219" t="s">
        <v>222</v>
      </c>
      <c r="L327" s="219">
        <v>4530</v>
      </c>
      <c r="M327" s="219">
        <v>67.3</v>
      </c>
      <c r="N327" s="219">
        <v>1684.26</v>
      </c>
      <c r="O327" s="219">
        <v>2.69</v>
      </c>
      <c r="P327" s="219">
        <v>0.04</v>
      </c>
      <c r="Q327" s="217"/>
      <c r="R327" s="217"/>
      <c r="S327" s="217"/>
      <c r="T327" s="217"/>
      <c r="U327" s="217"/>
      <c r="V327" s="217"/>
      <c r="W327" s="217"/>
      <c r="X327" s="217"/>
      <c r="Y327" s="217"/>
    </row>
    <row r="328" spans="1:25" ht="16" x14ac:dyDescent="0.2">
      <c r="A328" s="219">
        <v>3113</v>
      </c>
      <c r="B328" s="219" t="s">
        <v>33</v>
      </c>
      <c r="C328" s="219" t="s">
        <v>1858</v>
      </c>
      <c r="D328" s="219">
        <v>358.52600000000001</v>
      </c>
      <c r="E328" s="219">
        <v>886</v>
      </c>
      <c r="F328" s="219">
        <v>356.6</v>
      </c>
      <c r="G328" s="219" t="s">
        <v>2153</v>
      </c>
      <c r="H328" s="219" t="s">
        <v>2154</v>
      </c>
      <c r="I328" s="219">
        <v>30.88</v>
      </c>
      <c r="J328" s="217"/>
      <c r="K328" s="219" t="s">
        <v>222</v>
      </c>
      <c r="L328" s="219">
        <v>2410</v>
      </c>
      <c r="M328" s="219">
        <v>49.1</v>
      </c>
      <c r="N328" s="219">
        <v>1683.07</v>
      </c>
      <c r="O328" s="219">
        <v>1.4319999999999999</v>
      </c>
      <c r="P328" s="219">
        <v>2.9000000000000001E-2</v>
      </c>
      <c r="Q328" s="217"/>
      <c r="R328" s="217"/>
      <c r="S328" s="217"/>
      <c r="T328" s="217"/>
      <c r="U328" s="217"/>
      <c r="V328" s="217"/>
      <c r="W328" s="217"/>
      <c r="X328" s="217"/>
      <c r="Y328" s="217"/>
    </row>
    <row r="329" spans="1:25" ht="16" x14ac:dyDescent="0.2">
      <c r="A329" s="219">
        <v>3114</v>
      </c>
      <c r="B329" s="219" t="s">
        <v>33</v>
      </c>
      <c r="C329" s="219" t="s">
        <v>1858</v>
      </c>
      <c r="D329" s="219">
        <v>361.52699999999999</v>
      </c>
      <c r="E329" s="219">
        <v>886</v>
      </c>
      <c r="F329" s="219">
        <v>359.6</v>
      </c>
      <c r="G329" s="219" t="s">
        <v>2155</v>
      </c>
      <c r="H329" s="219" t="s">
        <v>2156</v>
      </c>
      <c r="I329" s="219">
        <v>30.8</v>
      </c>
      <c r="J329" s="217"/>
      <c r="K329" s="219" t="s">
        <v>222</v>
      </c>
      <c r="L329" s="219">
        <v>1394</v>
      </c>
      <c r="M329" s="219">
        <v>37.299999999999997</v>
      </c>
      <c r="N329" s="219">
        <v>1663.87</v>
      </c>
      <c r="O329" s="219">
        <v>0.83799999999999997</v>
      </c>
      <c r="P329" s="219">
        <v>2.1999999999999999E-2</v>
      </c>
      <c r="Q329" s="217"/>
      <c r="R329" s="217"/>
      <c r="S329" s="217"/>
      <c r="T329" s="217"/>
      <c r="U329" s="217"/>
      <c r="V329" s="217"/>
      <c r="W329" s="217"/>
      <c r="X329" s="217"/>
      <c r="Y329" s="217"/>
    </row>
    <row r="330" spans="1:25" ht="16" x14ac:dyDescent="0.2">
      <c r="A330" s="219">
        <v>3115</v>
      </c>
      <c r="B330" s="219" t="s">
        <v>33</v>
      </c>
      <c r="C330" s="219" t="s">
        <v>1858</v>
      </c>
      <c r="D330" s="219">
        <v>365.53500000000003</v>
      </c>
      <c r="E330" s="219">
        <v>886</v>
      </c>
      <c r="F330" s="219">
        <v>363.6</v>
      </c>
      <c r="G330" s="219" t="s">
        <v>2157</v>
      </c>
      <c r="H330" s="219" t="s">
        <v>2158</v>
      </c>
      <c r="I330" s="219">
        <v>31.85</v>
      </c>
      <c r="J330" s="217"/>
      <c r="K330" s="219" t="s">
        <v>222</v>
      </c>
      <c r="L330" s="219">
        <v>769</v>
      </c>
      <c r="M330" s="219">
        <v>27.7</v>
      </c>
      <c r="N330" s="219">
        <v>1819.55</v>
      </c>
      <c r="O330" s="219">
        <v>0.42299999999999999</v>
      </c>
      <c r="P330" s="219">
        <v>1.4999999999999999E-2</v>
      </c>
      <c r="Q330" s="217"/>
      <c r="R330" s="217"/>
      <c r="S330" s="217"/>
      <c r="T330" s="217"/>
      <c r="U330" s="217"/>
      <c r="V330" s="217"/>
      <c r="W330" s="217"/>
      <c r="X330" s="217"/>
      <c r="Y330" s="217"/>
    </row>
    <row r="331" spans="1:25" ht="16" x14ac:dyDescent="0.2">
      <c r="A331" s="219">
        <v>3116</v>
      </c>
      <c r="B331" s="219" t="s">
        <v>33</v>
      </c>
      <c r="C331" s="219" t="s">
        <v>1858</v>
      </c>
      <c r="D331" s="219">
        <v>370.517</v>
      </c>
      <c r="E331" s="219">
        <v>886</v>
      </c>
      <c r="F331" s="219">
        <v>368.5</v>
      </c>
      <c r="G331" s="219" t="s">
        <v>2159</v>
      </c>
      <c r="H331" s="219" t="s">
        <v>2160</v>
      </c>
      <c r="I331" s="219">
        <v>30.25</v>
      </c>
      <c r="J331" s="217"/>
      <c r="K331" s="219" t="s">
        <v>222</v>
      </c>
      <c r="L331" s="219">
        <v>350</v>
      </c>
      <c r="M331" s="219">
        <v>18.7</v>
      </c>
      <c r="N331" s="219">
        <v>1668.97</v>
      </c>
      <c r="O331" s="219">
        <v>0.21</v>
      </c>
      <c r="P331" s="219">
        <v>1.0999999999999999E-2</v>
      </c>
      <c r="Q331" s="222" t="s">
        <v>2161</v>
      </c>
      <c r="R331" s="217"/>
      <c r="S331" s="217"/>
      <c r="T331" s="217"/>
      <c r="U331" s="217"/>
      <c r="V331" s="217"/>
      <c r="W331" s="217"/>
      <c r="X331" s="217"/>
      <c r="Y331" s="217"/>
    </row>
    <row r="332" spans="1:25" ht="16" x14ac:dyDescent="0.2">
      <c r="A332" s="219">
        <v>3117</v>
      </c>
      <c r="B332" s="219" t="s">
        <v>29</v>
      </c>
      <c r="C332" s="219" t="s">
        <v>2080</v>
      </c>
      <c r="D332" s="219">
        <v>331.61</v>
      </c>
      <c r="E332" s="219">
        <v>886</v>
      </c>
      <c r="F332" s="219">
        <v>329.9</v>
      </c>
      <c r="G332" s="219" t="s">
        <v>2162</v>
      </c>
      <c r="H332" s="219" t="s">
        <v>2163</v>
      </c>
      <c r="I332" s="219">
        <v>37.090000000000003</v>
      </c>
      <c r="J332" s="217"/>
      <c r="K332" s="219" t="s">
        <v>222</v>
      </c>
      <c r="L332" s="219">
        <v>533</v>
      </c>
      <c r="M332" s="219">
        <v>23.1</v>
      </c>
      <c r="N332" s="219">
        <v>3212.66</v>
      </c>
      <c r="O332" s="219">
        <v>0.16600000000000001</v>
      </c>
      <c r="P332" s="219">
        <v>7.0000000000000001E-3</v>
      </c>
      <c r="Q332" s="217"/>
      <c r="R332" s="217"/>
      <c r="S332" s="217"/>
      <c r="T332" s="217"/>
      <c r="U332" s="217"/>
      <c r="V332" s="217"/>
      <c r="W332" s="217"/>
      <c r="X332" s="217"/>
      <c r="Y332" s="217"/>
    </row>
    <row r="333" spans="1:25" ht="16" x14ac:dyDescent="0.2">
      <c r="A333" s="219">
        <v>3118</v>
      </c>
      <c r="B333" s="219" t="s">
        <v>29</v>
      </c>
      <c r="C333" s="219" t="s">
        <v>2080</v>
      </c>
      <c r="D333" s="219">
        <v>333.61</v>
      </c>
      <c r="E333" s="219">
        <v>886</v>
      </c>
      <c r="F333" s="219">
        <v>331.8</v>
      </c>
      <c r="G333" s="219" t="s">
        <v>2164</v>
      </c>
      <c r="H333" s="219" t="s">
        <v>2165</v>
      </c>
      <c r="I333" s="219">
        <v>37.44</v>
      </c>
      <c r="J333" s="217"/>
      <c r="K333" s="219" t="s">
        <v>222</v>
      </c>
      <c r="L333" s="219">
        <v>666</v>
      </c>
      <c r="M333" s="219">
        <v>25.8</v>
      </c>
      <c r="N333" s="219">
        <v>2665.26</v>
      </c>
      <c r="O333" s="219">
        <v>0.25</v>
      </c>
      <c r="P333" s="219">
        <v>0.01</v>
      </c>
      <c r="Q333" s="217"/>
      <c r="R333" s="217"/>
      <c r="S333" s="217"/>
      <c r="T333" s="217"/>
      <c r="U333" s="217"/>
      <c r="V333" s="217"/>
      <c r="W333" s="217"/>
      <c r="X333" s="217"/>
      <c r="Y333" s="217"/>
    </row>
    <row r="334" spans="1:25" ht="16" x14ac:dyDescent="0.2">
      <c r="A334" s="219">
        <v>3119</v>
      </c>
      <c r="B334" s="219" t="s">
        <v>29</v>
      </c>
      <c r="C334" s="219" t="s">
        <v>2080</v>
      </c>
      <c r="D334" s="219">
        <v>335.61799999999999</v>
      </c>
      <c r="E334" s="219">
        <v>886</v>
      </c>
      <c r="F334" s="219">
        <v>333.8</v>
      </c>
      <c r="G334" s="219" t="s">
        <v>2166</v>
      </c>
      <c r="H334" s="219" t="s">
        <v>2167</v>
      </c>
      <c r="I334" s="219">
        <v>36</v>
      </c>
      <c r="J334" s="217"/>
      <c r="K334" s="219" t="s">
        <v>222</v>
      </c>
      <c r="L334" s="219">
        <v>1431</v>
      </c>
      <c r="M334" s="219">
        <v>37.799999999999997</v>
      </c>
      <c r="N334" s="219">
        <v>4171.04</v>
      </c>
      <c r="O334" s="219">
        <v>0.34300000000000003</v>
      </c>
      <c r="P334" s="219">
        <v>8.9999999999999993E-3</v>
      </c>
      <c r="Q334" s="217"/>
      <c r="R334" s="217"/>
      <c r="S334" s="217"/>
      <c r="T334" s="217"/>
      <c r="U334" s="217"/>
      <c r="V334" s="217"/>
      <c r="W334" s="217"/>
      <c r="X334" s="217"/>
      <c r="Y334" s="217"/>
    </row>
    <row r="335" spans="1:25" ht="16" x14ac:dyDescent="0.2">
      <c r="A335" s="219">
        <v>3120</v>
      </c>
      <c r="B335" s="219" t="s">
        <v>29</v>
      </c>
      <c r="C335" s="219" t="s">
        <v>2080</v>
      </c>
      <c r="D335" s="219">
        <v>337.625</v>
      </c>
      <c r="E335" s="219">
        <v>886</v>
      </c>
      <c r="F335" s="219">
        <v>335.8</v>
      </c>
      <c r="G335" s="219" t="s">
        <v>2168</v>
      </c>
      <c r="H335" s="219" t="s">
        <v>2169</v>
      </c>
      <c r="I335" s="219">
        <v>37.590000000000003</v>
      </c>
      <c r="J335" s="217"/>
      <c r="K335" s="219" t="s">
        <v>222</v>
      </c>
      <c r="L335" s="219">
        <v>2454</v>
      </c>
      <c r="M335" s="219">
        <v>49.5</v>
      </c>
      <c r="N335" s="219">
        <v>4240.9799999999996</v>
      </c>
      <c r="O335" s="219">
        <v>0.57899999999999996</v>
      </c>
      <c r="P335" s="219">
        <v>1.2E-2</v>
      </c>
      <c r="Q335" s="217"/>
      <c r="R335" s="217"/>
      <c r="S335" s="217"/>
      <c r="T335" s="217"/>
      <c r="U335" s="217"/>
      <c r="V335" s="217"/>
      <c r="W335" s="217"/>
      <c r="X335" s="217"/>
      <c r="Y335" s="217"/>
    </row>
    <row r="336" spans="1:25" ht="16" x14ac:dyDescent="0.2">
      <c r="A336" s="219">
        <v>3121</v>
      </c>
      <c r="B336" s="219" t="s">
        <v>29</v>
      </c>
      <c r="C336" s="219" t="s">
        <v>2080</v>
      </c>
      <c r="D336" s="219">
        <v>339.62599999999998</v>
      </c>
      <c r="E336" s="219">
        <v>886</v>
      </c>
      <c r="F336" s="219">
        <v>337.8</v>
      </c>
      <c r="G336" s="219" t="s">
        <v>2170</v>
      </c>
      <c r="H336" s="219" t="s">
        <v>2171</v>
      </c>
      <c r="I336" s="219">
        <v>37.97</v>
      </c>
      <c r="J336" s="217"/>
      <c r="K336" s="219" t="s">
        <v>222</v>
      </c>
      <c r="L336" s="219">
        <v>3566</v>
      </c>
      <c r="M336" s="219">
        <v>59.7</v>
      </c>
      <c r="N336" s="219">
        <v>2952.49</v>
      </c>
      <c r="O336" s="219">
        <v>1.208</v>
      </c>
      <c r="P336" s="219">
        <v>0.02</v>
      </c>
      <c r="Q336" s="217"/>
      <c r="R336" s="217"/>
      <c r="S336" s="217"/>
      <c r="T336" s="217"/>
      <c r="U336" s="217"/>
      <c r="V336" s="217"/>
      <c r="W336" s="217"/>
      <c r="X336" s="217"/>
      <c r="Y336" s="217"/>
    </row>
    <row r="337" spans="1:25" ht="16" x14ac:dyDescent="0.2">
      <c r="A337" s="219">
        <v>3122</v>
      </c>
      <c r="B337" s="219" t="s">
        <v>29</v>
      </c>
      <c r="C337" s="219" t="s">
        <v>2080</v>
      </c>
      <c r="D337" s="219">
        <v>340.62700000000001</v>
      </c>
      <c r="E337" s="219">
        <v>886</v>
      </c>
      <c r="F337" s="219">
        <v>338.8</v>
      </c>
      <c r="G337" s="219" t="s">
        <v>2172</v>
      </c>
      <c r="H337" s="219" t="s">
        <v>1870</v>
      </c>
      <c r="I337" s="219">
        <v>38.43</v>
      </c>
      <c r="J337" s="217"/>
      <c r="K337" s="219" t="s">
        <v>222</v>
      </c>
      <c r="L337" s="219">
        <v>3349</v>
      </c>
      <c r="M337" s="219">
        <v>57.9</v>
      </c>
      <c r="N337" s="219">
        <v>2064.81</v>
      </c>
      <c r="O337" s="219">
        <v>1.6220000000000001</v>
      </c>
      <c r="P337" s="219">
        <v>2.8000000000000001E-2</v>
      </c>
      <c r="Q337" s="217"/>
      <c r="R337" s="217"/>
      <c r="S337" s="217"/>
      <c r="T337" s="217"/>
      <c r="U337" s="217"/>
      <c r="V337" s="217"/>
      <c r="W337" s="217"/>
      <c r="X337" s="217"/>
      <c r="Y337" s="217"/>
    </row>
    <row r="338" spans="1:25" ht="16" x14ac:dyDescent="0.2">
      <c r="A338" s="219">
        <v>3123</v>
      </c>
      <c r="B338" s="219" t="s">
        <v>29</v>
      </c>
      <c r="C338" s="219" t="s">
        <v>2080</v>
      </c>
      <c r="D338" s="219">
        <v>341.63400000000001</v>
      </c>
      <c r="E338" s="219">
        <v>886</v>
      </c>
      <c r="F338" s="219">
        <v>339.8</v>
      </c>
      <c r="G338" s="219" t="s">
        <v>2173</v>
      </c>
      <c r="H338" s="219" t="s">
        <v>2174</v>
      </c>
      <c r="I338" s="219">
        <v>37.82</v>
      </c>
      <c r="J338" s="217"/>
      <c r="K338" s="219" t="s">
        <v>222</v>
      </c>
      <c r="L338" s="219">
        <v>5772</v>
      </c>
      <c r="M338" s="219">
        <v>76</v>
      </c>
      <c r="N338" s="219">
        <v>2089.92</v>
      </c>
      <c r="O338" s="219">
        <v>2.762</v>
      </c>
      <c r="P338" s="219">
        <v>3.5999999999999997E-2</v>
      </c>
      <c r="Q338" s="217"/>
      <c r="R338" s="217"/>
      <c r="S338" s="217"/>
      <c r="T338" s="217"/>
      <c r="U338" s="217"/>
      <c r="V338" s="217"/>
      <c r="W338" s="217"/>
      <c r="X338" s="217"/>
      <c r="Y338" s="217"/>
    </row>
    <row r="339" spans="1:25" ht="16" x14ac:dyDescent="0.2">
      <c r="A339" s="219">
        <v>3124</v>
      </c>
      <c r="B339" s="219" t="s">
        <v>29</v>
      </c>
      <c r="C339" s="219" t="s">
        <v>2080</v>
      </c>
      <c r="D339" s="219">
        <v>342.62700000000001</v>
      </c>
      <c r="E339" s="219">
        <v>886</v>
      </c>
      <c r="F339" s="219">
        <v>340.8</v>
      </c>
      <c r="G339" s="219" t="s">
        <v>2175</v>
      </c>
      <c r="H339" s="219" t="s">
        <v>2176</v>
      </c>
      <c r="I339" s="219">
        <v>38.65</v>
      </c>
      <c r="J339" s="217"/>
      <c r="K339" s="219" t="s">
        <v>222</v>
      </c>
      <c r="L339" s="219">
        <v>11069</v>
      </c>
      <c r="M339" s="219">
        <v>105.2</v>
      </c>
      <c r="N339" s="219">
        <v>2056.16</v>
      </c>
      <c r="O339" s="219">
        <v>5.383</v>
      </c>
      <c r="P339" s="219">
        <v>5.0999999999999997E-2</v>
      </c>
      <c r="Q339" s="217"/>
      <c r="R339" s="217"/>
      <c r="S339" s="217"/>
      <c r="T339" s="217"/>
      <c r="U339" s="217"/>
      <c r="V339" s="217"/>
      <c r="W339" s="217"/>
      <c r="X339" s="217"/>
      <c r="Y339" s="217"/>
    </row>
    <row r="340" spans="1:25" ht="16" x14ac:dyDescent="0.2">
      <c r="A340" s="219">
        <v>3125</v>
      </c>
      <c r="B340" s="219" t="s">
        <v>29</v>
      </c>
      <c r="C340" s="219" t="s">
        <v>2080</v>
      </c>
      <c r="D340" s="219">
        <v>343.64100000000002</v>
      </c>
      <c r="E340" s="219">
        <v>886</v>
      </c>
      <c r="F340" s="219">
        <v>341.8</v>
      </c>
      <c r="G340" s="219" t="s">
        <v>2177</v>
      </c>
      <c r="H340" s="219" t="s">
        <v>2178</v>
      </c>
      <c r="I340" s="219">
        <v>38.68</v>
      </c>
      <c r="J340" s="217"/>
      <c r="K340" s="219" t="s">
        <v>222</v>
      </c>
      <c r="L340" s="219">
        <v>20331</v>
      </c>
      <c r="M340" s="219">
        <v>142.6</v>
      </c>
      <c r="N340" s="219">
        <v>2222.91</v>
      </c>
      <c r="O340" s="219">
        <v>9.1460000000000008</v>
      </c>
      <c r="P340" s="219">
        <v>6.4000000000000001E-2</v>
      </c>
      <c r="Q340" s="217"/>
      <c r="R340" s="217"/>
      <c r="S340" s="217"/>
      <c r="T340" s="217"/>
      <c r="U340" s="217"/>
      <c r="V340" s="217"/>
      <c r="W340" s="217"/>
      <c r="X340" s="217"/>
      <c r="Y340" s="217"/>
    </row>
    <row r="341" spans="1:25" ht="16" x14ac:dyDescent="0.2">
      <c r="A341" s="219">
        <v>3126</v>
      </c>
      <c r="B341" s="219" t="s">
        <v>29</v>
      </c>
      <c r="C341" s="219" t="s">
        <v>2080</v>
      </c>
      <c r="D341" s="219">
        <v>344.62799999999999</v>
      </c>
      <c r="E341" s="219">
        <v>886</v>
      </c>
      <c r="F341" s="219">
        <v>342.8</v>
      </c>
      <c r="G341" s="219" t="s">
        <v>2179</v>
      </c>
      <c r="H341" s="219" t="s">
        <v>2180</v>
      </c>
      <c r="I341" s="219">
        <v>38.770000000000003</v>
      </c>
      <c r="J341" s="217"/>
      <c r="K341" s="219" t="s">
        <v>222</v>
      </c>
      <c r="L341" s="219">
        <v>29994</v>
      </c>
      <c r="M341" s="219">
        <v>173.2</v>
      </c>
      <c r="N341" s="219">
        <v>2442.5100000000002</v>
      </c>
      <c r="O341" s="219">
        <v>12.28</v>
      </c>
      <c r="P341" s="219">
        <v>7.0999999999999994E-2</v>
      </c>
      <c r="Q341" s="217"/>
      <c r="R341" s="217"/>
      <c r="S341" s="217"/>
      <c r="T341" s="217"/>
      <c r="U341" s="217"/>
      <c r="V341" s="217"/>
      <c r="W341" s="217"/>
      <c r="X341" s="217"/>
      <c r="Y341" s="217"/>
    </row>
    <row r="342" spans="1:25" ht="16" x14ac:dyDescent="0.2">
      <c r="A342" s="219">
        <v>3127</v>
      </c>
      <c r="B342" s="219" t="s">
        <v>29</v>
      </c>
      <c r="C342" s="219" t="s">
        <v>2080</v>
      </c>
      <c r="D342" s="219">
        <v>345.63499999999999</v>
      </c>
      <c r="E342" s="219">
        <v>690</v>
      </c>
      <c r="F342" s="219">
        <v>343.6</v>
      </c>
      <c r="G342" s="219" t="s">
        <v>2181</v>
      </c>
      <c r="H342" s="219" t="s">
        <v>1675</v>
      </c>
      <c r="I342" s="219">
        <v>18.059999999999999</v>
      </c>
      <c r="J342" s="217"/>
      <c r="K342" s="219" t="s">
        <v>222</v>
      </c>
      <c r="L342" s="219">
        <v>13743</v>
      </c>
      <c r="M342" s="219">
        <v>117.2</v>
      </c>
      <c r="N342" s="219">
        <v>984</v>
      </c>
      <c r="O342" s="219">
        <v>13.965999999999999</v>
      </c>
      <c r="P342" s="219">
        <v>0.11899999999999999</v>
      </c>
      <c r="Q342" s="217"/>
      <c r="R342" s="217"/>
      <c r="S342" s="217"/>
      <c r="T342" s="217"/>
      <c r="U342" s="217"/>
      <c r="V342" s="217"/>
      <c r="W342" s="217"/>
      <c r="X342" s="217"/>
      <c r="Y342" s="217"/>
    </row>
    <row r="343" spans="1:25" ht="16" x14ac:dyDescent="0.2">
      <c r="A343" s="219">
        <v>3128</v>
      </c>
      <c r="B343" s="219" t="s">
        <v>29</v>
      </c>
      <c r="C343" s="219" t="s">
        <v>2080</v>
      </c>
      <c r="D343" s="219">
        <v>346.63600000000002</v>
      </c>
      <c r="E343" s="219">
        <v>690</v>
      </c>
      <c r="F343" s="219">
        <v>344.6</v>
      </c>
      <c r="G343" s="219" t="s">
        <v>2182</v>
      </c>
      <c r="H343" s="219" t="s">
        <v>2183</v>
      </c>
      <c r="I343" s="219">
        <v>18.32</v>
      </c>
      <c r="J343" s="217"/>
      <c r="K343" s="219" t="s">
        <v>222</v>
      </c>
      <c r="L343" s="219">
        <v>14180</v>
      </c>
      <c r="M343" s="219">
        <v>119.1</v>
      </c>
      <c r="N343" s="219">
        <v>997.19</v>
      </c>
      <c r="O343" s="219">
        <v>14.22</v>
      </c>
      <c r="P343" s="219">
        <v>0.11899999999999999</v>
      </c>
      <c r="Q343" s="217"/>
      <c r="R343" s="217"/>
      <c r="S343" s="217"/>
      <c r="T343" s="217"/>
      <c r="U343" s="217"/>
      <c r="V343" s="217"/>
      <c r="W343" s="217"/>
      <c r="X343" s="217"/>
      <c r="Y343" s="217"/>
    </row>
    <row r="344" spans="1:25" ht="16" x14ac:dyDescent="0.2">
      <c r="A344" s="219">
        <v>3129</v>
      </c>
      <c r="B344" s="219" t="s">
        <v>29</v>
      </c>
      <c r="C344" s="219" t="s">
        <v>2080</v>
      </c>
      <c r="D344" s="219">
        <v>347.63600000000002</v>
      </c>
      <c r="E344" s="219">
        <v>690</v>
      </c>
      <c r="F344" s="219">
        <v>345.6</v>
      </c>
      <c r="G344" s="219" t="s">
        <v>2184</v>
      </c>
      <c r="H344" s="219" t="s">
        <v>2185</v>
      </c>
      <c r="I344" s="219">
        <v>18.36</v>
      </c>
      <c r="J344" s="217"/>
      <c r="K344" s="219" t="s">
        <v>222</v>
      </c>
      <c r="L344" s="219">
        <v>14086</v>
      </c>
      <c r="M344" s="219">
        <v>118.7</v>
      </c>
      <c r="N344" s="219">
        <v>1034.21</v>
      </c>
      <c r="O344" s="219">
        <v>13.62</v>
      </c>
      <c r="P344" s="219">
        <v>0.115</v>
      </c>
      <c r="Q344" s="217"/>
      <c r="R344" s="217"/>
      <c r="S344" s="217"/>
      <c r="T344" s="217"/>
      <c r="U344" s="217"/>
      <c r="V344" s="217"/>
      <c r="W344" s="217"/>
      <c r="X344" s="217"/>
      <c r="Y344" s="217"/>
    </row>
    <row r="345" spans="1:25" ht="16" x14ac:dyDescent="0.2">
      <c r="A345" s="219">
        <v>3130</v>
      </c>
      <c r="B345" s="219" t="s">
        <v>29</v>
      </c>
      <c r="C345" s="219" t="s">
        <v>2080</v>
      </c>
      <c r="D345" s="219">
        <v>348.64299999999997</v>
      </c>
      <c r="E345" s="219">
        <v>690</v>
      </c>
      <c r="F345" s="219">
        <v>346.6</v>
      </c>
      <c r="G345" s="219" t="s">
        <v>2186</v>
      </c>
      <c r="H345" s="219" t="s">
        <v>2187</v>
      </c>
      <c r="I345" s="219">
        <v>18.41</v>
      </c>
      <c r="J345" s="217"/>
      <c r="K345" s="219" t="s">
        <v>222</v>
      </c>
      <c r="L345" s="219">
        <v>13855</v>
      </c>
      <c r="M345" s="219">
        <v>117.7</v>
      </c>
      <c r="N345" s="219">
        <v>995.37</v>
      </c>
      <c r="O345" s="219">
        <v>13.919</v>
      </c>
      <c r="P345" s="219">
        <v>0.11799999999999999</v>
      </c>
      <c r="Q345" s="217"/>
      <c r="R345" s="217"/>
      <c r="S345" s="217"/>
      <c r="T345" s="217"/>
      <c r="U345" s="217"/>
      <c r="V345" s="217"/>
      <c r="W345" s="217"/>
      <c r="X345" s="217"/>
      <c r="Y345" s="217"/>
    </row>
    <row r="346" spans="1:25" ht="16" x14ac:dyDescent="0.2">
      <c r="A346" s="219">
        <v>3131</v>
      </c>
      <c r="B346" s="219" t="s">
        <v>29</v>
      </c>
      <c r="C346" s="219" t="s">
        <v>2080</v>
      </c>
      <c r="D346" s="219">
        <v>349.637</v>
      </c>
      <c r="E346" s="219">
        <v>690</v>
      </c>
      <c r="F346" s="219">
        <v>347.6</v>
      </c>
      <c r="G346" s="219" t="s">
        <v>2188</v>
      </c>
      <c r="H346" s="219" t="s">
        <v>2189</v>
      </c>
      <c r="I346" s="219">
        <v>18.440000000000001</v>
      </c>
      <c r="J346" s="217"/>
      <c r="K346" s="219" t="s">
        <v>222</v>
      </c>
      <c r="L346" s="219">
        <v>13413</v>
      </c>
      <c r="M346" s="219">
        <v>115.8</v>
      </c>
      <c r="N346" s="219">
        <v>1010.13</v>
      </c>
      <c r="O346" s="219">
        <v>13.278</v>
      </c>
      <c r="P346" s="219">
        <v>0.115</v>
      </c>
      <c r="Q346" s="217"/>
      <c r="R346" s="217"/>
      <c r="S346" s="217"/>
      <c r="T346" s="217"/>
      <c r="U346" s="217"/>
      <c r="V346" s="217"/>
      <c r="W346" s="217"/>
      <c r="X346" s="217"/>
      <c r="Y346" s="217"/>
    </row>
    <row r="347" spans="1:25" ht="16" x14ac:dyDescent="0.2">
      <c r="A347" s="219">
        <v>3132</v>
      </c>
      <c r="B347" s="219" t="s">
        <v>29</v>
      </c>
      <c r="C347" s="219" t="s">
        <v>2080</v>
      </c>
      <c r="D347" s="219">
        <v>351.65100000000001</v>
      </c>
      <c r="E347" s="219">
        <v>690</v>
      </c>
      <c r="F347" s="219">
        <v>349.6</v>
      </c>
      <c r="G347" s="219" t="s">
        <v>2190</v>
      </c>
      <c r="H347" s="219" t="s">
        <v>2191</v>
      </c>
      <c r="I347" s="219">
        <v>18.47</v>
      </c>
      <c r="J347" s="217"/>
      <c r="K347" s="219" t="s">
        <v>222</v>
      </c>
      <c r="L347" s="219">
        <v>11733</v>
      </c>
      <c r="M347" s="219">
        <v>108.3</v>
      </c>
      <c r="N347" s="219">
        <v>1115.77</v>
      </c>
      <c r="O347" s="219">
        <v>10.516</v>
      </c>
      <c r="P347" s="219">
        <v>9.7000000000000003E-2</v>
      </c>
      <c r="Q347" s="217"/>
      <c r="R347" s="217"/>
      <c r="S347" s="217"/>
      <c r="T347" s="217"/>
      <c r="U347" s="217"/>
      <c r="V347" s="217"/>
      <c r="W347" s="217"/>
      <c r="X347" s="217"/>
      <c r="Y347" s="217"/>
    </row>
    <row r="348" spans="1:25" ht="16" x14ac:dyDescent="0.2">
      <c r="A348" s="219">
        <v>3133</v>
      </c>
      <c r="B348" s="219" t="s">
        <v>29</v>
      </c>
      <c r="C348" s="219" t="s">
        <v>2080</v>
      </c>
      <c r="D348" s="219">
        <v>353.65199999999999</v>
      </c>
      <c r="E348" s="219">
        <v>690</v>
      </c>
      <c r="F348" s="219">
        <v>351.6</v>
      </c>
      <c r="G348" s="219" t="s">
        <v>2192</v>
      </c>
      <c r="H348" s="219" t="s">
        <v>2193</v>
      </c>
      <c r="I348" s="219">
        <v>17.75</v>
      </c>
      <c r="J348" s="217"/>
      <c r="K348" s="219" t="s">
        <v>222</v>
      </c>
      <c r="L348" s="219">
        <v>7722</v>
      </c>
      <c r="M348" s="219">
        <v>87.9</v>
      </c>
      <c r="N348" s="219">
        <v>1023.2</v>
      </c>
      <c r="O348" s="219">
        <v>7.5469999999999997</v>
      </c>
      <c r="P348" s="219">
        <v>8.5999999999999993E-2</v>
      </c>
      <c r="Q348" s="217"/>
      <c r="R348" s="217"/>
      <c r="S348" s="217"/>
      <c r="T348" s="217"/>
      <c r="U348" s="217"/>
      <c r="V348" s="217"/>
      <c r="W348" s="217"/>
      <c r="X348" s="217"/>
      <c r="Y348" s="217"/>
    </row>
    <row r="349" spans="1:25" ht="16" x14ac:dyDescent="0.2">
      <c r="A349" s="219">
        <v>3134</v>
      </c>
      <c r="B349" s="219" t="s">
        <v>29</v>
      </c>
      <c r="C349" s="219" t="s">
        <v>2080</v>
      </c>
      <c r="D349" s="219">
        <v>355.65199999999999</v>
      </c>
      <c r="E349" s="219">
        <v>690</v>
      </c>
      <c r="F349" s="219">
        <v>353.5</v>
      </c>
      <c r="G349" s="219" t="s">
        <v>2194</v>
      </c>
      <c r="H349" s="219" t="s">
        <v>2195</v>
      </c>
      <c r="I349" s="219">
        <v>17.760000000000002</v>
      </c>
      <c r="J349" s="217"/>
      <c r="K349" s="219" t="s">
        <v>222</v>
      </c>
      <c r="L349" s="219">
        <v>5013</v>
      </c>
      <c r="M349" s="219">
        <v>70.8</v>
      </c>
      <c r="N349" s="219">
        <v>938.63</v>
      </c>
      <c r="O349" s="219">
        <v>5.3410000000000002</v>
      </c>
      <c r="P349" s="219">
        <v>7.4999999999999997E-2</v>
      </c>
      <c r="Q349" s="217"/>
      <c r="R349" s="217"/>
      <c r="S349" s="217"/>
      <c r="T349" s="217"/>
      <c r="U349" s="217"/>
      <c r="V349" s="217"/>
      <c r="W349" s="217"/>
      <c r="X349" s="217"/>
      <c r="Y349" s="217"/>
    </row>
    <row r="350" spans="1:25" ht="16" x14ac:dyDescent="0.2">
      <c r="A350" s="219">
        <v>3135</v>
      </c>
      <c r="B350" s="219" t="s">
        <v>29</v>
      </c>
      <c r="C350" s="219" t="s">
        <v>2080</v>
      </c>
      <c r="D350" s="219">
        <v>358.65499999999997</v>
      </c>
      <c r="E350" s="219">
        <v>690</v>
      </c>
      <c r="F350" s="219">
        <v>356.5</v>
      </c>
      <c r="G350" s="219" t="s">
        <v>2196</v>
      </c>
      <c r="H350" s="219" t="s">
        <v>2197</v>
      </c>
      <c r="I350" s="219">
        <v>17.739999999999998</v>
      </c>
      <c r="J350" s="217"/>
      <c r="K350" s="219" t="s">
        <v>222</v>
      </c>
      <c r="L350" s="219">
        <v>3167</v>
      </c>
      <c r="M350" s="219">
        <v>56.3</v>
      </c>
      <c r="N350" s="219">
        <v>1123.28</v>
      </c>
      <c r="O350" s="219">
        <v>2.819</v>
      </c>
      <c r="P350" s="219">
        <v>0.05</v>
      </c>
      <c r="Q350" s="217"/>
      <c r="R350" s="217"/>
      <c r="S350" s="217"/>
      <c r="T350" s="217"/>
      <c r="U350" s="217"/>
      <c r="V350" s="217"/>
      <c r="W350" s="217"/>
      <c r="X350" s="217"/>
      <c r="Y350" s="217"/>
    </row>
    <row r="351" spans="1:25" ht="16" x14ac:dyDescent="0.2">
      <c r="A351" s="219">
        <v>3136</v>
      </c>
      <c r="B351" s="219" t="s">
        <v>29</v>
      </c>
      <c r="C351" s="219" t="s">
        <v>2080</v>
      </c>
      <c r="D351" s="219">
        <v>361.65499999999997</v>
      </c>
      <c r="E351" s="219">
        <v>690</v>
      </c>
      <c r="F351" s="219">
        <v>359.5</v>
      </c>
      <c r="G351" s="219" t="s">
        <v>2198</v>
      </c>
      <c r="H351" s="219" t="s">
        <v>2199</v>
      </c>
      <c r="I351" s="219">
        <v>17.71</v>
      </c>
      <c r="J351" s="217"/>
      <c r="K351" s="219" t="s">
        <v>222</v>
      </c>
      <c r="L351" s="219">
        <v>1452</v>
      </c>
      <c r="M351" s="219">
        <v>38.1</v>
      </c>
      <c r="N351" s="219">
        <v>969.5</v>
      </c>
      <c r="O351" s="219">
        <v>1.498</v>
      </c>
      <c r="P351" s="219">
        <v>3.9E-2</v>
      </c>
      <c r="Q351" s="217"/>
      <c r="R351" s="217"/>
      <c r="S351" s="217"/>
      <c r="T351" s="217"/>
      <c r="U351" s="217"/>
      <c r="V351" s="217"/>
      <c r="W351" s="217"/>
      <c r="X351" s="217"/>
      <c r="Y351" s="217"/>
    </row>
    <row r="352" spans="1:25" ht="16" x14ac:dyDescent="0.2">
      <c r="A352" s="219">
        <v>3137</v>
      </c>
      <c r="B352" s="219" t="s">
        <v>29</v>
      </c>
      <c r="C352" s="219" t="s">
        <v>2080</v>
      </c>
      <c r="D352" s="219">
        <v>365.66300000000001</v>
      </c>
      <c r="E352" s="219">
        <v>690</v>
      </c>
      <c r="F352" s="219">
        <v>363.5</v>
      </c>
      <c r="G352" s="219" t="s">
        <v>2200</v>
      </c>
      <c r="H352" s="219" t="s">
        <v>2201</v>
      </c>
      <c r="I352" s="219">
        <v>17.66</v>
      </c>
      <c r="J352" s="217"/>
      <c r="K352" s="219" t="s">
        <v>222</v>
      </c>
      <c r="L352" s="219">
        <v>733</v>
      </c>
      <c r="M352" s="219">
        <v>27.1</v>
      </c>
      <c r="N352" s="219">
        <v>975.58</v>
      </c>
      <c r="O352" s="219">
        <v>0.751</v>
      </c>
      <c r="P352" s="219">
        <v>2.8000000000000001E-2</v>
      </c>
      <c r="Q352" s="217"/>
      <c r="R352" s="217"/>
      <c r="S352" s="217"/>
      <c r="T352" s="217"/>
      <c r="U352" s="217"/>
      <c r="V352" s="217"/>
      <c r="W352" s="217"/>
      <c r="X352" s="217"/>
      <c r="Y352" s="217"/>
    </row>
    <row r="353" spans="1:25" ht="16" x14ac:dyDescent="0.2">
      <c r="A353" s="219">
        <v>3138</v>
      </c>
      <c r="B353" s="219" t="s">
        <v>29</v>
      </c>
      <c r="C353" s="219" t="s">
        <v>2080</v>
      </c>
      <c r="D353" s="219">
        <v>370.678</v>
      </c>
      <c r="E353" s="219">
        <v>690</v>
      </c>
      <c r="F353" s="219">
        <v>368.5</v>
      </c>
      <c r="G353" s="219" t="s">
        <v>2202</v>
      </c>
      <c r="H353" s="219" t="s">
        <v>2203</v>
      </c>
      <c r="I353" s="219">
        <v>17.59</v>
      </c>
      <c r="J353" s="217"/>
      <c r="K353" s="219" t="s">
        <v>222</v>
      </c>
      <c r="L353" s="219">
        <v>384</v>
      </c>
      <c r="M353" s="219">
        <v>19.600000000000001</v>
      </c>
      <c r="N353" s="219">
        <v>965.27</v>
      </c>
      <c r="O353" s="219">
        <v>0.39800000000000002</v>
      </c>
      <c r="P353" s="219">
        <v>0.02</v>
      </c>
      <c r="Q353" s="217"/>
      <c r="R353" s="217"/>
      <c r="S353" s="217"/>
      <c r="T353" s="217"/>
      <c r="U353" s="217"/>
      <c r="V353" s="217"/>
      <c r="W353" s="217"/>
      <c r="X353" s="217"/>
      <c r="Y353" s="217"/>
    </row>
    <row r="354" spans="1:25" ht="16" x14ac:dyDescent="0.2">
      <c r="A354" s="219">
        <v>3139</v>
      </c>
      <c r="B354" s="219" t="s">
        <v>157</v>
      </c>
      <c r="C354" s="219" t="s">
        <v>2080</v>
      </c>
      <c r="D354" s="219">
        <v>243.91200000000001</v>
      </c>
      <c r="E354" s="219">
        <v>2165</v>
      </c>
      <c r="F354" s="219">
        <v>244</v>
      </c>
      <c r="G354" s="219" t="s">
        <v>2204</v>
      </c>
      <c r="H354" s="219" t="s">
        <v>2205</v>
      </c>
      <c r="I354" s="219" t="s">
        <v>2206</v>
      </c>
      <c r="J354" s="217"/>
      <c r="K354" s="219" t="s">
        <v>222</v>
      </c>
      <c r="L354" s="219">
        <v>461970</v>
      </c>
      <c r="M354" s="219">
        <v>679.7</v>
      </c>
      <c r="N354" s="219">
        <v>955396.59</v>
      </c>
      <c r="O354" s="219">
        <v>0.48399999999999999</v>
      </c>
      <c r="P354" s="219">
        <v>1E-3</v>
      </c>
      <c r="Q354" s="217"/>
      <c r="R354" s="217"/>
      <c r="S354" s="217"/>
      <c r="T354" s="217"/>
      <c r="U354" s="217"/>
      <c r="V354" s="217"/>
      <c r="W354" s="217"/>
      <c r="X354" s="217"/>
      <c r="Y354" s="217"/>
    </row>
    <row r="355" spans="1:25" ht="17" x14ac:dyDescent="0.2">
      <c r="A355" s="219">
        <v>3140</v>
      </c>
      <c r="B355" s="219" t="s">
        <v>2453</v>
      </c>
      <c r="C355" s="219" t="s">
        <v>2080</v>
      </c>
      <c r="D355" s="219">
        <v>235.41200000000001</v>
      </c>
      <c r="E355" s="219">
        <v>2165</v>
      </c>
      <c r="F355" s="219">
        <v>235.6</v>
      </c>
      <c r="G355" s="223" t="s">
        <v>2207</v>
      </c>
      <c r="H355" s="219" t="s">
        <v>2208</v>
      </c>
      <c r="I355" s="219">
        <v>125</v>
      </c>
      <c r="J355" s="217"/>
      <c r="K355" s="219" t="s">
        <v>222</v>
      </c>
      <c r="L355" s="219">
        <v>156916</v>
      </c>
      <c r="M355" s="219">
        <v>396.1</v>
      </c>
      <c r="N355" s="219">
        <v>116745</v>
      </c>
      <c r="O355" s="219">
        <v>1.3440000000000001</v>
      </c>
      <c r="P355" s="219">
        <v>3.0000000000000001E-3</v>
      </c>
      <c r="Q355" s="217"/>
      <c r="R355" s="217"/>
      <c r="S355" s="217"/>
      <c r="T355" s="217"/>
      <c r="U355" s="217"/>
      <c r="V355" s="217"/>
      <c r="W355" s="217"/>
      <c r="X355" s="217"/>
      <c r="Y355" s="217"/>
    </row>
    <row r="356" spans="1:25" ht="16" x14ac:dyDescent="0.2">
      <c r="A356" s="219">
        <v>3141</v>
      </c>
      <c r="B356" s="219" t="s">
        <v>2453</v>
      </c>
      <c r="C356" s="219" t="s">
        <v>2080</v>
      </c>
      <c r="D356" s="219">
        <v>237.22499999999999</v>
      </c>
      <c r="E356" s="219">
        <v>2165</v>
      </c>
      <c r="F356" s="219">
        <v>237.4</v>
      </c>
      <c r="G356" s="219" t="s">
        <v>2209</v>
      </c>
      <c r="H356" s="219" t="s">
        <v>2210</v>
      </c>
      <c r="I356" s="219">
        <v>134.62</v>
      </c>
      <c r="J356" s="217"/>
      <c r="K356" s="219" t="s">
        <v>222</v>
      </c>
      <c r="L356" s="219">
        <v>128445</v>
      </c>
      <c r="M356" s="219">
        <v>358.4</v>
      </c>
      <c r="N356" s="219">
        <v>130119.42</v>
      </c>
      <c r="O356" s="219">
        <v>0.98699999999999999</v>
      </c>
      <c r="P356" s="219">
        <v>3.0000000000000001E-3</v>
      </c>
      <c r="Q356" s="217"/>
      <c r="R356" s="217"/>
      <c r="S356" s="217"/>
      <c r="T356" s="217"/>
      <c r="U356" s="217"/>
      <c r="V356" s="217"/>
      <c r="W356" s="217"/>
      <c r="X356" s="217"/>
      <c r="Y356" s="217"/>
    </row>
    <row r="357" spans="1:25" ht="16" x14ac:dyDescent="0.2">
      <c r="A357" s="219">
        <v>3142</v>
      </c>
      <c r="B357" s="219" t="s">
        <v>2453</v>
      </c>
      <c r="C357" s="219" t="s">
        <v>2080</v>
      </c>
      <c r="D357" s="219">
        <v>237.72200000000001</v>
      </c>
      <c r="E357" s="219">
        <v>2165</v>
      </c>
      <c r="F357" s="219">
        <v>237.9</v>
      </c>
      <c r="G357" s="219" t="s">
        <v>2211</v>
      </c>
      <c r="H357" s="219" t="s">
        <v>2212</v>
      </c>
      <c r="I357" s="219">
        <v>135.46</v>
      </c>
      <c r="J357" s="217"/>
      <c r="K357" s="219" t="s">
        <v>222</v>
      </c>
      <c r="L357" s="219">
        <v>106977</v>
      </c>
      <c r="M357" s="219">
        <v>327.10000000000002</v>
      </c>
      <c r="N357" s="219">
        <v>117702.62</v>
      </c>
      <c r="O357" s="219">
        <v>0.90900000000000003</v>
      </c>
      <c r="P357" s="219">
        <v>3.0000000000000001E-3</v>
      </c>
      <c r="Q357" s="217"/>
      <c r="R357" s="217"/>
      <c r="S357" s="217"/>
      <c r="T357" s="217"/>
      <c r="U357" s="217"/>
      <c r="V357" s="217"/>
      <c r="W357" s="217"/>
      <c r="X357" s="217"/>
      <c r="Y357" s="217"/>
    </row>
    <row r="358" spans="1:25" ht="16" x14ac:dyDescent="0.2">
      <c r="A358" s="219">
        <v>3143</v>
      </c>
      <c r="B358" s="219" t="s">
        <v>2453</v>
      </c>
      <c r="C358" s="219" t="s">
        <v>2080</v>
      </c>
      <c r="D358" s="219">
        <v>238.339</v>
      </c>
      <c r="E358" s="219">
        <v>2165</v>
      </c>
      <c r="F358" s="219">
        <v>238.5</v>
      </c>
      <c r="G358" s="219" t="s">
        <v>2213</v>
      </c>
      <c r="H358" s="219" t="s">
        <v>2214</v>
      </c>
      <c r="I358" s="219">
        <v>135.83000000000001</v>
      </c>
      <c r="J358" s="217"/>
      <c r="K358" s="219" t="s">
        <v>222</v>
      </c>
      <c r="L358" s="219">
        <v>103792</v>
      </c>
      <c r="M358" s="219">
        <v>322.2</v>
      </c>
      <c r="N358" s="219">
        <v>123645.95</v>
      </c>
      <c r="O358" s="219">
        <v>0.83899999999999997</v>
      </c>
      <c r="P358" s="219">
        <v>3.0000000000000001E-3</v>
      </c>
      <c r="Q358" s="217"/>
      <c r="R358" s="217"/>
      <c r="S358" s="217"/>
      <c r="T358" s="217"/>
      <c r="U358" s="217"/>
      <c r="V358" s="217"/>
      <c r="W358" s="217"/>
      <c r="X358" s="217"/>
      <c r="Y358" s="217"/>
    </row>
    <row r="359" spans="1:25" ht="16" x14ac:dyDescent="0.2">
      <c r="A359" s="219">
        <v>3144</v>
      </c>
      <c r="B359" s="219" t="s">
        <v>2453</v>
      </c>
      <c r="C359" s="219" t="s">
        <v>2080</v>
      </c>
      <c r="D359" s="219">
        <v>238.82900000000001</v>
      </c>
      <c r="E359" s="219">
        <v>2165</v>
      </c>
      <c r="F359" s="219">
        <v>239</v>
      </c>
      <c r="G359" s="219" t="s">
        <v>2215</v>
      </c>
      <c r="H359" s="219" t="s">
        <v>2216</v>
      </c>
      <c r="I359" s="219">
        <v>136.13999999999999</v>
      </c>
      <c r="J359" s="217"/>
      <c r="K359" s="219" t="s">
        <v>222</v>
      </c>
      <c r="L359" s="219">
        <v>90075</v>
      </c>
      <c r="M359" s="219">
        <v>300.10000000000002</v>
      </c>
      <c r="N359" s="219">
        <v>113251.47</v>
      </c>
      <c r="O359" s="219">
        <v>0.79500000000000004</v>
      </c>
      <c r="P359" s="219">
        <v>3.0000000000000001E-3</v>
      </c>
      <c r="Q359" s="217"/>
      <c r="R359" s="217"/>
      <c r="S359" s="217"/>
      <c r="T359" s="217"/>
      <c r="U359" s="217"/>
      <c r="V359" s="217"/>
      <c r="W359" s="217"/>
      <c r="X359" s="217"/>
      <c r="Y359" s="217"/>
    </row>
    <row r="360" spans="1:25" ht="16" x14ac:dyDescent="0.2">
      <c r="A360" s="219">
        <v>3145</v>
      </c>
      <c r="B360" s="219" t="s">
        <v>2453</v>
      </c>
      <c r="C360" s="219" t="s">
        <v>2080</v>
      </c>
      <c r="D360" s="219">
        <v>239.333</v>
      </c>
      <c r="E360" s="219">
        <v>2165</v>
      </c>
      <c r="F360" s="219">
        <v>239.5</v>
      </c>
      <c r="G360" s="219" t="s">
        <v>2217</v>
      </c>
      <c r="H360" s="219" t="s">
        <v>2218</v>
      </c>
      <c r="I360" s="219">
        <v>136.82</v>
      </c>
      <c r="J360" s="217"/>
      <c r="K360" s="219" t="s">
        <v>222</v>
      </c>
      <c r="L360" s="219">
        <v>95799</v>
      </c>
      <c r="M360" s="219">
        <v>309.5</v>
      </c>
      <c r="N360" s="219">
        <v>126316.35</v>
      </c>
      <c r="O360" s="219">
        <v>0.75800000000000001</v>
      </c>
      <c r="P360" s="219">
        <v>2E-3</v>
      </c>
      <c r="Q360" s="217"/>
      <c r="R360" s="217"/>
      <c r="S360" s="217"/>
      <c r="T360" s="217"/>
      <c r="U360" s="217"/>
      <c r="V360" s="217"/>
      <c r="W360" s="217"/>
      <c r="X360" s="217"/>
      <c r="Y360" s="217"/>
    </row>
    <row r="361" spans="1:25" ht="16" x14ac:dyDescent="0.2">
      <c r="A361" s="219">
        <v>3146</v>
      </c>
      <c r="B361" s="219" t="s">
        <v>2453</v>
      </c>
      <c r="C361" s="219" t="s">
        <v>2080</v>
      </c>
      <c r="D361" s="219">
        <v>240.333</v>
      </c>
      <c r="E361" s="219">
        <v>2165</v>
      </c>
      <c r="F361" s="219">
        <v>240.5</v>
      </c>
      <c r="G361" s="219" t="s">
        <v>2219</v>
      </c>
      <c r="H361" s="219" t="s">
        <v>2220</v>
      </c>
      <c r="I361" s="219">
        <v>136.94</v>
      </c>
      <c r="J361" s="217"/>
      <c r="K361" s="219" t="s">
        <v>222</v>
      </c>
      <c r="L361" s="219">
        <v>86500</v>
      </c>
      <c r="M361" s="219">
        <v>294.10000000000002</v>
      </c>
      <c r="N361" s="219">
        <v>125134.48</v>
      </c>
      <c r="O361" s="219">
        <v>0.69099999999999995</v>
      </c>
      <c r="P361" s="219">
        <v>2E-3</v>
      </c>
      <c r="Q361" s="217"/>
      <c r="R361" s="217"/>
      <c r="S361" s="217"/>
      <c r="T361" s="217"/>
      <c r="U361" s="217"/>
      <c r="V361" s="217"/>
      <c r="W361" s="217"/>
      <c r="X361" s="217"/>
      <c r="Y361" s="217"/>
    </row>
    <row r="362" spans="1:25" ht="16" x14ac:dyDescent="0.2">
      <c r="A362" s="219">
        <v>3147</v>
      </c>
      <c r="B362" s="219" t="s">
        <v>2453</v>
      </c>
      <c r="C362" s="219" t="s">
        <v>2080</v>
      </c>
      <c r="D362" s="219">
        <v>241.334</v>
      </c>
      <c r="E362" s="219">
        <v>2165</v>
      </c>
      <c r="F362" s="219">
        <v>241.5</v>
      </c>
      <c r="G362" s="219" t="s">
        <v>2221</v>
      </c>
      <c r="H362" s="219" t="s">
        <v>2222</v>
      </c>
      <c r="I362" s="219">
        <v>137.44</v>
      </c>
      <c r="J362" s="217"/>
      <c r="K362" s="219" t="s">
        <v>222</v>
      </c>
      <c r="L362" s="219">
        <v>77359</v>
      </c>
      <c r="M362" s="219">
        <v>278.10000000000002</v>
      </c>
      <c r="N362" s="219">
        <v>125682.84</v>
      </c>
      <c r="O362" s="219">
        <v>0.61599999999999999</v>
      </c>
      <c r="P362" s="219">
        <v>2E-3</v>
      </c>
      <c r="Q362" s="217"/>
      <c r="R362" s="217"/>
      <c r="S362" s="217"/>
      <c r="T362" s="217"/>
      <c r="U362" s="217"/>
      <c r="V362" s="217"/>
      <c r="W362" s="217"/>
      <c r="X362" s="217"/>
      <c r="Y362" s="217"/>
    </row>
    <row r="363" spans="1:25" ht="16" x14ac:dyDescent="0.2">
      <c r="A363" s="219">
        <v>3148</v>
      </c>
      <c r="B363" s="219" t="s">
        <v>2453</v>
      </c>
      <c r="C363" s="219" t="s">
        <v>2080</v>
      </c>
      <c r="D363" s="219">
        <v>242.34100000000001</v>
      </c>
      <c r="E363" s="219">
        <v>2165</v>
      </c>
      <c r="F363" s="219">
        <v>242.5</v>
      </c>
      <c r="G363" s="219" t="s">
        <v>2223</v>
      </c>
      <c r="H363" s="219" t="s">
        <v>2224</v>
      </c>
      <c r="I363" s="219">
        <v>137.51</v>
      </c>
      <c r="J363" s="217"/>
      <c r="K363" s="219" t="s">
        <v>222</v>
      </c>
      <c r="L363" s="219">
        <v>67427</v>
      </c>
      <c r="M363" s="219">
        <v>259.7</v>
      </c>
      <c r="N363" s="219">
        <v>125307.85</v>
      </c>
      <c r="O363" s="219">
        <v>0.53800000000000003</v>
      </c>
      <c r="P363" s="219">
        <v>2E-3</v>
      </c>
      <c r="Q363" s="217"/>
      <c r="R363" s="217"/>
      <c r="S363" s="217"/>
      <c r="T363" s="217"/>
      <c r="U363" s="217"/>
      <c r="V363" s="217"/>
      <c r="W363" s="217"/>
      <c r="X363" s="217"/>
      <c r="Y363" s="217"/>
    </row>
    <row r="364" spans="1:25" ht="16" x14ac:dyDescent="0.2">
      <c r="A364" s="219">
        <v>3149</v>
      </c>
      <c r="B364" s="219" t="s">
        <v>2453</v>
      </c>
      <c r="C364" s="219" t="s">
        <v>2080</v>
      </c>
      <c r="D364" s="219">
        <v>246.24199999999999</v>
      </c>
      <c r="E364" s="219">
        <v>2165</v>
      </c>
      <c r="F364" s="219">
        <v>246.3</v>
      </c>
      <c r="G364" s="219" t="s">
        <v>2225</v>
      </c>
      <c r="H364" s="219" t="s">
        <v>2226</v>
      </c>
      <c r="I364" s="219">
        <v>137.4</v>
      </c>
      <c r="J364" s="217"/>
      <c r="K364" s="219" t="s">
        <v>222</v>
      </c>
      <c r="L364" s="219">
        <v>44076</v>
      </c>
      <c r="M364" s="219">
        <v>209.9</v>
      </c>
      <c r="N364" s="219">
        <v>125407.8</v>
      </c>
      <c r="O364" s="219">
        <v>0.35099999999999998</v>
      </c>
      <c r="P364" s="219">
        <v>2E-3</v>
      </c>
      <c r="Q364" s="217"/>
      <c r="R364" s="217"/>
      <c r="S364" s="217"/>
      <c r="T364" s="217"/>
      <c r="U364" s="217"/>
      <c r="V364" s="217"/>
      <c r="W364" s="217"/>
      <c r="X364" s="217"/>
      <c r="Y364" s="217"/>
    </row>
    <row r="365" spans="1:25" ht="16" x14ac:dyDescent="0.2">
      <c r="A365" s="219">
        <v>3150</v>
      </c>
      <c r="B365" s="219" t="s">
        <v>2453</v>
      </c>
      <c r="C365" s="219" t="s">
        <v>2080</v>
      </c>
      <c r="D365" s="219">
        <v>248.24199999999999</v>
      </c>
      <c r="E365" s="219">
        <v>2165</v>
      </c>
      <c r="F365" s="219">
        <v>248.3</v>
      </c>
      <c r="G365" s="219" t="s">
        <v>2227</v>
      </c>
      <c r="H365" s="219" t="s">
        <v>2228</v>
      </c>
      <c r="I365" s="219">
        <v>137.97</v>
      </c>
      <c r="J365" s="217"/>
      <c r="K365" s="219" t="s">
        <v>222</v>
      </c>
      <c r="L365" s="219">
        <v>37538</v>
      </c>
      <c r="M365" s="219">
        <v>193.7</v>
      </c>
      <c r="N365" s="219">
        <v>134132.29999999999</v>
      </c>
      <c r="O365" s="219">
        <v>0.28000000000000003</v>
      </c>
      <c r="P365" s="219">
        <v>1E-3</v>
      </c>
      <c r="Q365" s="217"/>
      <c r="R365" s="217"/>
      <c r="S365" s="217"/>
      <c r="T365" s="217"/>
      <c r="U365" s="217"/>
      <c r="V365" s="217"/>
      <c r="W365" s="217"/>
      <c r="X365" s="217"/>
      <c r="Y365" s="217"/>
    </row>
    <row r="366" spans="1:25" ht="16" x14ac:dyDescent="0.2">
      <c r="A366" s="219">
        <v>3151</v>
      </c>
      <c r="B366" s="219" t="s">
        <v>2453</v>
      </c>
      <c r="C366" s="219" t="s">
        <v>2080</v>
      </c>
      <c r="D366" s="219">
        <v>250</v>
      </c>
      <c r="E366" s="219">
        <v>2165</v>
      </c>
      <c r="F366" s="219">
        <v>250.1</v>
      </c>
      <c r="G366" s="219" t="s">
        <v>2229</v>
      </c>
      <c r="H366" s="219" t="s">
        <v>2230</v>
      </c>
      <c r="I366" s="219">
        <v>138.1</v>
      </c>
      <c r="J366" s="217"/>
      <c r="K366" s="219" t="s">
        <v>222</v>
      </c>
      <c r="L366" s="219">
        <v>29132</v>
      </c>
      <c r="M366" s="219">
        <v>170.7</v>
      </c>
      <c r="N366" s="219">
        <v>126328.28</v>
      </c>
      <c r="O366" s="219">
        <v>0.23100000000000001</v>
      </c>
      <c r="P366" s="219">
        <v>1E-3</v>
      </c>
      <c r="Q366" s="217"/>
      <c r="R366" s="217"/>
      <c r="S366" s="217"/>
      <c r="T366" s="217"/>
      <c r="U366" s="217"/>
      <c r="V366" s="217"/>
      <c r="W366" s="217"/>
      <c r="X366" s="217"/>
      <c r="Y366" s="217"/>
    </row>
    <row r="367" spans="1:25" ht="16" x14ac:dyDescent="0.2">
      <c r="A367" s="219">
        <v>3152</v>
      </c>
      <c r="B367" s="219" t="s">
        <v>2453</v>
      </c>
      <c r="C367" s="219" t="s">
        <v>2080</v>
      </c>
      <c r="D367" s="219">
        <v>252.01599999999999</v>
      </c>
      <c r="E367" s="219">
        <v>2165</v>
      </c>
      <c r="F367" s="219">
        <v>252.1</v>
      </c>
      <c r="G367" s="219" t="s">
        <v>2231</v>
      </c>
      <c r="H367" s="219" t="s">
        <v>2232</v>
      </c>
      <c r="I367" s="219">
        <v>138.12</v>
      </c>
      <c r="J367" s="217"/>
      <c r="K367" s="219" t="s">
        <v>222</v>
      </c>
      <c r="L367" s="219">
        <v>22422</v>
      </c>
      <c r="M367" s="219">
        <v>149.69999999999999</v>
      </c>
      <c r="N367" s="219">
        <v>120508.96</v>
      </c>
      <c r="O367" s="219">
        <v>0.186</v>
      </c>
      <c r="P367" s="219">
        <v>1E-3</v>
      </c>
      <c r="Q367" s="217"/>
      <c r="R367" s="217"/>
      <c r="S367" s="217"/>
      <c r="T367" s="217"/>
      <c r="U367" s="217"/>
      <c r="V367" s="217"/>
      <c r="W367" s="217"/>
      <c r="X367" s="217"/>
      <c r="Y367" s="217"/>
    </row>
    <row r="368" spans="1:25" ht="16" x14ac:dyDescent="0.2">
      <c r="A368" s="219">
        <v>3153</v>
      </c>
      <c r="B368" s="219" t="s">
        <v>2453</v>
      </c>
      <c r="C368" s="219" t="s">
        <v>2080</v>
      </c>
      <c r="D368" s="219">
        <v>254.00299999999999</v>
      </c>
      <c r="E368" s="219">
        <v>2165</v>
      </c>
      <c r="F368" s="219">
        <v>254</v>
      </c>
      <c r="G368" s="219" t="s">
        <v>2233</v>
      </c>
      <c r="H368" s="219" t="s">
        <v>2234</v>
      </c>
      <c r="I368" s="219">
        <v>136</v>
      </c>
      <c r="J368" s="217"/>
      <c r="K368" s="219" t="s">
        <v>222</v>
      </c>
      <c r="L368" s="219">
        <v>19781</v>
      </c>
      <c r="M368" s="219">
        <v>140.6</v>
      </c>
      <c r="N368" s="219">
        <v>124417.8</v>
      </c>
      <c r="O368" s="219">
        <v>0.159</v>
      </c>
      <c r="P368" s="219">
        <v>1E-3</v>
      </c>
      <c r="Q368" s="217"/>
      <c r="R368" s="217"/>
      <c r="S368" s="217"/>
      <c r="T368" s="217"/>
      <c r="U368" s="217"/>
      <c r="V368" s="217"/>
      <c r="W368" s="217"/>
      <c r="X368" s="217"/>
      <c r="Y368" s="217"/>
    </row>
    <row r="369" spans="1:25" ht="16" x14ac:dyDescent="0.2">
      <c r="A369" s="219">
        <v>3154</v>
      </c>
      <c r="B369" s="219" t="s">
        <v>2453</v>
      </c>
      <c r="C369" s="219" t="s">
        <v>2080</v>
      </c>
      <c r="D369" s="219">
        <v>256.01</v>
      </c>
      <c r="E369" s="219">
        <v>2165</v>
      </c>
      <c r="F369" s="219">
        <v>256</v>
      </c>
      <c r="G369" s="219" t="s">
        <v>2235</v>
      </c>
      <c r="H369" s="219" t="s">
        <v>2236</v>
      </c>
      <c r="I369" s="219">
        <v>137</v>
      </c>
      <c r="J369" s="217"/>
      <c r="K369" s="219" t="s">
        <v>222</v>
      </c>
      <c r="L369" s="219">
        <v>11784</v>
      </c>
      <c r="M369" s="219">
        <v>108.6</v>
      </c>
      <c r="N369" s="219">
        <v>81277.87</v>
      </c>
      <c r="O369" s="219">
        <v>0.14499999999999999</v>
      </c>
      <c r="P369" s="219">
        <v>1E-3</v>
      </c>
      <c r="Q369" s="217"/>
      <c r="R369" s="217"/>
      <c r="S369" s="217"/>
      <c r="T369" s="217"/>
      <c r="U369" s="217"/>
      <c r="V369" s="217"/>
      <c r="W369" s="217"/>
      <c r="X369" s="217"/>
      <c r="Y369" s="217"/>
    </row>
    <row r="370" spans="1:25" ht="16" x14ac:dyDescent="0.2">
      <c r="A370" s="219">
        <v>3155</v>
      </c>
      <c r="B370" s="219" t="s">
        <v>2453</v>
      </c>
      <c r="C370" s="219" t="s">
        <v>2080</v>
      </c>
      <c r="D370" s="219">
        <v>260.01900000000001</v>
      </c>
      <c r="E370" s="219">
        <v>2165</v>
      </c>
      <c r="F370" s="219">
        <v>260</v>
      </c>
      <c r="G370" s="219" t="s">
        <v>2237</v>
      </c>
      <c r="H370" s="219" t="s">
        <v>2238</v>
      </c>
      <c r="I370" s="219">
        <v>136.5</v>
      </c>
      <c r="J370" s="217"/>
      <c r="K370" s="219" t="s">
        <v>222</v>
      </c>
      <c r="L370" s="219">
        <v>10091</v>
      </c>
      <c r="M370" s="219">
        <v>100.5</v>
      </c>
      <c r="N370" s="219">
        <v>70753.27</v>
      </c>
      <c r="O370" s="219">
        <v>0.14299999999999999</v>
      </c>
      <c r="P370" s="219">
        <v>1E-3</v>
      </c>
      <c r="Q370" s="217"/>
      <c r="R370" s="217"/>
      <c r="S370" s="217"/>
      <c r="T370" s="217"/>
      <c r="U370" s="217"/>
      <c r="V370" s="217"/>
      <c r="W370" s="217"/>
      <c r="X370" s="217"/>
      <c r="Y370" s="217"/>
    </row>
    <row r="371" spans="1:25" ht="16" x14ac:dyDescent="0.2">
      <c r="A371" s="219">
        <v>3156</v>
      </c>
      <c r="B371" s="219" t="s">
        <v>2453</v>
      </c>
      <c r="C371" s="219" t="s">
        <v>2080</v>
      </c>
      <c r="D371" s="219">
        <v>264.02699999999999</v>
      </c>
      <c r="E371" s="219">
        <v>2165</v>
      </c>
      <c r="F371" s="219">
        <v>264</v>
      </c>
      <c r="G371" s="219" t="s">
        <v>2239</v>
      </c>
      <c r="H371" s="219" t="s">
        <v>2240</v>
      </c>
      <c r="I371" s="219">
        <v>136</v>
      </c>
      <c r="J371" s="217"/>
      <c r="K371" s="219" t="s">
        <v>222</v>
      </c>
      <c r="L371" s="219">
        <v>17722</v>
      </c>
      <c r="M371" s="219">
        <v>133.1</v>
      </c>
      <c r="N371" s="219">
        <v>106073.32</v>
      </c>
      <c r="O371" s="219">
        <v>0.16700000000000001</v>
      </c>
      <c r="P371" s="219">
        <v>1E-3</v>
      </c>
      <c r="Q371" s="217"/>
      <c r="R371" s="217"/>
      <c r="S371" s="217"/>
      <c r="T371" s="217"/>
      <c r="U371" s="217"/>
      <c r="V371" s="217"/>
      <c r="W371" s="217"/>
      <c r="X371" s="217"/>
      <c r="Y371" s="217"/>
    </row>
    <row r="372" spans="1:25" ht="16" x14ac:dyDescent="0.2">
      <c r="A372" s="219">
        <v>3157</v>
      </c>
      <c r="B372" s="219" t="s">
        <v>2453</v>
      </c>
      <c r="C372" s="219" t="s">
        <v>2080</v>
      </c>
      <c r="D372" s="219">
        <v>268.04199999999997</v>
      </c>
      <c r="E372" s="219">
        <v>2165</v>
      </c>
      <c r="F372" s="219">
        <v>268</v>
      </c>
      <c r="G372" s="219" t="s">
        <v>2241</v>
      </c>
      <c r="H372" s="219" t="s">
        <v>2242</v>
      </c>
      <c r="I372" s="219">
        <v>133.69999999999999</v>
      </c>
      <c r="J372" s="217"/>
      <c r="K372" s="219" t="s">
        <v>222</v>
      </c>
      <c r="L372" s="219">
        <v>17409</v>
      </c>
      <c r="M372" s="219">
        <v>131.9</v>
      </c>
      <c r="N372" s="219">
        <v>88308.94</v>
      </c>
      <c r="O372" s="219">
        <v>0.19700000000000001</v>
      </c>
      <c r="P372" s="219">
        <v>1E-3</v>
      </c>
      <c r="Q372" s="217"/>
      <c r="R372" s="217"/>
      <c r="S372" s="217"/>
      <c r="T372" s="217"/>
      <c r="U372" s="217"/>
      <c r="V372" s="217"/>
      <c r="W372" s="217"/>
      <c r="X372" s="217"/>
      <c r="Y372" s="217"/>
    </row>
    <row r="373" spans="1:25" ht="16" x14ac:dyDescent="0.2">
      <c r="A373" s="219">
        <v>3158</v>
      </c>
      <c r="B373" s="219" t="s">
        <v>157</v>
      </c>
      <c r="C373" s="219" t="s">
        <v>2080</v>
      </c>
      <c r="D373" s="219">
        <v>119.7</v>
      </c>
      <c r="E373" s="219">
        <v>1498</v>
      </c>
      <c r="F373" s="219">
        <v>120</v>
      </c>
      <c r="G373" s="219" t="s">
        <v>2243</v>
      </c>
      <c r="H373" s="219" t="s">
        <v>2244</v>
      </c>
      <c r="I373" s="219">
        <v>94</v>
      </c>
      <c r="J373" s="217"/>
      <c r="K373" s="219" t="s">
        <v>222</v>
      </c>
      <c r="L373" s="219">
        <v>35</v>
      </c>
      <c r="M373" s="219">
        <v>5.9</v>
      </c>
      <c r="N373" s="219">
        <v>4401313.3</v>
      </c>
      <c r="O373" s="219">
        <v>0</v>
      </c>
      <c r="P373" s="219">
        <v>0</v>
      </c>
      <c r="Q373" s="217"/>
      <c r="R373" s="217"/>
      <c r="S373" s="217"/>
      <c r="T373" s="217"/>
      <c r="U373" s="217"/>
      <c r="V373" s="217"/>
      <c r="W373" s="217"/>
      <c r="X373" s="217"/>
      <c r="Y373" s="217"/>
    </row>
    <row r="374" spans="1:25" ht="16" x14ac:dyDescent="0.2">
      <c r="A374" s="219">
        <v>3159</v>
      </c>
      <c r="B374" s="219" t="s">
        <v>30</v>
      </c>
      <c r="C374" s="219" t="s">
        <v>2080</v>
      </c>
      <c r="D374" s="219">
        <v>331.60300000000001</v>
      </c>
      <c r="E374" s="219">
        <v>886</v>
      </c>
      <c r="F374" s="219">
        <v>329.9</v>
      </c>
      <c r="G374" s="219" t="s">
        <v>2245</v>
      </c>
      <c r="H374" s="219" t="s">
        <v>2246</v>
      </c>
      <c r="I374" s="219">
        <v>30.32</v>
      </c>
      <c r="J374" s="217"/>
      <c r="K374" s="219" t="s">
        <v>222</v>
      </c>
      <c r="L374" s="219">
        <v>319</v>
      </c>
      <c r="M374" s="219">
        <v>17.899999999999999</v>
      </c>
      <c r="N374" s="219">
        <v>2043.75</v>
      </c>
      <c r="O374" s="219">
        <v>0.156</v>
      </c>
      <c r="P374" s="219">
        <v>8.9999999999999993E-3</v>
      </c>
      <c r="Q374" s="217"/>
      <c r="R374" s="217"/>
      <c r="S374" s="217"/>
      <c r="T374" s="217"/>
      <c r="U374" s="217"/>
      <c r="V374" s="217"/>
      <c r="W374" s="217"/>
      <c r="X374" s="217"/>
      <c r="Y374" s="217"/>
    </row>
    <row r="375" spans="1:25" ht="16" x14ac:dyDescent="0.2">
      <c r="A375" s="219">
        <v>3160</v>
      </c>
      <c r="B375" s="219" t="s">
        <v>30</v>
      </c>
      <c r="C375" s="219" t="s">
        <v>2080</v>
      </c>
      <c r="D375" s="219">
        <v>333.61</v>
      </c>
      <c r="E375" s="219">
        <v>886</v>
      </c>
      <c r="F375" s="219">
        <v>331.8</v>
      </c>
      <c r="G375" s="219" t="s">
        <v>2247</v>
      </c>
      <c r="H375" s="219" t="s">
        <v>2248</v>
      </c>
      <c r="I375" s="217"/>
      <c r="J375" s="217"/>
      <c r="K375" s="219" t="s">
        <v>222</v>
      </c>
      <c r="L375" s="219">
        <v>347</v>
      </c>
      <c r="M375" s="219">
        <v>18.600000000000001</v>
      </c>
      <c r="N375" s="219">
        <v>1686.12</v>
      </c>
      <c r="O375" s="219">
        <v>0.20599999999999999</v>
      </c>
      <c r="P375" s="219">
        <v>1.0999999999999999E-2</v>
      </c>
      <c r="Q375" s="217"/>
      <c r="R375" s="217"/>
      <c r="S375" s="217"/>
      <c r="T375" s="217"/>
      <c r="U375" s="217"/>
      <c r="V375" s="217"/>
      <c r="W375" s="217"/>
      <c r="X375" s="217"/>
      <c r="Y375" s="217"/>
    </row>
    <row r="376" spans="1:25" ht="16" x14ac:dyDescent="0.2">
      <c r="A376" s="219">
        <v>3161</v>
      </c>
      <c r="B376" s="219" t="s">
        <v>30</v>
      </c>
      <c r="C376" s="219" t="s">
        <v>2080</v>
      </c>
      <c r="D376" s="219">
        <v>335.61799999999999</v>
      </c>
      <c r="E376" s="219">
        <v>886</v>
      </c>
      <c r="F376" s="219">
        <v>333.8</v>
      </c>
      <c r="G376" s="219" t="s">
        <v>2249</v>
      </c>
      <c r="H376" s="219" t="s">
        <v>2250</v>
      </c>
      <c r="I376" s="219">
        <v>30.48</v>
      </c>
      <c r="J376" s="217"/>
      <c r="K376" s="219" t="s">
        <v>222</v>
      </c>
      <c r="L376" s="219">
        <v>642</v>
      </c>
      <c r="M376" s="219">
        <v>25.3</v>
      </c>
      <c r="N376" s="219">
        <v>2089.77</v>
      </c>
      <c r="O376" s="219">
        <v>0.307</v>
      </c>
      <c r="P376" s="219">
        <v>1.2E-2</v>
      </c>
      <c r="Q376" s="217"/>
      <c r="R376" s="217"/>
      <c r="S376" s="217"/>
      <c r="T376" s="217"/>
      <c r="U376" s="217"/>
      <c r="V376" s="217"/>
      <c r="W376" s="217"/>
      <c r="X376" s="217"/>
      <c r="Y376" s="217"/>
    </row>
    <row r="377" spans="1:25" ht="16" x14ac:dyDescent="0.2">
      <c r="A377" s="219">
        <v>3162</v>
      </c>
      <c r="B377" s="219" t="s">
        <v>30</v>
      </c>
      <c r="C377" s="219" t="s">
        <v>2080</v>
      </c>
      <c r="D377" s="219">
        <v>337.625</v>
      </c>
      <c r="E377" s="219">
        <v>886</v>
      </c>
      <c r="F377" s="219">
        <v>335.8</v>
      </c>
      <c r="G377" s="219" t="s">
        <v>2251</v>
      </c>
      <c r="H377" s="219" t="s">
        <v>2252</v>
      </c>
      <c r="I377" s="219">
        <v>30.54</v>
      </c>
      <c r="J377" s="217"/>
      <c r="K377" s="219" t="s">
        <v>222</v>
      </c>
      <c r="L377" s="219">
        <v>1085</v>
      </c>
      <c r="M377" s="219">
        <v>32.9</v>
      </c>
      <c r="N377" s="219">
        <v>2026.38</v>
      </c>
      <c r="O377" s="219">
        <v>0.53500000000000003</v>
      </c>
      <c r="P377" s="219">
        <v>1.6E-2</v>
      </c>
      <c r="Q377" s="217"/>
      <c r="R377" s="217"/>
      <c r="S377" s="217"/>
      <c r="T377" s="217"/>
      <c r="U377" s="217"/>
      <c r="V377" s="217"/>
      <c r="W377" s="217"/>
      <c r="X377" s="217"/>
      <c r="Y377" s="217"/>
    </row>
    <row r="378" spans="1:25" ht="16" x14ac:dyDescent="0.2">
      <c r="A378" s="219">
        <v>3163</v>
      </c>
      <c r="B378" s="219" t="s">
        <v>30</v>
      </c>
      <c r="C378" s="219" t="s">
        <v>2080</v>
      </c>
      <c r="D378" s="219">
        <v>339.62599999999998</v>
      </c>
      <c r="E378" s="219">
        <v>886</v>
      </c>
      <c r="F378" s="219">
        <v>337.8</v>
      </c>
      <c r="G378" s="219" t="s">
        <v>2253</v>
      </c>
      <c r="H378" s="219" t="s">
        <v>2254</v>
      </c>
      <c r="I378" s="219">
        <v>30.61</v>
      </c>
      <c r="J378" s="217"/>
      <c r="K378" s="219" t="s">
        <v>222</v>
      </c>
      <c r="L378" s="219">
        <v>1682</v>
      </c>
      <c r="M378" s="219">
        <v>41</v>
      </c>
      <c r="N378" s="219">
        <v>1771.01</v>
      </c>
      <c r="O378" s="219">
        <v>0.95</v>
      </c>
      <c r="P378" s="219">
        <v>2.3E-2</v>
      </c>
      <c r="Q378" s="217"/>
      <c r="R378" s="217"/>
      <c r="S378" s="217"/>
      <c r="T378" s="217"/>
      <c r="U378" s="217"/>
      <c r="V378" s="217"/>
      <c r="W378" s="217"/>
      <c r="X378" s="217"/>
      <c r="Y378" s="217"/>
    </row>
    <row r="379" spans="1:25" ht="16" x14ac:dyDescent="0.2">
      <c r="A379" s="219">
        <v>3164</v>
      </c>
      <c r="B379" s="219" t="s">
        <v>30</v>
      </c>
      <c r="C379" s="219" t="s">
        <v>2080</v>
      </c>
      <c r="D379" s="219">
        <v>340.62700000000001</v>
      </c>
      <c r="E379" s="219">
        <v>886</v>
      </c>
      <c r="F379" s="219">
        <v>338.8</v>
      </c>
      <c r="G379" s="219" t="s">
        <v>2255</v>
      </c>
      <c r="H379" s="219" t="s">
        <v>2256</v>
      </c>
      <c r="I379" s="217"/>
      <c r="J379" s="217"/>
      <c r="K379" s="219" t="s">
        <v>222</v>
      </c>
      <c r="L379" s="219">
        <v>2994</v>
      </c>
      <c r="M379" s="219">
        <v>54.7</v>
      </c>
      <c r="N379" s="219">
        <v>2027.49</v>
      </c>
      <c r="O379" s="219">
        <v>1.4770000000000001</v>
      </c>
      <c r="P379" s="219">
        <v>2.7E-2</v>
      </c>
      <c r="Q379" s="217"/>
      <c r="R379" s="217"/>
      <c r="S379" s="217"/>
      <c r="T379" s="217"/>
      <c r="U379" s="217"/>
      <c r="V379" s="217"/>
      <c r="W379" s="217"/>
      <c r="X379" s="217"/>
      <c r="Y379" s="217"/>
    </row>
    <row r="380" spans="1:25" ht="16" x14ac:dyDescent="0.2">
      <c r="A380" s="219">
        <v>3165</v>
      </c>
      <c r="B380" s="219" t="s">
        <v>30</v>
      </c>
      <c r="C380" s="219" t="s">
        <v>2080</v>
      </c>
      <c r="D380" s="219">
        <v>341.63400000000001</v>
      </c>
      <c r="E380" s="219">
        <v>886</v>
      </c>
      <c r="F380" s="219">
        <v>339.8</v>
      </c>
      <c r="G380" s="219" t="s">
        <v>2257</v>
      </c>
      <c r="H380" s="219" t="s">
        <v>2258</v>
      </c>
      <c r="I380" s="219">
        <v>31.29</v>
      </c>
      <c r="J380" s="217"/>
      <c r="K380" s="219" t="s">
        <v>222</v>
      </c>
      <c r="L380" s="219">
        <v>5817</v>
      </c>
      <c r="M380" s="219">
        <v>76.3</v>
      </c>
      <c r="N380" s="219">
        <v>2230.83</v>
      </c>
      <c r="O380" s="219">
        <v>2.6080000000000001</v>
      </c>
      <c r="P380" s="219">
        <v>3.4000000000000002E-2</v>
      </c>
      <c r="Q380" s="217"/>
      <c r="R380" s="217"/>
      <c r="S380" s="217"/>
      <c r="T380" s="217"/>
      <c r="U380" s="217"/>
      <c r="V380" s="217"/>
      <c r="W380" s="217"/>
      <c r="X380" s="217"/>
      <c r="Y380" s="217"/>
    </row>
    <row r="381" spans="1:25" ht="16" x14ac:dyDescent="0.2">
      <c r="A381" s="219">
        <v>3166</v>
      </c>
      <c r="B381" s="219" t="s">
        <v>30</v>
      </c>
      <c r="C381" s="219" t="s">
        <v>2080</v>
      </c>
      <c r="D381" s="219">
        <v>342.63400000000001</v>
      </c>
      <c r="E381" s="219">
        <v>886</v>
      </c>
      <c r="F381" s="219">
        <v>340.8</v>
      </c>
      <c r="G381" s="219" t="s">
        <v>2259</v>
      </c>
      <c r="H381" s="217"/>
      <c r="I381" s="219">
        <v>31.78</v>
      </c>
      <c r="J381" s="217"/>
      <c r="K381" s="219" t="s">
        <v>222</v>
      </c>
      <c r="L381" s="217"/>
      <c r="M381" s="219">
        <v>0</v>
      </c>
      <c r="N381" s="217"/>
      <c r="O381" s="219" t="e">
        <v>#DIV/0!</v>
      </c>
      <c r="P381" s="219" t="e">
        <v>#DIV/0!</v>
      </c>
      <c r="Q381" s="217"/>
      <c r="R381" s="217"/>
      <c r="S381" s="217"/>
      <c r="T381" s="217"/>
      <c r="U381" s="217"/>
      <c r="V381" s="217"/>
      <c r="W381" s="217"/>
      <c r="X381" s="217"/>
      <c r="Y381" s="217"/>
    </row>
    <row r="382" spans="1:25" ht="16" x14ac:dyDescent="0.2">
      <c r="A382" s="219">
        <v>3167</v>
      </c>
      <c r="B382" s="219" t="s">
        <v>30</v>
      </c>
      <c r="C382" s="219" t="s">
        <v>2080</v>
      </c>
      <c r="D382" s="219">
        <v>343.64100000000002</v>
      </c>
      <c r="E382" s="219">
        <v>886</v>
      </c>
      <c r="F382" s="219">
        <v>341.8</v>
      </c>
      <c r="G382" s="219" t="s">
        <v>2260</v>
      </c>
      <c r="H382" s="219" t="s">
        <v>2261</v>
      </c>
      <c r="I382" s="219">
        <v>31.85</v>
      </c>
      <c r="J382" s="217"/>
      <c r="K382" s="219" t="s">
        <v>222</v>
      </c>
      <c r="L382" s="219">
        <v>16020</v>
      </c>
      <c r="M382" s="219">
        <v>126.6</v>
      </c>
      <c r="N382" s="219">
        <v>1990.93</v>
      </c>
      <c r="O382" s="219">
        <v>8.0459999999999994</v>
      </c>
      <c r="P382" s="219">
        <v>6.4000000000000001E-2</v>
      </c>
      <c r="Q382" s="217"/>
      <c r="R382" s="217"/>
      <c r="S382" s="217"/>
      <c r="T382" s="217"/>
      <c r="U382" s="217"/>
      <c r="V382" s="217"/>
      <c r="W382" s="217"/>
      <c r="X382" s="217"/>
      <c r="Y382" s="217"/>
    </row>
    <row r="383" spans="1:25" ht="16" x14ac:dyDescent="0.2">
      <c r="A383" s="219">
        <v>3168</v>
      </c>
      <c r="B383" s="219" t="s">
        <v>30</v>
      </c>
      <c r="C383" s="219" t="s">
        <v>2080</v>
      </c>
      <c r="D383" s="219">
        <v>344.62799999999999</v>
      </c>
      <c r="E383" s="219">
        <v>886</v>
      </c>
      <c r="F383" s="219">
        <v>342.8</v>
      </c>
      <c r="G383" s="219" t="s">
        <v>2262</v>
      </c>
      <c r="H383" s="219" t="s">
        <v>2263</v>
      </c>
      <c r="I383" s="219">
        <v>31.96</v>
      </c>
      <c r="J383" s="217"/>
      <c r="K383" s="219" t="s">
        <v>222</v>
      </c>
      <c r="L383" s="219">
        <v>18508</v>
      </c>
      <c r="M383" s="219">
        <v>136</v>
      </c>
      <c r="N383" s="219">
        <v>1740.77</v>
      </c>
      <c r="O383" s="219">
        <v>10.632</v>
      </c>
      <c r="P383" s="219">
        <v>7.8E-2</v>
      </c>
      <c r="Q383" s="217"/>
      <c r="R383" s="217"/>
      <c r="S383" s="217"/>
      <c r="T383" s="217"/>
      <c r="U383" s="217"/>
      <c r="V383" s="217"/>
      <c r="W383" s="217"/>
      <c r="X383" s="217"/>
      <c r="Y383" s="217"/>
    </row>
    <row r="384" spans="1:25" ht="16" x14ac:dyDescent="0.2">
      <c r="A384" s="219">
        <v>3169</v>
      </c>
      <c r="B384" s="219" t="s">
        <v>30</v>
      </c>
      <c r="C384" s="219" t="s">
        <v>2080</v>
      </c>
      <c r="D384" s="219">
        <v>345.63499999999999</v>
      </c>
      <c r="E384" s="219">
        <v>886</v>
      </c>
      <c r="F384" s="219">
        <v>343.8</v>
      </c>
      <c r="G384" s="219" t="s">
        <v>2264</v>
      </c>
      <c r="H384" s="219" t="s">
        <v>2265</v>
      </c>
      <c r="I384" s="219">
        <v>31.98</v>
      </c>
      <c r="J384" s="217"/>
      <c r="K384" s="219" t="s">
        <v>222</v>
      </c>
      <c r="L384" s="219">
        <v>22736</v>
      </c>
      <c r="M384" s="219">
        <v>150.80000000000001</v>
      </c>
      <c r="N384" s="219">
        <v>1846.97</v>
      </c>
      <c r="O384" s="219">
        <v>12.31</v>
      </c>
      <c r="P384" s="219">
        <v>8.2000000000000003E-2</v>
      </c>
      <c r="Q384" s="217"/>
      <c r="R384" s="217"/>
      <c r="S384" s="217"/>
      <c r="T384" s="217"/>
      <c r="U384" s="217"/>
      <c r="V384" s="217"/>
      <c r="W384" s="217"/>
      <c r="X384" s="217"/>
      <c r="Y384" s="217"/>
    </row>
    <row r="385" spans="1:25" ht="16" x14ac:dyDescent="0.2">
      <c r="A385" s="219">
        <v>3170</v>
      </c>
      <c r="B385" s="219" t="s">
        <v>30</v>
      </c>
      <c r="C385" s="219" t="s">
        <v>2080</v>
      </c>
      <c r="D385" s="219">
        <v>346.61500000000001</v>
      </c>
      <c r="E385" s="219">
        <v>886</v>
      </c>
      <c r="F385" s="219">
        <v>344.8</v>
      </c>
      <c r="G385" s="219" t="s">
        <v>2266</v>
      </c>
      <c r="H385" s="219" t="s">
        <v>2148</v>
      </c>
      <c r="I385" s="219">
        <v>31.9</v>
      </c>
      <c r="J385" s="217"/>
      <c r="K385" s="219" t="s">
        <v>222</v>
      </c>
      <c r="L385" s="219">
        <v>32308</v>
      </c>
      <c r="M385" s="219">
        <v>179.7</v>
      </c>
      <c r="N385" s="219">
        <v>2500.46</v>
      </c>
      <c r="O385" s="219">
        <v>12.920999999999999</v>
      </c>
      <c r="P385" s="219">
        <v>7.1999999999999995E-2</v>
      </c>
      <c r="Q385" s="217"/>
      <c r="R385" s="217"/>
      <c r="S385" s="217"/>
      <c r="T385" s="217"/>
      <c r="U385" s="217"/>
      <c r="V385" s="217"/>
      <c r="W385" s="217"/>
      <c r="X385" s="217"/>
      <c r="Y385" s="217"/>
    </row>
    <row r="386" spans="1:25" ht="16" x14ac:dyDescent="0.2">
      <c r="A386" s="219">
        <v>3171</v>
      </c>
      <c r="B386" s="219" t="s">
        <v>30</v>
      </c>
      <c r="C386" s="219" t="s">
        <v>2080</v>
      </c>
      <c r="D386" s="219">
        <v>347.62200000000001</v>
      </c>
      <c r="E386" s="219">
        <v>886</v>
      </c>
      <c r="F386" s="219">
        <v>345.8</v>
      </c>
      <c r="G386" s="219" t="s">
        <v>2267</v>
      </c>
      <c r="H386" s="219" t="s">
        <v>2268</v>
      </c>
      <c r="I386" s="219">
        <v>31.6</v>
      </c>
      <c r="J386" s="217"/>
      <c r="K386" s="219" t="s">
        <v>222</v>
      </c>
      <c r="L386" s="219">
        <v>24844</v>
      </c>
      <c r="M386" s="219">
        <v>157.6</v>
      </c>
      <c r="N386" s="219">
        <v>2059.21</v>
      </c>
      <c r="O386" s="219">
        <v>12.065</v>
      </c>
      <c r="P386" s="219">
        <v>7.6999999999999999E-2</v>
      </c>
      <c r="Q386" s="217"/>
      <c r="R386" s="217"/>
      <c r="S386" s="217"/>
      <c r="T386" s="217"/>
      <c r="U386" s="217"/>
      <c r="V386" s="217"/>
      <c r="W386" s="217"/>
      <c r="X386" s="217"/>
      <c r="Y386" s="217"/>
    </row>
    <row r="387" spans="1:25" ht="16" x14ac:dyDescent="0.2">
      <c r="A387" s="219">
        <v>3172</v>
      </c>
      <c r="B387" s="219" t="s">
        <v>30</v>
      </c>
      <c r="C387" s="219" t="s">
        <v>2080</v>
      </c>
      <c r="D387" s="219">
        <v>348.63600000000002</v>
      </c>
      <c r="E387" s="219">
        <v>886</v>
      </c>
      <c r="F387" s="219">
        <v>346.8</v>
      </c>
      <c r="G387" s="219" t="s">
        <v>2269</v>
      </c>
      <c r="H387" s="219" t="s">
        <v>2270</v>
      </c>
      <c r="I387" s="219">
        <v>31.45</v>
      </c>
      <c r="J387" s="217"/>
      <c r="K387" s="219" t="s">
        <v>222</v>
      </c>
      <c r="L387" s="219">
        <v>23376</v>
      </c>
      <c r="M387" s="219">
        <v>152.9</v>
      </c>
      <c r="N387" s="219">
        <v>2019.7</v>
      </c>
      <c r="O387" s="219">
        <v>11.574</v>
      </c>
      <c r="P387" s="219">
        <v>7.5999999999999998E-2</v>
      </c>
      <c r="Q387" s="217"/>
      <c r="R387" s="217"/>
      <c r="S387" s="217"/>
      <c r="T387" s="217"/>
      <c r="U387" s="217"/>
      <c r="V387" s="217"/>
      <c r="W387" s="217"/>
      <c r="X387" s="217"/>
      <c r="Y387" s="217"/>
    </row>
    <row r="388" spans="1:25" ht="16" x14ac:dyDescent="0.2">
      <c r="A388" s="219">
        <v>3173</v>
      </c>
      <c r="B388" s="219" t="s">
        <v>30</v>
      </c>
      <c r="C388" s="219" t="s">
        <v>2080</v>
      </c>
      <c r="D388" s="219">
        <v>349.637</v>
      </c>
      <c r="E388" s="219">
        <v>886</v>
      </c>
      <c r="F388" s="219">
        <v>347.8</v>
      </c>
      <c r="G388" s="219" t="s">
        <v>2271</v>
      </c>
      <c r="H388" s="219" t="s">
        <v>2272</v>
      </c>
      <c r="I388" s="219">
        <v>31.34</v>
      </c>
      <c r="J388" s="217"/>
      <c r="K388" s="219" t="s">
        <v>222</v>
      </c>
      <c r="L388" s="219">
        <v>34586</v>
      </c>
      <c r="M388" s="219">
        <v>186</v>
      </c>
      <c r="N388" s="219">
        <v>2936.37</v>
      </c>
      <c r="O388" s="219">
        <v>11.778</v>
      </c>
      <c r="P388" s="219">
        <v>6.3E-2</v>
      </c>
      <c r="Q388" s="217"/>
      <c r="R388" s="217"/>
      <c r="S388" s="217"/>
      <c r="T388" s="217"/>
      <c r="U388" s="217"/>
      <c r="V388" s="217"/>
      <c r="W388" s="217"/>
      <c r="X388" s="217"/>
      <c r="Y388" s="217"/>
    </row>
    <row r="389" spans="1:25" ht="16" x14ac:dyDescent="0.2">
      <c r="A389" s="219">
        <v>3174</v>
      </c>
      <c r="B389" s="219" t="s">
        <v>30</v>
      </c>
      <c r="C389" s="219" t="s">
        <v>2080</v>
      </c>
      <c r="D389" s="219">
        <v>351.65100000000001</v>
      </c>
      <c r="E389" s="219">
        <v>886</v>
      </c>
      <c r="F389" s="219">
        <v>349.8</v>
      </c>
      <c r="G389" s="219" t="s">
        <v>2273</v>
      </c>
      <c r="H389" s="219" t="s">
        <v>2274</v>
      </c>
      <c r="I389" s="219">
        <v>30.64</v>
      </c>
      <c r="J389" s="217"/>
      <c r="K389" s="219" t="s">
        <v>222</v>
      </c>
      <c r="L389" s="219">
        <v>15944</v>
      </c>
      <c r="M389" s="219">
        <v>126.3</v>
      </c>
      <c r="N389" s="219">
        <v>1707.05</v>
      </c>
      <c r="O389" s="219">
        <v>9.34</v>
      </c>
      <c r="P389" s="219">
        <v>7.3999999999999996E-2</v>
      </c>
      <c r="Q389" s="217"/>
      <c r="R389" s="217"/>
      <c r="S389" s="217"/>
      <c r="T389" s="217"/>
      <c r="U389" s="217"/>
      <c r="V389" s="217"/>
      <c r="W389" s="217"/>
      <c r="X389" s="217"/>
      <c r="Y389" s="217"/>
    </row>
    <row r="390" spans="1:25" ht="16" x14ac:dyDescent="0.2">
      <c r="A390" s="219">
        <v>3175</v>
      </c>
      <c r="B390" s="219" t="s">
        <v>30</v>
      </c>
      <c r="C390" s="219" t="s">
        <v>2080</v>
      </c>
      <c r="D390" s="219">
        <v>353.65199999999999</v>
      </c>
      <c r="E390" s="219">
        <v>886</v>
      </c>
      <c r="F390" s="219">
        <v>351.8</v>
      </c>
      <c r="G390" s="219" t="s">
        <v>2275</v>
      </c>
      <c r="H390" s="219" t="s">
        <v>2158</v>
      </c>
      <c r="I390" s="219">
        <v>30.35</v>
      </c>
      <c r="J390" s="217"/>
      <c r="K390" s="219" t="s">
        <v>222</v>
      </c>
      <c r="L390" s="219">
        <v>12455</v>
      </c>
      <c r="M390" s="219">
        <v>111.6</v>
      </c>
      <c r="N390" s="219">
        <v>1878.1</v>
      </c>
      <c r="O390" s="219">
        <v>6.6319999999999997</v>
      </c>
      <c r="P390" s="219">
        <v>5.8999999999999997E-2</v>
      </c>
      <c r="Q390" s="217"/>
      <c r="R390" s="217"/>
      <c r="S390" s="217"/>
      <c r="T390" s="217"/>
      <c r="U390" s="217"/>
      <c r="V390" s="217"/>
      <c r="W390" s="217"/>
      <c r="X390" s="217"/>
      <c r="Y390" s="217"/>
    </row>
    <row r="391" spans="1:25" ht="16" x14ac:dyDescent="0.2">
      <c r="A391" s="219">
        <v>3176</v>
      </c>
      <c r="B391" s="219" t="s">
        <v>30</v>
      </c>
      <c r="C391" s="219" t="s">
        <v>2080</v>
      </c>
      <c r="D391" s="219">
        <v>355.63200000000001</v>
      </c>
      <c r="E391" s="219">
        <v>886</v>
      </c>
      <c r="F391" s="219">
        <v>353.7</v>
      </c>
      <c r="G391" s="219" t="s">
        <v>2276</v>
      </c>
      <c r="H391" s="219" t="s">
        <v>2277</v>
      </c>
      <c r="I391" s="219">
        <v>29.9</v>
      </c>
      <c r="J391" s="217"/>
      <c r="K391" s="219" t="s">
        <v>222</v>
      </c>
      <c r="L391" s="219">
        <v>8065</v>
      </c>
      <c r="M391" s="219">
        <v>89.8</v>
      </c>
      <c r="N391" s="219">
        <v>1857.08</v>
      </c>
      <c r="O391" s="219">
        <v>4.343</v>
      </c>
      <c r="P391" s="219">
        <v>4.8000000000000001E-2</v>
      </c>
      <c r="Q391" s="217"/>
      <c r="R391" s="217"/>
      <c r="S391" s="217"/>
      <c r="T391" s="217"/>
      <c r="U391" s="217"/>
      <c r="V391" s="217"/>
      <c r="W391" s="217"/>
      <c r="X391" s="217"/>
      <c r="Y391" s="217"/>
    </row>
    <row r="392" spans="1:25" ht="16" x14ac:dyDescent="0.2">
      <c r="A392" s="219">
        <v>3177</v>
      </c>
      <c r="B392" s="219" t="s">
        <v>30</v>
      </c>
      <c r="C392" s="219" t="s">
        <v>2080</v>
      </c>
      <c r="D392" s="219">
        <v>358.64699999999999</v>
      </c>
      <c r="E392" s="219">
        <v>886</v>
      </c>
      <c r="F392" s="219">
        <v>356.7</v>
      </c>
      <c r="G392" s="219" t="s">
        <v>2278</v>
      </c>
      <c r="H392" s="219" t="s">
        <v>2279</v>
      </c>
      <c r="I392" s="219">
        <v>29.71</v>
      </c>
      <c r="J392" s="217"/>
      <c r="K392" s="219" t="s">
        <v>222</v>
      </c>
      <c r="L392" s="219">
        <v>4628</v>
      </c>
      <c r="M392" s="219">
        <v>68</v>
      </c>
      <c r="N392" s="219">
        <v>1979.99</v>
      </c>
      <c r="O392" s="219">
        <v>2.3370000000000002</v>
      </c>
      <c r="P392" s="219">
        <v>3.4000000000000002E-2</v>
      </c>
      <c r="Q392" s="217"/>
      <c r="R392" s="217"/>
      <c r="S392" s="217"/>
      <c r="T392" s="217"/>
      <c r="U392" s="217"/>
      <c r="V392" s="217"/>
      <c r="W392" s="217"/>
      <c r="X392" s="217"/>
      <c r="Y392" s="217"/>
    </row>
    <row r="393" spans="1:25" ht="16" x14ac:dyDescent="0.2">
      <c r="A393" s="219">
        <v>3178</v>
      </c>
      <c r="B393" s="219" t="s">
        <v>30</v>
      </c>
      <c r="C393" s="219" t="s">
        <v>2080</v>
      </c>
      <c r="D393" s="219">
        <v>361.65499999999997</v>
      </c>
      <c r="E393" s="219">
        <v>886</v>
      </c>
      <c r="F393" s="219">
        <v>359.7</v>
      </c>
      <c r="G393" s="219" t="s">
        <v>2280</v>
      </c>
      <c r="H393" s="219" t="s">
        <v>2281</v>
      </c>
      <c r="I393" s="219">
        <v>29.01</v>
      </c>
      <c r="J393" s="217"/>
      <c r="K393" s="219" t="s">
        <v>222</v>
      </c>
      <c r="L393" s="219">
        <v>2499</v>
      </c>
      <c r="M393" s="219">
        <v>50</v>
      </c>
      <c r="N393" s="219">
        <v>1991.4</v>
      </c>
      <c r="O393" s="219">
        <v>1.2549999999999999</v>
      </c>
      <c r="P393" s="219">
        <v>2.5000000000000001E-2</v>
      </c>
      <c r="Q393" s="217"/>
      <c r="R393" s="217"/>
      <c r="S393" s="217"/>
      <c r="T393" s="217"/>
      <c r="U393" s="217"/>
      <c r="V393" s="217"/>
      <c r="W393" s="217"/>
      <c r="X393" s="217"/>
      <c r="Y393" s="217"/>
    </row>
    <row r="394" spans="1:25" ht="16" x14ac:dyDescent="0.2">
      <c r="A394" s="219">
        <v>3179</v>
      </c>
      <c r="B394" s="219" t="s">
        <v>30</v>
      </c>
      <c r="C394" s="219" t="s">
        <v>2080</v>
      </c>
      <c r="D394" s="219">
        <v>365.65</v>
      </c>
      <c r="E394" s="219">
        <v>886</v>
      </c>
      <c r="F394" s="219">
        <v>363.7</v>
      </c>
      <c r="G394" s="219" t="s">
        <v>2282</v>
      </c>
      <c r="H394" s="219" t="s">
        <v>2283</v>
      </c>
      <c r="I394" s="219">
        <v>28.3</v>
      </c>
      <c r="J394" s="217"/>
      <c r="K394" s="219" t="s">
        <v>222</v>
      </c>
      <c r="L394" s="219">
        <v>1028</v>
      </c>
      <c r="M394" s="219">
        <v>32.1</v>
      </c>
      <c r="N394" s="219">
        <v>1539.85</v>
      </c>
      <c r="O394" s="219">
        <v>0.66800000000000004</v>
      </c>
      <c r="P394" s="219">
        <v>2.1000000000000001E-2</v>
      </c>
      <c r="Q394" s="217"/>
      <c r="R394" s="217"/>
      <c r="S394" s="217"/>
      <c r="T394" s="217"/>
      <c r="U394" s="217"/>
      <c r="V394" s="217"/>
      <c r="W394" s="217"/>
      <c r="X394" s="217"/>
      <c r="Y394" s="217"/>
    </row>
    <row r="395" spans="1:25" ht="16" x14ac:dyDescent="0.2">
      <c r="A395" s="219">
        <v>3180</v>
      </c>
      <c r="B395" s="219" t="s">
        <v>30</v>
      </c>
      <c r="C395" s="219" t="s">
        <v>2080</v>
      </c>
      <c r="D395" s="219">
        <v>370.67200000000003</v>
      </c>
      <c r="E395" s="219">
        <v>886</v>
      </c>
      <c r="F395" s="219">
        <v>368.7</v>
      </c>
      <c r="G395" s="219" t="s">
        <v>2284</v>
      </c>
      <c r="H395" s="219" t="s">
        <v>2285</v>
      </c>
      <c r="I395" s="219">
        <v>27.44</v>
      </c>
      <c r="J395" s="217"/>
      <c r="K395" s="219" t="s">
        <v>222</v>
      </c>
      <c r="L395" s="219">
        <v>650</v>
      </c>
      <c r="M395" s="219">
        <v>25.5</v>
      </c>
      <c r="N395" s="219">
        <v>1818.4</v>
      </c>
      <c r="O395" s="219">
        <v>0.35699999999999998</v>
      </c>
      <c r="P395" s="219">
        <v>1.4E-2</v>
      </c>
      <c r="Q395" s="217"/>
      <c r="R395" s="217"/>
      <c r="S395" s="217"/>
      <c r="T395" s="217"/>
      <c r="U395" s="217"/>
      <c r="V395" s="217"/>
      <c r="W395" s="217"/>
      <c r="X395" s="217"/>
      <c r="Y395" s="217"/>
    </row>
    <row r="396" spans="1:25" ht="16" x14ac:dyDescent="0.2">
      <c r="A396" s="219">
        <v>3181</v>
      </c>
      <c r="B396" s="219" t="s">
        <v>2453</v>
      </c>
      <c r="C396" s="219" t="s">
        <v>2080</v>
      </c>
      <c r="D396" s="219">
        <v>235.41200000000001</v>
      </c>
      <c r="E396" s="219">
        <v>2222</v>
      </c>
      <c r="F396" s="219">
        <v>235.6</v>
      </c>
      <c r="G396" s="219" t="s">
        <v>2286</v>
      </c>
      <c r="H396" s="219" t="s">
        <v>2287</v>
      </c>
      <c r="I396" s="219">
        <v>127.05</v>
      </c>
      <c r="J396" s="217"/>
      <c r="K396" s="219" t="s">
        <v>222</v>
      </c>
      <c r="L396" s="219">
        <v>263584</v>
      </c>
      <c r="M396" s="219">
        <v>513.4</v>
      </c>
      <c r="N396" s="219">
        <v>248256</v>
      </c>
      <c r="O396" s="219">
        <v>1.0620000000000001</v>
      </c>
      <c r="P396" s="219">
        <v>2E-3</v>
      </c>
      <c r="Q396" s="217"/>
      <c r="R396" s="217"/>
      <c r="S396" s="217"/>
      <c r="T396" s="217"/>
      <c r="U396" s="217"/>
      <c r="V396" s="217"/>
      <c r="W396" s="217"/>
      <c r="X396" s="217"/>
      <c r="Y396" s="217"/>
    </row>
    <row r="397" spans="1:25" ht="16" x14ac:dyDescent="0.2">
      <c r="A397" s="219">
        <v>3182</v>
      </c>
      <c r="B397" s="219" t="s">
        <v>2453</v>
      </c>
      <c r="C397" s="219" t="s">
        <v>2080</v>
      </c>
      <c r="D397" s="219">
        <v>234.405</v>
      </c>
      <c r="E397" s="219">
        <v>2222</v>
      </c>
      <c r="F397" s="219">
        <v>234.6</v>
      </c>
      <c r="G397" s="219" t="s">
        <v>2288</v>
      </c>
      <c r="H397" s="219" t="s">
        <v>2289</v>
      </c>
      <c r="I397" s="219">
        <v>128.52000000000001</v>
      </c>
      <c r="J397" s="217"/>
      <c r="K397" s="219" t="s">
        <v>222</v>
      </c>
      <c r="L397" s="219">
        <v>144378</v>
      </c>
      <c r="M397" s="219">
        <v>380</v>
      </c>
      <c r="N397" s="219">
        <v>117334.47</v>
      </c>
      <c r="O397" s="219">
        <v>1.23</v>
      </c>
      <c r="P397" s="219">
        <v>3.0000000000000001E-3</v>
      </c>
      <c r="Q397" s="217"/>
      <c r="R397" s="217"/>
      <c r="S397" s="217"/>
      <c r="T397" s="217"/>
      <c r="U397" s="217"/>
      <c r="V397" s="217"/>
      <c r="W397" s="217"/>
      <c r="X397" s="217"/>
      <c r="Y397" s="217"/>
    </row>
    <row r="398" spans="1:25" ht="16" x14ac:dyDescent="0.2">
      <c r="A398" s="219">
        <v>3183</v>
      </c>
      <c r="B398" s="219" t="s">
        <v>2453</v>
      </c>
      <c r="C398" s="219" t="s">
        <v>2080</v>
      </c>
      <c r="D398" s="219">
        <v>233.41200000000001</v>
      </c>
      <c r="E398" s="219">
        <v>2222</v>
      </c>
      <c r="F398" s="219">
        <v>233.6</v>
      </c>
      <c r="G398" s="219" t="s">
        <v>2290</v>
      </c>
      <c r="H398" s="219" t="s">
        <v>2291</v>
      </c>
      <c r="I398" s="219">
        <v>129.74</v>
      </c>
      <c r="J398" s="217"/>
      <c r="K398" s="219" t="s">
        <v>222</v>
      </c>
      <c r="L398" s="219">
        <v>172004</v>
      </c>
      <c r="M398" s="219">
        <v>414.7</v>
      </c>
      <c r="N398" s="219">
        <v>124621.22</v>
      </c>
      <c r="O398" s="219">
        <v>1.38</v>
      </c>
      <c r="P398" s="219">
        <v>3.0000000000000001E-3</v>
      </c>
      <c r="Q398" s="217"/>
      <c r="R398" s="217"/>
      <c r="S398" s="217"/>
      <c r="T398" s="217"/>
      <c r="U398" s="217"/>
      <c r="V398" s="217"/>
      <c r="W398" s="217"/>
      <c r="X398" s="217"/>
      <c r="Y398" s="217"/>
    </row>
    <row r="399" spans="1:25" ht="16" x14ac:dyDescent="0.2">
      <c r="A399" s="219">
        <v>3184</v>
      </c>
      <c r="B399" s="219" t="s">
        <v>2453</v>
      </c>
      <c r="C399" s="219" t="s">
        <v>2080</v>
      </c>
      <c r="D399" s="219">
        <v>232.404</v>
      </c>
      <c r="E399" s="219">
        <v>2222</v>
      </c>
      <c r="F399" s="219">
        <v>232.6</v>
      </c>
      <c r="G399" s="219" t="s">
        <v>2292</v>
      </c>
      <c r="H399" s="219" t="s">
        <v>2293</v>
      </c>
      <c r="I399" s="217"/>
      <c r="J399" s="217"/>
      <c r="K399" s="219" t="s">
        <v>222</v>
      </c>
      <c r="L399" s="219">
        <v>171232</v>
      </c>
      <c r="M399" s="219">
        <v>413.8</v>
      </c>
      <c r="N399" s="219">
        <v>113529.02</v>
      </c>
      <c r="O399" s="219">
        <v>1.508</v>
      </c>
      <c r="P399" s="219">
        <v>4.0000000000000001E-3</v>
      </c>
      <c r="Q399" s="217"/>
      <c r="R399" s="217"/>
      <c r="S399" s="217"/>
      <c r="T399" s="217"/>
      <c r="U399" s="217"/>
      <c r="V399" s="217"/>
      <c r="W399" s="217"/>
      <c r="X399" s="217"/>
      <c r="Y399" s="217"/>
    </row>
    <row r="400" spans="1:25" ht="16" x14ac:dyDescent="0.2">
      <c r="A400" s="219">
        <v>3185</v>
      </c>
      <c r="B400" s="219" t="s">
        <v>2453</v>
      </c>
      <c r="C400" s="219" t="s">
        <v>2080</v>
      </c>
      <c r="D400" s="219">
        <v>231.404</v>
      </c>
      <c r="E400" s="219">
        <v>2222</v>
      </c>
      <c r="F400" s="219">
        <v>231.7</v>
      </c>
      <c r="G400" s="219" t="s">
        <v>2294</v>
      </c>
      <c r="H400" s="219" t="s">
        <v>2295</v>
      </c>
      <c r="I400" s="219">
        <v>132.29</v>
      </c>
      <c r="J400" s="217"/>
      <c r="K400" s="219" t="s">
        <v>222</v>
      </c>
      <c r="L400" s="219">
        <v>239662</v>
      </c>
      <c r="M400" s="219">
        <v>489.6</v>
      </c>
      <c r="N400" s="219">
        <v>149975.76</v>
      </c>
      <c r="O400" s="219">
        <v>1.5980000000000001</v>
      </c>
      <c r="P400" s="219">
        <v>3.0000000000000001E-3</v>
      </c>
      <c r="Q400" s="217"/>
      <c r="R400" s="217"/>
      <c r="S400" s="217"/>
      <c r="T400" s="217"/>
      <c r="U400" s="217"/>
      <c r="V400" s="217"/>
      <c r="W400" s="217"/>
      <c r="X400" s="217"/>
      <c r="Y400" s="217"/>
    </row>
    <row r="401" spans="1:25" ht="16" x14ac:dyDescent="0.2">
      <c r="A401" s="219">
        <v>3186</v>
      </c>
      <c r="B401" s="219" t="s">
        <v>2453</v>
      </c>
      <c r="C401" s="219" t="s">
        <v>2080</v>
      </c>
      <c r="D401" s="219">
        <v>233.40199999999999</v>
      </c>
      <c r="E401" s="219">
        <v>2222</v>
      </c>
      <c r="F401" s="219">
        <v>233.6</v>
      </c>
      <c r="G401" s="219" t="s">
        <v>2296</v>
      </c>
      <c r="H401" s="219" t="s">
        <v>2297</v>
      </c>
      <c r="I401" s="219">
        <v>133.9</v>
      </c>
      <c r="J401" s="217"/>
      <c r="K401" s="219" t="s">
        <v>222</v>
      </c>
      <c r="L401" s="219">
        <v>184252</v>
      </c>
      <c r="M401" s="219">
        <v>429.2</v>
      </c>
      <c r="N401" s="219">
        <v>135642.57999999999</v>
      </c>
      <c r="O401" s="219">
        <v>1.3580000000000001</v>
      </c>
      <c r="P401" s="219">
        <v>3.0000000000000001E-3</v>
      </c>
      <c r="Q401" s="217"/>
      <c r="R401" s="217"/>
      <c r="S401" s="217"/>
      <c r="T401" s="217"/>
      <c r="U401" s="217"/>
      <c r="V401" s="217"/>
      <c r="W401" s="217"/>
      <c r="X401" s="217"/>
      <c r="Y401" s="217"/>
    </row>
    <row r="402" spans="1:25" ht="16" x14ac:dyDescent="0.2">
      <c r="A402" s="219">
        <v>3187</v>
      </c>
      <c r="B402" s="219" t="s">
        <v>2453</v>
      </c>
      <c r="C402" s="219" t="s">
        <v>2080</v>
      </c>
      <c r="D402" s="219">
        <v>230.1</v>
      </c>
      <c r="E402" s="219">
        <v>2249</v>
      </c>
      <c r="F402" s="219">
        <v>230.4</v>
      </c>
      <c r="G402" s="219" t="s">
        <v>2298</v>
      </c>
      <c r="H402" s="219" t="s">
        <v>2299</v>
      </c>
      <c r="I402" s="219">
        <v>136.57</v>
      </c>
      <c r="J402" s="217"/>
      <c r="K402" s="219" t="s">
        <v>222</v>
      </c>
      <c r="L402" s="219">
        <v>1413821</v>
      </c>
      <c r="M402" s="219">
        <v>1189</v>
      </c>
      <c r="N402" s="219">
        <v>888833.17</v>
      </c>
      <c r="O402" s="219">
        <v>1.591</v>
      </c>
      <c r="P402" s="219">
        <v>1E-3</v>
      </c>
      <c r="Q402" s="217"/>
      <c r="R402" s="217"/>
      <c r="S402" s="217"/>
      <c r="T402" s="217"/>
      <c r="U402" s="217"/>
      <c r="V402" s="217"/>
      <c r="W402" s="217"/>
      <c r="X402" s="217"/>
      <c r="Y402" s="217"/>
    </row>
    <row r="403" spans="1:25" ht="16" x14ac:dyDescent="0.2">
      <c r="A403" s="219">
        <v>3188</v>
      </c>
      <c r="B403" s="219" t="s">
        <v>2453</v>
      </c>
      <c r="C403" s="219" t="s">
        <v>2080</v>
      </c>
      <c r="D403" s="219">
        <v>229.114</v>
      </c>
      <c r="E403" s="219">
        <v>2249</v>
      </c>
      <c r="F403" s="219">
        <v>229.4</v>
      </c>
      <c r="G403" s="219" t="s">
        <v>2300</v>
      </c>
      <c r="H403" s="219" t="s">
        <v>2301</v>
      </c>
      <c r="I403" s="219">
        <v>141</v>
      </c>
      <c r="J403" s="217"/>
      <c r="K403" s="219" t="s">
        <v>222</v>
      </c>
      <c r="L403" s="219">
        <v>232250</v>
      </c>
      <c r="M403" s="219">
        <v>481.9</v>
      </c>
      <c r="N403" s="219">
        <v>147522.53</v>
      </c>
      <c r="O403" s="219">
        <v>1.5740000000000001</v>
      </c>
      <c r="P403" s="219">
        <v>3.0000000000000001E-3</v>
      </c>
      <c r="Q403" s="217"/>
      <c r="R403" s="217"/>
      <c r="S403" s="217"/>
      <c r="T403" s="217"/>
      <c r="U403" s="217"/>
      <c r="V403" s="217"/>
      <c r="W403" s="217"/>
      <c r="X403" s="217"/>
      <c r="Y403" s="217"/>
    </row>
    <row r="404" spans="1:25" ht="16" x14ac:dyDescent="0.2">
      <c r="A404" s="219">
        <v>3189</v>
      </c>
      <c r="B404" s="219" t="s">
        <v>2453</v>
      </c>
      <c r="C404" s="219" t="s">
        <v>2080</v>
      </c>
      <c r="D404" s="219">
        <v>228.114</v>
      </c>
      <c r="E404" s="219">
        <v>2249</v>
      </c>
      <c r="F404" s="219">
        <v>228.4</v>
      </c>
      <c r="G404" s="219" t="s">
        <v>2302</v>
      </c>
      <c r="H404" s="219" t="s">
        <v>2303</v>
      </c>
      <c r="I404" s="219">
        <v>141</v>
      </c>
      <c r="J404" s="217"/>
      <c r="K404" s="219" t="s">
        <v>222</v>
      </c>
      <c r="L404" s="219">
        <v>220210</v>
      </c>
      <c r="M404" s="219">
        <v>469.3</v>
      </c>
      <c r="N404" s="219">
        <v>142585.07999999999</v>
      </c>
      <c r="O404" s="219">
        <v>1.544</v>
      </c>
      <c r="P404" s="219">
        <v>3.0000000000000001E-3</v>
      </c>
      <c r="Q404" s="217"/>
      <c r="R404" s="217"/>
      <c r="S404" s="217"/>
      <c r="T404" s="217"/>
      <c r="U404" s="217"/>
      <c r="V404" s="217"/>
      <c r="W404" s="217"/>
      <c r="X404" s="217"/>
      <c r="Y404" s="217"/>
    </row>
    <row r="405" spans="1:25" ht="16" x14ac:dyDescent="0.2">
      <c r="A405" s="219">
        <v>3190</v>
      </c>
      <c r="B405" s="219" t="s">
        <v>2453</v>
      </c>
      <c r="C405" s="219" t="s">
        <v>2080</v>
      </c>
      <c r="D405" s="219">
        <v>227.107</v>
      </c>
      <c r="E405" s="219">
        <v>2249</v>
      </c>
      <c r="F405" s="219">
        <v>227.4</v>
      </c>
      <c r="G405" s="219" t="s">
        <v>2304</v>
      </c>
      <c r="H405" s="219" t="s">
        <v>2305</v>
      </c>
      <c r="I405" s="219">
        <v>142</v>
      </c>
      <c r="J405" s="217"/>
      <c r="K405" s="219" t="s">
        <v>222</v>
      </c>
      <c r="L405" s="219">
        <v>283088</v>
      </c>
      <c r="M405" s="219">
        <v>532.1</v>
      </c>
      <c r="N405" s="219">
        <v>198182.38</v>
      </c>
      <c r="O405" s="219">
        <v>1.4279999999999999</v>
      </c>
      <c r="P405" s="219">
        <v>3.0000000000000001E-3</v>
      </c>
      <c r="Q405" s="217"/>
      <c r="R405" s="217"/>
      <c r="S405" s="217"/>
      <c r="T405" s="217"/>
      <c r="U405" s="217"/>
      <c r="V405" s="217"/>
      <c r="W405" s="217"/>
      <c r="X405" s="217"/>
      <c r="Y405" s="217"/>
    </row>
    <row r="406" spans="1:25" ht="16" x14ac:dyDescent="0.2">
      <c r="A406" s="219">
        <v>3191</v>
      </c>
      <c r="B406" s="219" t="s">
        <v>2453</v>
      </c>
      <c r="C406" s="219" t="s">
        <v>2080</v>
      </c>
      <c r="D406" s="219">
        <v>226.1</v>
      </c>
      <c r="E406" s="219">
        <v>2249</v>
      </c>
      <c r="F406" s="219">
        <v>226.4</v>
      </c>
      <c r="G406" s="219" t="s">
        <v>2306</v>
      </c>
      <c r="H406" s="219" t="s">
        <v>2307</v>
      </c>
      <c r="I406" s="219">
        <v>142</v>
      </c>
      <c r="J406" s="217"/>
      <c r="K406" s="219" t="s">
        <v>222</v>
      </c>
      <c r="L406" s="219">
        <v>278515</v>
      </c>
      <c r="M406" s="219">
        <v>527.70000000000005</v>
      </c>
      <c r="N406" s="219">
        <v>249685.82</v>
      </c>
      <c r="O406" s="219">
        <v>1.115</v>
      </c>
      <c r="P406" s="219">
        <v>2E-3</v>
      </c>
      <c r="Q406" s="217"/>
      <c r="R406" s="217"/>
      <c r="S406" s="217"/>
      <c r="T406" s="217"/>
      <c r="U406" s="217"/>
      <c r="V406" s="217"/>
      <c r="W406" s="217"/>
      <c r="X406" s="217"/>
      <c r="Y406" s="217"/>
    </row>
    <row r="407" spans="1:25" ht="16" x14ac:dyDescent="0.2">
      <c r="A407" s="219">
        <v>3192</v>
      </c>
      <c r="B407" s="219" t="s">
        <v>2453</v>
      </c>
      <c r="C407" s="219" t="s">
        <v>2080</v>
      </c>
      <c r="D407" s="219">
        <v>225.1</v>
      </c>
      <c r="E407" s="219">
        <v>2249</v>
      </c>
      <c r="F407" s="219">
        <v>225.4</v>
      </c>
      <c r="G407" s="219" t="s">
        <v>2308</v>
      </c>
      <c r="H407" s="219" t="s">
        <v>2309</v>
      </c>
      <c r="I407" s="219">
        <v>141</v>
      </c>
      <c r="J407" s="217"/>
      <c r="K407" s="219" t="s">
        <v>222</v>
      </c>
      <c r="L407" s="219">
        <v>234048</v>
      </c>
      <c r="M407" s="219">
        <v>483.8</v>
      </c>
      <c r="N407" s="219">
        <v>337310.06</v>
      </c>
      <c r="O407" s="219">
        <v>0.69399999999999995</v>
      </c>
      <c r="P407" s="219">
        <v>1E-3</v>
      </c>
      <c r="Q407" s="217"/>
      <c r="R407" s="217"/>
      <c r="S407" s="217"/>
      <c r="T407" s="217"/>
      <c r="U407" s="217"/>
      <c r="V407" s="217"/>
      <c r="W407" s="217"/>
      <c r="X407" s="217"/>
      <c r="Y407" s="217"/>
    </row>
    <row r="408" spans="1:25" ht="16" x14ac:dyDescent="0.2">
      <c r="A408" s="219">
        <v>3193</v>
      </c>
      <c r="B408" s="219" t="s">
        <v>2453</v>
      </c>
      <c r="C408" s="219" t="s">
        <v>2080</v>
      </c>
      <c r="D408" s="219">
        <v>224.10900000000001</v>
      </c>
      <c r="E408" s="219">
        <v>2249</v>
      </c>
      <c r="F408" s="219">
        <v>224.4</v>
      </c>
      <c r="G408" s="219" t="s">
        <v>2310</v>
      </c>
      <c r="H408" s="219" t="s">
        <v>2311</v>
      </c>
      <c r="I408" s="219">
        <v>132.59</v>
      </c>
      <c r="J408" s="217"/>
      <c r="K408" s="219" t="s">
        <v>222</v>
      </c>
      <c r="L408" s="219">
        <v>80185</v>
      </c>
      <c r="M408" s="219">
        <v>283.2</v>
      </c>
      <c r="N408" s="219">
        <v>264708.38</v>
      </c>
      <c r="O408" s="219">
        <v>0.30299999999999999</v>
      </c>
      <c r="P408" s="219">
        <v>1E-3</v>
      </c>
      <c r="Q408" s="217"/>
      <c r="R408" s="217"/>
      <c r="S408" s="217"/>
      <c r="T408" s="217"/>
      <c r="U408" s="217"/>
      <c r="V408" s="217"/>
      <c r="W408" s="217"/>
      <c r="X408" s="217"/>
      <c r="Y408" s="217"/>
    </row>
    <row r="409" spans="1:25" ht="16" x14ac:dyDescent="0.2">
      <c r="A409" s="219">
        <v>3194</v>
      </c>
      <c r="B409" s="219" t="s">
        <v>2453</v>
      </c>
      <c r="C409" s="219" t="s">
        <v>2080</v>
      </c>
      <c r="D409" s="219">
        <v>233.90100000000001</v>
      </c>
      <c r="E409" s="219">
        <v>2249</v>
      </c>
      <c r="F409" s="219">
        <v>234.2</v>
      </c>
      <c r="G409" s="219" t="s">
        <v>2312</v>
      </c>
      <c r="H409" s="219" t="s">
        <v>2313</v>
      </c>
      <c r="I409" s="219">
        <v>132.88</v>
      </c>
      <c r="J409" s="217"/>
      <c r="K409" s="219" t="s">
        <v>222</v>
      </c>
      <c r="L409" s="219">
        <v>154306</v>
      </c>
      <c r="M409" s="219">
        <v>392.8</v>
      </c>
      <c r="N409" s="219">
        <v>133676.07</v>
      </c>
      <c r="O409" s="219">
        <v>1.1539999999999999</v>
      </c>
      <c r="P409" s="219">
        <v>3.0000000000000001E-3</v>
      </c>
      <c r="Q409" s="217"/>
      <c r="R409" s="217"/>
      <c r="S409" s="217"/>
      <c r="T409" s="217"/>
      <c r="U409" s="217"/>
      <c r="V409" s="217"/>
      <c r="W409" s="217"/>
      <c r="X409" s="217"/>
      <c r="Y409" s="217"/>
    </row>
    <row r="410" spans="1:25" ht="16" x14ac:dyDescent="0.2">
      <c r="A410" s="219">
        <v>3195</v>
      </c>
      <c r="B410" s="219" t="s">
        <v>2453</v>
      </c>
      <c r="C410" s="219" t="s">
        <v>2080</v>
      </c>
      <c r="D410" s="219">
        <v>232.904</v>
      </c>
      <c r="E410" s="219">
        <v>2249</v>
      </c>
      <c r="F410" s="219">
        <v>233.2</v>
      </c>
      <c r="G410" s="219" t="s">
        <v>2314</v>
      </c>
      <c r="H410" s="219" t="s">
        <v>2315</v>
      </c>
      <c r="I410" s="219">
        <v>133.28</v>
      </c>
      <c r="J410" s="217"/>
      <c r="K410" s="219" t="s">
        <v>222</v>
      </c>
      <c r="L410" s="219">
        <v>216063</v>
      </c>
      <c r="M410" s="219">
        <v>464.8</v>
      </c>
      <c r="N410" s="219">
        <v>166080.67000000001</v>
      </c>
      <c r="O410" s="219">
        <v>1.3009999999999999</v>
      </c>
      <c r="P410" s="219">
        <v>3.0000000000000001E-3</v>
      </c>
      <c r="Q410" s="217"/>
      <c r="R410" s="217"/>
      <c r="S410" s="217"/>
      <c r="T410" s="217"/>
      <c r="U410" s="217"/>
      <c r="V410" s="217"/>
      <c r="W410" s="217"/>
      <c r="X410" s="217"/>
      <c r="Y410" s="217"/>
    </row>
    <row r="411" spans="1:25" ht="16" x14ac:dyDescent="0.2">
      <c r="A411" s="219">
        <v>3196</v>
      </c>
      <c r="B411" s="219" t="s">
        <v>2453</v>
      </c>
      <c r="C411" s="219" t="s">
        <v>2080</v>
      </c>
      <c r="D411" s="219">
        <v>236.1</v>
      </c>
      <c r="E411" s="219">
        <v>2249</v>
      </c>
      <c r="F411" s="219">
        <v>236.3</v>
      </c>
      <c r="G411" s="219" t="s">
        <v>2316</v>
      </c>
      <c r="H411" s="219" t="s">
        <v>2317</v>
      </c>
      <c r="I411" s="219">
        <v>133.29</v>
      </c>
      <c r="J411" s="217"/>
      <c r="K411" s="219" t="s">
        <v>222</v>
      </c>
      <c r="L411" s="219">
        <v>237526</v>
      </c>
      <c r="M411" s="219">
        <v>487.4</v>
      </c>
      <c r="N411" s="219">
        <v>298784.69</v>
      </c>
      <c r="O411" s="219">
        <v>0.79500000000000004</v>
      </c>
      <c r="P411" s="219">
        <v>2E-3</v>
      </c>
      <c r="Q411" s="217"/>
      <c r="R411" s="217"/>
      <c r="S411" s="217"/>
      <c r="T411" s="217"/>
      <c r="U411" s="217"/>
      <c r="V411" s="217"/>
      <c r="W411" s="217"/>
      <c r="X411" s="217"/>
      <c r="Y411" s="217"/>
    </row>
    <row r="412" spans="1:25" ht="16" x14ac:dyDescent="0.2">
      <c r="A412" s="219">
        <v>3197</v>
      </c>
      <c r="B412" s="219" t="s">
        <v>2453</v>
      </c>
      <c r="C412" s="219" t="s">
        <v>2080</v>
      </c>
      <c r="D412" s="219">
        <v>230.75899999999999</v>
      </c>
      <c r="E412" s="219">
        <v>2249</v>
      </c>
      <c r="F412" s="219">
        <v>231</v>
      </c>
      <c r="G412" s="219" t="s">
        <v>2318</v>
      </c>
      <c r="H412" s="219" t="s">
        <v>2319</v>
      </c>
      <c r="I412" s="219">
        <v>134.5</v>
      </c>
      <c r="J412" s="217"/>
      <c r="K412" s="219" t="s">
        <v>222</v>
      </c>
      <c r="L412" s="219">
        <v>112190</v>
      </c>
      <c r="M412" s="219">
        <v>334.9</v>
      </c>
      <c r="N412" s="219">
        <v>77777.58</v>
      </c>
      <c r="O412" s="219">
        <v>1.4419999999999999</v>
      </c>
      <c r="P412" s="219">
        <v>4.0000000000000001E-3</v>
      </c>
      <c r="Q412" s="217"/>
      <c r="R412" s="217"/>
      <c r="S412" s="217"/>
      <c r="T412" s="217"/>
      <c r="U412" s="217"/>
      <c r="V412" s="217"/>
      <c r="W412" s="217"/>
      <c r="X412" s="217"/>
      <c r="Y412" s="217"/>
    </row>
    <row r="413" spans="1:25" ht="16" x14ac:dyDescent="0.2">
      <c r="A413" s="219">
        <v>3198</v>
      </c>
      <c r="B413" s="219" t="s">
        <v>157</v>
      </c>
      <c r="C413" s="219" t="s">
        <v>2080</v>
      </c>
      <c r="D413" s="219">
        <v>229.101</v>
      </c>
      <c r="E413" s="219">
        <v>2249</v>
      </c>
      <c r="F413" s="219">
        <v>229.4</v>
      </c>
      <c r="G413" s="219" t="s">
        <v>2320</v>
      </c>
      <c r="H413" s="219" t="s">
        <v>2321</v>
      </c>
      <c r="I413" s="219">
        <v>135.08000000000001</v>
      </c>
      <c r="J413" s="217"/>
      <c r="K413" s="219" t="s">
        <v>222</v>
      </c>
      <c r="L413" s="219">
        <v>10895924</v>
      </c>
      <c r="M413" s="219">
        <v>3300.9</v>
      </c>
      <c r="N413" s="219">
        <v>7622145.46</v>
      </c>
      <c r="O413" s="219">
        <v>1.43</v>
      </c>
      <c r="P413" s="219">
        <v>0</v>
      </c>
      <c r="Q413" s="217"/>
      <c r="R413" s="217"/>
      <c r="S413" s="217"/>
      <c r="T413" s="217"/>
      <c r="U413" s="217"/>
      <c r="V413" s="217"/>
      <c r="W413" s="217"/>
      <c r="X413" s="217"/>
      <c r="Y413" s="217"/>
    </row>
    <row r="414" spans="1:25" ht="16" x14ac:dyDescent="0.2">
      <c r="A414" s="219">
        <v>3199</v>
      </c>
      <c r="B414" s="219" t="s">
        <v>31</v>
      </c>
      <c r="C414" s="219" t="s">
        <v>2080</v>
      </c>
      <c r="D414" s="219">
        <v>331.34100000000001</v>
      </c>
      <c r="E414" s="219">
        <v>883</v>
      </c>
      <c r="F414" s="219">
        <v>329.6</v>
      </c>
      <c r="G414" s="219" t="s">
        <v>2322</v>
      </c>
      <c r="H414" s="219" t="s">
        <v>2323</v>
      </c>
      <c r="I414" s="219">
        <v>18.48</v>
      </c>
      <c r="J414" s="217"/>
      <c r="K414" s="219" t="s">
        <v>222</v>
      </c>
      <c r="L414" s="219">
        <v>139</v>
      </c>
      <c r="M414" s="219">
        <v>11.8</v>
      </c>
      <c r="N414" s="219">
        <v>1075.08</v>
      </c>
      <c r="O414" s="219">
        <v>0.129</v>
      </c>
      <c r="P414" s="219">
        <v>1.0999999999999999E-2</v>
      </c>
      <c r="Q414" s="217"/>
      <c r="R414" s="217"/>
      <c r="S414" s="217"/>
      <c r="T414" s="217"/>
      <c r="U414" s="217"/>
      <c r="V414" s="217"/>
      <c r="W414" s="217"/>
      <c r="X414" s="217"/>
      <c r="Y414" s="217"/>
    </row>
    <row r="415" spans="1:25" ht="16" x14ac:dyDescent="0.2">
      <c r="A415" s="219">
        <v>3200</v>
      </c>
      <c r="B415" s="219" t="s">
        <v>31</v>
      </c>
      <c r="C415" s="219" t="s">
        <v>2080</v>
      </c>
      <c r="D415" s="219">
        <v>333.34100000000001</v>
      </c>
      <c r="E415" s="219">
        <v>883</v>
      </c>
      <c r="F415" s="219">
        <v>331.6</v>
      </c>
      <c r="G415" s="219" t="s">
        <v>2324</v>
      </c>
      <c r="H415" s="219" t="s">
        <v>2325</v>
      </c>
      <c r="I415" s="219">
        <v>18.29</v>
      </c>
      <c r="J415" s="217"/>
      <c r="K415" s="219" t="s">
        <v>222</v>
      </c>
      <c r="L415" s="219">
        <v>132</v>
      </c>
      <c r="M415" s="219">
        <v>11.5</v>
      </c>
      <c r="N415" s="219">
        <v>1029.67</v>
      </c>
      <c r="O415" s="219">
        <v>0.128</v>
      </c>
      <c r="P415" s="219">
        <v>1.0999999999999999E-2</v>
      </c>
      <c r="Q415" s="217"/>
      <c r="R415" s="217"/>
      <c r="S415" s="217"/>
      <c r="T415" s="217"/>
      <c r="U415" s="217"/>
      <c r="V415" s="217"/>
      <c r="W415" s="217"/>
      <c r="X415" s="217"/>
      <c r="Y415" s="217"/>
    </row>
    <row r="416" spans="1:25" ht="16" x14ac:dyDescent="0.2">
      <c r="A416" s="219">
        <v>3201</v>
      </c>
      <c r="B416" s="219" t="s">
        <v>31</v>
      </c>
      <c r="C416" s="219" t="s">
        <v>2080</v>
      </c>
      <c r="D416" s="219">
        <v>335.34899999999999</v>
      </c>
      <c r="E416" s="219">
        <v>883</v>
      </c>
      <c r="F416" s="219">
        <v>333.6</v>
      </c>
      <c r="G416" s="219" t="s">
        <v>2326</v>
      </c>
      <c r="H416" s="219" t="s">
        <v>2327</v>
      </c>
      <c r="I416" s="219">
        <v>18.11</v>
      </c>
      <c r="J416" s="217"/>
      <c r="K416" s="219" t="s">
        <v>222</v>
      </c>
      <c r="L416" s="219">
        <v>210</v>
      </c>
      <c r="M416" s="219">
        <v>14.5</v>
      </c>
      <c r="N416" s="219">
        <v>1079.45</v>
      </c>
      <c r="O416" s="219">
        <v>0.19500000000000001</v>
      </c>
      <c r="P416" s="219">
        <v>1.2999999999999999E-2</v>
      </c>
      <c r="Q416" s="217"/>
      <c r="R416" s="217"/>
      <c r="S416" s="217"/>
      <c r="T416" s="217"/>
      <c r="U416" s="217"/>
      <c r="V416" s="217"/>
      <c r="W416" s="217"/>
      <c r="X416" s="217"/>
      <c r="Y416" s="217"/>
    </row>
    <row r="417" spans="1:25" ht="16" x14ac:dyDescent="0.2">
      <c r="A417" s="219">
        <v>3202</v>
      </c>
      <c r="B417" s="219" t="s">
        <v>31</v>
      </c>
      <c r="C417" s="219" t="s">
        <v>2080</v>
      </c>
      <c r="D417" s="219">
        <v>337.35700000000003</v>
      </c>
      <c r="E417" s="219">
        <v>883</v>
      </c>
      <c r="F417" s="219">
        <v>335.6</v>
      </c>
      <c r="G417" s="219" t="s">
        <v>2328</v>
      </c>
      <c r="H417" s="219" t="s">
        <v>2329</v>
      </c>
      <c r="I417" s="219">
        <v>17.98</v>
      </c>
      <c r="J417" s="217"/>
      <c r="K417" s="219" t="s">
        <v>222</v>
      </c>
      <c r="L417" s="219">
        <v>345</v>
      </c>
      <c r="M417" s="219">
        <v>18.600000000000001</v>
      </c>
      <c r="N417" s="219">
        <v>991.79</v>
      </c>
      <c r="O417" s="219">
        <v>0.34799999999999998</v>
      </c>
      <c r="P417" s="219">
        <v>1.9E-2</v>
      </c>
      <c r="Q417" s="217"/>
      <c r="R417" s="217"/>
      <c r="S417" s="217"/>
      <c r="T417" s="217"/>
      <c r="U417" s="217"/>
      <c r="V417" s="217"/>
      <c r="W417" s="217"/>
      <c r="X417" s="217"/>
      <c r="Y417" s="217"/>
    </row>
    <row r="418" spans="1:25" ht="16" x14ac:dyDescent="0.2">
      <c r="A418" s="219">
        <v>3203</v>
      </c>
      <c r="B418" s="219" t="s">
        <v>31</v>
      </c>
      <c r="C418" s="219" t="s">
        <v>2080</v>
      </c>
      <c r="D418" s="219">
        <v>339.351</v>
      </c>
      <c r="E418" s="219">
        <v>883</v>
      </c>
      <c r="F418" s="219">
        <v>337.5</v>
      </c>
      <c r="G418" s="219" t="s">
        <v>2330</v>
      </c>
      <c r="H418" s="219" t="s">
        <v>2331</v>
      </c>
      <c r="I418" s="219">
        <v>17.89</v>
      </c>
      <c r="J418" s="217"/>
      <c r="K418" s="219" t="s">
        <v>222</v>
      </c>
      <c r="L418" s="219">
        <v>643</v>
      </c>
      <c r="M418" s="219">
        <v>25.4</v>
      </c>
      <c r="N418" s="219">
        <v>968.61</v>
      </c>
      <c r="O418" s="219">
        <v>0.66400000000000003</v>
      </c>
      <c r="P418" s="219">
        <v>2.5999999999999999E-2</v>
      </c>
      <c r="Q418" s="217"/>
      <c r="R418" s="217"/>
      <c r="S418" s="217"/>
      <c r="T418" s="217"/>
      <c r="U418" s="217"/>
      <c r="V418" s="217"/>
      <c r="W418" s="217"/>
      <c r="X418" s="217"/>
      <c r="Y418" s="217"/>
    </row>
    <row r="419" spans="1:25" ht="16" x14ac:dyDescent="0.2">
      <c r="A419" s="219">
        <v>3204</v>
      </c>
      <c r="B419" s="219" t="s">
        <v>31</v>
      </c>
      <c r="C419" s="219" t="s">
        <v>2080</v>
      </c>
      <c r="D419" s="219">
        <v>340.62700000000001</v>
      </c>
      <c r="E419" s="219">
        <v>883</v>
      </c>
      <c r="F419" s="219">
        <v>338.8</v>
      </c>
      <c r="G419" s="219" t="s">
        <v>2279</v>
      </c>
      <c r="H419" s="219" t="s">
        <v>2332</v>
      </c>
      <c r="I419" s="219">
        <v>17.829999999999998</v>
      </c>
      <c r="J419" s="217"/>
      <c r="K419" s="219" t="s">
        <v>222</v>
      </c>
      <c r="L419" s="219">
        <v>1007</v>
      </c>
      <c r="M419" s="219">
        <v>31.7</v>
      </c>
      <c r="N419" s="219">
        <v>1005.04</v>
      </c>
      <c r="O419" s="219">
        <v>1.002</v>
      </c>
      <c r="P419" s="219">
        <v>3.2000000000000001E-2</v>
      </c>
      <c r="Q419" s="217"/>
      <c r="R419" s="217"/>
      <c r="S419" s="217"/>
      <c r="T419" s="217"/>
      <c r="U419" s="217"/>
      <c r="V419" s="217"/>
      <c r="W419" s="217"/>
      <c r="X419" s="217"/>
      <c r="Y419" s="217"/>
    </row>
    <row r="420" spans="1:25" ht="16" x14ac:dyDescent="0.2">
      <c r="A420" s="219">
        <v>3205</v>
      </c>
      <c r="B420" s="219" t="s">
        <v>31</v>
      </c>
      <c r="C420" s="219" t="s">
        <v>2080</v>
      </c>
      <c r="D420" s="219">
        <v>341.358</v>
      </c>
      <c r="E420" s="219">
        <v>883</v>
      </c>
      <c r="F420" s="219">
        <v>339.5</v>
      </c>
      <c r="G420" s="219" t="s">
        <v>2333</v>
      </c>
      <c r="H420" s="219" t="s">
        <v>2334</v>
      </c>
      <c r="I420" s="219">
        <v>18.09</v>
      </c>
      <c r="J420" s="217"/>
      <c r="K420" s="219" t="s">
        <v>222</v>
      </c>
      <c r="L420" s="219">
        <v>1560</v>
      </c>
      <c r="M420" s="219">
        <v>39.5</v>
      </c>
      <c r="N420" s="219">
        <v>952.35</v>
      </c>
      <c r="O420" s="219">
        <v>1.6379999999999999</v>
      </c>
      <c r="P420" s="219">
        <v>4.1000000000000002E-2</v>
      </c>
      <c r="Q420" s="217"/>
      <c r="R420" s="217"/>
      <c r="S420" s="217"/>
      <c r="T420" s="217"/>
      <c r="U420" s="217"/>
      <c r="V420" s="217"/>
      <c r="W420" s="217"/>
      <c r="X420" s="217"/>
      <c r="Y420" s="217"/>
    </row>
    <row r="421" spans="1:25" ht="16" x14ac:dyDescent="0.2">
      <c r="A421" s="219">
        <v>3206</v>
      </c>
      <c r="B421" s="219" t="s">
        <v>31</v>
      </c>
      <c r="C421" s="219" t="s">
        <v>2080</v>
      </c>
      <c r="D421" s="219">
        <v>342.31799999999998</v>
      </c>
      <c r="E421" s="219">
        <v>883</v>
      </c>
      <c r="F421" s="219">
        <v>340.5</v>
      </c>
      <c r="G421" s="219" t="s">
        <v>2335</v>
      </c>
      <c r="H421" s="219" t="s">
        <v>2336</v>
      </c>
      <c r="I421" s="219">
        <v>20.38</v>
      </c>
      <c r="J421" s="217"/>
      <c r="K421" s="219" t="s">
        <v>222</v>
      </c>
      <c r="L421" s="219">
        <v>3713</v>
      </c>
      <c r="M421" s="219">
        <v>60.9</v>
      </c>
      <c r="N421" s="219">
        <v>1135.19</v>
      </c>
      <c r="O421" s="219">
        <v>3.2709999999999999</v>
      </c>
      <c r="P421" s="219">
        <v>5.3999999999999999E-2</v>
      </c>
      <c r="Q421" s="217"/>
      <c r="R421" s="217"/>
      <c r="S421" s="217"/>
      <c r="T421" s="217"/>
      <c r="U421" s="217"/>
      <c r="V421" s="217"/>
      <c r="W421" s="217"/>
      <c r="X421" s="217"/>
      <c r="Y421" s="217"/>
    </row>
    <row r="422" spans="1:25" ht="16" x14ac:dyDescent="0.2">
      <c r="A422" s="219">
        <v>3207</v>
      </c>
      <c r="B422" s="219" t="s">
        <v>31</v>
      </c>
      <c r="C422" s="219" t="s">
        <v>2080</v>
      </c>
      <c r="D422" s="219">
        <v>343.32600000000002</v>
      </c>
      <c r="E422" s="219">
        <v>883</v>
      </c>
      <c r="F422" s="219">
        <v>341.5</v>
      </c>
      <c r="G422" s="219" t="s">
        <v>2337</v>
      </c>
      <c r="H422" s="219" t="s">
        <v>2338</v>
      </c>
      <c r="I422" s="219">
        <v>20.94</v>
      </c>
      <c r="J422" s="217"/>
      <c r="K422" s="219" t="s">
        <v>222</v>
      </c>
      <c r="L422" s="219">
        <v>6468</v>
      </c>
      <c r="M422" s="219">
        <v>80.400000000000006</v>
      </c>
      <c r="N422" s="219">
        <v>1195.98</v>
      </c>
      <c r="O422" s="219">
        <v>5.4080000000000004</v>
      </c>
      <c r="P422" s="219">
        <v>6.7000000000000004E-2</v>
      </c>
      <c r="Q422" s="217"/>
      <c r="R422" s="217"/>
      <c r="S422" s="217"/>
      <c r="T422" s="217"/>
      <c r="U422" s="217"/>
      <c r="V422" s="217"/>
      <c r="W422" s="217"/>
      <c r="X422" s="217"/>
      <c r="Y422" s="217"/>
    </row>
    <row r="423" spans="1:25" ht="16" x14ac:dyDescent="0.2">
      <c r="A423" s="219">
        <v>3208</v>
      </c>
      <c r="B423" s="219" t="s">
        <v>31</v>
      </c>
      <c r="C423" s="219" t="s">
        <v>2080</v>
      </c>
      <c r="D423" s="219">
        <v>344.33300000000003</v>
      </c>
      <c r="E423" s="219">
        <v>883</v>
      </c>
      <c r="F423" s="219">
        <v>342.5</v>
      </c>
      <c r="G423" s="219" t="s">
        <v>2339</v>
      </c>
      <c r="H423" s="219" t="s">
        <v>2340</v>
      </c>
      <c r="I423" s="219">
        <v>21.23</v>
      </c>
      <c r="J423" s="217"/>
      <c r="K423" s="219" t="s">
        <v>222</v>
      </c>
      <c r="L423" s="219">
        <v>9051</v>
      </c>
      <c r="M423" s="219">
        <v>95.1</v>
      </c>
      <c r="N423" s="219">
        <v>1161.75</v>
      </c>
      <c r="O423" s="219">
        <v>7.7910000000000004</v>
      </c>
      <c r="P423" s="219">
        <v>8.2000000000000003E-2</v>
      </c>
      <c r="Q423" s="217"/>
      <c r="R423" s="217"/>
      <c r="S423" s="217"/>
      <c r="T423" s="217"/>
      <c r="U423" s="217"/>
      <c r="V423" s="217"/>
      <c r="W423" s="217"/>
      <c r="X423" s="217"/>
      <c r="Y423" s="217"/>
    </row>
    <row r="424" spans="1:25" ht="16" x14ac:dyDescent="0.2">
      <c r="A424" s="219">
        <v>3209</v>
      </c>
      <c r="B424" s="219" t="s">
        <v>31</v>
      </c>
      <c r="C424" s="219" t="s">
        <v>2080</v>
      </c>
      <c r="D424" s="219">
        <v>345.32600000000002</v>
      </c>
      <c r="E424" s="219">
        <v>883</v>
      </c>
      <c r="F424" s="219">
        <v>343.5</v>
      </c>
      <c r="G424" s="219" t="s">
        <v>2341</v>
      </c>
      <c r="H424" s="219" t="s">
        <v>2342</v>
      </c>
      <c r="I424" s="219">
        <v>21.94</v>
      </c>
      <c r="J424" s="217"/>
      <c r="K424" s="219" t="s">
        <v>222</v>
      </c>
      <c r="L424" s="219">
        <v>10848</v>
      </c>
      <c r="M424" s="219">
        <v>104.2</v>
      </c>
      <c r="N424" s="219">
        <v>1253.05</v>
      </c>
      <c r="O424" s="219">
        <v>8.657</v>
      </c>
      <c r="P424" s="219">
        <v>8.3000000000000004E-2</v>
      </c>
      <c r="Q424" s="217"/>
      <c r="R424" s="217"/>
      <c r="S424" s="217"/>
      <c r="T424" s="217"/>
      <c r="U424" s="217"/>
      <c r="V424" s="217"/>
      <c r="W424" s="217"/>
      <c r="X424" s="217"/>
      <c r="Y424" s="217"/>
    </row>
    <row r="425" spans="1:25" ht="16" x14ac:dyDescent="0.2">
      <c r="A425" s="219">
        <v>3210</v>
      </c>
      <c r="B425" s="219" t="s">
        <v>31</v>
      </c>
      <c r="C425" s="219" t="s">
        <v>2080</v>
      </c>
      <c r="D425" s="219">
        <v>346.327</v>
      </c>
      <c r="E425" s="219">
        <v>883</v>
      </c>
      <c r="F425" s="219">
        <v>344.5</v>
      </c>
      <c r="G425" s="219" t="s">
        <v>2343</v>
      </c>
      <c r="H425" s="219" t="s">
        <v>2344</v>
      </c>
      <c r="I425" s="219">
        <v>21.42</v>
      </c>
      <c r="J425" s="217"/>
      <c r="K425" s="219" t="s">
        <v>222</v>
      </c>
      <c r="L425" s="219">
        <v>11591</v>
      </c>
      <c r="M425" s="219">
        <v>107.7</v>
      </c>
      <c r="N425" s="219">
        <v>1233.75</v>
      </c>
      <c r="O425" s="219">
        <v>9.3949999999999996</v>
      </c>
      <c r="P425" s="219">
        <v>8.6999999999999994E-2</v>
      </c>
      <c r="Q425" s="217"/>
      <c r="R425" s="217"/>
      <c r="S425" s="217"/>
      <c r="T425" s="217"/>
      <c r="U425" s="217"/>
      <c r="V425" s="217"/>
      <c r="W425" s="217"/>
      <c r="X425" s="217"/>
      <c r="Y425" s="217"/>
    </row>
    <row r="426" spans="1:25" ht="16" x14ac:dyDescent="0.2">
      <c r="A426" s="219">
        <v>3211</v>
      </c>
      <c r="B426" s="219" t="s">
        <v>31</v>
      </c>
      <c r="C426" s="219" t="s">
        <v>2080</v>
      </c>
      <c r="D426" s="219">
        <v>347.327</v>
      </c>
      <c r="E426" s="219">
        <v>883</v>
      </c>
      <c r="F426" s="219">
        <v>345.5</v>
      </c>
      <c r="G426" s="219" t="s">
        <v>2345</v>
      </c>
      <c r="H426" s="219" t="s">
        <v>2346</v>
      </c>
      <c r="I426" s="219">
        <v>23.41</v>
      </c>
      <c r="J426" s="217"/>
      <c r="K426" s="219" t="s">
        <v>222</v>
      </c>
      <c r="L426" s="219">
        <v>12653</v>
      </c>
      <c r="M426" s="219">
        <v>112.5</v>
      </c>
      <c r="N426" s="219">
        <v>1281.99</v>
      </c>
      <c r="O426" s="219">
        <v>9.8699999999999992</v>
      </c>
      <c r="P426" s="219">
        <v>8.7999999999999995E-2</v>
      </c>
      <c r="Q426" s="217"/>
      <c r="R426" s="217"/>
      <c r="S426" s="217"/>
      <c r="T426" s="217"/>
      <c r="U426" s="217"/>
      <c r="V426" s="217"/>
      <c r="W426" s="217"/>
      <c r="X426" s="217"/>
      <c r="Y426" s="217"/>
    </row>
    <row r="427" spans="1:25" ht="16" x14ac:dyDescent="0.2">
      <c r="A427" s="219">
        <v>3212</v>
      </c>
      <c r="B427" s="219" t="s">
        <v>31</v>
      </c>
      <c r="C427" s="219" t="s">
        <v>2080</v>
      </c>
      <c r="D427" s="219">
        <v>348.334</v>
      </c>
      <c r="E427" s="219">
        <v>883</v>
      </c>
      <c r="F427" s="219">
        <v>346.5</v>
      </c>
      <c r="G427" s="219" t="s">
        <v>2347</v>
      </c>
      <c r="H427" s="219" t="s">
        <v>2348</v>
      </c>
      <c r="I427" s="219">
        <v>24.2</v>
      </c>
      <c r="J427" s="217"/>
      <c r="K427" s="219" t="s">
        <v>222</v>
      </c>
      <c r="L427" s="219">
        <v>12789</v>
      </c>
      <c r="M427" s="219">
        <v>113.1</v>
      </c>
      <c r="N427" s="219">
        <v>1296.68</v>
      </c>
      <c r="O427" s="219">
        <v>9.8629999999999995</v>
      </c>
      <c r="P427" s="219">
        <v>8.6999999999999994E-2</v>
      </c>
      <c r="Q427" s="217"/>
      <c r="R427" s="217"/>
      <c r="S427" s="217"/>
      <c r="T427" s="217"/>
      <c r="U427" s="217"/>
      <c r="V427" s="217"/>
      <c r="W427" s="217"/>
      <c r="X427" s="217"/>
      <c r="Y427" s="217"/>
    </row>
    <row r="428" spans="1:25" ht="16" x14ac:dyDescent="0.2">
      <c r="A428" s="219">
        <v>3213</v>
      </c>
      <c r="B428" s="219" t="s">
        <v>31</v>
      </c>
      <c r="C428" s="219" t="s">
        <v>2080</v>
      </c>
      <c r="D428" s="219">
        <v>349.34100000000001</v>
      </c>
      <c r="E428" s="219">
        <v>883</v>
      </c>
      <c r="F428" s="219">
        <v>347.5</v>
      </c>
      <c r="G428" s="219" t="s">
        <v>2349</v>
      </c>
      <c r="H428" s="219" t="s">
        <v>2350</v>
      </c>
      <c r="I428" s="219">
        <v>24.73</v>
      </c>
      <c r="J428" s="217"/>
      <c r="K428" s="219" t="s">
        <v>222</v>
      </c>
      <c r="L428" s="219">
        <v>12145</v>
      </c>
      <c r="M428" s="219">
        <v>110.2</v>
      </c>
      <c r="N428" s="219">
        <v>1357.14</v>
      </c>
      <c r="O428" s="219">
        <v>8.9489999999999998</v>
      </c>
      <c r="P428" s="219">
        <v>8.1000000000000003E-2</v>
      </c>
      <c r="Q428" s="217"/>
      <c r="R428" s="217"/>
      <c r="S428" s="217"/>
      <c r="T428" s="217"/>
      <c r="U428" s="217"/>
      <c r="V428" s="217"/>
      <c r="W428" s="217"/>
      <c r="X428" s="217"/>
      <c r="Y428" s="217"/>
    </row>
    <row r="429" spans="1:25" ht="16" x14ac:dyDescent="0.2">
      <c r="A429" s="219">
        <v>3214</v>
      </c>
      <c r="B429" s="219" t="s">
        <v>31</v>
      </c>
      <c r="C429" s="219" t="s">
        <v>2080</v>
      </c>
      <c r="D429" s="219">
        <v>351.33499999999998</v>
      </c>
      <c r="E429" s="219">
        <v>883</v>
      </c>
      <c r="F429" s="219">
        <v>349.4</v>
      </c>
      <c r="G429" s="219" t="s">
        <v>2351</v>
      </c>
      <c r="H429" s="219" t="s">
        <v>2352</v>
      </c>
      <c r="I429" s="219">
        <v>25.55</v>
      </c>
      <c r="J429" s="217"/>
      <c r="K429" s="219" t="s">
        <v>222</v>
      </c>
      <c r="L429" s="219">
        <v>10579</v>
      </c>
      <c r="M429" s="219">
        <v>102.9</v>
      </c>
      <c r="N429" s="219">
        <v>1533.25</v>
      </c>
      <c r="O429" s="219">
        <v>6.9</v>
      </c>
      <c r="P429" s="219">
        <v>6.7000000000000004E-2</v>
      </c>
      <c r="Q429" s="217"/>
      <c r="R429" s="217"/>
      <c r="S429" s="217"/>
      <c r="T429" s="217"/>
      <c r="U429" s="217"/>
      <c r="V429" s="217"/>
      <c r="W429" s="217"/>
      <c r="X429" s="217"/>
      <c r="Y429" s="217"/>
    </row>
    <row r="430" spans="1:25" ht="16" x14ac:dyDescent="0.2">
      <c r="A430" s="219">
        <v>3215</v>
      </c>
      <c r="B430" s="219" t="s">
        <v>31</v>
      </c>
      <c r="C430" s="219" t="s">
        <v>2080</v>
      </c>
      <c r="D430" s="219">
        <v>353.34300000000002</v>
      </c>
      <c r="E430" s="219">
        <v>883</v>
      </c>
      <c r="F430" s="219">
        <v>351.4</v>
      </c>
      <c r="G430" s="219" t="s">
        <v>2353</v>
      </c>
      <c r="H430" s="219" t="s">
        <v>2354</v>
      </c>
      <c r="I430" s="219">
        <v>26.2</v>
      </c>
      <c r="J430" s="217"/>
      <c r="K430" s="219" t="s">
        <v>222</v>
      </c>
      <c r="L430" s="219">
        <v>6664</v>
      </c>
      <c r="M430" s="219">
        <v>81.599999999999994</v>
      </c>
      <c r="N430" s="219">
        <v>1427.3</v>
      </c>
      <c r="O430" s="219">
        <v>4.6689999999999996</v>
      </c>
      <c r="P430" s="219">
        <v>5.7000000000000002E-2</v>
      </c>
      <c r="Q430" s="217"/>
      <c r="R430" s="217"/>
      <c r="S430" s="217"/>
      <c r="T430" s="217"/>
      <c r="U430" s="217"/>
      <c r="V430" s="217"/>
      <c r="W430" s="217"/>
      <c r="X430" s="217"/>
      <c r="Y430" s="217"/>
    </row>
    <row r="431" spans="1:25" ht="16" x14ac:dyDescent="0.2">
      <c r="A431" s="219">
        <v>3216</v>
      </c>
      <c r="B431" s="219" t="s">
        <v>31</v>
      </c>
      <c r="C431" s="219" t="s">
        <v>2080</v>
      </c>
      <c r="D431" s="219">
        <v>355.34399999999999</v>
      </c>
      <c r="E431" s="219">
        <v>883</v>
      </c>
      <c r="F431" s="219">
        <v>353.4</v>
      </c>
      <c r="G431" s="219" t="s">
        <v>2355</v>
      </c>
      <c r="H431" s="219" t="s">
        <v>2356</v>
      </c>
      <c r="I431" s="219">
        <v>27.06</v>
      </c>
      <c r="J431" s="217"/>
      <c r="K431" s="219" t="s">
        <v>222</v>
      </c>
      <c r="L431" s="219">
        <v>4793</v>
      </c>
      <c r="M431" s="219">
        <v>69.2</v>
      </c>
      <c r="N431" s="219">
        <v>1514.69</v>
      </c>
      <c r="O431" s="219">
        <v>3.1640000000000001</v>
      </c>
      <c r="P431" s="219">
        <v>4.5999999999999999E-2</v>
      </c>
      <c r="Q431" s="217"/>
      <c r="R431" s="217"/>
      <c r="S431" s="217"/>
      <c r="T431" s="217"/>
      <c r="U431" s="217"/>
      <c r="V431" s="217"/>
      <c r="W431" s="217"/>
      <c r="X431" s="217"/>
      <c r="Y431" s="217"/>
    </row>
    <row r="432" spans="1:25" ht="16" x14ac:dyDescent="0.2">
      <c r="A432" s="219">
        <v>3217</v>
      </c>
      <c r="B432" s="219" t="s">
        <v>31</v>
      </c>
      <c r="C432" s="219" t="s">
        <v>2080</v>
      </c>
      <c r="D432" s="219">
        <v>358.351</v>
      </c>
      <c r="E432" s="219">
        <v>883</v>
      </c>
      <c r="F432" s="219">
        <v>356.4</v>
      </c>
      <c r="G432" s="219" t="s">
        <v>2357</v>
      </c>
      <c r="H432" s="219" t="s">
        <v>2358</v>
      </c>
      <c r="I432" s="219">
        <v>27.37</v>
      </c>
      <c r="J432" s="217"/>
      <c r="K432" s="219" t="s">
        <v>222</v>
      </c>
      <c r="L432" s="219">
        <v>2436</v>
      </c>
      <c r="M432" s="219">
        <v>49.4</v>
      </c>
      <c r="N432" s="219">
        <v>1481.13</v>
      </c>
      <c r="O432" s="219">
        <v>1.645</v>
      </c>
      <c r="P432" s="219">
        <v>3.3000000000000002E-2</v>
      </c>
      <c r="Q432" s="217"/>
      <c r="R432" s="217"/>
      <c r="S432" s="217"/>
      <c r="T432" s="217"/>
      <c r="U432" s="217"/>
      <c r="V432" s="217"/>
      <c r="W432" s="217"/>
      <c r="X432" s="217"/>
      <c r="Y432" s="217"/>
    </row>
    <row r="433" spans="1:25" ht="16" x14ac:dyDescent="0.2">
      <c r="A433" s="219">
        <v>3218</v>
      </c>
      <c r="B433" s="219" t="s">
        <v>31</v>
      </c>
      <c r="C433" s="219" t="s">
        <v>2080</v>
      </c>
      <c r="D433" s="219">
        <v>361.35300000000001</v>
      </c>
      <c r="E433" s="219">
        <v>883</v>
      </c>
      <c r="F433" s="219">
        <v>359.4</v>
      </c>
      <c r="G433" s="219" t="s">
        <v>2359</v>
      </c>
      <c r="H433" s="219" t="s">
        <v>2360</v>
      </c>
      <c r="I433" s="219">
        <v>27.49</v>
      </c>
      <c r="J433" s="217"/>
      <c r="K433" s="219" t="s">
        <v>222</v>
      </c>
      <c r="L433" s="219">
        <v>1253</v>
      </c>
      <c r="M433" s="219">
        <v>35.4</v>
      </c>
      <c r="N433" s="219">
        <v>1473.68</v>
      </c>
      <c r="O433" s="219">
        <v>0.85</v>
      </c>
      <c r="P433" s="219">
        <v>2.4E-2</v>
      </c>
      <c r="Q433" s="217"/>
      <c r="R433" s="217"/>
      <c r="S433" s="217"/>
      <c r="T433" s="217"/>
      <c r="U433" s="217"/>
      <c r="V433" s="217"/>
      <c r="W433" s="217"/>
      <c r="X433" s="217"/>
      <c r="Y433" s="217"/>
    </row>
    <row r="434" spans="1:25" ht="16" x14ac:dyDescent="0.2">
      <c r="A434" s="219">
        <v>3219</v>
      </c>
      <c r="B434" s="219" t="s">
        <v>31</v>
      </c>
      <c r="C434" s="219" t="s">
        <v>2080</v>
      </c>
      <c r="D434" s="219">
        <v>365.36099999999999</v>
      </c>
      <c r="E434" s="219">
        <v>883</v>
      </c>
      <c r="F434" s="219">
        <v>363.4</v>
      </c>
      <c r="G434" s="219" t="s">
        <v>2361</v>
      </c>
      <c r="H434" s="219" t="s">
        <v>2362</v>
      </c>
      <c r="I434" s="219">
        <v>27.6</v>
      </c>
      <c r="J434" s="217"/>
      <c r="K434" s="219" t="s">
        <v>222</v>
      </c>
      <c r="L434" s="219">
        <v>662</v>
      </c>
      <c r="M434" s="219">
        <v>25.7</v>
      </c>
      <c r="N434" s="219">
        <v>1466.78</v>
      </c>
      <c r="O434" s="219">
        <v>0.45100000000000001</v>
      </c>
      <c r="P434" s="219">
        <v>1.7999999999999999E-2</v>
      </c>
      <c r="Q434" s="217"/>
      <c r="R434" s="217"/>
      <c r="S434" s="217"/>
      <c r="T434" s="217"/>
      <c r="U434" s="217"/>
      <c r="V434" s="217"/>
      <c r="W434" s="217"/>
      <c r="X434" s="217"/>
      <c r="Y434" s="217"/>
    </row>
    <row r="435" spans="1:25" ht="16" x14ac:dyDescent="0.2">
      <c r="A435" s="219">
        <v>3220</v>
      </c>
      <c r="B435" s="219" t="s">
        <v>31</v>
      </c>
      <c r="C435" s="219" t="s">
        <v>2080</v>
      </c>
      <c r="D435" s="219">
        <v>370.36900000000003</v>
      </c>
      <c r="E435" s="219">
        <v>883</v>
      </c>
      <c r="F435" s="219">
        <v>368.4</v>
      </c>
      <c r="G435" s="219" t="s">
        <v>2363</v>
      </c>
      <c r="H435" s="219" t="s">
        <v>2099</v>
      </c>
      <c r="I435" s="219">
        <v>27.43</v>
      </c>
      <c r="J435" s="217"/>
      <c r="K435" s="219" t="s">
        <v>222</v>
      </c>
      <c r="L435" s="219">
        <v>2549</v>
      </c>
      <c r="M435" s="219">
        <v>50.5</v>
      </c>
      <c r="N435" s="219">
        <v>10029.4</v>
      </c>
      <c r="O435" s="219">
        <v>0.254</v>
      </c>
      <c r="P435" s="219">
        <v>5.0000000000000001E-3</v>
      </c>
      <c r="Q435" s="217"/>
      <c r="R435" s="217"/>
      <c r="S435" s="217"/>
      <c r="T435" s="217"/>
      <c r="U435" s="217"/>
      <c r="V435" s="217"/>
      <c r="W435" s="217"/>
      <c r="X435" s="217"/>
      <c r="Y435" s="217"/>
    </row>
    <row r="436" spans="1:25" ht="16" x14ac:dyDescent="0.2">
      <c r="A436" s="219">
        <v>3221</v>
      </c>
      <c r="B436" s="219" t="s">
        <v>157</v>
      </c>
      <c r="C436" s="219" t="s">
        <v>2080</v>
      </c>
      <c r="D436" s="219">
        <v>242.911</v>
      </c>
      <c r="E436" s="219">
        <v>2547</v>
      </c>
      <c r="F436" s="219">
        <v>243.4</v>
      </c>
      <c r="G436" s="219" t="s">
        <v>2364</v>
      </c>
      <c r="H436" s="219" t="s">
        <v>2365</v>
      </c>
      <c r="I436" s="219" t="s">
        <v>2366</v>
      </c>
      <c r="J436" s="217"/>
      <c r="K436" s="219" t="s">
        <v>222</v>
      </c>
      <c r="L436" s="217"/>
      <c r="M436" s="219">
        <v>0</v>
      </c>
      <c r="N436" s="219">
        <v>1124326.51</v>
      </c>
      <c r="O436" s="219">
        <v>0</v>
      </c>
      <c r="P436" s="219">
        <v>0</v>
      </c>
      <c r="Q436" s="217"/>
      <c r="R436" s="217"/>
      <c r="S436" s="217"/>
      <c r="T436" s="217"/>
      <c r="U436" s="217"/>
      <c r="V436" s="217"/>
      <c r="W436" s="217"/>
      <c r="X436" s="217"/>
      <c r="Y436" s="217"/>
    </row>
    <row r="437" spans="1:25" ht="16" x14ac:dyDescent="0.2">
      <c r="A437" s="219">
        <v>3222</v>
      </c>
      <c r="B437" s="219" t="s">
        <v>157</v>
      </c>
      <c r="C437" s="219" t="s">
        <v>2080</v>
      </c>
      <c r="D437" s="219">
        <v>229.101</v>
      </c>
      <c r="E437" s="219">
        <v>2400</v>
      </c>
      <c r="F437" s="219">
        <v>229.5</v>
      </c>
      <c r="G437" s="219" t="s">
        <v>2367</v>
      </c>
      <c r="H437" s="219" t="s">
        <v>2368</v>
      </c>
      <c r="I437" s="219">
        <v>152</v>
      </c>
      <c r="J437" s="217"/>
      <c r="K437" s="219" t="s">
        <v>222</v>
      </c>
      <c r="L437" s="217"/>
      <c r="M437" s="219">
        <v>0</v>
      </c>
      <c r="N437" s="219">
        <v>224592.21</v>
      </c>
      <c r="O437" s="219">
        <v>0</v>
      </c>
      <c r="P437" s="219">
        <v>0</v>
      </c>
      <c r="Q437" s="217"/>
      <c r="R437" s="217"/>
      <c r="S437" s="217"/>
      <c r="T437" s="217"/>
      <c r="U437" s="217"/>
      <c r="V437" s="217"/>
      <c r="W437" s="217"/>
      <c r="X437" s="217"/>
      <c r="Y437" s="217"/>
    </row>
    <row r="438" spans="1:25" ht="16" x14ac:dyDescent="0.2">
      <c r="A438" s="219">
        <v>3223</v>
      </c>
      <c r="B438" s="219" t="s">
        <v>157</v>
      </c>
      <c r="C438" s="219" t="s">
        <v>2080</v>
      </c>
      <c r="D438" s="219">
        <v>242.911</v>
      </c>
      <c r="E438" s="219">
        <v>2543</v>
      </c>
      <c r="F438" s="219">
        <v>243.4</v>
      </c>
      <c r="G438" s="219" t="s">
        <v>2369</v>
      </c>
      <c r="H438" s="219" t="s">
        <v>2370</v>
      </c>
      <c r="I438" s="219" t="s">
        <v>2371</v>
      </c>
      <c r="J438" s="217"/>
      <c r="K438" s="219" t="s">
        <v>222</v>
      </c>
      <c r="L438" s="217"/>
      <c r="M438" s="219">
        <v>0</v>
      </c>
      <c r="N438" s="219">
        <v>11176953.130000001</v>
      </c>
      <c r="O438" s="219">
        <v>0</v>
      </c>
      <c r="P438" s="219">
        <v>0</v>
      </c>
      <c r="Q438" s="217"/>
      <c r="R438" s="217"/>
      <c r="S438" s="217"/>
      <c r="T438" s="217"/>
      <c r="U438" s="217"/>
      <c r="V438" s="217"/>
      <c r="W438" s="217"/>
      <c r="X438" s="217"/>
      <c r="Y438" s="217"/>
    </row>
    <row r="439" spans="1:25" ht="16" x14ac:dyDescent="0.2">
      <c r="A439" s="219">
        <v>3224</v>
      </c>
      <c r="B439" s="219" t="s">
        <v>32</v>
      </c>
      <c r="C439" s="219" t="s">
        <v>2080</v>
      </c>
      <c r="D439" s="219">
        <v>331.83199999999999</v>
      </c>
      <c r="E439" s="219">
        <v>886</v>
      </c>
      <c r="F439" s="219">
        <v>330.1</v>
      </c>
      <c r="G439" s="219" t="s">
        <v>2372</v>
      </c>
      <c r="H439" s="219" t="s">
        <v>2373</v>
      </c>
      <c r="I439" s="219">
        <v>19.72</v>
      </c>
      <c r="J439" s="217"/>
      <c r="K439" s="219" t="s">
        <v>222</v>
      </c>
      <c r="L439" s="219">
        <v>108</v>
      </c>
      <c r="M439" s="219">
        <v>10.4</v>
      </c>
      <c r="N439" s="219">
        <v>1096.02</v>
      </c>
      <c r="O439" s="219">
        <v>9.9000000000000005E-2</v>
      </c>
      <c r="P439" s="219">
        <v>8.9999999999999993E-3</v>
      </c>
      <c r="Q439" s="217"/>
      <c r="R439" s="217"/>
      <c r="S439" s="217"/>
      <c r="T439" s="217"/>
      <c r="U439" s="217"/>
      <c r="V439" s="217"/>
      <c r="W439" s="217"/>
      <c r="X439" s="217"/>
      <c r="Y439" s="217"/>
    </row>
    <row r="440" spans="1:25" ht="16" x14ac:dyDescent="0.2">
      <c r="A440" s="219">
        <v>3225</v>
      </c>
      <c r="B440" s="219" t="s">
        <v>32</v>
      </c>
      <c r="C440" s="219" t="s">
        <v>2080</v>
      </c>
      <c r="D440" s="219">
        <v>333.83199999999999</v>
      </c>
      <c r="E440" s="219">
        <v>886</v>
      </c>
      <c r="F440" s="219">
        <v>332.1</v>
      </c>
      <c r="G440" s="219" t="s">
        <v>2374</v>
      </c>
      <c r="H440" s="219" t="s">
        <v>2375</v>
      </c>
      <c r="I440" s="219">
        <v>19.75</v>
      </c>
      <c r="J440" s="217"/>
      <c r="K440" s="219" t="s">
        <v>222</v>
      </c>
      <c r="L440" s="219">
        <v>168</v>
      </c>
      <c r="M440" s="219">
        <v>13</v>
      </c>
      <c r="N440" s="219">
        <v>1182.76</v>
      </c>
      <c r="O440" s="219">
        <v>0.14199999999999999</v>
      </c>
      <c r="P440" s="219">
        <v>1.0999999999999999E-2</v>
      </c>
      <c r="Q440" s="217"/>
      <c r="R440" s="217"/>
      <c r="S440" s="217"/>
      <c r="T440" s="217"/>
      <c r="U440" s="217"/>
      <c r="V440" s="217"/>
      <c r="W440" s="217"/>
      <c r="X440" s="217"/>
      <c r="Y440" s="217"/>
    </row>
    <row r="441" spans="1:25" ht="16" x14ac:dyDescent="0.2">
      <c r="A441" s="219">
        <v>3226</v>
      </c>
      <c r="B441" s="219" t="s">
        <v>32</v>
      </c>
      <c r="C441" s="219" t="s">
        <v>2080</v>
      </c>
      <c r="D441" s="219">
        <v>335.81900000000002</v>
      </c>
      <c r="E441" s="219">
        <v>886</v>
      </c>
      <c r="F441" s="219">
        <v>334</v>
      </c>
      <c r="G441" s="219" t="s">
        <v>2376</v>
      </c>
      <c r="H441" s="219" t="s">
        <v>2377</v>
      </c>
      <c r="I441" s="219">
        <v>19.649999999999999</v>
      </c>
      <c r="J441" s="217"/>
      <c r="K441" s="219" t="s">
        <v>222</v>
      </c>
      <c r="L441" s="219">
        <v>250</v>
      </c>
      <c r="M441" s="219">
        <v>15.8</v>
      </c>
      <c r="N441" s="219">
        <v>1162.23</v>
      </c>
      <c r="O441" s="219">
        <v>0.215</v>
      </c>
      <c r="P441" s="219">
        <v>1.4E-2</v>
      </c>
      <c r="Q441" s="217"/>
      <c r="R441" s="217"/>
      <c r="S441" s="217"/>
      <c r="T441" s="217"/>
      <c r="U441" s="217"/>
      <c r="V441" s="217"/>
      <c r="W441" s="217"/>
      <c r="X441" s="217"/>
      <c r="Y441" s="217"/>
    </row>
    <row r="442" spans="1:25" ht="16" x14ac:dyDescent="0.2">
      <c r="A442" s="219">
        <v>3227</v>
      </c>
      <c r="B442" s="219" t="s">
        <v>32</v>
      </c>
      <c r="C442" s="219" t="s">
        <v>2080</v>
      </c>
      <c r="D442" s="219">
        <v>337.834</v>
      </c>
      <c r="E442" s="219">
        <v>886</v>
      </c>
      <c r="F442" s="219">
        <v>336</v>
      </c>
      <c r="G442" s="219" t="s">
        <v>2378</v>
      </c>
      <c r="H442" s="219" t="s">
        <v>2379</v>
      </c>
      <c r="I442" s="219">
        <v>19.28</v>
      </c>
      <c r="J442" s="217"/>
      <c r="K442" s="219" t="s">
        <v>222</v>
      </c>
      <c r="L442" s="219">
        <v>432</v>
      </c>
      <c r="M442" s="219">
        <v>20.8</v>
      </c>
      <c r="N442" s="219">
        <v>1171.17</v>
      </c>
      <c r="O442" s="219">
        <v>0.36899999999999999</v>
      </c>
      <c r="P442" s="219">
        <v>1.7999999999999999E-2</v>
      </c>
      <c r="Q442" s="217"/>
      <c r="R442" s="217"/>
      <c r="S442" s="217"/>
      <c r="T442" s="217"/>
      <c r="U442" s="217"/>
      <c r="V442" s="217"/>
      <c r="W442" s="217"/>
      <c r="X442" s="217"/>
      <c r="Y442" s="217"/>
    </row>
    <row r="443" spans="1:25" ht="16" x14ac:dyDescent="0.2">
      <c r="A443" s="219">
        <v>3228</v>
      </c>
      <c r="B443" s="219" t="s">
        <v>32</v>
      </c>
      <c r="C443" s="219" t="s">
        <v>2080</v>
      </c>
      <c r="D443" s="219">
        <v>339.834</v>
      </c>
      <c r="E443" s="219">
        <v>886</v>
      </c>
      <c r="F443" s="219">
        <v>338</v>
      </c>
      <c r="G443" s="219" t="s">
        <v>2380</v>
      </c>
      <c r="H443" s="219" t="s">
        <v>2381</v>
      </c>
      <c r="I443" s="219">
        <v>19.25</v>
      </c>
      <c r="J443" s="217"/>
      <c r="K443" s="219" t="s">
        <v>222</v>
      </c>
      <c r="L443" s="219">
        <v>824</v>
      </c>
      <c r="M443" s="219">
        <v>28.7</v>
      </c>
      <c r="N443" s="219">
        <v>1224.19</v>
      </c>
      <c r="O443" s="219">
        <v>0.67300000000000004</v>
      </c>
      <c r="P443" s="219">
        <v>2.3E-2</v>
      </c>
      <c r="Q443" s="217"/>
      <c r="R443" s="217"/>
      <c r="S443" s="217"/>
      <c r="T443" s="217"/>
      <c r="U443" s="217"/>
      <c r="V443" s="217"/>
      <c r="W443" s="217"/>
      <c r="X443" s="217"/>
      <c r="Y443" s="217"/>
    </row>
    <row r="444" spans="1:25" ht="16" x14ac:dyDescent="0.2">
      <c r="A444" s="219">
        <v>3229</v>
      </c>
      <c r="B444" s="219" t="s">
        <v>32</v>
      </c>
      <c r="C444" s="219" t="s">
        <v>2080</v>
      </c>
      <c r="D444" s="219">
        <v>340.84800000000001</v>
      </c>
      <c r="E444" s="219">
        <v>886</v>
      </c>
      <c r="F444" s="219">
        <v>339</v>
      </c>
      <c r="G444" s="219" t="s">
        <v>2382</v>
      </c>
      <c r="H444" s="219" t="s">
        <v>2383</v>
      </c>
      <c r="I444" s="219">
        <v>18.760000000000002</v>
      </c>
      <c r="J444" s="217"/>
      <c r="K444" s="219" t="s">
        <v>222</v>
      </c>
      <c r="L444" s="219">
        <v>1137</v>
      </c>
      <c r="M444" s="219">
        <v>33.700000000000003</v>
      </c>
      <c r="N444" s="219">
        <v>1036.23</v>
      </c>
      <c r="O444" s="219">
        <v>1.097</v>
      </c>
      <c r="P444" s="219">
        <v>3.3000000000000002E-2</v>
      </c>
      <c r="Q444" s="217"/>
      <c r="R444" s="217"/>
      <c r="S444" s="217"/>
      <c r="T444" s="217"/>
      <c r="U444" s="217"/>
      <c r="V444" s="217"/>
      <c r="W444" s="217"/>
      <c r="X444" s="217"/>
      <c r="Y444" s="217"/>
    </row>
    <row r="445" spans="1:25" ht="16" x14ac:dyDescent="0.2">
      <c r="A445" s="219">
        <v>3230</v>
      </c>
      <c r="B445" s="219" t="s">
        <v>32</v>
      </c>
      <c r="C445" s="219" t="s">
        <v>2080</v>
      </c>
      <c r="D445" s="219">
        <v>341.84800000000001</v>
      </c>
      <c r="E445" s="219">
        <v>886</v>
      </c>
      <c r="F445" s="219">
        <v>340</v>
      </c>
      <c r="G445" s="219" t="s">
        <v>2384</v>
      </c>
      <c r="H445" s="219" t="s">
        <v>2385</v>
      </c>
      <c r="I445" s="219">
        <v>18.850000000000001</v>
      </c>
      <c r="J445" s="217"/>
      <c r="K445" s="219" t="s">
        <v>222</v>
      </c>
      <c r="L445" s="219">
        <v>2370</v>
      </c>
      <c r="M445" s="219">
        <v>48.7</v>
      </c>
      <c r="N445" s="219">
        <v>1232.4100000000001</v>
      </c>
      <c r="O445" s="219">
        <v>1.923</v>
      </c>
      <c r="P445" s="219">
        <v>0.04</v>
      </c>
      <c r="Q445" s="217"/>
      <c r="R445" s="217"/>
      <c r="S445" s="217"/>
      <c r="T445" s="217"/>
      <c r="U445" s="217"/>
      <c r="V445" s="217"/>
      <c r="W445" s="217"/>
      <c r="X445" s="217"/>
      <c r="Y445" s="217"/>
    </row>
    <row r="446" spans="1:25" ht="16" x14ac:dyDescent="0.2">
      <c r="A446" s="219">
        <v>3231</v>
      </c>
      <c r="B446" s="219" t="s">
        <v>32</v>
      </c>
      <c r="C446" s="219" t="s">
        <v>2080</v>
      </c>
      <c r="D446" s="219">
        <v>342.85599999999999</v>
      </c>
      <c r="E446" s="219">
        <v>886</v>
      </c>
      <c r="F446" s="219">
        <v>341</v>
      </c>
      <c r="G446" s="219" t="s">
        <v>2386</v>
      </c>
      <c r="H446" s="219" t="s">
        <v>2387</v>
      </c>
      <c r="I446" s="219">
        <v>18.79</v>
      </c>
      <c r="J446" s="217"/>
      <c r="K446" s="219" t="s">
        <v>222</v>
      </c>
      <c r="L446" s="219">
        <v>4062</v>
      </c>
      <c r="M446" s="219">
        <v>63.7</v>
      </c>
      <c r="N446" s="219">
        <v>1147.3499999999999</v>
      </c>
      <c r="O446" s="219">
        <v>3.54</v>
      </c>
      <c r="P446" s="219">
        <v>5.6000000000000001E-2</v>
      </c>
      <c r="Q446" s="217"/>
      <c r="R446" s="217"/>
      <c r="S446" s="217"/>
      <c r="T446" s="217"/>
      <c r="U446" s="217"/>
      <c r="V446" s="217"/>
      <c r="W446" s="217"/>
      <c r="X446" s="217"/>
      <c r="Y446" s="217"/>
    </row>
    <row r="447" spans="1:25" ht="16" x14ac:dyDescent="0.2">
      <c r="A447" s="219">
        <v>3232</v>
      </c>
      <c r="B447" s="219" t="s">
        <v>32</v>
      </c>
      <c r="C447" s="219" t="s">
        <v>2080</v>
      </c>
      <c r="D447" s="219">
        <v>343.84899999999999</v>
      </c>
      <c r="E447" s="219">
        <v>886</v>
      </c>
      <c r="F447" s="219">
        <v>342</v>
      </c>
      <c r="G447" s="219" t="s">
        <v>2388</v>
      </c>
      <c r="H447" s="219" t="s">
        <v>2389</v>
      </c>
      <c r="I447" s="219">
        <v>18.64</v>
      </c>
      <c r="J447" s="217"/>
      <c r="K447" s="219" t="s">
        <v>222</v>
      </c>
      <c r="L447" s="219">
        <v>5760</v>
      </c>
      <c r="M447" s="219">
        <v>75.900000000000006</v>
      </c>
      <c r="N447" s="219">
        <v>1119.1500000000001</v>
      </c>
      <c r="O447" s="219">
        <v>5.1470000000000002</v>
      </c>
      <c r="P447" s="219">
        <v>6.8000000000000005E-2</v>
      </c>
      <c r="Q447" s="217"/>
      <c r="R447" s="217"/>
      <c r="S447" s="217"/>
      <c r="T447" s="217"/>
      <c r="U447" s="217"/>
      <c r="V447" s="217"/>
      <c r="W447" s="217"/>
      <c r="X447" s="217"/>
      <c r="Y447" s="217"/>
    </row>
    <row r="448" spans="1:25" ht="16" x14ac:dyDescent="0.2">
      <c r="A448" s="219">
        <v>3233</v>
      </c>
      <c r="B448" s="219" t="s">
        <v>32</v>
      </c>
      <c r="C448" s="219" t="s">
        <v>2080</v>
      </c>
      <c r="D448" s="219">
        <v>344.863</v>
      </c>
      <c r="E448" s="219">
        <v>886</v>
      </c>
      <c r="F448" s="219">
        <v>343</v>
      </c>
      <c r="G448" s="219" t="s">
        <v>2390</v>
      </c>
      <c r="H448" s="219" t="s">
        <v>2391</v>
      </c>
      <c r="I448" s="219">
        <v>17.64</v>
      </c>
      <c r="J448" s="217"/>
      <c r="K448" s="219" t="s">
        <v>222</v>
      </c>
      <c r="L448" s="219">
        <v>8463</v>
      </c>
      <c r="M448" s="219">
        <v>92</v>
      </c>
      <c r="N448" s="219">
        <v>1266.43</v>
      </c>
      <c r="O448" s="219">
        <v>6.6829999999999998</v>
      </c>
      <c r="P448" s="219">
        <v>7.2999999999999995E-2</v>
      </c>
      <c r="Q448" s="217"/>
      <c r="R448" s="217"/>
      <c r="S448" s="217"/>
      <c r="T448" s="217"/>
      <c r="U448" s="217"/>
      <c r="V448" s="217"/>
      <c r="W448" s="217"/>
      <c r="X448" s="217"/>
      <c r="Y448" s="217"/>
    </row>
    <row r="449" spans="1:25" ht="16" x14ac:dyDescent="0.2">
      <c r="A449" s="219">
        <v>3234</v>
      </c>
      <c r="B449" s="219" t="s">
        <v>32</v>
      </c>
      <c r="C449" s="219" t="s">
        <v>2080</v>
      </c>
      <c r="D449" s="219">
        <v>345.85700000000003</v>
      </c>
      <c r="E449" s="219">
        <v>886</v>
      </c>
      <c r="F449" s="219">
        <v>344</v>
      </c>
      <c r="G449" s="219" t="s">
        <v>2392</v>
      </c>
      <c r="H449" s="219" t="s">
        <v>2245</v>
      </c>
      <c r="I449" s="219">
        <v>18.62</v>
      </c>
      <c r="J449" s="217"/>
      <c r="K449" s="219" t="s">
        <v>222</v>
      </c>
      <c r="L449" s="219">
        <v>8910</v>
      </c>
      <c r="M449" s="219">
        <v>94.4</v>
      </c>
      <c r="N449" s="219">
        <v>1199.08</v>
      </c>
      <c r="O449" s="219">
        <v>7.431</v>
      </c>
      <c r="P449" s="219">
        <v>7.9000000000000001E-2</v>
      </c>
      <c r="Q449" s="217"/>
      <c r="R449" s="217"/>
      <c r="S449" s="217"/>
      <c r="T449" s="217"/>
      <c r="U449" s="217"/>
      <c r="V449" s="217"/>
      <c r="W449" s="217"/>
      <c r="X449" s="217"/>
      <c r="Y449" s="217"/>
    </row>
    <row r="450" spans="1:25" ht="16" x14ac:dyDescent="0.2">
      <c r="A450" s="219">
        <v>3235</v>
      </c>
      <c r="B450" s="219" t="s">
        <v>32</v>
      </c>
      <c r="C450" s="219" t="s">
        <v>2080</v>
      </c>
      <c r="D450" s="219">
        <v>346.85700000000003</v>
      </c>
      <c r="E450" s="219">
        <v>886</v>
      </c>
      <c r="F450" s="219">
        <v>345</v>
      </c>
      <c r="G450" s="217"/>
      <c r="H450" s="219" t="s">
        <v>2393</v>
      </c>
      <c r="I450" s="219">
        <v>18.5</v>
      </c>
      <c r="J450" s="217"/>
      <c r="K450" s="219" t="s">
        <v>222</v>
      </c>
      <c r="L450" s="219">
        <v>7709</v>
      </c>
      <c r="M450" s="219">
        <v>87.8</v>
      </c>
      <c r="N450" s="219">
        <v>1031.46</v>
      </c>
      <c r="O450" s="219">
        <v>7.4740000000000002</v>
      </c>
      <c r="P450" s="219">
        <v>8.5000000000000006E-2</v>
      </c>
      <c r="Q450" s="217"/>
      <c r="R450" s="217"/>
      <c r="S450" s="217"/>
      <c r="T450" s="217"/>
      <c r="U450" s="217"/>
      <c r="V450" s="217"/>
      <c r="W450" s="217"/>
      <c r="X450" s="217"/>
      <c r="Y450" s="217"/>
    </row>
    <row r="451" spans="1:25" ht="16" x14ac:dyDescent="0.2">
      <c r="A451" s="219">
        <v>3236</v>
      </c>
      <c r="B451" s="219" t="s">
        <v>32</v>
      </c>
      <c r="C451" s="219" t="s">
        <v>2080</v>
      </c>
      <c r="D451" s="219">
        <v>347.86399999999998</v>
      </c>
      <c r="E451" s="219">
        <v>886</v>
      </c>
      <c r="F451" s="219">
        <v>346</v>
      </c>
      <c r="G451" s="219" t="s">
        <v>2394</v>
      </c>
      <c r="H451" s="219" t="s">
        <v>2395</v>
      </c>
      <c r="I451" s="219">
        <v>18.43</v>
      </c>
      <c r="J451" s="217"/>
      <c r="K451" s="219" t="s">
        <v>222</v>
      </c>
      <c r="L451" s="219">
        <v>7815</v>
      </c>
      <c r="M451" s="219">
        <v>88.4</v>
      </c>
      <c r="N451" s="219">
        <v>1077.42</v>
      </c>
      <c r="O451" s="219">
        <v>7.2530000000000001</v>
      </c>
      <c r="P451" s="219">
        <v>8.2000000000000003E-2</v>
      </c>
      <c r="Q451" s="217"/>
      <c r="R451" s="217"/>
      <c r="S451" s="217"/>
      <c r="T451" s="217"/>
      <c r="U451" s="217"/>
      <c r="V451" s="217"/>
      <c r="W451" s="217"/>
      <c r="X451" s="217"/>
      <c r="Y451" s="217"/>
    </row>
    <row r="452" spans="1:25" ht="16" x14ac:dyDescent="0.2">
      <c r="A452" s="219">
        <v>3237</v>
      </c>
      <c r="B452" s="219" t="s">
        <v>32</v>
      </c>
      <c r="C452" s="219" t="s">
        <v>2080</v>
      </c>
      <c r="D452" s="219">
        <v>348.86500000000001</v>
      </c>
      <c r="E452" s="219">
        <v>886</v>
      </c>
      <c r="F452" s="219">
        <v>347</v>
      </c>
      <c r="G452" s="219" t="s">
        <v>2396</v>
      </c>
      <c r="H452" s="219" t="s">
        <v>2397</v>
      </c>
      <c r="I452" s="219">
        <v>19.11</v>
      </c>
      <c r="J452" s="217"/>
      <c r="K452" s="219" t="s">
        <v>222</v>
      </c>
      <c r="L452" s="219">
        <v>6886</v>
      </c>
      <c r="M452" s="219">
        <v>83</v>
      </c>
      <c r="N452" s="219">
        <v>1096.92</v>
      </c>
      <c r="O452" s="219">
        <v>6.2779999999999996</v>
      </c>
      <c r="P452" s="219">
        <v>7.5999999999999998E-2</v>
      </c>
      <c r="Q452" s="217"/>
      <c r="R452" s="217"/>
      <c r="S452" s="217"/>
      <c r="T452" s="217"/>
      <c r="U452" s="217"/>
      <c r="V452" s="217"/>
      <c r="W452" s="217"/>
      <c r="X452" s="217"/>
      <c r="Y452" s="217"/>
    </row>
    <row r="453" spans="1:25" ht="16" x14ac:dyDescent="0.2">
      <c r="A453" s="219">
        <v>3238</v>
      </c>
      <c r="B453" s="219" t="s">
        <v>32</v>
      </c>
      <c r="C453" s="219" t="s">
        <v>2080</v>
      </c>
      <c r="D453" s="219">
        <v>349.87200000000001</v>
      </c>
      <c r="E453" s="219">
        <v>886</v>
      </c>
      <c r="F453" s="219">
        <v>348</v>
      </c>
      <c r="G453" s="219" t="s">
        <v>2398</v>
      </c>
      <c r="H453" s="219" t="s">
        <v>2399</v>
      </c>
      <c r="I453" s="219">
        <v>19.22</v>
      </c>
      <c r="J453" s="217"/>
      <c r="K453" s="219" t="s">
        <v>222</v>
      </c>
      <c r="L453" s="219">
        <v>5749</v>
      </c>
      <c r="M453" s="219">
        <v>75.8</v>
      </c>
      <c r="N453" s="219">
        <v>1069.1099999999999</v>
      </c>
      <c r="O453" s="219">
        <v>5.3769999999999998</v>
      </c>
      <c r="P453" s="219">
        <v>7.0999999999999994E-2</v>
      </c>
      <c r="Q453" s="217"/>
      <c r="R453" s="217"/>
      <c r="S453" s="217"/>
      <c r="T453" s="217"/>
      <c r="U453" s="217"/>
      <c r="V453" s="217"/>
      <c r="W453" s="217"/>
      <c r="X453" s="217"/>
      <c r="Y453" s="217"/>
    </row>
    <row r="454" spans="1:25" ht="16" x14ac:dyDescent="0.2">
      <c r="A454" s="219">
        <v>3239</v>
      </c>
      <c r="B454" s="219" t="s">
        <v>32</v>
      </c>
      <c r="C454" s="219" t="s">
        <v>2080</v>
      </c>
      <c r="D454" s="219">
        <v>351.87200000000001</v>
      </c>
      <c r="E454" s="219">
        <v>886</v>
      </c>
      <c r="F454" s="219">
        <v>350</v>
      </c>
      <c r="G454" s="219" t="s">
        <v>2400</v>
      </c>
      <c r="H454" s="219" t="s">
        <v>2401</v>
      </c>
      <c r="I454" s="219">
        <v>20.82</v>
      </c>
      <c r="J454" s="217"/>
      <c r="K454" s="219" t="s">
        <v>222</v>
      </c>
      <c r="L454" s="219">
        <v>4292</v>
      </c>
      <c r="M454" s="219">
        <v>65.5</v>
      </c>
      <c r="N454" s="219">
        <v>1141.8699999999999</v>
      </c>
      <c r="O454" s="219">
        <v>3.7589999999999999</v>
      </c>
      <c r="P454" s="219">
        <v>5.7000000000000002E-2</v>
      </c>
      <c r="Q454" s="217"/>
      <c r="R454" s="217"/>
      <c r="S454" s="217"/>
      <c r="T454" s="217"/>
      <c r="U454" s="217"/>
      <c r="V454" s="217"/>
      <c r="W454" s="217"/>
      <c r="X454" s="217"/>
      <c r="Y454" s="217"/>
    </row>
    <row r="455" spans="1:25" ht="16" x14ac:dyDescent="0.2">
      <c r="A455" s="219">
        <v>3240</v>
      </c>
      <c r="B455" s="219" t="s">
        <v>32</v>
      </c>
      <c r="C455" s="219" t="s">
        <v>2080</v>
      </c>
      <c r="D455" s="219">
        <v>353.86599999999999</v>
      </c>
      <c r="E455" s="219">
        <v>886</v>
      </c>
      <c r="F455" s="219">
        <v>352</v>
      </c>
      <c r="G455" s="219" t="s">
        <v>2402</v>
      </c>
      <c r="H455" s="219" t="s">
        <v>2403</v>
      </c>
      <c r="I455" s="219">
        <v>20.75</v>
      </c>
      <c r="J455" s="217"/>
      <c r="K455" s="219" t="s">
        <v>222</v>
      </c>
      <c r="L455" s="219">
        <v>2968</v>
      </c>
      <c r="M455" s="219">
        <v>54.5</v>
      </c>
      <c r="N455" s="219">
        <v>1294.03</v>
      </c>
      <c r="O455" s="219">
        <v>2.294</v>
      </c>
      <c r="P455" s="219">
        <v>4.2000000000000003E-2</v>
      </c>
      <c r="Q455" s="217"/>
      <c r="R455" s="217"/>
      <c r="S455" s="217"/>
      <c r="T455" s="217"/>
      <c r="U455" s="217"/>
      <c r="V455" s="217"/>
      <c r="W455" s="217"/>
      <c r="X455" s="217"/>
      <c r="Y455" s="217"/>
    </row>
    <row r="456" spans="1:25" ht="16" x14ac:dyDescent="0.2">
      <c r="A456" s="219">
        <v>3241</v>
      </c>
      <c r="B456" s="219" t="s">
        <v>32</v>
      </c>
      <c r="C456" s="219" t="s">
        <v>2080</v>
      </c>
      <c r="D456" s="219">
        <v>355.87400000000002</v>
      </c>
      <c r="E456" s="219">
        <v>886</v>
      </c>
      <c r="F456" s="219">
        <v>354</v>
      </c>
      <c r="G456" s="219" t="s">
        <v>2404</v>
      </c>
      <c r="H456" s="219" t="s">
        <v>2405</v>
      </c>
      <c r="I456" s="219">
        <v>21.44</v>
      </c>
      <c r="J456" s="217"/>
      <c r="K456" s="219" t="s">
        <v>222</v>
      </c>
      <c r="L456" s="219">
        <v>2673</v>
      </c>
      <c r="M456" s="219">
        <v>51.7</v>
      </c>
      <c r="N456" s="219">
        <v>1666.27</v>
      </c>
      <c r="O456" s="219">
        <v>1.6040000000000001</v>
      </c>
      <c r="P456" s="219">
        <v>3.1E-2</v>
      </c>
      <c r="Q456" s="217"/>
      <c r="R456" s="217"/>
      <c r="S456" s="217"/>
      <c r="T456" s="217"/>
      <c r="U456" s="217"/>
      <c r="V456" s="217"/>
      <c r="W456" s="217"/>
      <c r="X456" s="217"/>
      <c r="Y456" s="217"/>
    </row>
    <row r="457" spans="1:25" ht="16" x14ac:dyDescent="0.2">
      <c r="A457" s="219">
        <v>3242</v>
      </c>
      <c r="B457" s="219" t="s">
        <v>32</v>
      </c>
      <c r="C457" s="219" t="s">
        <v>2080</v>
      </c>
      <c r="D457" s="219">
        <v>358.88900000000001</v>
      </c>
      <c r="E457" s="219">
        <v>886</v>
      </c>
      <c r="F457" s="219">
        <v>357</v>
      </c>
      <c r="G457" s="219" t="s">
        <v>2406</v>
      </c>
      <c r="H457" s="219" t="s">
        <v>2138</v>
      </c>
      <c r="I457" s="219">
        <v>23.14</v>
      </c>
      <c r="J457" s="217"/>
      <c r="K457" s="219" t="s">
        <v>222</v>
      </c>
      <c r="L457" s="219">
        <v>1152</v>
      </c>
      <c r="M457" s="219">
        <v>33.9</v>
      </c>
      <c r="N457" s="219">
        <v>1241.93</v>
      </c>
      <c r="O457" s="219">
        <v>0.92800000000000005</v>
      </c>
      <c r="P457" s="219">
        <v>2.7E-2</v>
      </c>
      <c r="Q457" s="217"/>
      <c r="R457" s="217"/>
      <c r="S457" s="217"/>
      <c r="T457" s="217"/>
      <c r="U457" s="217"/>
      <c r="V457" s="217"/>
      <c r="W457" s="217"/>
      <c r="X457" s="217"/>
      <c r="Y457" s="217"/>
    </row>
    <row r="458" spans="1:25" ht="16" x14ac:dyDescent="0.2">
      <c r="A458" s="219">
        <v>3243</v>
      </c>
      <c r="B458" s="219" t="s">
        <v>32</v>
      </c>
      <c r="C458" s="219" t="s">
        <v>2080</v>
      </c>
      <c r="D458" s="219">
        <v>361.88299999999998</v>
      </c>
      <c r="E458" s="219">
        <v>886</v>
      </c>
      <c r="F458" s="219">
        <v>359.9</v>
      </c>
      <c r="G458" s="219" t="s">
        <v>2407</v>
      </c>
      <c r="H458" s="219" t="s">
        <v>2408</v>
      </c>
      <c r="I458" s="219">
        <v>23.7</v>
      </c>
      <c r="J458" s="217"/>
      <c r="K458" s="219" t="s">
        <v>222</v>
      </c>
      <c r="L458" s="219">
        <v>739</v>
      </c>
      <c r="M458" s="219">
        <v>27.2</v>
      </c>
      <c r="N458" s="219">
        <v>1316.79</v>
      </c>
      <c r="O458" s="219">
        <v>0.56100000000000005</v>
      </c>
      <c r="P458" s="219">
        <v>2.1000000000000001E-2</v>
      </c>
      <c r="Q458" s="217"/>
      <c r="R458" s="217"/>
      <c r="S458" s="217"/>
      <c r="T458" s="217"/>
      <c r="U458" s="217"/>
      <c r="V458" s="217"/>
      <c r="W458" s="217"/>
      <c r="X458" s="217"/>
      <c r="Y458" s="217"/>
    </row>
    <row r="459" spans="1:25" ht="16" x14ac:dyDescent="0.2">
      <c r="A459" s="219">
        <v>3244</v>
      </c>
      <c r="B459" s="219" t="s">
        <v>32</v>
      </c>
      <c r="C459" s="219" t="s">
        <v>2080</v>
      </c>
      <c r="D459" s="219">
        <v>365.89800000000002</v>
      </c>
      <c r="E459" s="219">
        <v>886</v>
      </c>
      <c r="F459" s="219">
        <v>363.9</v>
      </c>
      <c r="G459" s="219" t="s">
        <v>2409</v>
      </c>
      <c r="H459" s="219" t="s">
        <v>2262</v>
      </c>
      <c r="I459" s="219">
        <v>23.77</v>
      </c>
      <c r="J459" s="217"/>
      <c r="K459" s="219" t="s">
        <v>222</v>
      </c>
      <c r="L459" s="219">
        <v>386</v>
      </c>
      <c r="M459" s="219">
        <v>19.600000000000001</v>
      </c>
      <c r="N459" s="219">
        <v>1348.9</v>
      </c>
      <c r="O459" s="219">
        <v>0.28599999999999998</v>
      </c>
      <c r="P459" s="219">
        <v>1.4999999999999999E-2</v>
      </c>
      <c r="Q459" s="217"/>
      <c r="R459" s="217"/>
      <c r="S459" s="217"/>
      <c r="T459" s="217"/>
      <c r="U459" s="217"/>
      <c r="V459" s="217"/>
      <c r="W459" s="217"/>
      <c r="X459" s="217"/>
      <c r="Y459" s="217"/>
    </row>
    <row r="460" spans="1:25" ht="16" x14ac:dyDescent="0.2">
      <c r="A460" s="219">
        <v>3245</v>
      </c>
      <c r="B460" s="219" t="s">
        <v>32</v>
      </c>
      <c r="C460" s="219" t="s">
        <v>2080</v>
      </c>
      <c r="D460" s="219">
        <v>370.90699999999998</v>
      </c>
      <c r="E460" s="219">
        <v>886</v>
      </c>
      <c r="F460" s="219">
        <v>368.9</v>
      </c>
      <c r="G460" s="219" t="s">
        <v>2410</v>
      </c>
      <c r="H460" s="219" t="s">
        <v>2411</v>
      </c>
      <c r="I460" s="219">
        <v>23.83</v>
      </c>
      <c r="J460" s="217"/>
      <c r="K460" s="219" t="s">
        <v>222</v>
      </c>
      <c r="L460" s="219">
        <v>231</v>
      </c>
      <c r="M460" s="219">
        <v>15.2</v>
      </c>
      <c r="N460" s="219">
        <v>1306.99</v>
      </c>
      <c r="O460" s="219">
        <v>0.17699999999999999</v>
      </c>
      <c r="P460" s="219">
        <v>1.2E-2</v>
      </c>
      <c r="Q460" s="222" t="s">
        <v>2412</v>
      </c>
      <c r="R460" s="217"/>
      <c r="S460" s="217"/>
      <c r="T460" s="217"/>
      <c r="U460" s="217"/>
      <c r="V460" s="217"/>
      <c r="W460" s="217"/>
      <c r="X460" s="217"/>
      <c r="Y460" s="217"/>
    </row>
    <row r="461" spans="1:25" ht="16" x14ac:dyDescent="0.2">
      <c r="A461" s="219">
        <v>3246</v>
      </c>
      <c r="B461" s="219" t="s">
        <v>9</v>
      </c>
      <c r="C461" s="219" t="s">
        <v>162</v>
      </c>
      <c r="D461" s="219">
        <v>282.02699999999999</v>
      </c>
      <c r="E461" s="219">
        <v>2383</v>
      </c>
      <c r="F461" s="219">
        <v>282.10000000000002</v>
      </c>
      <c r="G461" s="219" t="s">
        <v>2413</v>
      </c>
      <c r="H461" s="219" t="s">
        <v>2414</v>
      </c>
      <c r="I461" s="219">
        <v>120.05</v>
      </c>
      <c r="J461" s="217"/>
      <c r="K461" s="219" t="s">
        <v>2415</v>
      </c>
      <c r="L461" s="219">
        <v>1813</v>
      </c>
      <c r="M461" s="219">
        <v>42.6</v>
      </c>
      <c r="N461" s="219">
        <v>18183.57</v>
      </c>
      <c r="O461" s="219">
        <v>0.1</v>
      </c>
      <c r="P461" s="219">
        <v>2E-3</v>
      </c>
      <c r="Q461" s="222" t="s">
        <v>2416</v>
      </c>
      <c r="R461" s="217"/>
      <c r="S461" s="217"/>
      <c r="T461" s="217"/>
      <c r="U461" s="217"/>
      <c r="V461" s="217"/>
      <c r="W461" s="217"/>
      <c r="X461" s="217"/>
      <c r="Y461" s="217"/>
    </row>
    <row r="462" spans="1:25" ht="16" x14ac:dyDescent="0.2">
      <c r="A462" s="219">
        <v>3247</v>
      </c>
      <c r="B462" s="219" t="s">
        <v>9</v>
      </c>
      <c r="C462" s="219" t="s">
        <v>162</v>
      </c>
      <c r="D462" s="219">
        <v>287.02699999999999</v>
      </c>
      <c r="E462" s="219">
        <v>2383</v>
      </c>
      <c r="F462" s="219">
        <v>287.10000000000002</v>
      </c>
      <c r="G462" s="219" t="s">
        <v>2417</v>
      </c>
      <c r="H462" s="219" t="s">
        <v>2418</v>
      </c>
      <c r="I462" s="219">
        <v>120.52</v>
      </c>
      <c r="J462" s="217"/>
      <c r="K462" s="219" t="s">
        <v>2415</v>
      </c>
      <c r="L462" s="219">
        <v>2374</v>
      </c>
      <c r="M462" s="219">
        <v>48.7</v>
      </c>
      <c r="N462" s="219">
        <v>22942.44</v>
      </c>
      <c r="O462" s="219">
        <v>0.10299999999999999</v>
      </c>
      <c r="P462" s="219">
        <v>2E-3</v>
      </c>
      <c r="Q462" s="222" t="s">
        <v>2419</v>
      </c>
      <c r="R462" s="217"/>
      <c r="S462" s="217"/>
      <c r="T462" s="217"/>
      <c r="U462" s="217"/>
      <c r="V462" s="217"/>
      <c r="W462" s="217"/>
      <c r="X462" s="217"/>
      <c r="Y462" s="217"/>
    </row>
    <row r="463" spans="1:25" ht="16" x14ac:dyDescent="0.2">
      <c r="A463" s="219">
        <v>3248</v>
      </c>
      <c r="B463" s="219" t="s">
        <v>9</v>
      </c>
      <c r="C463" s="219" t="s">
        <v>162</v>
      </c>
      <c r="D463" s="219">
        <v>284.53800000000001</v>
      </c>
      <c r="E463" s="219">
        <v>2383</v>
      </c>
      <c r="F463" s="219">
        <v>284.60000000000002</v>
      </c>
      <c r="G463" s="219" t="s">
        <v>2420</v>
      </c>
      <c r="H463" s="217"/>
      <c r="I463" s="219">
        <v>121.8</v>
      </c>
      <c r="J463" s="217"/>
      <c r="K463" s="219" t="s">
        <v>2415</v>
      </c>
      <c r="L463" s="219">
        <v>1331</v>
      </c>
      <c r="M463" s="219">
        <v>36.5</v>
      </c>
      <c r="N463" s="219">
        <v>12167.43</v>
      </c>
      <c r="O463" s="219">
        <v>0.109</v>
      </c>
      <c r="P463" s="219">
        <v>3.0000000000000001E-3</v>
      </c>
      <c r="Q463" s="222" t="s">
        <v>2419</v>
      </c>
      <c r="R463" s="217"/>
      <c r="S463" s="217"/>
      <c r="T463" s="217"/>
      <c r="U463" s="217"/>
      <c r="V463" s="217"/>
      <c r="W463" s="217"/>
      <c r="X463" s="217"/>
      <c r="Y463" s="217"/>
    </row>
    <row r="464" spans="1:25" ht="16" x14ac:dyDescent="0.2">
      <c r="A464" s="219">
        <v>3249</v>
      </c>
      <c r="B464" s="219" t="s">
        <v>157</v>
      </c>
      <c r="C464" s="219" t="s">
        <v>162</v>
      </c>
      <c r="D464" s="219">
        <v>284.53800000000001</v>
      </c>
      <c r="E464" s="219">
        <v>2383</v>
      </c>
      <c r="F464" s="219">
        <v>284.60000000000002</v>
      </c>
      <c r="G464" s="217"/>
      <c r="H464" s="219" t="s">
        <v>2421</v>
      </c>
      <c r="I464" s="219">
        <v>125.44</v>
      </c>
      <c r="J464" s="217"/>
      <c r="K464" s="219" t="s">
        <v>2422</v>
      </c>
      <c r="L464" s="219">
        <v>10040</v>
      </c>
      <c r="M464" s="219">
        <v>100.2</v>
      </c>
      <c r="N464" s="219">
        <v>271981.99</v>
      </c>
      <c r="O464" s="219">
        <v>3.6999999999999998E-2</v>
      </c>
      <c r="P464" s="219">
        <v>0</v>
      </c>
      <c r="Q464" s="222" t="s">
        <v>2423</v>
      </c>
      <c r="R464" s="217"/>
      <c r="S464" s="217"/>
      <c r="T464" s="217"/>
      <c r="U464" s="217"/>
      <c r="V464" s="217"/>
      <c r="W464" s="217"/>
      <c r="X464" s="217"/>
      <c r="Y464" s="217"/>
    </row>
    <row r="465" spans="1:26" ht="16" x14ac:dyDescent="0.2">
      <c r="A465" s="219">
        <v>3250</v>
      </c>
      <c r="B465" s="219" t="s">
        <v>157</v>
      </c>
      <c r="C465" s="219" t="s">
        <v>162</v>
      </c>
      <c r="D465" s="219">
        <v>284.53800000000001</v>
      </c>
      <c r="E465" s="219">
        <v>2383</v>
      </c>
      <c r="F465" s="219">
        <v>284.60000000000002</v>
      </c>
      <c r="G465" s="219" t="s">
        <v>2424</v>
      </c>
      <c r="H465" s="219" t="s">
        <v>2425</v>
      </c>
      <c r="I465" s="219">
        <v>128.47999999999999</v>
      </c>
      <c r="J465" s="217"/>
      <c r="K465" s="219" t="s">
        <v>2422</v>
      </c>
      <c r="L465" s="219">
        <v>5822</v>
      </c>
      <c r="M465" s="219">
        <v>76.3</v>
      </c>
      <c r="N465" s="219">
        <v>571317.14</v>
      </c>
      <c r="O465" s="219">
        <v>0.01</v>
      </c>
      <c r="P465" s="219">
        <v>0</v>
      </c>
      <c r="Q465" s="222" t="s">
        <v>2426</v>
      </c>
      <c r="R465" s="217"/>
      <c r="S465" s="217"/>
      <c r="T465" s="217"/>
      <c r="U465" s="217"/>
      <c r="V465" s="217"/>
      <c r="W465" s="217"/>
      <c r="X465" s="217"/>
      <c r="Y465" s="217"/>
    </row>
    <row r="466" spans="1:26" ht="16" x14ac:dyDescent="0.2">
      <c r="A466" s="219">
        <v>3251</v>
      </c>
      <c r="B466" s="219" t="s">
        <v>157</v>
      </c>
      <c r="C466" s="219" t="s">
        <v>162</v>
      </c>
      <c r="D466" s="219">
        <v>284.53800000000001</v>
      </c>
      <c r="E466" s="219">
        <v>2383</v>
      </c>
      <c r="F466" s="219">
        <v>284.60000000000002</v>
      </c>
      <c r="G466" s="219" t="s">
        <v>2427</v>
      </c>
      <c r="H466" s="219" t="s">
        <v>2428</v>
      </c>
      <c r="I466" s="219">
        <v>135.16999999999999</v>
      </c>
      <c r="J466" s="217"/>
      <c r="K466" s="219" t="s">
        <v>2422</v>
      </c>
      <c r="L466" s="219">
        <v>3838</v>
      </c>
      <c r="M466" s="219">
        <v>62</v>
      </c>
      <c r="N466" s="219">
        <v>755535.34</v>
      </c>
      <c r="O466" s="219">
        <v>5.0000000000000001E-3</v>
      </c>
      <c r="P466" s="219">
        <v>0</v>
      </c>
      <c r="Q466" s="222" t="s">
        <v>2429</v>
      </c>
      <c r="R466" s="217"/>
      <c r="S466" s="217"/>
      <c r="T466" s="217"/>
      <c r="U466" s="217"/>
      <c r="V466" s="217"/>
      <c r="W466" s="217"/>
      <c r="X466" s="217"/>
      <c r="Y466" s="217"/>
    </row>
    <row r="467" spans="1:26" ht="16" x14ac:dyDescent="0.2">
      <c r="A467" s="219">
        <v>3252</v>
      </c>
      <c r="B467" s="219" t="s">
        <v>9</v>
      </c>
      <c r="C467" s="219" t="s">
        <v>65</v>
      </c>
      <c r="D467" s="219">
        <v>331.52199999999999</v>
      </c>
      <c r="E467" s="219">
        <v>2383</v>
      </c>
      <c r="F467" s="219">
        <v>331.3</v>
      </c>
      <c r="G467" s="219" t="s">
        <v>2430</v>
      </c>
      <c r="H467" s="219" t="s">
        <v>2431</v>
      </c>
      <c r="I467" s="219">
        <v>142.32</v>
      </c>
      <c r="J467" s="217"/>
      <c r="K467" s="219" t="s">
        <v>2432</v>
      </c>
      <c r="L467" s="219">
        <v>4671</v>
      </c>
      <c r="M467" s="219">
        <v>68.3</v>
      </c>
      <c r="N467" s="219">
        <v>48111.12</v>
      </c>
      <c r="O467" s="219">
        <v>9.7000000000000003E-2</v>
      </c>
      <c r="P467" s="219">
        <v>1E-3</v>
      </c>
      <c r="Q467" s="222" t="s">
        <v>2433</v>
      </c>
      <c r="R467" s="217"/>
      <c r="S467" s="217"/>
      <c r="T467" s="217"/>
      <c r="U467" s="217"/>
      <c r="V467" s="217"/>
      <c r="W467" s="217"/>
      <c r="X467" s="217"/>
      <c r="Y467" s="217"/>
    </row>
    <row r="468" spans="1:26" ht="16" x14ac:dyDescent="0.2">
      <c r="A468" s="219">
        <v>3253</v>
      </c>
      <c r="B468" s="219" t="s">
        <v>9</v>
      </c>
      <c r="C468" s="219" t="s">
        <v>65</v>
      </c>
      <c r="D468" s="219">
        <v>332.536</v>
      </c>
      <c r="E468" s="219">
        <v>2383</v>
      </c>
      <c r="F468" s="219">
        <v>332.3</v>
      </c>
      <c r="G468" s="219" t="s">
        <v>2434</v>
      </c>
      <c r="H468" s="219" t="s">
        <v>2435</v>
      </c>
      <c r="I468" s="219">
        <v>141</v>
      </c>
      <c r="J468" s="217"/>
      <c r="K468" s="219" t="s">
        <v>2432</v>
      </c>
      <c r="L468" s="219">
        <v>4705</v>
      </c>
      <c r="M468" s="219">
        <v>68.599999999999994</v>
      </c>
      <c r="N468" s="219">
        <v>45582.42</v>
      </c>
      <c r="O468" s="219">
        <v>0.10299999999999999</v>
      </c>
      <c r="P468" s="219">
        <v>2E-3</v>
      </c>
      <c r="Q468" s="222" t="s">
        <v>2436</v>
      </c>
      <c r="R468" s="217"/>
      <c r="S468" s="217"/>
      <c r="T468" s="217"/>
      <c r="U468" s="217"/>
      <c r="V468" s="217"/>
      <c r="W468" s="217"/>
      <c r="X468" s="217"/>
      <c r="Y468" s="217"/>
    </row>
    <row r="469" spans="1:26" ht="16" x14ac:dyDescent="0.2">
      <c r="A469" s="219">
        <v>3254</v>
      </c>
      <c r="B469" s="219" t="s">
        <v>9</v>
      </c>
      <c r="C469" s="219" t="s">
        <v>65</v>
      </c>
      <c r="D469" s="219">
        <v>331.52199999999999</v>
      </c>
      <c r="E469" s="219">
        <v>2404</v>
      </c>
      <c r="F469" s="219">
        <v>331.3</v>
      </c>
      <c r="G469" s="219" t="s">
        <v>2437</v>
      </c>
      <c r="H469" s="219" t="s">
        <v>2438</v>
      </c>
      <c r="I469" s="219">
        <v>141.22</v>
      </c>
      <c r="J469" s="217"/>
      <c r="K469" s="219" t="s">
        <v>2432</v>
      </c>
      <c r="L469" s="219">
        <v>2600</v>
      </c>
      <c r="M469" s="219">
        <v>51</v>
      </c>
      <c r="N469" s="219">
        <v>25966.57</v>
      </c>
      <c r="O469" s="219">
        <v>0.1</v>
      </c>
      <c r="P469" s="219">
        <v>2E-3</v>
      </c>
      <c r="Q469" s="222" t="s">
        <v>2433</v>
      </c>
      <c r="R469" s="217"/>
      <c r="S469" s="217"/>
      <c r="T469" s="217"/>
      <c r="U469" s="217"/>
      <c r="V469" s="217"/>
      <c r="W469" s="217"/>
      <c r="X469" s="217"/>
      <c r="Y469" s="217"/>
    </row>
    <row r="470" spans="1:26" ht="16" x14ac:dyDescent="0.2">
      <c r="A470" s="219">
        <v>3255</v>
      </c>
      <c r="B470" s="219" t="s">
        <v>9</v>
      </c>
      <c r="C470" s="219" t="s">
        <v>65</v>
      </c>
      <c r="D470" s="219">
        <v>332.536</v>
      </c>
      <c r="E470" s="219">
        <v>2404</v>
      </c>
      <c r="F470" s="219">
        <v>332.3</v>
      </c>
      <c r="G470" s="219" t="s">
        <v>2439</v>
      </c>
      <c r="H470" s="219" t="s">
        <v>2440</v>
      </c>
      <c r="I470" s="219">
        <v>140.30000000000001</v>
      </c>
      <c r="J470" s="217"/>
      <c r="K470" s="219" t="s">
        <v>2432</v>
      </c>
      <c r="L470" s="219">
        <v>2593</v>
      </c>
      <c r="M470" s="219">
        <v>50.9</v>
      </c>
      <c r="N470" s="219">
        <v>25593.09</v>
      </c>
      <c r="O470" s="219">
        <v>0.10100000000000001</v>
      </c>
      <c r="P470" s="219">
        <v>2E-3</v>
      </c>
      <c r="Q470" s="222" t="s">
        <v>2433</v>
      </c>
      <c r="R470" s="217"/>
      <c r="S470" s="217"/>
      <c r="T470" s="217"/>
      <c r="U470" s="217"/>
      <c r="V470" s="217"/>
      <c r="W470" s="217"/>
      <c r="X470" s="217"/>
      <c r="Y470" s="217"/>
    </row>
    <row r="471" spans="1:26" ht="16" x14ac:dyDescent="0.2">
      <c r="A471" s="219">
        <v>3256</v>
      </c>
      <c r="B471" s="219" t="s">
        <v>9</v>
      </c>
      <c r="C471" s="219" t="s">
        <v>65</v>
      </c>
      <c r="D471" s="219">
        <v>333.536</v>
      </c>
      <c r="E471" s="219">
        <v>2404</v>
      </c>
      <c r="F471" s="219">
        <v>333.3</v>
      </c>
      <c r="G471" s="219" t="s">
        <v>2441</v>
      </c>
      <c r="H471" s="219" t="s">
        <v>2442</v>
      </c>
      <c r="I471" s="219">
        <v>140.86000000000001</v>
      </c>
      <c r="J471" s="217"/>
      <c r="K471" s="219" t="s">
        <v>2432</v>
      </c>
      <c r="L471" s="219">
        <v>2583</v>
      </c>
      <c r="M471" s="219">
        <v>50.8</v>
      </c>
      <c r="N471" s="219">
        <v>26103.13</v>
      </c>
      <c r="O471" s="219">
        <v>9.9000000000000005E-2</v>
      </c>
      <c r="P471" s="219">
        <v>2E-3</v>
      </c>
      <c r="Q471" s="222" t="s">
        <v>2433</v>
      </c>
      <c r="R471" s="217"/>
      <c r="S471" s="217"/>
      <c r="T471" s="217"/>
      <c r="U471" s="217"/>
      <c r="V471" s="217"/>
      <c r="W471" s="217"/>
      <c r="X471" s="217"/>
      <c r="Y471" s="217"/>
    </row>
    <row r="472" spans="1:26" ht="16" x14ac:dyDescent="0.2">
      <c r="A472" s="219">
        <v>3257</v>
      </c>
      <c r="B472" s="219" t="s">
        <v>157</v>
      </c>
      <c r="C472" s="219" t="s">
        <v>65</v>
      </c>
      <c r="D472" s="219">
        <v>332.536</v>
      </c>
      <c r="E472" s="219">
        <v>2404</v>
      </c>
      <c r="F472" s="219">
        <v>332.3</v>
      </c>
      <c r="G472" s="219" t="s">
        <v>2443</v>
      </c>
      <c r="H472" s="219" t="s">
        <v>2444</v>
      </c>
      <c r="I472" s="219" t="s">
        <v>2445</v>
      </c>
      <c r="J472" s="217"/>
      <c r="K472" s="219" t="s">
        <v>2446</v>
      </c>
      <c r="L472" s="219">
        <v>835</v>
      </c>
      <c r="M472" s="219">
        <v>28.9</v>
      </c>
      <c r="N472" s="219">
        <v>1586496.72</v>
      </c>
      <c r="O472" s="219">
        <v>1E-3</v>
      </c>
      <c r="P472" s="219">
        <v>0</v>
      </c>
      <c r="Q472" s="222" t="s">
        <v>2447</v>
      </c>
      <c r="R472" s="217"/>
      <c r="S472" s="217"/>
      <c r="T472" s="217"/>
      <c r="U472" s="217"/>
      <c r="V472" s="217"/>
      <c r="W472" s="217"/>
      <c r="X472" s="217"/>
      <c r="Y472" s="217"/>
    </row>
    <row r="473" spans="1:26" ht="16" x14ac:dyDescent="0.2">
      <c r="A473" s="219">
        <v>3258</v>
      </c>
      <c r="B473" s="219" t="s">
        <v>157</v>
      </c>
      <c r="C473" s="219" t="s">
        <v>65</v>
      </c>
      <c r="D473" s="219">
        <v>332.536</v>
      </c>
      <c r="E473" s="219">
        <v>2404</v>
      </c>
      <c r="F473" s="219">
        <v>332.3</v>
      </c>
      <c r="G473" s="219" t="s">
        <v>2448</v>
      </c>
      <c r="H473" s="219" t="s">
        <v>2449</v>
      </c>
      <c r="I473" s="219" t="s">
        <v>2450</v>
      </c>
      <c r="J473" s="217"/>
      <c r="K473" s="219" t="s">
        <v>2446</v>
      </c>
      <c r="L473" s="219">
        <v>377</v>
      </c>
      <c r="M473" s="219">
        <v>19.399999999999999</v>
      </c>
      <c r="N473" s="219">
        <v>8275884.0700000003</v>
      </c>
      <c r="O473" s="219">
        <v>0</v>
      </c>
      <c r="P473" s="219">
        <v>0</v>
      </c>
      <c r="Q473" s="222" t="s">
        <v>2451</v>
      </c>
      <c r="R473" s="217"/>
      <c r="S473" s="217"/>
      <c r="T473" s="217"/>
      <c r="U473" s="217"/>
      <c r="V473" s="217"/>
      <c r="W473" s="217"/>
      <c r="X473" s="217"/>
      <c r="Y473" s="217"/>
    </row>
    <row r="474" spans="1:26" ht="16" x14ac:dyDescent="0.2">
      <c r="A474" s="219">
        <v>3259</v>
      </c>
      <c r="B474" s="219" t="s">
        <v>157</v>
      </c>
      <c r="C474" s="219" t="s">
        <v>65</v>
      </c>
      <c r="D474" s="219">
        <v>332.536</v>
      </c>
      <c r="E474" s="219">
        <v>2404</v>
      </c>
      <c r="F474" s="219">
        <v>332.3</v>
      </c>
      <c r="G474" s="219" t="s">
        <v>2452</v>
      </c>
      <c r="H474" s="219" t="s">
        <v>2454</v>
      </c>
      <c r="I474" s="219" t="s">
        <v>2455</v>
      </c>
      <c r="J474" s="217"/>
      <c r="K474" s="219" t="s">
        <v>2446</v>
      </c>
      <c r="L474" s="219">
        <v>367</v>
      </c>
      <c r="M474" s="219">
        <v>19.2</v>
      </c>
      <c r="N474" s="219">
        <v>3767747.18</v>
      </c>
      <c r="O474" s="219">
        <v>0</v>
      </c>
      <c r="P474" s="219">
        <v>0</v>
      </c>
      <c r="Q474" s="222" t="s">
        <v>2456</v>
      </c>
      <c r="R474" s="217"/>
      <c r="S474" s="217"/>
      <c r="T474" s="217"/>
      <c r="U474" s="217"/>
      <c r="V474" s="217"/>
      <c r="W474" s="217"/>
      <c r="X474" s="217"/>
      <c r="Y474" s="217"/>
      <c r="Z474" s="217"/>
    </row>
    <row r="475" spans="1:26" ht="16" x14ac:dyDescent="0.2">
      <c r="A475" s="219">
        <v>3260</v>
      </c>
      <c r="B475" s="219" t="s">
        <v>33</v>
      </c>
      <c r="C475" s="219" t="s">
        <v>413</v>
      </c>
      <c r="D475" s="219">
        <v>345</v>
      </c>
      <c r="E475" s="219">
        <v>1254</v>
      </c>
      <c r="F475" s="219">
        <v>343.5</v>
      </c>
      <c r="G475" s="219" t="s">
        <v>2457</v>
      </c>
      <c r="H475" s="219" t="s">
        <v>2458</v>
      </c>
      <c r="I475" s="219">
        <v>32.06</v>
      </c>
      <c r="J475" s="217"/>
      <c r="K475" s="219" t="s">
        <v>345</v>
      </c>
      <c r="L475" s="217"/>
      <c r="M475" s="219">
        <v>0</v>
      </c>
      <c r="N475" s="217"/>
      <c r="O475" s="219" t="e">
        <v>#DIV/0!</v>
      </c>
      <c r="P475" s="219" t="e">
        <v>#DIV/0!</v>
      </c>
      <c r="Q475" s="222" t="s">
        <v>2459</v>
      </c>
      <c r="R475" s="217"/>
      <c r="S475" s="217"/>
      <c r="T475" s="217"/>
      <c r="U475" s="217"/>
      <c r="V475" s="217"/>
      <c r="W475" s="217"/>
      <c r="X475" s="217"/>
      <c r="Y475" s="217"/>
      <c r="Z475" s="217"/>
    </row>
    <row r="476" spans="1:26" ht="16" x14ac:dyDescent="0.2">
      <c r="A476" s="219">
        <v>3261</v>
      </c>
      <c r="B476" s="219" t="s">
        <v>33</v>
      </c>
      <c r="C476" s="219" t="s">
        <v>413</v>
      </c>
      <c r="D476" s="219">
        <v>345.4</v>
      </c>
      <c r="E476" s="219">
        <v>865</v>
      </c>
      <c r="F476" s="219">
        <v>343.5</v>
      </c>
      <c r="G476" s="219" t="s">
        <v>2460</v>
      </c>
      <c r="H476" s="219" t="s">
        <v>2461</v>
      </c>
      <c r="I476" s="219">
        <v>20.95</v>
      </c>
      <c r="J476" s="217"/>
      <c r="K476" s="219" t="s">
        <v>345</v>
      </c>
      <c r="L476" s="219">
        <v>2236316</v>
      </c>
      <c r="M476" s="219">
        <v>1495.4</v>
      </c>
      <c r="N476" s="219">
        <v>42670.57</v>
      </c>
      <c r="O476" s="219">
        <v>52.408999999999999</v>
      </c>
      <c r="P476" s="219">
        <v>3.5000000000000003E-2</v>
      </c>
      <c r="Q476" s="217"/>
      <c r="R476" s="217"/>
      <c r="S476" s="217"/>
      <c r="T476" s="217"/>
      <c r="U476" s="217"/>
      <c r="V476" s="217"/>
      <c r="W476" s="217"/>
      <c r="X476" s="217"/>
      <c r="Y476" s="217"/>
      <c r="Z476" s="217"/>
    </row>
    <row r="477" spans="1:26" ht="16" x14ac:dyDescent="0.2">
      <c r="A477" s="219">
        <v>3262</v>
      </c>
      <c r="B477" s="219" t="s">
        <v>33</v>
      </c>
      <c r="C477" s="219" t="s">
        <v>413</v>
      </c>
      <c r="D477" s="219">
        <v>346.4</v>
      </c>
      <c r="E477" s="219">
        <v>865</v>
      </c>
      <c r="F477" s="219">
        <v>344.5</v>
      </c>
      <c r="G477" s="219" t="s">
        <v>2462</v>
      </c>
      <c r="H477" s="219" t="s">
        <v>2463</v>
      </c>
      <c r="I477" s="219">
        <v>26.28</v>
      </c>
      <c r="J477" s="217"/>
      <c r="K477" s="219" t="s">
        <v>345</v>
      </c>
      <c r="L477" s="219">
        <v>3326918</v>
      </c>
      <c r="M477" s="219">
        <v>1824</v>
      </c>
      <c r="N477" s="219">
        <v>61386.25</v>
      </c>
      <c r="O477" s="219">
        <v>54.195999999999998</v>
      </c>
      <c r="P477" s="219">
        <v>0.03</v>
      </c>
      <c r="Q477" s="217"/>
      <c r="R477" s="217"/>
      <c r="S477" s="217"/>
      <c r="T477" s="217"/>
      <c r="U477" s="217"/>
      <c r="V477" s="217"/>
      <c r="W477" s="217"/>
      <c r="X477" s="217"/>
      <c r="Y477" s="217"/>
      <c r="Z477" s="217"/>
    </row>
    <row r="478" spans="1:26" ht="16" x14ac:dyDescent="0.2">
      <c r="A478" s="219">
        <v>3263</v>
      </c>
      <c r="B478" s="219" t="s">
        <v>33</v>
      </c>
      <c r="C478" s="219" t="s">
        <v>413</v>
      </c>
      <c r="D478" s="219">
        <v>347.4</v>
      </c>
      <c r="E478" s="219">
        <v>865</v>
      </c>
      <c r="F478" s="219">
        <v>345.5</v>
      </c>
      <c r="G478" s="219" t="s">
        <v>2464</v>
      </c>
      <c r="H478" s="219" t="s">
        <v>2465</v>
      </c>
      <c r="I478" s="219">
        <v>26.17</v>
      </c>
      <c r="J478" s="217"/>
      <c r="K478" s="219" t="s">
        <v>345</v>
      </c>
      <c r="L478" s="219">
        <v>2442479</v>
      </c>
      <c r="M478" s="219">
        <v>1562.8</v>
      </c>
      <c r="N478" s="219">
        <v>46589.45</v>
      </c>
      <c r="O478" s="219">
        <v>52.426000000000002</v>
      </c>
      <c r="P478" s="219">
        <v>3.4000000000000002E-2</v>
      </c>
      <c r="Q478" s="222" t="s">
        <v>2466</v>
      </c>
      <c r="R478" s="217"/>
      <c r="S478" s="217"/>
      <c r="T478" s="217"/>
      <c r="U478" s="217"/>
      <c r="V478" s="217"/>
      <c r="W478" s="217"/>
      <c r="X478" s="217"/>
      <c r="Y478" s="217"/>
      <c r="Z478" s="217"/>
    </row>
    <row r="479" spans="1:26" ht="16" x14ac:dyDescent="0.2">
      <c r="A479" s="219">
        <v>3264</v>
      </c>
      <c r="B479" s="219" t="s">
        <v>157</v>
      </c>
      <c r="C479" s="219" t="s">
        <v>413</v>
      </c>
      <c r="D479" s="219">
        <v>344.1</v>
      </c>
      <c r="E479" s="219">
        <v>3180</v>
      </c>
      <c r="F479" s="219">
        <v>344.5</v>
      </c>
      <c r="G479" s="219" t="s">
        <v>2467</v>
      </c>
      <c r="H479" s="219" t="s">
        <v>2468</v>
      </c>
      <c r="I479" s="219" t="s">
        <v>2469</v>
      </c>
      <c r="J479" s="217"/>
      <c r="K479" s="219" t="s">
        <v>345</v>
      </c>
      <c r="L479" s="219">
        <v>0</v>
      </c>
      <c r="M479" s="219">
        <v>0</v>
      </c>
      <c r="N479" s="219">
        <v>15556</v>
      </c>
      <c r="O479" s="219">
        <v>0</v>
      </c>
      <c r="P479" s="219">
        <v>0</v>
      </c>
      <c r="Q479" s="217"/>
      <c r="R479" s="217"/>
      <c r="S479" s="217"/>
      <c r="T479" s="217"/>
      <c r="U479" s="217"/>
      <c r="V479" s="217"/>
      <c r="W479" s="217"/>
      <c r="X479" s="217"/>
      <c r="Y479" s="217"/>
      <c r="Z479" s="217"/>
    </row>
    <row r="480" spans="1:26" ht="16" x14ac:dyDescent="0.2">
      <c r="A480" s="219">
        <v>3265</v>
      </c>
      <c r="B480" s="219" t="s">
        <v>334</v>
      </c>
      <c r="C480" s="219" t="s">
        <v>413</v>
      </c>
      <c r="D480" s="219">
        <v>345.32</v>
      </c>
      <c r="E480" s="219">
        <v>758</v>
      </c>
      <c r="F480" s="219">
        <v>343.3</v>
      </c>
      <c r="G480" s="219" t="s">
        <v>2470</v>
      </c>
      <c r="H480" s="219" t="s">
        <v>2471</v>
      </c>
      <c r="I480" s="219">
        <v>13.27</v>
      </c>
      <c r="J480" s="217"/>
      <c r="K480" s="219" t="s">
        <v>345</v>
      </c>
      <c r="L480" s="219">
        <v>65213</v>
      </c>
      <c r="M480" s="219">
        <v>255.4</v>
      </c>
      <c r="N480" s="219">
        <v>1209.1500000000001</v>
      </c>
      <c r="O480" s="219">
        <v>53.933</v>
      </c>
      <c r="P480" s="219">
        <v>0.21099999999999999</v>
      </c>
      <c r="Q480" s="222" t="s">
        <v>2472</v>
      </c>
      <c r="R480" s="217"/>
      <c r="S480" s="217"/>
      <c r="T480" s="217"/>
      <c r="U480" s="217"/>
      <c r="V480" s="217"/>
      <c r="W480" s="217"/>
      <c r="X480" s="217"/>
      <c r="Y480" s="217"/>
      <c r="Z480" s="217"/>
    </row>
    <row r="481" spans="1:26" ht="16" x14ac:dyDescent="0.2">
      <c r="A481" s="219">
        <v>3266</v>
      </c>
      <c r="B481" s="219" t="s">
        <v>334</v>
      </c>
      <c r="C481" s="219" t="s">
        <v>413</v>
      </c>
      <c r="D481" s="219">
        <v>344.31900000000002</v>
      </c>
      <c r="E481" s="219">
        <v>758</v>
      </c>
      <c r="F481" s="219">
        <v>342.4</v>
      </c>
      <c r="G481" s="219" t="s">
        <v>2473</v>
      </c>
      <c r="H481" s="219" t="s">
        <v>2474</v>
      </c>
      <c r="I481" s="219">
        <v>13.16</v>
      </c>
      <c r="J481" s="217"/>
      <c r="K481" s="219" t="s">
        <v>345</v>
      </c>
      <c r="L481" s="219">
        <v>38321</v>
      </c>
      <c r="M481" s="219">
        <v>195.8</v>
      </c>
      <c r="N481" s="219">
        <v>803.28</v>
      </c>
      <c r="O481" s="219">
        <v>47.706000000000003</v>
      </c>
      <c r="P481" s="219">
        <v>0.24399999999999999</v>
      </c>
      <c r="Q481" s="217"/>
      <c r="R481" s="217"/>
      <c r="S481" s="217"/>
      <c r="T481" s="217"/>
      <c r="U481" s="217"/>
      <c r="V481" s="217"/>
      <c r="W481" s="217"/>
      <c r="X481" s="217"/>
      <c r="Y481" s="217"/>
      <c r="Z481" s="217"/>
    </row>
    <row r="482" spans="1:26" ht="16" x14ac:dyDescent="0.2">
      <c r="A482" s="219">
        <v>3267</v>
      </c>
      <c r="B482" s="219" t="s">
        <v>334</v>
      </c>
      <c r="C482" s="219" t="s">
        <v>413</v>
      </c>
      <c r="D482" s="219">
        <v>343.80200000000002</v>
      </c>
      <c r="E482" s="219">
        <v>758</v>
      </c>
      <c r="F482" s="219">
        <v>341.8</v>
      </c>
      <c r="G482" s="219" t="s">
        <v>2475</v>
      </c>
      <c r="H482" s="219" t="s">
        <v>2476</v>
      </c>
      <c r="I482" s="217"/>
      <c r="J482" s="217"/>
      <c r="K482" s="219" t="s">
        <v>345</v>
      </c>
      <c r="L482" s="219">
        <v>30917</v>
      </c>
      <c r="M482" s="219">
        <v>175.8</v>
      </c>
      <c r="N482" s="219">
        <v>736.9</v>
      </c>
      <c r="O482" s="219">
        <v>41.954999999999998</v>
      </c>
      <c r="P482" s="219">
        <v>0.23899999999999999</v>
      </c>
      <c r="Q482" s="217"/>
      <c r="R482" s="217"/>
      <c r="S482" s="217"/>
      <c r="T482" s="217"/>
      <c r="U482" s="217"/>
      <c r="V482" s="217"/>
      <c r="W482" s="217"/>
      <c r="X482" s="217"/>
      <c r="Y482" s="217"/>
      <c r="Z482" s="217"/>
    </row>
    <row r="483" spans="1:26" ht="16" x14ac:dyDescent="0.2">
      <c r="A483" s="219">
        <v>3268</v>
      </c>
      <c r="B483" s="219" t="s">
        <v>334</v>
      </c>
      <c r="C483" s="219" t="s">
        <v>413</v>
      </c>
      <c r="D483" s="219">
        <v>342.31200000000001</v>
      </c>
      <c r="E483" s="219">
        <v>758</v>
      </c>
      <c r="F483" s="219">
        <v>340.4</v>
      </c>
      <c r="G483" s="219" t="s">
        <v>2477</v>
      </c>
      <c r="H483" s="219" t="s">
        <v>2478</v>
      </c>
      <c r="I483" s="217"/>
      <c r="J483" s="217"/>
      <c r="K483" s="219" t="s">
        <v>345</v>
      </c>
      <c r="L483" s="219">
        <v>20184</v>
      </c>
      <c r="M483" s="219">
        <v>142.1</v>
      </c>
      <c r="N483" s="219">
        <v>1070.29</v>
      </c>
      <c r="O483" s="219">
        <v>18.858000000000001</v>
      </c>
      <c r="P483" s="219">
        <v>0.13300000000000001</v>
      </c>
      <c r="Q483" s="217"/>
      <c r="R483" s="217"/>
      <c r="S483" s="217"/>
      <c r="T483" s="217"/>
      <c r="U483" s="217"/>
      <c r="V483" s="217"/>
      <c r="W483" s="217"/>
      <c r="X483" s="217"/>
      <c r="Y483" s="217"/>
      <c r="Z483" s="217"/>
    </row>
    <row r="484" spans="1:26" ht="16" x14ac:dyDescent="0.2">
      <c r="A484" s="219">
        <v>3269</v>
      </c>
      <c r="B484" s="219" t="s">
        <v>334</v>
      </c>
      <c r="C484" s="219" t="s">
        <v>413</v>
      </c>
      <c r="D484" s="219">
        <v>341.31799999999998</v>
      </c>
      <c r="E484" s="219">
        <v>758</v>
      </c>
      <c r="F484" s="219">
        <v>339.4</v>
      </c>
      <c r="G484" s="219" t="s">
        <v>2479</v>
      </c>
      <c r="H484" s="219" t="s">
        <v>2480</v>
      </c>
      <c r="I484" s="219">
        <v>13.08</v>
      </c>
      <c r="J484" s="217"/>
      <c r="K484" s="219" t="s">
        <v>345</v>
      </c>
      <c r="L484" s="219">
        <v>0</v>
      </c>
      <c r="M484" s="219">
        <v>0</v>
      </c>
      <c r="N484" s="217"/>
      <c r="O484" s="219" t="e">
        <v>#DIV/0!</v>
      </c>
      <c r="P484" s="219" t="e">
        <v>#DIV/0!</v>
      </c>
      <c r="Q484" s="217"/>
      <c r="R484" s="217"/>
      <c r="S484" s="217"/>
      <c r="T484" s="217"/>
      <c r="U484" s="217"/>
      <c r="V484" s="217"/>
      <c r="W484" s="217"/>
      <c r="X484" s="217"/>
      <c r="Y484" s="217"/>
      <c r="Z484" s="217"/>
    </row>
    <row r="485" spans="1:26" ht="16" x14ac:dyDescent="0.2">
      <c r="A485" s="219">
        <v>3270</v>
      </c>
      <c r="B485" s="219" t="s">
        <v>334</v>
      </c>
      <c r="C485" s="219" t="s">
        <v>413</v>
      </c>
      <c r="D485" s="219">
        <v>340.31799999999998</v>
      </c>
      <c r="E485" s="219">
        <v>758</v>
      </c>
      <c r="F485" s="219">
        <v>338.4</v>
      </c>
      <c r="G485" s="219" t="s">
        <v>2481</v>
      </c>
      <c r="H485" s="219" t="s">
        <v>2482</v>
      </c>
      <c r="I485" s="219">
        <v>13.39</v>
      </c>
      <c r="J485" s="217"/>
      <c r="K485" s="219" t="s">
        <v>345</v>
      </c>
      <c r="L485" s="219">
        <v>8675</v>
      </c>
      <c r="M485" s="219">
        <v>93.1</v>
      </c>
      <c r="N485" s="219">
        <v>1479.21</v>
      </c>
      <c r="O485" s="219">
        <v>5.8650000000000002</v>
      </c>
      <c r="P485" s="219">
        <v>6.3E-2</v>
      </c>
      <c r="Q485" s="217"/>
      <c r="R485" s="217"/>
      <c r="S485" s="217"/>
      <c r="T485" s="217"/>
      <c r="U485" s="217"/>
      <c r="V485" s="217"/>
      <c r="W485" s="217"/>
      <c r="X485" s="217"/>
      <c r="Y485" s="217"/>
      <c r="Z485" s="217"/>
    </row>
    <row r="486" spans="1:26" ht="16" x14ac:dyDescent="0.2">
      <c r="A486" s="219">
        <v>3271</v>
      </c>
      <c r="B486" s="219" t="s">
        <v>334</v>
      </c>
      <c r="C486" s="219" t="s">
        <v>413</v>
      </c>
      <c r="D486" s="219">
        <v>339.31700000000001</v>
      </c>
      <c r="E486" s="219">
        <v>758</v>
      </c>
      <c r="F486" s="219">
        <v>337.4</v>
      </c>
      <c r="G486" s="219" t="s">
        <v>2403</v>
      </c>
      <c r="H486" s="219" t="s">
        <v>2483</v>
      </c>
      <c r="I486" s="219">
        <v>13.45</v>
      </c>
      <c r="J486" s="217"/>
      <c r="K486" s="219" t="s">
        <v>345</v>
      </c>
      <c r="L486" s="219">
        <v>7471</v>
      </c>
      <c r="M486" s="219">
        <v>86.4</v>
      </c>
      <c r="N486" s="219">
        <v>1912.08</v>
      </c>
      <c r="O486" s="219">
        <v>3.907</v>
      </c>
      <c r="P486" s="219">
        <v>4.4999999999999998E-2</v>
      </c>
      <c r="Q486" s="217"/>
      <c r="R486" s="217"/>
      <c r="S486" s="217"/>
      <c r="T486" s="217"/>
      <c r="U486" s="217"/>
      <c r="V486" s="217"/>
      <c r="W486" s="217"/>
      <c r="X486" s="217"/>
      <c r="Y486" s="217"/>
      <c r="Z486" s="217"/>
    </row>
    <row r="487" spans="1:26" ht="16" x14ac:dyDescent="0.2">
      <c r="A487" s="219">
        <v>3272</v>
      </c>
      <c r="B487" s="219" t="s">
        <v>334</v>
      </c>
      <c r="C487" s="219" t="s">
        <v>413</v>
      </c>
      <c r="D487" s="219">
        <v>337.31700000000001</v>
      </c>
      <c r="E487" s="219">
        <v>758</v>
      </c>
      <c r="F487" s="219">
        <v>335.4</v>
      </c>
      <c r="G487" s="219" t="s">
        <v>2484</v>
      </c>
      <c r="H487" s="219" t="s">
        <v>2485</v>
      </c>
      <c r="I487" s="217"/>
      <c r="J487" s="217"/>
      <c r="K487" s="219" t="s">
        <v>345</v>
      </c>
      <c r="L487" s="219">
        <v>3426</v>
      </c>
      <c r="M487" s="219">
        <v>58.5</v>
      </c>
      <c r="N487" s="219">
        <v>1672.34</v>
      </c>
      <c r="O487" s="219">
        <v>2.0489999999999999</v>
      </c>
      <c r="P487" s="219">
        <v>3.5000000000000003E-2</v>
      </c>
      <c r="Q487" s="217"/>
      <c r="R487" s="217"/>
      <c r="S487" s="217"/>
      <c r="T487" s="217"/>
      <c r="U487" s="217"/>
      <c r="V487" s="217"/>
      <c r="W487" s="217"/>
      <c r="X487" s="217"/>
      <c r="Y487" s="217"/>
      <c r="Z487" s="217"/>
    </row>
    <row r="488" spans="1:26" ht="16" x14ac:dyDescent="0.2">
      <c r="A488" s="219">
        <v>3273</v>
      </c>
      <c r="B488" s="219" t="s">
        <v>334</v>
      </c>
      <c r="C488" s="219" t="s">
        <v>413</v>
      </c>
      <c r="D488" s="219">
        <v>335.30900000000003</v>
      </c>
      <c r="E488" s="219">
        <v>758</v>
      </c>
      <c r="F488" s="219">
        <v>333.4</v>
      </c>
      <c r="G488" s="219" t="s">
        <v>2486</v>
      </c>
      <c r="H488" s="219" t="s">
        <v>2487</v>
      </c>
      <c r="I488" s="219">
        <v>13.45</v>
      </c>
      <c r="J488" s="217"/>
      <c r="K488" s="219" t="s">
        <v>345</v>
      </c>
      <c r="L488" s="219">
        <v>1105</v>
      </c>
      <c r="M488" s="219">
        <v>33.200000000000003</v>
      </c>
      <c r="N488" s="219">
        <v>858.04</v>
      </c>
      <c r="O488" s="219">
        <v>1.288</v>
      </c>
      <c r="P488" s="219">
        <v>3.9E-2</v>
      </c>
      <c r="Q488" s="217"/>
      <c r="R488" s="217"/>
      <c r="S488" s="217"/>
      <c r="T488" s="217"/>
      <c r="U488" s="217"/>
      <c r="V488" s="217"/>
      <c r="W488" s="217"/>
      <c r="X488" s="217"/>
      <c r="Y488" s="217"/>
      <c r="Z488" s="217"/>
    </row>
    <row r="489" spans="1:26" ht="16" x14ac:dyDescent="0.2">
      <c r="A489" s="219">
        <v>3274</v>
      </c>
      <c r="B489" s="219" t="s">
        <v>334</v>
      </c>
      <c r="C489" s="219" t="s">
        <v>413</v>
      </c>
      <c r="D489" s="219">
        <v>333.30200000000002</v>
      </c>
      <c r="E489" s="219">
        <v>758</v>
      </c>
      <c r="F489" s="219">
        <v>331.4</v>
      </c>
      <c r="G489" s="219" t="s">
        <v>2488</v>
      </c>
      <c r="H489" s="219" t="s">
        <v>2489</v>
      </c>
      <c r="I489" s="219">
        <v>13.39</v>
      </c>
      <c r="J489" s="217"/>
      <c r="K489" s="219" t="s">
        <v>345</v>
      </c>
      <c r="L489" s="219">
        <v>846</v>
      </c>
      <c r="M489" s="219">
        <v>29.1</v>
      </c>
      <c r="N489" s="219">
        <v>997.74</v>
      </c>
      <c r="O489" s="219">
        <v>0.84799999999999998</v>
      </c>
      <c r="P489" s="219">
        <v>2.9000000000000001E-2</v>
      </c>
      <c r="Q489" s="217"/>
      <c r="R489" s="217"/>
      <c r="S489" s="217"/>
      <c r="T489" s="217"/>
      <c r="U489" s="217"/>
      <c r="V489" s="217"/>
      <c r="W489" s="217"/>
      <c r="X489" s="217"/>
      <c r="Y489" s="217"/>
      <c r="Z489" s="217"/>
    </row>
    <row r="490" spans="1:26" ht="16" x14ac:dyDescent="0.2">
      <c r="A490" s="219">
        <v>3275</v>
      </c>
      <c r="B490" s="219" t="s">
        <v>334</v>
      </c>
      <c r="C490" s="219" t="s">
        <v>413</v>
      </c>
      <c r="D490" s="219">
        <v>331.30099999999999</v>
      </c>
      <c r="E490" s="219">
        <v>758</v>
      </c>
      <c r="F490" s="219">
        <v>329.4</v>
      </c>
      <c r="G490" s="219" t="s">
        <v>2490</v>
      </c>
      <c r="H490" s="219" t="s">
        <v>2491</v>
      </c>
      <c r="I490" s="219">
        <v>13.34</v>
      </c>
      <c r="J490" s="217"/>
      <c r="K490" s="219" t="s">
        <v>345</v>
      </c>
      <c r="L490" s="219">
        <v>457</v>
      </c>
      <c r="M490" s="219">
        <v>21.4</v>
      </c>
      <c r="N490" s="219">
        <v>701.3</v>
      </c>
      <c r="O490" s="219">
        <v>0.65200000000000002</v>
      </c>
      <c r="P490" s="219">
        <v>0.03</v>
      </c>
      <c r="Q490" s="217"/>
      <c r="R490" s="217"/>
      <c r="S490" s="217"/>
      <c r="T490" s="217"/>
      <c r="U490" s="217"/>
      <c r="V490" s="217"/>
      <c r="W490" s="217"/>
      <c r="X490" s="217"/>
      <c r="Y490" s="217"/>
      <c r="Z490" s="217"/>
    </row>
    <row r="491" spans="1:26" ht="16" x14ac:dyDescent="0.2">
      <c r="A491" s="219">
        <v>3276</v>
      </c>
      <c r="B491" s="219" t="s">
        <v>334</v>
      </c>
      <c r="C491" s="219" t="s">
        <v>413</v>
      </c>
      <c r="D491" s="219">
        <v>346.327</v>
      </c>
      <c r="E491" s="219">
        <v>758</v>
      </c>
      <c r="F491" s="219">
        <v>344.3</v>
      </c>
      <c r="G491" s="219" t="s">
        <v>2492</v>
      </c>
      <c r="H491" s="219" t="s">
        <v>2493</v>
      </c>
      <c r="I491" s="219">
        <v>13.33</v>
      </c>
      <c r="J491" s="217"/>
      <c r="K491" s="219" t="s">
        <v>345</v>
      </c>
      <c r="L491" s="219">
        <v>39581</v>
      </c>
      <c r="M491" s="219">
        <v>198.9</v>
      </c>
      <c r="N491" s="219">
        <v>714.48</v>
      </c>
      <c r="O491" s="219">
        <v>55.398000000000003</v>
      </c>
      <c r="P491" s="219">
        <v>0.27800000000000002</v>
      </c>
      <c r="Q491" s="217"/>
      <c r="R491" s="217"/>
      <c r="S491" s="217"/>
      <c r="T491" s="217"/>
      <c r="U491" s="217"/>
      <c r="V491" s="217"/>
      <c r="W491" s="217"/>
      <c r="X491" s="217"/>
      <c r="Y491" s="217"/>
      <c r="Z491" s="217"/>
    </row>
    <row r="492" spans="1:26" ht="16" x14ac:dyDescent="0.2">
      <c r="A492" s="219">
        <v>3277</v>
      </c>
      <c r="B492" s="219" t="s">
        <v>334</v>
      </c>
      <c r="C492" s="219" t="s">
        <v>413</v>
      </c>
      <c r="D492" s="219">
        <v>347.334</v>
      </c>
      <c r="E492" s="219">
        <v>758</v>
      </c>
      <c r="F492" s="219">
        <v>345.3</v>
      </c>
      <c r="G492" s="219" t="s">
        <v>2494</v>
      </c>
      <c r="H492" s="219" t="s">
        <v>2495</v>
      </c>
      <c r="I492" s="219">
        <v>13.25</v>
      </c>
      <c r="J492" s="217"/>
      <c r="K492" s="219" t="s">
        <v>345</v>
      </c>
      <c r="L492" s="219">
        <v>39598</v>
      </c>
      <c r="M492" s="219">
        <v>199</v>
      </c>
      <c r="N492" s="219">
        <v>741.11</v>
      </c>
      <c r="O492" s="219">
        <v>53.430999999999997</v>
      </c>
      <c r="P492" s="219">
        <v>0.26900000000000002</v>
      </c>
      <c r="Q492" s="217"/>
      <c r="R492" s="217"/>
      <c r="S492" s="217"/>
      <c r="T492" s="217"/>
      <c r="U492" s="217"/>
      <c r="V492" s="217"/>
      <c r="W492" s="217"/>
      <c r="X492" s="217"/>
      <c r="Y492" s="217"/>
      <c r="Z492" s="217"/>
    </row>
    <row r="493" spans="1:26" ht="16" x14ac:dyDescent="0.2">
      <c r="A493" s="219">
        <v>3278</v>
      </c>
      <c r="B493" s="219" t="s">
        <v>334</v>
      </c>
      <c r="C493" s="219" t="s">
        <v>413</v>
      </c>
      <c r="D493" s="219">
        <v>348.30700000000002</v>
      </c>
      <c r="E493" s="219">
        <v>758</v>
      </c>
      <c r="F493" s="219">
        <v>346.3</v>
      </c>
      <c r="G493" s="219" t="s">
        <v>2496</v>
      </c>
      <c r="H493" s="219" t="s">
        <v>2497</v>
      </c>
      <c r="I493" s="219">
        <v>13.18</v>
      </c>
      <c r="J493" s="217"/>
      <c r="K493" s="219" t="s">
        <v>345</v>
      </c>
      <c r="L493" s="219">
        <v>43285</v>
      </c>
      <c r="M493" s="219">
        <v>208.1</v>
      </c>
      <c r="N493" s="219">
        <v>889.42</v>
      </c>
      <c r="O493" s="219">
        <v>48.667000000000002</v>
      </c>
      <c r="P493" s="219">
        <v>0.23400000000000001</v>
      </c>
      <c r="Q493" s="217"/>
      <c r="R493" s="217"/>
      <c r="S493" s="217"/>
      <c r="T493" s="217"/>
      <c r="U493" s="217"/>
      <c r="V493" s="217"/>
      <c r="W493" s="217"/>
      <c r="X493" s="217"/>
      <c r="Y493" s="217"/>
      <c r="Z493" s="217"/>
    </row>
    <row r="494" spans="1:26" ht="16" x14ac:dyDescent="0.2">
      <c r="A494" s="219">
        <v>3279</v>
      </c>
      <c r="B494" s="219" t="s">
        <v>334</v>
      </c>
      <c r="C494" s="219" t="s">
        <v>413</v>
      </c>
      <c r="D494" s="219">
        <v>349.30099999999999</v>
      </c>
      <c r="E494" s="219">
        <v>758</v>
      </c>
      <c r="F494" s="219">
        <v>347.3</v>
      </c>
      <c r="G494" s="219" t="s">
        <v>2498</v>
      </c>
      <c r="H494" s="219" t="s">
        <v>2499</v>
      </c>
      <c r="I494" s="219">
        <v>13.1</v>
      </c>
      <c r="J494" s="217"/>
      <c r="K494" s="219" t="s">
        <v>345</v>
      </c>
      <c r="L494" s="219">
        <v>29658</v>
      </c>
      <c r="M494" s="219">
        <v>172.2</v>
      </c>
      <c r="N494" s="219">
        <v>701.71</v>
      </c>
      <c r="O494" s="219">
        <v>42.265000000000001</v>
      </c>
      <c r="P494" s="219">
        <v>0.245</v>
      </c>
      <c r="Q494" s="217"/>
      <c r="R494" s="217"/>
      <c r="S494" s="217"/>
      <c r="T494" s="217"/>
      <c r="U494" s="217"/>
      <c r="V494" s="217"/>
      <c r="W494" s="217"/>
      <c r="X494" s="217"/>
      <c r="Y494" s="217"/>
      <c r="Z494" s="217"/>
    </row>
    <row r="495" spans="1:26" ht="16" x14ac:dyDescent="0.2">
      <c r="A495" s="219">
        <v>3280</v>
      </c>
      <c r="B495" s="219" t="s">
        <v>334</v>
      </c>
      <c r="C495" s="219" t="s">
        <v>413</v>
      </c>
      <c r="D495" s="219">
        <v>350.33499999999998</v>
      </c>
      <c r="E495" s="219">
        <v>758</v>
      </c>
      <c r="F495" s="219">
        <v>348.3</v>
      </c>
      <c r="G495" s="219" t="s">
        <v>2500</v>
      </c>
      <c r="H495" s="219" t="s">
        <v>2501</v>
      </c>
      <c r="I495" s="219">
        <v>13.01</v>
      </c>
      <c r="J495" s="217"/>
      <c r="K495" s="219" t="s">
        <v>345</v>
      </c>
      <c r="L495" s="219">
        <v>25483</v>
      </c>
      <c r="M495" s="219">
        <v>159.6</v>
      </c>
      <c r="N495" s="219">
        <v>739.97</v>
      </c>
      <c r="O495" s="219">
        <v>34.438000000000002</v>
      </c>
      <c r="P495" s="219">
        <v>0.216</v>
      </c>
      <c r="Q495" s="217"/>
      <c r="R495" s="217"/>
      <c r="S495" s="217"/>
      <c r="T495" s="217"/>
      <c r="U495" s="217"/>
      <c r="V495" s="217"/>
      <c r="W495" s="217"/>
      <c r="X495" s="217"/>
      <c r="Y495" s="217"/>
      <c r="Z495" s="217"/>
    </row>
    <row r="496" spans="1:26" ht="16" x14ac:dyDescent="0.2">
      <c r="A496" s="219">
        <v>3281</v>
      </c>
      <c r="B496" s="219" t="s">
        <v>334</v>
      </c>
      <c r="C496" s="219" t="s">
        <v>413</v>
      </c>
      <c r="D496" s="219">
        <v>352.34199999999998</v>
      </c>
      <c r="E496" s="219">
        <v>758</v>
      </c>
      <c r="F496" s="219">
        <v>350.3</v>
      </c>
      <c r="G496" s="219" t="s">
        <v>2502</v>
      </c>
      <c r="H496" s="219" t="s">
        <v>2329</v>
      </c>
      <c r="I496" s="219">
        <v>13.05</v>
      </c>
      <c r="J496" s="217"/>
      <c r="K496" s="219" t="s">
        <v>345</v>
      </c>
      <c r="L496" s="219">
        <v>18641</v>
      </c>
      <c r="M496" s="219">
        <v>136.5</v>
      </c>
      <c r="N496" s="219">
        <v>733.27</v>
      </c>
      <c r="O496" s="219">
        <v>25.422000000000001</v>
      </c>
      <c r="P496" s="219">
        <v>0.186</v>
      </c>
      <c r="Q496" s="217"/>
      <c r="R496" s="217"/>
      <c r="S496" s="217"/>
      <c r="T496" s="217"/>
      <c r="U496" s="217"/>
      <c r="V496" s="217"/>
      <c r="W496" s="217"/>
      <c r="X496" s="217"/>
      <c r="Y496" s="217"/>
      <c r="Z496" s="217"/>
    </row>
    <row r="497" spans="1:26" ht="16" x14ac:dyDescent="0.2">
      <c r="A497" s="219">
        <v>3282</v>
      </c>
      <c r="B497" s="219" t="s">
        <v>334</v>
      </c>
      <c r="C497" s="219" t="s">
        <v>413</v>
      </c>
      <c r="D497" s="219">
        <v>353.83300000000003</v>
      </c>
      <c r="E497" s="219">
        <v>758</v>
      </c>
      <c r="F497" s="219">
        <v>351.8</v>
      </c>
      <c r="G497" s="219" t="s">
        <v>2503</v>
      </c>
      <c r="H497" s="219" t="s">
        <v>2504</v>
      </c>
      <c r="I497" s="217"/>
      <c r="J497" s="217"/>
      <c r="K497" s="219" t="s">
        <v>345</v>
      </c>
      <c r="L497" s="219">
        <v>11849</v>
      </c>
      <c r="M497" s="219">
        <v>108.9</v>
      </c>
      <c r="N497" s="219">
        <v>699.15</v>
      </c>
      <c r="O497" s="219">
        <v>16.948</v>
      </c>
      <c r="P497" s="219">
        <v>0.156</v>
      </c>
      <c r="Q497" s="217"/>
      <c r="R497" s="217"/>
      <c r="S497" s="217"/>
      <c r="T497" s="217"/>
      <c r="U497" s="217"/>
      <c r="V497" s="217"/>
      <c r="W497" s="217"/>
      <c r="X497" s="217"/>
      <c r="Y497" s="217"/>
      <c r="Z497" s="217"/>
    </row>
    <row r="498" spans="1:26" ht="16" x14ac:dyDescent="0.2">
      <c r="A498" s="219">
        <v>3283</v>
      </c>
      <c r="B498" s="219" t="s">
        <v>334</v>
      </c>
      <c r="C498" s="219" t="s">
        <v>413</v>
      </c>
      <c r="D498" s="219">
        <v>355.31</v>
      </c>
      <c r="E498" s="219">
        <v>758</v>
      </c>
      <c r="F498" s="219">
        <v>353.3</v>
      </c>
      <c r="G498" s="219" t="s">
        <v>2505</v>
      </c>
      <c r="H498" s="219" t="s">
        <v>2000</v>
      </c>
      <c r="I498" s="217"/>
      <c r="J498" s="217"/>
      <c r="K498" s="219" t="s">
        <v>345</v>
      </c>
      <c r="L498" s="219">
        <v>11647</v>
      </c>
      <c r="M498" s="219">
        <v>107.9</v>
      </c>
      <c r="N498" s="219">
        <v>947.6</v>
      </c>
      <c r="O498" s="219">
        <v>12.291</v>
      </c>
      <c r="P498" s="219">
        <v>0.114</v>
      </c>
      <c r="Q498" s="217"/>
      <c r="R498" s="217"/>
      <c r="S498" s="217"/>
      <c r="T498" s="217"/>
      <c r="U498" s="217"/>
      <c r="V498" s="217"/>
      <c r="W498" s="217"/>
      <c r="X498" s="217"/>
      <c r="Y498" s="217"/>
      <c r="Z498" s="217"/>
    </row>
    <row r="499" spans="1:26" ht="16" x14ac:dyDescent="0.2">
      <c r="A499" s="219">
        <v>3284</v>
      </c>
      <c r="B499" s="219" t="s">
        <v>334</v>
      </c>
      <c r="C499" s="219" t="s">
        <v>413</v>
      </c>
      <c r="D499" s="219">
        <v>357.351</v>
      </c>
      <c r="E499" s="219">
        <v>758</v>
      </c>
      <c r="F499" s="219">
        <v>355.3</v>
      </c>
      <c r="G499" s="219" t="s">
        <v>2506</v>
      </c>
      <c r="H499" s="219" t="s">
        <v>2507</v>
      </c>
      <c r="I499" s="219">
        <v>12.97</v>
      </c>
      <c r="J499" s="217"/>
      <c r="K499" s="219" t="s">
        <v>345</v>
      </c>
      <c r="L499" s="219">
        <v>5946</v>
      </c>
      <c r="M499" s="219">
        <v>77.099999999999994</v>
      </c>
      <c r="N499" s="219">
        <v>728.95</v>
      </c>
      <c r="O499" s="219">
        <v>8.157</v>
      </c>
      <c r="P499" s="219">
        <v>0.106</v>
      </c>
      <c r="Q499" s="217"/>
      <c r="R499" s="217"/>
      <c r="S499" s="217"/>
      <c r="T499" s="217"/>
      <c r="U499" s="217"/>
      <c r="V499" s="217"/>
      <c r="W499" s="217"/>
      <c r="X499" s="217"/>
      <c r="Y499" s="217"/>
      <c r="Z499" s="217"/>
    </row>
    <row r="500" spans="1:26" ht="16" x14ac:dyDescent="0.2">
      <c r="A500" s="219">
        <v>3285</v>
      </c>
      <c r="B500" s="219" t="s">
        <v>334</v>
      </c>
      <c r="C500" s="219" t="s">
        <v>413</v>
      </c>
      <c r="D500" s="219">
        <v>359.31799999999998</v>
      </c>
      <c r="E500" s="219">
        <v>758</v>
      </c>
      <c r="F500" s="219">
        <v>357.3</v>
      </c>
      <c r="G500" s="219" t="s">
        <v>2508</v>
      </c>
      <c r="H500" s="219" t="s">
        <v>2509</v>
      </c>
      <c r="I500" s="219">
        <v>12.88</v>
      </c>
      <c r="J500" s="217"/>
      <c r="K500" s="219" t="s">
        <v>345</v>
      </c>
      <c r="L500" s="219">
        <v>4718</v>
      </c>
      <c r="M500" s="219">
        <v>68.7</v>
      </c>
      <c r="N500" s="219">
        <v>798.6</v>
      </c>
      <c r="O500" s="219">
        <v>5.9080000000000004</v>
      </c>
      <c r="P500" s="219">
        <v>8.5999999999999993E-2</v>
      </c>
      <c r="Q500" s="217"/>
      <c r="R500" s="217"/>
      <c r="S500" s="217"/>
      <c r="T500" s="217"/>
      <c r="U500" s="217"/>
      <c r="V500" s="217"/>
      <c r="W500" s="217"/>
      <c r="X500" s="217"/>
      <c r="Y500" s="217"/>
      <c r="Z500" s="217"/>
    </row>
    <row r="501" spans="1:26" ht="16" x14ac:dyDescent="0.2">
      <c r="A501" s="219">
        <v>3286</v>
      </c>
      <c r="B501" s="219" t="s">
        <v>334</v>
      </c>
      <c r="C501" s="219" t="s">
        <v>413</v>
      </c>
      <c r="D501" s="219">
        <v>361.35300000000001</v>
      </c>
      <c r="E501" s="219">
        <v>758</v>
      </c>
      <c r="F501" s="219">
        <v>359.3</v>
      </c>
      <c r="G501" s="219" t="s">
        <v>2510</v>
      </c>
      <c r="H501" s="219" t="s">
        <v>2511</v>
      </c>
      <c r="I501" s="219">
        <v>12.92</v>
      </c>
      <c r="J501" s="217"/>
      <c r="K501" s="219" t="s">
        <v>345</v>
      </c>
      <c r="L501" s="219">
        <v>3073</v>
      </c>
      <c r="M501" s="219">
        <v>55.4</v>
      </c>
      <c r="N501" s="219">
        <v>729.73</v>
      </c>
      <c r="O501" s="219">
        <v>4.2110000000000003</v>
      </c>
      <c r="P501" s="219">
        <v>7.5999999999999998E-2</v>
      </c>
      <c r="Q501" s="217"/>
      <c r="R501" s="217"/>
      <c r="S501" s="217"/>
      <c r="T501" s="217"/>
      <c r="U501" s="217"/>
      <c r="V501" s="217"/>
      <c r="W501" s="217"/>
      <c r="X501" s="217"/>
      <c r="Y501" s="217"/>
      <c r="Z501" s="217"/>
    </row>
    <row r="502" spans="1:26" ht="16" x14ac:dyDescent="0.2">
      <c r="A502" s="219">
        <v>3287</v>
      </c>
      <c r="B502" s="219" t="s">
        <v>334</v>
      </c>
      <c r="C502" s="219" t="s">
        <v>413</v>
      </c>
      <c r="D502" s="219">
        <v>363.33300000000003</v>
      </c>
      <c r="E502" s="219">
        <v>758</v>
      </c>
      <c r="F502" s="219">
        <v>361.2</v>
      </c>
      <c r="G502" s="219" t="s">
        <v>2512</v>
      </c>
      <c r="H502" s="219" t="s">
        <v>2513</v>
      </c>
      <c r="I502" s="219">
        <v>12.85</v>
      </c>
      <c r="J502" s="217"/>
      <c r="K502" s="219" t="s">
        <v>345</v>
      </c>
      <c r="L502" s="219">
        <v>2529</v>
      </c>
      <c r="M502" s="219">
        <v>50.3</v>
      </c>
      <c r="N502" s="219">
        <v>769.82</v>
      </c>
      <c r="O502" s="219">
        <v>3.2850000000000001</v>
      </c>
      <c r="P502" s="219">
        <v>6.5000000000000002E-2</v>
      </c>
      <c r="Q502" s="217"/>
      <c r="R502" s="217"/>
      <c r="S502" s="217"/>
      <c r="T502" s="217"/>
      <c r="U502" s="217"/>
      <c r="V502" s="217"/>
      <c r="W502" s="217"/>
      <c r="X502" s="217"/>
      <c r="Y502" s="217"/>
      <c r="Z502" s="217"/>
    </row>
    <row r="503" spans="1:26" ht="16" x14ac:dyDescent="0.2">
      <c r="A503" s="219">
        <v>3288</v>
      </c>
      <c r="B503" s="219" t="s">
        <v>334</v>
      </c>
      <c r="C503" s="219" t="s">
        <v>413</v>
      </c>
      <c r="D503" s="219">
        <v>365.36099999999999</v>
      </c>
      <c r="E503" s="219">
        <v>758</v>
      </c>
      <c r="F503" s="219">
        <v>363.3</v>
      </c>
      <c r="G503" s="219" t="s">
        <v>2514</v>
      </c>
      <c r="H503" s="219" t="s">
        <v>2515</v>
      </c>
      <c r="I503" s="219">
        <v>12.83</v>
      </c>
      <c r="J503" s="217"/>
      <c r="K503" s="219" t="s">
        <v>345</v>
      </c>
      <c r="L503" s="219">
        <v>2024</v>
      </c>
      <c r="M503" s="219">
        <v>45</v>
      </c>
      <c r="N503" s="219">
        <v>747.02</v>
      </c>
      <c r="O503" s="219">
        <v>2.7090000000000001</v>
      </c>
      <c r="P503" s="219">
        <v>0.06</v>
      </c>
      <c r="Q503" s="217"/>
      <c r="R503" s="217"/>
      <c r="S503" s="217"/>
      <c r="T503" s="217"/>
      <c r="U503" s="217"/>
      <c r="V503" s="217"/>
      <c r="W503" s="217"/>
      <c r="X503" s="217"/>
      <c r="Y503" s="217"/>
      <c r="Z503" s="217"/>
    </row>
    <row r="504" spans="1:26" ht="16" x14ac:dyDescent="0.2">
      <c r="A504" s="219">
        <v>3289</v>
      </c>
      <c r="B504" s="219" t="s">
        <v>334</v>
      </c>
      <c r="C504" s="219" t="s">
        <v>413</v>
      </c>
      <c r="D504" s="219">
        <v>367.32799999999997</v>
      </c>
      <c r="E504" s="219">
        <v>758</v>
      </c>
      <c r="F504" s="219">
        <v>365.2</v>
      </c>
      <c r="G504" s="219" t="s">
        <v>2516</v>
      </c>
      <c r="H504" s="219" t="s">
        <v>2517</v>
      </c>
      <c r="I504" s="219">
        <v>12.81</v>
      </c>
      <c r="J504" s="217"/>
      <c r="K504" s="219" t="s">
        <v>345</v>
      </c>
      <c r="L504" s="219">
        <v>1469</v>
      </c>
      <c r="M504" s="219">
        <v>38.299999999999997</v>
      </c>
      <c r="N504" s="219">
        <v>700.57</v>
      </c>
      <c r="O504" s="219">
        <v>2.097</v>
      </c>
      <c r="P504" s="219">
        <v>5.5E-2</v>
      </c>
      <c r="Q504" s="217"/>
      <c r="R504" s="217"/>
      <c r="S504" s="217"/>
      <c r="T504" s="217"/>
      <c r="U504" s="217"/>
      <c r="V504" s="217"/>
      <c r="W504" s="217"/>
      <c r="X504" s="217"/>
      <c r="Y504" s="217"/>
      <c r="Z504" s="217"/>
    </row>
    <row r="505" spans="1:26" ht="16" x14ac:dyDescent="0.2">
      <c r="A505" s="219">
        <v>3290</v>
      </c>
      <c r="B505" s="219" t="s">
        <v>310</v>
      </c>
      <c r="C505" s="219" t="s">
        <v>413</v>
      </c>
      <c r="D505" s="219">
        <v>344.1</v>
      </c>
      <c r="E505" s="219">
        <v>3180</v>
      </c>
      <c r="F505" s="219">
        <v>344.5</v>
      </c>
      <c r="G505" s="217"/>
      <c r="H505" s="217"/>
      <c r="I505" s="217"/>
      <c r="J505" s="217"/>
      <c r="K505" s="217"/>
      <c r="L505" s="219">
        <v>0</v>
      </c>
      <c r="M505" s="219">
        <v>0</v>
      </c>
      <c r="N505" s="217"/>
      <c r="O505" s="219" t="e">
        <v>#DIV/0!</v>
      </c>
      <c r="P505" s="219" t="e">
        <v>#DIV/0!</v>
      </c>
      <c r="Q505" s="222" t="s">
        <v>2518</v>
      </c>
      <c r="R505" s="217"/>
      <c r="S505" s="217"/>
      <c r="T505" s="217"/>
      <c r="U505" s="217"/>
      <c r="V505" s="217"/>
      <c r="W505" s="217"/>
      <c r="X505" s="217"/>
      <c r="Y505" s="217"/>
      <c r="Z505" s="217"/>
    </row>
    <row r="506" spans="1:26" ht="16" x14ac:dyDescent="0.2">
      <c r="A506" s="219">
        <v>3291</v>
      </c>
      <c r="B506" s="219" t="s">
        <v>157</v>
      </c>
      <c r="C506" s="219" t="s">
        <v>413</v>
      </c>
      <c r="D506" s="219">
        <v>345.9</v>
      </c>
      <c r="E506" s="219">
        <v>1340</v>
      </c>
      <c r="F506" s="219">
        <v>344.5</v>
      </c>
      <c r="G506" s="219" t="s">
        <v>2519</v>
      </c>
      <c r="H506" s="219" t="s">
        <v>2520</v>
      </c>
      <c r="I506" s="219" t="s">
        <v>2521</v>
      </c>
      <c r="J506" s="217"/>
      <c r="K506" s="217"/>
      <c r="L506" s="217"/>
      <c r="M506" s="219">
        <v>0</v>
      </c>
      <c r="N506" s="219">
        <v>2010815.46</v>
      </c>
      <c r="O506" s="219">
        <v>0</v>
      </c>
      <c r="P506" s="219">
        <v>0</v>
      </c>
      <c r="Q506" s="217"/>
      <c r="R506" s="217"/>
      <c r="S506" s="217"/>
      <c r="T506" s="217"/>
      <c r="U506" s="217"/>
      <c r="V506" s="217"/>
      <c r="W506" s="217"/>
      <c r="X506" s="217"/>
      <c r="Y506" s="217"/>
      <c r="Z506" s="217"/>
    </row>
    <row r="507" spans="1:26" ht="16" x14ac:dyDescent="0.2">
      <c r="A507" s="219">
        <v>3292</v>
      </c>
      <c r="B507" s="219" t="s">
        <v>336</v>
      </c>
      <c r="C507" s="219" t="s">
        <v>413</v>
      </c>
      <c r="D507" s="219">
        <v>345.32</v>
      </c>
      <c r="E507" s="219">
        <v>758</v>
      </c>
      <c r="F507" s="219">
        <v>343.3</v>
      </c>
      <c r="G507" s="219" t="s">
        <v>2522</v>
      </c>
      <c r="H507" s="219" t="s">
        <v>2523</v>
      </c>
      <c r="I507" s="219">
        <v>12.51</v>
      </c>
      <c r="J507" s="217"/>
      <c r="K507" s="219" t="s">
        <v>345</v>
      </c>
      <c r="L507" s="219">
        <v>37332</v>
      </c>
      <c r="M507" s="219">
        <v>193.2</v>
      </c>
      <c r="N507" s="219">
        <v>699.22</v>
      </c>
      <c r="O507" s="219">
        <v>53.390999999999998</v>
      </c>
      <c r="P507" s="219">
        <v>0.27600000000000002</v>
      </c>
      <c r="Q507" s="222" t="s">
        <v>2524</v>
      </c>
      <c r="R507" s="217"/>
      <c r="S507" s="217"/>
      <c r="T507" s="217"/>
      <c r="U507" s="217"/>
      <c r="V507" s="217"/>
      <c r="W507" s="217"/>
      <c r="X507" s="217"/>
      <c r="Y507" s="217"/>
      <c r="Z507" s="217"/>
    </row>
    <row r="508" spans="1:26" ht="16" x14ac:dyDescent="0.2">
      <c r="A508" s="219">
        <v>3293</v>
      </c>
      <c r="B508" s="219" t="s">
        <v>336</v>
      </c>
      <c r="C508" s="219" t="s">
        <v>413</v>
      </c>
      <c r="D508" s="219">
        <v>344.31900000000002</v>
      </c>
      <c r="E508" s="219">
        <v>758</v>
      </c>
      <c r="F508" s="219">
        <v>342.4</v>
      </c>
      <c r="G508" s="219" t="s">
        <v>2525</v>
      </c>
      <c r="H508" s="219" t="s">
        <v>2526</v>
      </c>
      <c r="I508" s="219">
        <v>12.58</v>
      </c>
      <c r="J508" s="217"/>
      <c r="K508" s="219" t="s">
        <v>345</v>
      </c>
      <c r="L508" s="219">
        <v>31793</v>
      </c>
      <c r="M508" s="219">
        <v>178.3</v>
      </c>
      <c r="N508" s="219">
        <v>693.25</v>
      </c>
      <c r="O508" s="219">
        <v>45.860999999999997</v>
      </c>
      <c r="P508" s="219">
        <v>0.25700000000000001</v>
      </c>
      <c r="Q508" s="217"/>
      <c r="R508" s="217"/>
      <c r="S508" s="217"/>
      <c r="T508" s="217"/>
      <c r="U508" s="217"/>
      <c r="V508" s="217"/>
      <c r="W508" s="217"/>
      <c r="X508" s="217"/>
      <c r="Y508" s="217"/>
      <c r="Z508" s="217"/>
    </row>
    <row r="509" spans="1:26" ht="16" x14ac:dyDescent="0.2">
      <c r="A509" s="219">
        <v>3294</v>
      </c>
      <c r="B509" s="219" t="s">
        <v>336</v>
      </c>
      <c r="C509" s="219" t="s">
        <v>413</v>
      </c>
      <c r="D509" s="219">
        <v>343.80200000000002</v>
      </c>
      <c r="E509" s="219">
        <v>758</v>
      </c>
      <c r="F509" s="219">
        <v>341.8</v>
      </c>
      <c r="G509" s="219" t="s">
        <v>2527</v>
      </c>
      <c r="H509" s="219" t="s">
        <v>2280</v>
      </c>
      <c r="I509" s="219">
        <v>12.69</v>
      </c>
      <c r="J509" s="217"/>
      <c r="K509" s="219" t="s">
        <v>345</v>
      </c>
      <c r="L509" s="219">
        <v>43563</v>
      </c>
      <c r="M509" s="219">
        <v>208.7</v>
      </c>
      <c r="N509" s="219">
        <v>1089.95</v>
      </c>
      <c r="O509" s="219">
        <v>39.968000000000004</v>
      </c>
      <c r="P509" s="219">
        <v>0.191</v>
      </c>
      <c r="Q509" s="217"/>
      <c r="R509" s="217"/>
      <c r="S509" s="217"/>
      <c r="T509" s="217"/>
      <c r="U509" s="217"/>
      <c r="V509" s="217"/>
      <c r="W509" s="217"/>
      <c r="X509" s="217"/>
      <c r="Y509" s="217"/>
      <c r="Z509" s="217"/>
    </row>
    <row r="510" spans="1:26" ht="16" x14ac:dyDescent="0.2">
      <c r="A510" s="219">
        <v>3295</v>
      </c>
      <c r="B510" s="219" t="s">
        <v>336</v>
      </c>
      <c r="C510" s="219" t="s">
        <v>413</v>
      </c>
      <c r="D510" s="219">
        <v>342.31200000000001</v>
      </c>
      <c r="E510" s="219">
        <v>758</v>
      </c>
      <c r="F510" s="219">
        <v>340.4</v>
      </c>
      <c r="G510" s="219" t="s">
        <v>2528</v>
      </c>
      <c r="H510" s="219" t="s">
        <v>2529</v>
      </c>
      <c r="I510" s="217"/>
      <c r="J510" s="217"/>
      <c r="K510" s="219" t="s">
        <v>345</v>
      </c>
      <c r="L510" s="219">
        <v>15036</v>
      </c>
      <c r="M510" s="219">
        <v>122.6</v>
      </c>
      <c r="N510" s="219">
        <v>879.23</v>
      </c>
      <c r="O510" s="219">
        <v>17.100999999999999</v>
      </c>
      <c r="P510" s="219">
        <v>0.13900000000000001</v>
      </c>
      <c r="Q510" s="217"/>
      <c r="R510" s="217"/>
      <c r="S510" s="217"/>
      <c r="T510" s="217"/>
      <c r="U510" s="217"/>
      <c r="V510" s="217"/>
      <c r="W510" s="217"/>
      <c r="X510" s="217"/>
      <c r="Y510" s="217"/>
      <c r="Z510" s="217"/>
    </row>
    <row r="511" spans="1:26" ht="16" x14ac:dyDescent="0.2">
      <c r="A511" s="219">
        <v>3296</v>
      </c>
      <c r="B511" s="219" t="s">
        <v>336</v>
      </c>
      <c r="C511" s="219" t="s">
        <v>413</v>
      </c>
      <c r="D511" s="219">
        <v>341.31799999999998</v>
      </c>
      <c r="E511" s="219">
        <v>758</v>
      </c>
      <c r="F511" s="219">
        <v>339.4</v>
      </c>
      <c r="G511" s="219" t="s">
        <v>2530</v>
      </c>
      <c r="H511" s="219" t="s">
        <v>2531</v>
      </c>
      <c r="I511" s="219">
        <v>13.14</v>
      </c>
      <c r="J511" s="217"/>
      <c r="K511" s="219" t="s">
        <v>345</v>
      </c>
      <c r="L511" s="219">
        <v>6802</v>
      </c>
      <c r="M511" s="219">
        <v>82.5</v>
      </c>
      <c r="N511" s="219">
        <v>742.19</v>
      </c>
      <c r="O511" s="219">
        <v>9.1649999999999991</v>
      </c>
      <c r="P511" s="219">
        <v>0.111</v>
      </c>
      <c r="Q511" s="217"/>
      <c r="R511" s="217"/>
      <c r="S511" s="217"/>
      <c r="T511" s="217"/>
      <c r="U511" s="217"/>
      <c r="V511" s="217"/>
      <c r="W511" s="217"/>
      <c r="X511" s="217"/>
      <c r="Y511" s="217"/>
      <c r="Z511" s="217"/>
    </row>
    <row r="512" spans="1:26" ht="16" x14ac:dyDescent="0.2">
      <c r="A512" s="219">
        <v>3297</v>
      </c>
      <c r="B512" s="219" t="s">
        <v>336</v>
      </c>
      <c r="C512" s="219" t="s">
        <v>413</v>
      </c>
      <c r="D512" s="219">
        <v>340.31799999999998</v>
      </c>
      <c r="E512" s="219">
        <v>758</v>
      </c>
      <c r="F512" s="219">
        <v>338.4</v>
      </c>
      <c r="G512" s="219" t="s">
        <v>2532</v>
      </c>
      <c r="H512" s="219" t="s">
        <v>2533</v>
      </c>
      <c r="I512" s="219">
        <v>13.25</v>
      </c>
      <c r="J512" s="217"/>
      <c r="K512" s="219" t="s">
        <v>345</v>
      </c>
      <c r="L512" s="219">
        <v>3991</v>
      </c>
      <c r="M512" s="219">
        <v>63.2</v>
      </c>
      <c r="N512" s="219">
        <v>737.89</v>
      </c>
      <c r="O512" s="219">
        <v>5.4089999999999998</v>
      </c>
      <c r="P512" s="219">
        <v>8.5999999999999993E-2</v>
      </c>
      <c r="Q512" s="217"/>
      <c r="R512" s="217"/>
      <c r="S512" s="217"/>
      <c r="T512" s="217"/>
      <c r="U512" s="217"/>
      <c r="V512" s="217"/>
      <c r="W512" s="217"/>
      <c r="X512" s="217"/>
      <c r="Y512" s="217"/>
      <c r="Z512" s="217"/>
    </row>
    <row r="513" spans="1:26" ht="16" x14ac:dyDescent="0.2">
      <c r="A513" s="219">
        <v>3298</v>
      </c>
      <c r="B513" s="219" t="s">
        <v>336</v>
      </c>
      <c r="C513" s="219" t="s">
        <v>413</v>
      </c>
      <c r="D513" s="219">
        <v>339.31700000000001</v>
      </c>
      <c r="E513" s="219">
        <v>758</v>
      </c>
      <c r="F513" s="219">
        <v>337.4</v>
      </c>
      <c r="G513" s="219" t="s">
        <v>2534</v>
      </c>
      <c r="H513" s="219" t="s">
        <v>2535</v>
      </c>
      <c r="I513" s="219">
        <v>13.39</v>
      </c>
      <c r="J513" s="217"/>
      <c r="K513" s="219" t="s">
        <v>345</v>
      </c>
      <c r="L513" s="219">
        <v>4268</v>
      </c>
      <c r="M513" s="219">
        <v>65.3</v>
      </c>
      <c r="N513" s="219">
        <v>1188.42</v>
      </c>
      <c r="O513" s="219">
        <v>3.5910000000000002</v>
      </c>
      <c r="P513" s="219">
        <v>5.5E-2</v>
      </c>
      <c r="Q513" s="217"/>
      <c r="R513" s="217"/>
      <c r="S513" s="217"/>
      <c r="T513" s="217"/>
      <c r="U513" s="217"/>
      <c r="V513" s="217"/>
      <c r="W513" s="217"/>
      <c r="X513" s="217"/>
      <c r="Y513" s="217"/>
      <c r="Z513" s="217"/>
    </row>
    <row r="514" spans="1:26" ht="16" x14ac:dyDescent="0.2">
      <c r="A514" s="219">
        <v>3299</v>
      </c>
      <c r="B514" s="219" t="s">
        <v>336</v>
      </c>
      <c r="C514" s="219" t="s">
        <v>413</v>
      </c>
      <c r="D514" s="219">
        <v>337.31700000000001</v>
      </c>
      <c r="E514" s="219">
        <v>758</v>
      </c>
      <c r="F514" s="219">
        <v>335.4</v>
      </c>
      <c r="G514" s="219" t="s">
        <v>2536</v>
      </c>
      <c r="H514" s="219" t="s">
        <v>2537</v>
      </c>
      <c r="I514" s="219">
        <v>13.72</v>
      </c>
      <c r="J514" s="217"/>
      <c r="K514" s="219" t="s">
        <v>345</v>
      </c>
      <c r="L514" s="219">
        <v>4807</v>
      </c>
      <c r="M514" s="219">
        <v>69.3</v>
      </c>
      <c r="N514" s="219">
        <v>2381.69</v>
      </c>
      <c r="O514" s="219">
        <v>2.0179999999999998</v>
      </c>
      <c r="P514" s="219">
        <v>2.9000000000000001E-2</v>
      </c>
      <c r="Q514" s="217"/>
      <c r="R514" s="217"/>
      <c r="S514" s="217"/>
      <c r="T514" s="217"/>
      <c r="U514" s="217"/>
      <c r="V514" s="217"/>
      <c r="W514" s="217"/>
      <c r="X514" s="217"/>
      <c r="Y514" s="217"/>
      <c r="Z514" s="217"/>
    </row>
    <row r="515" spans="1:26" ht="16" x14ac:dyDescent="0.2">
      <c r="A515" s="219">
        <v>3300</v>
      </c>
      <c r="B515" s="219" t="s">
        <v>336</v>
      </c>
      <c r="C515" s="219" t="s">
        <v>413</v>
      </c>
      <c r="D515" s="219">
        <v>335.30900000000003</v>
      </c>
      <c r="E515" s="219">
        <v>758</v>
      </c>
      <c r="F515" s="219">
        <v>333.4</v>
      </c>
      <c r="G515" s="219" t="s">
        <v>2538</v>
      </c>
      <c r="H515" s="219" t="s">
        <v>2539</v>
      </c>
      <c r="I515" s="219">
        <v>13.62</v>
      </c>
      <c r="J515" s="217"/>
      <c r="K515" s="219" t="s">
        <v>345</v>
      </c>
      <c r="L515" s="219">
        <v>1027</v>
      </c>
      <c r="M515" s="219">
        <v>32</v>
      </c>
      <c r="N515" s="219">
        <v>854.01</v>
      </c>
      <c r="O515" s="219">
        <v>1.2030000000000001</v>
      </c>
      <c r="P515" s="219">
        <v>3.7999999999999999E-2</v>
      </c>
      <c r="Q515" s="217"/>
      <c r="R515" s="217"/>
      <c r="S515" s="217"/>
      <c r="T515" s="217"/>
      <c r="U515" s="217"/>
      <c r="V515" s="217"/>
      <c r="W515" s="217"/>
      <c r="X515" s="217"/>
      <c r="Y515" s="217"/>
      <c r="Z515" s="217"/>
    </row>
    <row r="516" spans="1:26" ht="16" x14ac:dyDescent="0.2">
      <c r="A516" s="219">
        <v>3301</v>
      </c>
      <c r="B516" s="219" t="s">
        <v>336</v>
      </c>
      <c r="C516" s="219" t="s">
        <v>413</v>
      </c>
      <c r="D516" s="219">
        <v>333.30200000000002</v>
      </c>
      <c r="E516" s="219">
        <v>758</v>
      </c>
      <c r="F516" s="219">
        <v>331.4</v>
      </c>
      <c r="G516" s="219" t="s">
        <v>2540</v>
      </c>
      <c r="H516" s="219" t="s">
        <v>2541</v>
      </c>
      <c r="I516" s="217"/>
      <c r="J516" s="217"/>
      <c r="K516" s="219" t="s">
        <v>345</v>
      </c>
      <c r="L516" s="219">
        <v>643</v>
      </c>
      <c r="M516" s="219">
        <v>25.4</v>
      </c>
      <c r="N516" s="219">
        <v>746.38</v>
      </c>
      <c r="O516" s="219">
        <v>0.86099999999999999</v>
      </c>
      <c r="P516" s="219">
        <v>3.4000000000000002E-2</v>
      </c>
      <c r="Q516" s="217"/>
      <c r="R516" s="217"/>
      <c r="S516" s="217"/>
      <c r="T516" s="217"/>
      <c r="U516" s="217"/>
      <c r="V516" s="217"/>
      <c r="W516" s="217"/>
      <c r="X516" s="217"/>
      <c r="Y516" s="217"/>
      <c r="Z516" s="217"/>
    </row>
    <row r="517" spans="1:26" ht="16" x14ac:dyDescent="0.2">
      <c r="A517" s="219">
        <v>3302</v>
      </c>
      <c r="B517" s="219" t="s">
        <v>336</v>
      </c>
      <c r="C517" s="219" t="s">
        <v>413</v>
      </c>
      <c r="D517" s="219">
        <v>331.30099999999999</v>
      </c>
      <c r="E517" s="219">
        <v>758</v>
      </c>
      <c r="F517" s="219">
        <v>329.4</v>
      </c>
      <c r="G517" s="219" t="s">
        <v>2542</v>
      </c>
      <c r="H517" s="219" t="s">
        <v>2543</v>
      </c>
      <c r="I517" s="219">
        <v>13.39</v>
      </c>
      <c r="J517" s="217"/>
      <c r="K517" s="219" t="s">
        <v>345</v>
      </c>
      <c r="L517" s="219">
        <v>406</v>
      </c>
      <c r="M517" s="219">
        <v>20.100000000000001</v>
      </c>
      <c r="N517" s="219">
        <v>733</v>
      </c>
      <c r="O517" s="219">
        <v>0.55400000000000005</v>
      </c>
      <c r="P517" s="219">
        <v>2.7E-2</v>
      </c>
      <c r="Q517" s="217"/>
      <c r="R517" s="217"/>
      <c r="S517" s="217"/>
      <c r="T517" s="217"/>
      <c r="U517" s="217"/>
      <c r="V517" s="217"/>
      <c r="W517" s="217"/>
      <c r="X517" s="217"/>
      <c r="Y517" s="217"/>
      <c r="Z517" s="217"/>
    </row>
    <row r="518" spans="1:26" ht="16" x14ac:dyDescent="0.2">
      <c r="A518" s="219">
        <v>3303</v>
      </c>
      <c r="B518" s="219" t="s">
        <v>336</v>
      </c>
      <c r="C518" s="219" t="s">
        <v>413</v>
      </c>
      <c r="D518" s="219">
        <v>346.327</v>
      </c>
      <c r="E518" s="219">
        <v>758</v>
      </c>
      <c r="F518" s="219">
        <v>344.3</v>
      </c>
      <c r="G518" s="219" t="s">
        <v>2544</v>
      </c>
      <c r="H518" s="219" t="s">
        <v>2545</v>
      </c>
      <c r="I518" s="219">
        <v>13.55</v>
      </c>
      <c r="J518" s="217"/>
      <c r="K518" s="219" t="s">
        <v>345</v>
      </c>
      <c r="L518" s="219">
        <v>41994</v>
      </c>
      <c r="M518" s="219">
        <v>204.9</v>
      </c>
      <c r="N518" s="219">
        <v>780.52</v>
      </c>
      <c r="O518" s="219">
        <v>53.802999999999997</v>
      </c>
      <c r="P518" s="219">
        <v>0.26300000000000001</v>
      </c>
      <c r="Q518" s="217"/>
      <c r="R518" s="217"/>
      <c r="S518" s="217"/>
      <c r="T518" s="217"/>
      <c r="U518" s="217"/>
      <c r="V518" s="217"/>
      <c r="W518" s="217"/>
      <c r="X518" s="217"/>
      <c r="Y518" s="217"/>
      <c r="Z518" s="217"/>
    </row>
    <row r="519" spans="1:26" ht="16" x14ac:dyDescent="0.2">
      <c r="A519" s="219">
        <v>3304</v>
      </c>
      <c r="B519" s="219" t="s">
        <v>336</v>
      </c>
      <c r="C519" s="219" t="s">
        <v>413</v>
      </c>
      <c r="D519" s="219">
        <v>347.334</v>
      </c>
      <c r="E519" s="219">
        <v>758</v>
      </c>
      <c r="F519" s="219">
        <v>345.3</v>
      </c>
      <c r="G519" s="219" t="s">
        <v>2546</v>
      </c>
      <c r="H519" s="219" t="s">
        <v>2547</v>
      </c>
      <c r="I519" s="217"/>
      <c r="J519" s="217"/>
      <c r="K519" s="219" t="s">
        <v>345</v>
      </c>
      <c r="L519" s="219">
        <v>38329</v>
      </c>
      <c r="M519" s="219">
        <v>195.8</v>
      </c>
      <c r="N519" s="219">
        <v>740.94</v>
      </c>
      <c r="O519" s="219">
        <v>51.73</v>
      </c>
      <c r="P519" s="219">
        <v>0.26400000000000001</v>
      </c>
      <c r="Q519" s="217"/>
      <c r="R519" s="217"/>
      <c r="S519" s="217"/>
      <c r="T519" s="217"/>
      <c r="U519" s="217"/>
      <c r="V519" s="217"/>
      <c r="W519" s="217"/>
      <c r="X519" s="217"/>
      <c r="Y519" s="217"/>
      <c r="Z519" s="217"/>
    </row>
    <row r="520" spans="1:26" ht="16" x14ac:dyDescent="0.2">
      <c r="A520" s="219">
        <v>3305</v>
      </c>
      <c r="B520" s="219" t="s">
        <v>336</v>
      </c>
      <c r="C520" s="219" t="s">
        <v>413</v>
      </c>
      <c r="D520" s="219">
        <v>348.30700000000002</v>
      </c>
      <c r="E520" s="219">
        <v>758</v>
      </c>
      <c r="F520" s="219">
        <v>346.3</v>
      </c>
      <c r="G520" s="219" t="s">
        <v>1654</v>
      </c>
      <c r="H520" s="219" t="s">
        <v>2548</v>
      </c>
      <c r="I520" s="219">
        <v>13.44</v>
      </c>
      <c r="J520" s="217"/>
      <c r="K520" s="219" t="s">
        <v>345</v>
      </c>
      <c r="L520" s="219">
        <v>35873</v>
      </c>
      <c r="M520" s="219">
        <v>189.4</v>
      </c>
      <c r="N520" s="219">
        <v>772.93</v>
      </c>
      <c r="O520" s="219">
        <v>46.411999999999999</v>
      </c>
      <c r="P520" s="219">
        <v>0.245</v>
      </c>
      <c r="Q520" s="217"/>
      <c r="R520" s="217"/>
      <c r="S520" s="217"/>
      <c r="T520" s="217"/>
      <c r="U520" s="217"/>
      <c r="V520" s="217"/>
      <c r="W520" s="217"/>
      <c r="X520" s="217"/>
      <c r="Y520" s="217"/>
      <c r="Z520" s="217"/>
    </row>
    <row r="521" spans="1:26" ht="16" x14ac:dyDescent="0.2">
      <c r="A521" s="219">
        <v>3306</v>
      </c>
      <c r="B521" s="219" t="s">
        <v>336</v>
      </c>
      <c r="C521" s="219" t="s">
        <v>413</v>
      </c>
      <c r="D521" s="219">
        <v>349.30099999999999</v>
      </c>
      <c r="E521" s="219">
        <v>758</v>
      </c>
      <c r="F521" s="219">
        <v>347.3</v>
      </c>
      <c r="G521" s="219" t="s">
        <v>2549</v>
      </c>
      <c r="H521" s="219" t="s">
        <v>1656</v>
      </c>
      <c r="I521" s="219">
        <v>13.44</v>
      </c>
      <c r="J521" s="217"/>
      <c r="K521" s="219" t="s">
        <v>345</v>
      </c>
      <c r="L521" s="219">
        <v>30363</v>
      </c>
      <c r="M521" s="219">
        <v>174.2</v>
      </c>
      <c r="N521" s="219">
        <v>729.18</v>
      </c>
      <c r="O521" s="219">
        <v>41.64</v>
      </c>
      <c r="P521" s="219">
        <v>0.23899999999999999</v>
      </c>
      <c r="Q521" s="217"/>
      <c r="R521" s="217"/>
      <c r="S521" s="217"/>
      <c r="T521" s="217"/>
      <c r="U521" s="217"/>
      <c r="V521" s="217"/>
      <c r="W521" s="217"/>
      <c r="X521" s="217"/>
      <c r="Y521" s="217"/>
      <c r="Z521" s="217"/>
    </row>
    <row r="522" spans="1:26" ht="16" x14ac:dyDescent="0.2">
      <c r="A522" s="219">
        <v>3307</v>
      </c>
      <c r="B522" s="219" t="s">
        <v>336</v>
      </c>
      <c r="C522" s="219" t="s">
        <v>413</v>
      </c>
      <c r="D522" s="219">
        <v>350.33499999999998</v>
      </c>
      <c r="E522" s="219">
        <v>758</v>
      </c>
      <c r="F522" s="219">
        <v>348.3</v>
      </c>
      <c r="G522" s="219" t="s">
        <v>1657</v>
      </c>
      <c r="H522" s="219" t="s">
        <v>1955</v>
      </c>
      <c r="I522" s="219">
        <v>13.37</v>
      </c>
      <c r="J522" s="217"/>
      <c r="K522" s="219" t="s">
        <v>345</v>
      </c>
      <c r="L522" s="219">
        <v>33037</v>
      </c>
      <c r="M522" s="219">
        <v>181.8</v>
      </c>
      <c r="N522" s="219">
        <v>952.51</v>
      </c>
      <c r="O522" s="219">
        <v>34.683999999999997</v>
      </c>
      <c r="P522" s="219">
        <v>0.191</v>
      </c>
      <c r="Q522" s="217"/>
      <c r="R522" s="217"/>
      <c r="S522" s="217"/>
      <c r="T522" s="217"/>
      <c r="U522" s="217"/>
      <c r="V522" s="217"/>
      <c r="W522" s="217"/>
      <c r="X522" s="217"/>
      <c r="Y522" s="217"/>
      <c r="Z522" s="217"/>
    </row>
    <row r="523" spans="1:26" ht="16" x14ac:dyDescent="0.2">
      <c r="A523" s="219">
        <v>3308</v>
      </c>
      <c r="B523" s="219" t="s">
        <v>336</v>
      </c>
      <c r="C523" s="219" t="s">
        <v>413</v>
      </c>
      <c r="D523" s="219">
        <v>352.34199999999998</v>
      </c>
      <c r="E523" s="219">
        <v>758</v>
      </c>
      <c r="F523" s="219">
        <v>350.3</v>
      </c>
      <c r="G523" s="219" t="s">
        <v>2550</v>
      </c>
      <c r="H523" s="219" t="s">
        <v>2551</v>
      </c>
      <c r="I523" s="219">
        <v>13.4</v>
      </c>
      <c r="J523" s="217"/>
      <c r="K523" s="219" t="s">
        <v>345</v>
      </c>
      <c r="L523" s="219">
        <v>16825</v>
      </c>
      <c r="M523" s="219">
        <v>129.69999999999999</v>
      </c>
      <c r="N523" s="219">
        <v>730.89</v>
      </c>
      <c r="O523" s="219">
        <v>23.02</v>
      </c>
      <c r="P523" s="219">
        <v>0.17699999999999999</v>
      </c>
      <c r="Q523" s="217"/>
      <c r="R523" s="217"/>
      <c r="S523" s="217"/>
      <c r="T523" s="217"/>
      <c r="U523" s="217"/>
      <c r="V523" s="217"/>
      <c r="W523" s="217"/>
      <c r="X523" s="217"/>
      <c r="Y523" s="217"/>
      <c r="Z523" s="217"/>
    </row>
    <row r="524" spans="1:26" ht="16" x14ac:dyDescent="0.2">
      <c r="A524" s="219">
        <v>3309</v>
      </c>
      <c r="B524" s="219" t="s">
        <v>336</v>
      </c>
      <c r="C524" s="219" t="s">
        <v>413</v>
      </c>
      <c r="D524" s="219">
        <v>353.83300000000003</v>
      </c>
      <c r="E524" s="219">
        <v>758</v>
      </c>
      <c r="F524" s="219">
        <v>351.8</v>
      </c>
      <c r="G524" s="219" t="s">
        <v>2552</v>
      </c>
      <c r="H524" s="219" t="s">
        <v>2553</v>
      </c>
      <c r="I524" s="219">
        <v>13.42</v>
      </c>
      <c r="J524" s="217"/>
      <c r="K524" s="219" t="s">
        <v>345</v>
      </c>
      <c r="L524" s="219">
        <v>13430</v>
      </c>
      <c r="M524" s="219">
        <v>115.9</v>
      </c>
      <c r="N524" s="219">
        <v>731.12</v>
      </c>
      <c r="O524" s="219">
        <v>18.369</v>
      </c>
      <c r="P524" s="219">
        <v>0.159</v>
      </c>
      <c r="Q524" s="217"/>
      <c r="R524" s="217"/>
      <c r="S524" s="217"/>
      <c r="T524" s="217"/>
      <c r="U524" s="217"/>
      <c r="V524" s="217"/>
      <c r="W524" s="217"/>
      <c r="X524" s="217"/>
      <c r="Y524" s="217"/>
      <c r="Z524" s="217"/>
    </row>
    <row r="525" spans="1:26" ht="16" x14ac:dyDescent="0.2">
      <c r="A525" s="219">
        <v>3310</v>
      </c>
      <c r="B525" s="219" t="s">
        <v>336</v>
      </c>
      <c r="C525" s="219" t="s">
        <v>413</v>
      </c>
      <c r="D525" s="219">
        <v>355.31</v>
      </c>
      <c r="E525" s="219">
        <v>758</v>
      </c>
      <c r="F525" s="219">
        <v>353.3</v>
      </c>
      <c r="G525" s="219" t="s">
        <v>1958</v>
      </c>
      <c r="H525" s="219" t="s">
        <v>2554</v>
      </c>
      <c r="I525" s="219">
        <v>13.44</v>
      </c>
      <c r="J525" s="217"/>
      <c r="K525" s="219" t="s">
        <v>345</v>
      </c>
      <c r="L525" s="219">
        <v>14955</v>
      </c>
      <c r="M525" s="219">
        <v>122.3</v>
      </c>
      <c r="N525" s="219">
        <v>1228.32</v>
      </c>
      <c r="O525" s="219">
        <v>12.175000000000001</v>
      </c>
      <c r="P525" s="219">
        <v>0.1</v>
      </c>
      <c r="Q525" s="217"/>
      <c r="R525" s="217"/>
      <c r="S525" s="217"/>
      <c r="T525" s="217"/>
      <c r="U525" s="217"/>
      <c r="V525" s="217"/>
      <c r="W525" s="217"/>
      <c r="X525" s="217"/>
      <c r="Y525" s="217"/>
      <c r="Z525" s="217"/>
    </row>
    <row r="526" spans="1:26" ht="16" x14ac:dyDescent="0.2">
      <c r="A526" s="219">
        <v>3311</v>
      </c>
      <c r="B526" s="219" t="s">
        <v>336</v>
      </c>
      <c r="C526" s="219" t="s">
        <v>413</v>
      </c>
      <c r="D526" s="219">
        <v>357.351</v>
      </c>
      <c r="E526" s="219">
        <v>758</v>
      </c>
      <c r="F526" s="219">
        <v>355.3</v>
      </c>
      <c r="G526" s="219" t="s">
        <v>2555</v>
      </c>
      <c r="H526" s="219" t="s">
        <v>2556</v>
      </c>
      <c r="I526" s="219">
        <v>13.68</v>
      </c>
      <c r="J526" s="217"/>
      <c r="K526" s="219" t="s">
        <v>345</v>
      </c>
      <c r="L526" s="219">
        <v>7065</v>
      </c>
      <c r="M526" s="219">
        <v>84.1</v>
      </c>
      <c r="N526" s="219">
        <v>859.7</v>
      </c>
      <c r="O526" s="219">
        <v>8.218</v>
      </c>
      <c r="P526" s="219">
        <v>9.8000000000000004E-2</v>
      </c>
      <c r="Q526" s="217"/>
      <c r="R526" s="217"/>
      <c r="S526" s="217"/>
      <c r="T526" s="217"/>
      <c r="U526" s="217"/>
      <c r="V526" s="217"/>
      <c r="W526" s="217"/>
      <c r="X526" s="217"/>
      <c r="Y526" s="217"/>
      <c r="Z526" s="217"/>
    </row>
    <row r="527" spans="1:26" ht="16" x14ac:dyDescent="0.2">
      <c r="A527" s="219">
        <v>3312</v>
      </c>
      <c r="B527" s="219" t="s">
        <v>336</v>
      </c>
      <c r="C527" s="219" t="s">
        <v>413</v>
      </c>
      <c r="D527" s="219">
        <v>359.31799999999998</v>
      </c>
      <c r="E527" s="219">
        <v>758</v>
      </c>
      <c r="F527" s="219">
        <v>357.3</v>
      </c>
      <c r="G527" s="219" t="s">
        <v>2557</v>
      </c>
      <c r="H527" s="219" t="s">
        <v>2558</v>
      </c>
      <c r="I527" s="219">
        <v>13.82</v>
      </c>
      <c r="J527" s="217"/>
      <c r="K527" s="219" t="s">
        <v>345</v>
      </c>
      <c r="L527" s="219">
        <v>4561</v>
      </c>
      <c r="M527" s="219">
        <v>67.5</v>
      </c>
      <c r="N527" s="219">
        <v>774.87</v>
      </c>
      <c r="O527" s="219">
        <v>5.8860000000000001</v>
      </c>
      <c r="P527" s="219">
        <v>8.6999999999999994E-2</v>
      </c>
      <c r="Q527" s="217"/>
      <c r="R527" s="217"/>
      <c r="S527" s="217"/>
      <c r="T527" s="217"/>
      <c r="U527" s="217"/>
      <c r="V527" s="217"/>
      <c r="W527" s="217"/>
      <c r="X527" s="217"/>
      <c r="Y527" s="217"/>
      <c r="Z527" s="217"/>
    </row>
    <row r="528" spans="1:26" ht="16" x14ac:dyDescent="0.2">
      <c r="A528" s="219">
        <v>3313</v>
      </c>
      <c r="B528" s="219" t="s">
        <v>336</v>
      </c>
      <c r="C528" s="219" t="s">
        <v>413</v>
      </c>
      <c r="D528" s="219">
        <v>361.35300000000001</v>
      </c>
      <c r="E528" s="219">
        <v>758</v>
      </c>
      <c r="F528" s="219">
        <v>359.3</v>
      </c>
      <c r="G528" s="219" t="s">
        <v>2559</v>
      </c>
      <c r="H528" s="219" t="s">
        <v>2560</v>
      </c>
      <c r="I528" s="219">
        <v>13.9</v>
      </c>
      <c r="J528" s="217"/>
      <c r="K528" s="219" t="s">
        <v>345</v>
      </c>
      <c r="L528" s="219">
        <v>3587</v>
      </c>
      <c r="M528" s="219">
        <v>59.9</v>
      </c>
      <c r="N528" s="219">
        <v>815.61</v>
      </c>
      <c r="O528" s="219">
        <v>4.3979999999999997</v>
      </c>
      <c r="P528" s="219">
        <v>7.2999999999999995E-2</v>
      </c>
      <c r="Q528" s="217"/>
      <c r="R528" s="217"/>
      <c r="S528" s="217"/>
      <c r="T528" s="217"/>
      <c r="U528" s="217"/>
      <c r="V528" s="217"/>
      <c r="W528" s="217"/>
      <c r="X528" s="217"/>
      <c r="Y528" s="217"/>
      <c r="Z528" s="217"/>
    </row>
    <row r="529" spans="1:26" ht="16" x14ac:dyDescent="0.2">
      <c r="A529" s="219">
        <v>3314</v>
      </c>
      <c r="B529" s="219" t="s">
        <v>336</v>
      </c>
      <c r="C529" s="219" t="s">
        <v>413</v>
      </c>
      <c r="D529" s="219">
        <v>363.33300000000003</v>
      </c>
      <c r="E529" s="219">
        <v>758</v>
      </c>
      <c r="F529" s="219">
        <v>361.2</v>
      </c>
      <c r="G529" s="219" t="s">
        <v>2561</v>
      </c>
      <c r="H529" s="219" t="s">
        <v>2562</v>
      </c>
      <c r="I529" s="219">
        <v>14.36</v>
      </c>
      <c r="J529" s="217"/>
      <c r="K529" s="219" t="s">
        <v>345</v>
      </c>
      <c r="L529" s="219">
        <v>2690</v>
      </c>
      <c r="M529" s="219">
        <v>51.9</v>
      </c>
      <c r="N529" s="219">
        <v>803.48</v>
      </c>
      <c r="O529" s="219">
        <v>3.3479999999999999</v>
      </c>
      <c r="P529" s="219">
        <v>6.5000000000000002E-2</v>
      </c>
      <c r="Q529" s="217"/>
      <c r="R529" s="217"/>
      <c r="S529" s="217"/>
      <c r="T529" s="217"/>
      <c r="U529" s="217"/>
      <c r="V529" s="217"/>
      <c r="W529" s="217"/>
      <c r="X529" s="217"/>
      <c r="Y529" s="217"/>
      <c r="Z529" s="217"/>
    </row>
    <row r="530" spans="1:26" ht="16" x14ac:dyDescent="0.2">
      <c r="A530" s="219">
        <v>3315</v>
      </c>
      <c r="B530" s="219" t="s">
        <v>336</v>
      </c>
      <c r="C530" s="219" t="s">
        <v>413</v>
      </c>
      <c r="D530" s="219">
        <v>365.36099999999999</v>
      </c>
      <c r="E530" s="219">
        <v>758</v>
      </c>
      <c r="F530" s="219">
        <v>363.3</v>
      </c>
      <c r="G530" s="219" t="s">
        <v>2563</v>
      </c>
      <c r="H530" s="219" t="s">
        <v>2564</v>
      </c>
      <c r="I530" s="219">
        <v>14.56</v>
      </c>
      <c r="J530" s="217"/>
      <c r="K530" s="219" t="s">
        <v>345</v>
      </c>
      <c r="L530" s="219">
        <v>2116</v>
      </c>
      <c r="M530" s="219">
        <v>46</v>
      </c>
      <c r="N530" s="219">
        <v>790.81</v>
      </c>
      <c r="O530" s="219">
        <v>2.6760000000000002</v>
      </c>
      <c r="P530" s="219">
        <v>5.8000000000000003E-2</v>
      </c>
      <c r="Q530" s="217"/>
      <c r="R530" s="217"/>
      <c r="S530" s="217"/>
      <c r="T530" s="217"/>
      <c r="U530" s="217"/>
      <c r="V530" s="217"/>
      <c r="W530" s="217"/>
      <c r="X530" s="217"/>
      <c r="Y530" s="217"/>
      <c r="Z530" s="217"/>
    </row>
    <row r="531" spans="1:26" ht="16" x14ac:dyDescent="0.2">
      <c r="A531" s="219">
        <v>3316</v>
      </c>
      <c r="B531" s="219" t="s">
        <v>336</v>
      </c>
      <c r="C531" s="219" t="s">
        <v>413</v>
      </c>
      <c r="D531" s="219">
        <v>367.32799999999997</v>
      </c>
      <c r="E531" s="219">
        <v>758</v>
      </c>
      <c r="F531" s="219">
        <v>365.2</v>
      </c>
      <c r="G531" s="219" t="s">
        <v>2565</v>
      </c>
      <c r="H531" s="219" t="s">
        <v>2566</v>
      </c>
      <c r="I531" s="219">
        <v>14.93</v>
      </c>
      <c r="J531" s="217"/>
      <c r="K531" s="219" t="s">
        <v>345</v>
      </c>
      <c r="L531" s="219">
        <v>2304</v>
      </c>
      <c r="M531" s="219">
        <v>48</v>
      </c>
      <c r="N531" s="219">
        <v>1042</v>
      </c>
      <c r="O531" s="219">
        <v>2.2109999999999999</v>
      </c>
      <c r="P531" s="219">
        <v>4.5999999999999999E-2</v>
      </c>
      <c r="Q531" s="217"/>
      <c r="R531" s="217"/>
      <c r="S531" s="217"/>
      <c r="T531" s="217"/>
      <c r="U531" s="217"/>
      <c r="V531" s="217"/>
      <c r="W531" s="217"/>
      <c r="X531" s="217"/>
      <c r="Y531" s="217"/>
      <c r="Z531" s="217"/>
    </row>
    <row r="532" spans="1:26" ht="16" x14ac:dyDescent="0.2">
      <c r="A532" s="219">
        <v>3317</v>
      </c>
      <c r="B532" s="219" t="s">
        <v>123</v>
      </c>
      <c r="C532" s="219" t="s">
        <v>359</v>
      </c>
      <c r="D532" s="217"/>
      <c r="E532" s="217"/>
      <c r="F532" s="217"/>
      <c r="G532" s="222" t="s">
        <v>2567</v>
      </c>
      <c r="H532" s="222" t="s">
        <v>2568</v>
      </c>
      <c r="I532" s="217"/>
      <c r="J532" s="217"/>
      <c r="K532" s="222" t="s">
        <v>2569</v>
      </c>
      <c r="L532" s="222">
        <v>185239</v>
      </c>
      <c r="M532" s="217"/>
      <c r="N532" s="217"/>
      <c r="O532" s="217"/>
      <c r="P532" s="217"/>
      <c r="Q532" s="222" t="s">
        <v>2570</v>
      </c>
      <c r="R532" s="217"/>
      <c r="S532" s="217"/>
      <c r="T532" s="217"/>
      <c r="U532" s="217"/>
      <c r="V532" s="217"/>
      <c r="W532" s="217"/>
      <c r="X532" s="217"/>
      <c r="Y532" s="217"/>
      <c r="Z532" s="217"/>
    </row>
    <row r="533" spans="1:26" ht="16" x14ac:dyDescent="0.2">
      <c r="A533" s="219">
        <v>3318</v>
      </c>
      <c r="B533" s="219" t="s">
        <v>123</v>
      </c>
      <c r="C533" s="219" t="s">
        <v>359</v>
      </c>
      <c r="D533" s="217"/>
      <c r="E533" s="217"/>
      <c r="F533" s="217"/>
      <c r="G533" s="222" t="s">
        <v>2571</v>
      </c>
      <c r="H533" s="222" t="s">
        <v>2572</v>
      </c>
      <c r="I533" s="217"/>
      <c r="J533" s="217"/>
      <c r="K533" s="222" t="s">
        <v>2569</v>
      </c>
      <c r="L533" s="222">
        <v>33928</v>
      </c>
      <c r="M533" s="217"/>
      <c r="N533" s="217"/>
      <c r="O533" s="217"/>
      <c r="P533" s="217"/>
      <c r="Q533" s="222" t="s">
        <v>2573</v>
      </c>
      <c r="R533" s="217"/>
      <c r="S533" s="217"/>
      <c r="T533" s="217"/>
      <c r="U533" s="217"/>
      <c r="V533" s="217"/>
      <c r="W533" s="217"/>
      <c r="X533" s="217"/>
      <c r="Y533" s="217"/>
      <c r="Z533" s="217"/>
    </row>
    <row r="534" spans="1:26" ht="16" x14ac:dyDescent="0.2">
      <c r="A534" s="219">
        <v>3319</v>
      </c>
      <c r="B534" s="219" t="s">
        <v>123</v>
      </c>
      <c r="C534" s="219" t="s">
        <v>359</v>
      </c>
      <c r="D534" s="217"/>
      <c r="E534" s="217"/>
      <c r="F534" s="217"/>
      <c r="G534" s="222" t="s">
        <v>2574</v>
      </c>
      <c r="H534" s="222" t="s">
        <v>2575</v>
      </c>
      <c r="I534" s="217"/>
      <c r="J534" s="217"/>
      <c r="K534" s="222" t="s">
        <v>2569</v>
      </c>
      <c r="L534" s="222">
        <v>31104</v>
      </c>
      <c r="M534" s="217"/>
      <c r="N534" s="217"/>
      <c r="O534" s="217"/>
      <c r="P534" s="217"/>
      <c r="Q534" s="222" t="s">
        <v>2576</v>
      </c>
      <c r="R534" s="217"/>
      <c r="S534" s="217"/>
      <c r="T534" s="217"/>
      <c r="U534" s="217"/>
      <c r="V534" s="217"/>
      <c r="W534" s="217"/>
      <c r="X534" s="217"/>
      <c r="Y534" s="217"/>
      <c r="Z534" s="217"/>
    </row>
    <row r="535" spans="1:26" ht="16" x14ac:dyDescent="0.2">
      <c r="A535" s="219">
        <v>3320</v>
      </c>
      <c r="B535" s="219" t="s">
        <v>123</v>
      </c>
      <c r="C535" s="219" t="s">
        <v>359</v>
      </c>
      <c r="D535" s="217"/>
      <c r="E535" s="217"/>
      <c r="F535" s="217"/>
      <c r="G535" s="222" t="s">
        <v>2577</v>
      </c>
      <c r="H535" s="222" t="s">
        <v>2578</v>
      </c>
      <c r="I535" s="217"/>
      <c r="J535" s="217"/>
      <c r="K535" s="222" t="s">
        <v>2569</v>
      </c>
      <c r="L535" s="222">
        <v>40431</v>
      </c>
      <c r="M535" s="217"/>
      <c r="N535" s="217"/>
      <c r="O535" s="217"/>
      <c r="P535" s="217"/>
      <c r="Q535" s="222" t="s">
        <v>2579</v>
      </c>
      <c r="R535" s="217"/>
      <c r="S535" s="217"/>
      <c r="T535" s="217"/>
      <c r="U535" s="217"/>
      <c r="V535" s="217"/>
      <c r="W535" s="217"/>
      <c r="X535" s="217"/>
      <c r="Y535" s="217"/>
      <c r="Z535" s="217"/>
    </row>
    <row r="536" spans="1:26" ht="16" x14ac:dyDescent="0.2">
      <c r="A536" s="219">
        <v>3321</v>
      </c>
      <c r="B536" s="219" t="s">
        <v>123</v>
      </c>
      <c r="C536" s="219" t="s">
        <v>57</v>
      </c>
      <c r="D536" s="217"/>
      <c r="E536" s="217"/>
      <c r="F536" s="217"/>
      <c r="G536" s="222" t="s">
        <v>2580</v>
      </c>
      <c r="H536" s="222" t="s">
        <v>2581</v>
      </c>
      <c r="I536" s="217"/>
      <c r="J536" s="217"/>
      <c r="K536" s="222" t="s">
        <v>2582</v>
      </c>
      <c r="L536" s="222">
        <v>238328</v>
      </c>
      <c r="M536" s="217"/>
      <c r="N536" s="217"/>
      <c r="O536" s="217"/>
      <c r="P536" s="217"/>
      <c r="Q536" s="222" t="s">
        <v>2579</v>
      </c>
      <c r="R536" s="217"/>
      <c r="S536" s="217"/>
      <c r="T536" s="217"/>
      <c r="U536" s="217"/>
      <c r="V536" s="217"/>
      <c r="W536" s="217"/>
      <c r="X536" s="217"/>
      <c r="Y536" s="217"/>
      <c r="Z536" s="217"/>
    </row>
    <row r="537" spans="1:26" ht="16" x14ac:dyDescent="0.2">
      <c r="A537" s="219">
        <v>3322</v>
      </c>
      <c r="B537" s="219" t="s">
        <v>123</v>
      </c>
      <c r="C537" s="219" t="s">
        <v>57</v>
      </c>
      <c r="D537" s="217"/>
      <c r="E537" s="217"/>
      <c r="F537" s="217"/>
      <c r="G537" s="222" t="s">
        <v>2583</v>
      </c>
      <c r="H537" s="222" t="s">
        <v>2584</v>
      </c>
      <c r="I537" s="217"/>
      <c r="J537" s="217"/>
      <c r="K537" s="222" t="s">
        <v>2582</v>
      </c>
      <c r="L537" s="222">
        <v>15086</v>
      </c>
      <c r="M537" s="217"/>
      <c r="N537" s="217"/>
      <c r="O537" s="217"/>
      <c r="P537" s="217"/>
      <c r="Q537" s="222" t="s">
        <v>2570</v>
      </c>
      <c r="R537" s="217"/>
      <c r="S537" s="217"/>
      <c r="T537" s="217"/>
      <c r="U537" s="217"/>
      <c r="V537" s="217"/>
      <c r="W537" s="217"/>
      <c r="X537" s="217"/>
      <c r="Y537" s="217"/>
      <c r="Z537" s="217"/>
    </row>
    <row r="538" spans="1:26" ht="16" x14ac:dyDescent="0.2">
      <c r="A538" s="219">
        <v>3323</v>
      </c>
      <c r="B538" s="219" t="s">
        <v>123</v>
      </c>
      <c r="C538" s="219" t="s">
        <v>57</v>
      </c>
      <c r="D538" s="217"/>
      <c r="E538" s="217"/>
      <c r="F538" s="217"/>
      <c r="G538" s="222" t="s">
        <v>2585</v>
      </c>
      <c r="H538" s="222" t="s">
        <v>2586</v>
      </c>
      <c r="I538" s="217"/>
      <c r="J538" s="217"/>
      <c r="K538" s="222" t="s">
        <v>2582</v>
      </c>
      <c r="L538" s="222">
        <v>12134</v>
      </c>
      <c r="M538" s="217"/>
      <c r="N538" s="217"/>
      <c r="O538" s="217"/>
      <c r="P538" s="217"/>
      <c r="Q538" s="222" t="s">
        <v>2573</v>
      </c>
      <c r="R538" s="217"/>
      <c r="S538" s="217"/>
      <c r="T538" s="217"/>
      <c r="U538" s="217"/>
      <c r="V538" s="217"/>
      <c r="W538" s="217"/>
      <c r="X538" s="217"/>
      <c r="Y538" s="217"/>
      <c r="Z538" s="217"/>
    </row>
    <row r="539" spans="1:26" ht="16" x14ac:dyDescent="0.2">
      <c r="A539" s="219">
        <v>3324</v>
      </c>
      <c r="B539" s="219" t="s">
        <v>123</v>
      </c>
      <c r="C539" s="219" t="s">
        <v>57</v>
      </c>
      <c r="D539" s="217"/>
      <c r="E539" s="217"/>
      <c r="F539" s="217"/>
      <c r="G539" s="222" t="s">
        <v>2587</v>
      </c>
      <c r="H539" s="222" t="s">
        <v>2588</v>
      </c>
      <c r="I539" s="217"/>
      <c r="J539" s="217"/>
      <c r="K539" s="222" t="s">
        <v>2582</v>
      </c>
      <c r="L539" s="222">
        <v>30094</v>
      </c>
      <c r="M539" s="217"/>
      <c r="N539" s="217"/>
      <c r="O539" s="217"/>
      <c r="P539" s="217"/>
      <c r="Q539" s="222" t="s">
        <v>2576</v>
      </c>
      <c r="R539" s="217"/>
      <c r="S539" s="217"/>
      <c r="T539" s="217"/>
      <c r="U539" s="217"/>
      <c r="V539" s="217"/>
      <c r="W539" s="217"/>
      <c r="X539" s="217"/>
      <c r="Y539" s="217"/>
      <c r="Z539" s="217"/>
    </row>
    <row r="540" spans="1:26" x14ac:dyDescent="0.2">
      <c r="A540" s="52"/>
      <c r="B540" s="53"/>
      <c r="C540" s="57"/>
      <c r="D540" s="54"/>
      <c r="E540" s="62"/>
      <c r="F540" s="54"/>
      <c r="G540" s="66"/>
      <c r="H540" s="66"/>
      <c r="I540" s="62"/>
      <c r="J540" s="53"/>
      <c r="K540" s="57"/>
      <c r="L540" s="52"/>
      <c r="M540" s="58"/>
      <c r="N540" s="58"/>
      <c r="O540" s="60"/>
      <c r="P540" s="60"/>
      <c r="Q540" s="63"/>
    </row>
    <row r="541" spans="1:26" x14ac:dyDescent="0.2">
      <c r="A541" s="52"/>
      <c r="B541" s="53"/>
      <c r="C541" s="57"/>
      <c r="D541" s="54"/>
      <c r="E541" s="62"/>
      <c r="F541" s="54"/>
      <c r="G541" s="66"/>
      <c r="H541" s="66"/>
      <c r="I541" s="62"/>
      <c r="J541" s="53"/>
      <c r="K541" s="57"/>
      <c r="L541" s="52"/>
      <c r="M541" s="58"/>
      <c r="N541" s="58"/>
      <c r="O541" s="60"/>
      <c r="P541" s="60"/>
      <c r="Q541" s="63"/>
    </row>
    <row r="542" spans="1:26" x14ac:dyDescent="0.2">
      <c r="A542" s="52"/>
      <c r="B542" s="53"/>
      <c r="C542" s="57"/>
      <c r="D542" s="54"/>
      <c r="E542" s="62"/>
      <c r="F542" s="54"/>
      <c r="G542" s="66"/>
      <c r="H542" s="66"/>
      <c r="I542" s="62"/>
      <c r="J542" s="53"/>
      <c r="K542" s="57"/>
      <c r="L542" s="52"/>
      <c r="M542" s="58"/>
      <c r="N542" s="58"/>
      <c r="O542" s="60"/>
      <c r="P542" s="60"/>
      <c r="Q542" s="63"/>
    </row>
    <row r="543" spans="1:26" x14ac:dyDescent="0.2">
      <c r="A543" s="52"/>
      <c r="B543" s="53"/>
      <c r="C543" s="57"/>
      <c r="D543" s="54"/>
      <c r="E543" s="62"/>
      <c r="F543" s="54"/>
      <c r="G543" s="66"/>
      <c r="H543" s="66"/>
      <c r="I543" s="62"/>
      <c r="J543" s="53"/>
      <c r="K543" s="57"/>
      <c r="L543" s="52"/>
      <c r="M543" s="58"/>
      <c r="N543" s="58"/>
      <c r="O543" s="60"/>
      <c r="P543" s="60"/>
      <c r="Q543" s="63"/>
    </row>
    <row r="544" spans="1:26" x14ac:dyDescent="0.2">
      <c r="A544" s="52"/>
      <c r="B544" s="53"/>
      <c r="C544" s="57"/>
      <c r="D544" s="54"/>
      <c r="E544" s="62"/>
      <c r="F544" s="54"/>
      <c r="G544" s="66"/>
      <c r="H544" s="66"/>
      <c r="I544" s="62"/>
      <c r="J544" s="53"/>
      <c r="K544" s="57"/>
      <c r="L544" s="52"/>
      <c r="M544" s="58"/>
      <c r="N544" s="58"/>
      <c r="O544" s="60"/>
      <c r="P544" s="60"/>
      <c r="Q544" s="63"/>
    </row>
    <row r="545" spans="1:17" x14ac:dyDescent="0.2">
      <c r="A545" s="52"/>
      <c r="B545" s="53"/>
      <c r="C545" s="57"/>
      <c r="D545" s="54"/>
      <c r="E545" s="62"/>
      <c r="F545" s="54"/>
      <c r="G545" s="66"/>
      <c r="H545" s="66"/>
      <c r="I545" s="62"/>
      <c r="J545" s="53"/>
      <c r="K545" s="57"/>
      <c r="L545" s="52"/>
      <c r="M545" s="58"/>
      <c r="N545" s="58"/>
      <c r="O545" s="60"/>
      <c r="P545" s="60"/>
      <c r="Q545" s="63"/>
    </row>
    <row r="546" spans="1:17" x14ac:dyDescent="0.2">
      <c r="A546" s="52"/>
      <c r="B546" s="53"/>
      <c r="C546" s="57"/>
      <c r="D546" s="54"/>
      <c r="E546" s="62"/>
      <c r="F546" s="54"/>
      <c r="G546" s="66"/>
      <c r="H546" s="66"/>
      <c r="I546" s="62"/>
      <c r="J546" s="53"/>
      <c r="K546" s="57"/>
      <c r="L546" s="52"/>
      <c r="M546" s="58"/>
      <c r="N546" s="58"/>
      <c r="O546" s="60"/>
      <c r="P546" s="60"/>
      <c r="Q546" s="63"/>
    </row>
    <row r="547" spans="1:17" x14ac:dyDescent="0.2">
      <c r="A547" s="52"/>
      <c r="B547" s="53"/>
      <c r="C547" s="57"/>
      <c r="D547" s="54"/>
      <c r="E547" s="62"/>
      <c r="F547" s="54"/>
      <c r="G547" s="66"/>
      <c r="H547" s="66"/>
      <c r="I547" s="62"/>
      <c r="J547" s="53"/>
      <c r="K547" s="57"/>
      <c r="L547" s="52"/>
      <c r="M547" s="58"/>
      <c r="N547" s="58"/>
      <c r="O547" s="60"/>
      <c r="P547" s="60"/>
      <c r="Q547" s="63"/>
    </row>
    <row r="548" spans="1:17" x14ac:dyDescent="0.2">
      <c r="A548" s="52"/>
      <c r="B548" s="53"/>
      <c r="C548" s="57"/>
      <c r="D548" s="54"/>
      <c r="E548" s="62"/>
      <c r="F548" s="54"/>
      <c r="G548" s="66"/>
      <c r="H548" s="66"/>
      <c r="I548" s="62"/>
      <c r="J548" s="53"/>
      <c r="K548" s="57"/>
      <c r="L548" s="52"/>
      <c r="M548" s="58"/>
      <c r="N548" s="58"/>
      <c r="O548" s="60"/>
      <c r="P548" s="60"/>
      <c r="Q548" s="63"/>
    </row>
    <row r="549" spans="1:17" x14ac:dyDescent="0.2">
      <c r="A549" s="52"/>
      <c r="B549" s="53"/>
      <c r="C549" s="57"/>
      <c r="D549" s="54"/>
      <c r="E549" s="62"/>
      <c r="F549" s="54"/>
      <c r="G549" s="66"/>
      <c r="H549" s="66"/>
      <c r="I549" s="62"/>
      <c r="J549" s="53"/>
      <c r="K549" s="57"/>
      <c r="L549" s="52"/>
      <c r="M549" s="58"/>
      <c r="N549" s="58"/>
      <c r="O549" s="60"/>
      <c r="P549" s="60"/>
      <c r="Q549" s="63"/>
    </row>
    <row r="550" spans="1:17" x14ac:dyDescent="0.2">
      <c r="A550" s="52"/>
      <c r="B550" s="53"/>
      <c r="C550" s="57"/>
      <c r="D550" s="54"/>
      <c r="E550" s="62"/>
      <c r="F550" s="54"/>
      <c r="G550" s="66"/>
      <c r="H550" s="66"/>
      <c r="I550" s="62"/>
      <c r="J550" s="53"/>
      <c r="K550" s="57"/>
      <c r="L550" s="52"/>
      <c r="M550" s="58"/>
      <c r="N550" s="58"/>
      <c r="O550" s="60"/>
      <c r="P550" s="60"/>
      <c r="Q550" s="63"/>
    </row>
    <row r="551" spans="1:17" x14ac:dyDescent="0.2">
      <c r="A551" s="52"/>
      <c r="B551" s="53"/>
      <c r="C551" s="57"/>
      <c r="D551" s="54"/>
      <c r="E551" s="62"/>
      <c r="F551" s="54"/>
      <c r="G551" s="66"/>
      <c r="H551" s="66"/>
      <c r="I551" s="62"/>
      <c r="J551" s="53"/>
      <c r="K551" s="57"/>
      <c r="L551" s="52"/>
      <c r="M551" s="58"/>
      <c r="N551" s="58"/>
      <c r="O551" s="60"/>
      <c r="P551" s="60"/>
      <c r="Q551" s="63"/>
    </row>
    <row r="552" spans="1:17" x14ac:dyDescent="0.2">
      <c r="A552" s="52"/>
      <c r="B552" s="53"/>
      <c r="C552" s="57"/>
      <c r="D552" s="54"/>
      <c r="E552" s="62"/>
      <c r="F552" s="54"/>
      <c r="G552" s="66"/>
      <c r="H552" s="66"/>
      <c r="I552" s="62"/>
      <c r="J552" s="53"/>
      <c r="K552" s="57"/>
      <c r="L552" s="52"/>
      <c r="M552" s="58"/>
      <c r="N552" s="58"/>
      <c r="O552" s="60"/>
      <c r="P552" s="60"/>
      <c r="Q552" s="63"/>
    </row>
    <row r="553" spans="1:17" x14ac:dyDescent="0.2">
      <c r="A553" s="52"/>
      <c r="B553" s="53"/>
      <c r="C553" s="57"/>
      <c r="D553" s="54"/>
      <c r="E553" s="62"/>
      <c r="F553" s="54"/>
      <c r="G553" s="66"/>
      <c r="H553" s="66"/>
      <c r="I553" s="62"/>
      <c r="J553" s="53"/>
      <c r="K553" s="57"/>
      <c r="L553" s="52"/>
      <c r="M553" s="58"/>
      <c r="N553" s="62"/>
      <c r="O553" s="60"/>
      <c r="P553" s="60"/>
      <c r="Q553" s="63"/>
    </row>
    <row r="554" spans="1:17" x14ac:dyDescent="0.2">
      <c r="A554" s="52"/>
      <c r="B554" s="53"/>
      <c r="C554" s="57"/>
      <c r="D554" s="54"/>
      <c r="E554" s="62"/>
      <c r="F554" s="54"/>
      <c r="G554" s="66"/>
      <c r="H554" s="66"/>
      <c r="I554" s="62"/>
      <c r="J554" s="53"/>
      <c r="K554" s="57"/>
      <c r="L554" s="52"/>
      <c r="M554" s="58"/>
      <c r="N554" s="58"/>
      <c r="O554" s="60"/>
      <c r="P554" s="60"/>
      <c r="Q554" s="63"/>
    </row>
    <row r="555" spans="1:17" x14ac:dyDescent="0.2">
      <c r="A555" s="52"/>
      <c r="B555" s="53"/>
      <c r="C555" s="57"/>
      <c r="D555" s="54"/>
      <c r="E555" s="62"/>
      <c r="F555" s="54"/>
      <c r="G555" s="66"/>
      <c r="H555" s="66"/>
      <c r="I555" s="62"/>
      <c r="J555" s="53"/>
      <c r="K555" s="57"/>
      <c r="L555" s="52"/>
      <c r="M555" s="58"/>
      <c r="N555" s="58"/>
      <c r="O555" s="60"/>
      <c r="P555" s="60"/>
      <c r="Q555" s="63"/>
    </row>
    <row r="556" spans="1:17" x14ac:dyDescent="0.2">
      <c r="A556" s="52"/>
      <c r="B556" s="53"/>
      <c r="C556" s="57"/>
      <c r="D556" s="54"/>
      <c r="E556" s="62"/>
      <c r="F556" s="54"/>
      <c r="G556" s="66"/>
      <c r="H556" s="66"/>
      <c r="I556" s="62"/>
      <c r="J556" s="53"/>
      <c r="K556" s="57"/>
      <c r="L556" s="52"/>
      <c r="M556" s="58"/>
      <c r="N556" s="58"/>
      <c r="O556" s="60"/>
      <c r="P556" s="60"/>
      <c r="Q556" s="63"/>
    </row>
    <row r="557" spans="1:17" x14ac:dyDescent="0.2">
      <c r="A557" s="52"/>
      <c r="B557" s="53"/>
      <c r="C557" s="57"/>
      <c r="D557" s="54"/>
      <c r="E557" s="62"/>
      <c r="F557" s="54"/>
      <c r="G557" s="66"/>
      <c r="H557" s="66"/>
      <c r="I557" s="62"/>
      <c r="J557" s="53"/>
      <c r="K557" s="57"/>
      <c r="L557" s="52"/>
      <c r="M557" s="58"/>
      <c r="N557" s="58"/>
      <c r="O557" s="60"/>
      <c r="P557" s="60"/>
      <c r="Q557" s="63"/>
    </row>
    <row r="558" spans="1:17" x14ac:dyDescent="0.2">
      <c r="A558" s="52"/>
      <c r="B558" s="53"/>
      <c r="C558" s="57"/>
      <c r="D558" s="54"/>
      <c r="E558" s="62"/>
      <c r="F558" s="54"/>
      <c r="G558" s="66"/>
      <c r="H558" s="66"/>
      <c r="I558" s="62"/>
      <c r="J558" s="53"/>
      <c r="K558" s="57"/>
      <c r="L558" s="52"/>
      <c r="M558" s="58"/>
      <c r="N558" s="58"/>
      <c r="O558" s="60"/>
      <c r="P558" s="60"/>
      <c r="Q558" s="63"/>
    </row>
    <row r="559" spans="1:17" x14ac:dyDescent="0.2">
      <c r="A559" s="52"/>
      <c r="B559" s="53"/>
      <c r="C559" s="57"/>
      <c r="D559" s="54"/>
      <c r="E559" s="62"/>
      <c r="F559" s="54"/>
      <c r="G559" s="66"/>
      <c r="H559" s="66"/>
      <c r="I559" s="62"/>
      <c r="J559" s="53"/>
      <c r="K559" s="57"/>
      <c r="L559" s="52"/>
      <c r="M559" s="58"/>
      <c r="N559" s="58"/>
      <c r="O559" s="60"/>
      <c r="P559" s="60"/>
      <c r="Q559" s="63"/>
    </row>
    <row r="560" spans="1:17" x14ac:dyDescent="0.2">
      <c r="A560" s="52"/>
      <c r="B560" s="53"/>
      <c r="C560" s="57"/>
      <c r="D560" s="54"/>
      <c r="E560" s="62"/>
      <c r="F560" s="54"/>
      <c r="G560" s="66"/>
      <c r="H560" s="66"/>
      <c r="I560" s="62"/>
      <c r="J560" s="53"/>
      <c r="K560" s="57"/>
      <c r="L560" s="52"/>
      <c r="M560" s="58"/>
      <c r="N560" s="58"/>
      <c r="O560" s="60"/>
      <c r="P560" s="60"/>
      <c r="Q560" s="63"/>
    </row>
    <row r="561" spans="1:17" x14ac:dyDescent="0.2">
      <c r="A561" s="52"/>
      <c r="B561" s="53"/>
      <c r="C561" s="57"/>
      <c r="D561" s="54"/>
      <c r="E561" s="62"/>
      <c r="F561" s="54"/>
      <c r="G561" s="66"/>
      <c r="H561" s="66"/>
      <c r="I561" s="62"/>
      <c r="J561" s="53"/>
      <c r="K561" s="57"/>
      <c r="L561" s="52"/>
      <c r="M561" s="58"/>
      <c r="N561" s="58"/>
      <c r="O561" s="60"/>
      <c r="P561" s="60"/>
      <c r="Q561" s="63"/>
    </row>
    <row r="562" spans="1:17" x14ac:dyDescent="0.2">
      <c r="A562" s="52"/>
      <c r="B562" s="53"/>
      <c r="C562" s="57"/>
      <c r="D562" s="54"/>
      <c r="E562" s="62"/>
      <c r="F562" s="54"/>
      <c r="G562" s="66"/>
      <c r="H562" s="66"/>
      <c r="I562" s="62"/>
      <c r="J562" s="53"/>
      <c r="K562" s="57"/>
      <c r="L562" s="52"/>
      <c r="M562" s="58"/>
      <c r="N562" s="58"/>
      <c r="O562" s="60"/>
      <c r="P562" s="60"/>
      <c r="Q562" s="63"/>
    </row>
    <row r="563" spans="1:17" x14ac:dyDescent="0.2">
      <c r="A563" s="52"/>
      <c r="B563" s="53"/>
      <c r="C563" s="57"/>
      <c r="D563" s="54"/>
      <c r="E563" s="62"/>
      <c r="F563" s="54"/>
      <c r="G563" s="66"/>
      <c r="H563" s="66"/>
      <c r="I563" s="62"/>
      <c r="J563" s="53"/>
      <c r="K563" s="57"/>
      <c r="L563" s="52"/>
      <c r="M563" s="58"/>
      <c r="N563" s="58"/>
      <c r="O563" s="60"/>
      <c r="P563" s="60"/>
      <c r="Q563" s="63"/>
    </row>
    <row r="564" spans="1:17" x14ac:dyDescent="0.2">
      <c r="A564" s="52"/>
      <c r="B564" s="53"/>
      <c r="C564" s="57"/>
      <c r="D564" s="54"/>
      <c r="E564" s="62"/>
      <c r="F564" s="54"/>
      <c r="G564" s="66"/>
      <c r="H564" s="66"/>
      <c r="I564" s="62"/>
      <c r="J564" s="53"/>
      <c r="K564" s="57"/>
      <c r="L564" s="52"/>
      <c r="M564" s="58"/>
      <c r="N564" s="58"/>
      <c r="O564" s="60"/>
      <c r="P564" s="60"/>
      <c r="Q564" s="63"/>
    </row>
    <row r="565" spans="1:17" x14ac:dyDescent="0.2">
      <c r="A565" s="52"/>
      <c r="B565" s="53"/>
      <c r="C565" s="57"/>
      <c r="D565" s="54"/>
      <c r="E565" s="62"/>
      <c r="F565" s="54"/>
      <c r="G565" s="66"/>
      <c r="H565" s="66"/>
      <c r="I565" s="62"/>
      <c r="J565" s="53"/>
      <c r="K565" s="57"/>
      <c r="L565" s="52"/>
      <c r="M565" s="58"/>
      <c r="N565" s="58"/>
      <c r="O565" s="60"/>
      <c r="P565" s="60"/>
      <c r="Q565" s="63"/>
    </row>
    <row r="566" spans="1:17" x14ac:dyDescent="0.2">
      <c r="A566" s="52"/>
      <c r="B566" s="53"/>
      <c r="C566" s="57"/>
      <c r="D566" s="54"/>
      <c r="E566" s="62"/>
      <c r="F566" s="54"/>
      <c r="G566" s="66"/>
      <c r="H566" s="66"/>
      <c r="I566" s="62"/>
      <c r="J566" s="53"/>
      <c r="K566" s="57"/>
      <c r="L566" s="52"/>
      <c r="M566" s="58"/>
      <c r="N566" s="58"/>
      <c r="O566" s="60"/>
      <c r="P566" s="60"/>
      <c r="Q566" s="63"/>
    </row>
    <row r="567" spans="1:17" x14ac:dyDescent="0.2">
      <c r="A567" s="52"/>
      <c r="B567" s="53"/>
      <c r="C567" s="57"/>
      <c r="D567" s="54"/>
      <c r="E567" s="62"/>
      <c r="F567" s="54"/>
      <c r="G567" s="66"/>
      <c r="H567" s="66"/>
      <c r="I567" s="62"/>
      <c r="J567" s="53"/>
      <c r="K567" s="57"/>
      <c r="L567" s="52"/>
      <c r="M567" s="58"/>
      <c r="N567" s="58"/>
      <c r="O567" s="60"/>
      <c r="P567" s="60"/>
      <c r="Q567" s="63"/>
    </row>
    <row r="568" spans="1:17" x14ac:dyDescent="0.2">
      <c r="A568" s="52"/>
      <c r="B568" s="53"/>
      <c r="C568" s="57"/>
      <c r="D568" s="54"/>
      <c r="E568" s="62"/>
      <c r="F568" s="54"/>
      <c r="G568" s="66"/>
      <c r="H568" s="66"/>
      <c r="I568" s="62"/>
      <c r="J568" s="53"/>
      <c r="K568" s="57"/>
      <c r="L568" s="52"/>
      <c r="M568" s="58"/>
      <c r="N568" s="58"/>
      <c r="O568" s="60"/>
      <c r="P568" s="60"/>
      <c r="Q568" s="63"/>
    </row>
    <row r="569" spans="1:17" x14ac:dyDescent="0.2">
      <c r="A569" s="52"/>
      <c r="B569" s="53"/>
      <c r="C569" s="57"/>
      <c r="D569" s="54"/>
      <c r="E569" s="62"/>
      <c r="F569" s="54"/>
      <c r="G569" s="66"/>
      <c r="H569" s="66"/>
      <c r="I569" s="62"/>
      <c r="J569" s="53"/>
      <c r="K569" s="57"/>
      <c r="L569" s="52"/>
      <c r="M569" s="58"/>
      <c r="N569" s="58"/>
      <c r="O569" s="60"/>
      <c r="P569" s="60"/>
      <c r="Q569" s="63"/>
    </row>
    <row r="570" spans="1:17" x14ac:dyDescent="0.2">
      <c r="A570" s="52"/>
      <c r="B570" s="53"/>
      <c r="C570" s="57"/>
      <c r="D570" s="54"/>
      <c r="E570" s="62"/>
      <c r="F570" s="54"/>
      <c r="G570" s="66"/>
      <c r="H570" s="66"/>
      <c r="I570" s="62"/>
      <c r="J570" s="53"/>
      <c r="K570" s="57"/>
      <c r="L570" s="52"/>
      <c r="M570" s="58"/>
      <c r="N570" s="58"/>
      <c r="O570" s="60"/>
      <c r="P570" s="60"/>
      <c r="Q570" s="63"/>
    </row>
    <row r="571" spans="1:17" x14ac:dyDescent="0.2">
      <c r="A571" s="52"/>
      <c r="B571" s="53"/>
      <c r="C571" s="57"/>
      <c r="D571" s="54"/>
      <c r="E571" s="62"/>
      <c r="F571" s="54"/>
      <c r="G571" s="66"/>
      <c r="H571" s="66"/>
      <c r="I571" s="62"/>
      <c r="J571" s="53"/>
      <c r="K571" s="57"/>
      <c r="L571" s="52"/>
      <c r="M571" s="58"/>
      <c r="N571" s="58"/>
      <c r="O571" s="60"/>
      <c r="P571" s="60"/>
      <c r="Q571" s="63"/>
    </row>
    <row r="572" spans="1:17" x14ac:dyDescent="0.2">
      <c r="A572" s="52"/>
      <c r="B572" s="53"/>
      <c r="C572" s="57"/>
      <c r="D572" s="54"/>
      <c r="E572" s="62"/>
      <c r="F572" s="54"/>
      <c r="G572" s="66"/>
      <c r="H572" s="66"/>
      <c r="I572" s="62"/>
      <c r="J572" s="53"/>
      <c r="K572" s="57"/>
      <c r="L572" s="52"/>
      <c r="M572" s="58"/>
      <c r="N572" s="58"/>
      <c r="O572" s="60"/>
      <c r="P572" s="60"/>
      <c r="Q572" s="63"/>
    </row>
    <row r="573" spans="1:17" x14ac:dyDescent="0.2">
      <c r="A573" s="52"/>
      <c r="B573" s="53"/>
      <c r="C573" s="57"/>
      <c r="D573" s="54"/>
      <c r="E573" s="62"/>
      <c r="F573" s="54"/>
      <c r="G573" s="66"/>
      <c r="H573" s="66"/>
      <c r="I573" s="62"/>
      <c r="J573" s="53"/>
      <c r="K573" s="57"/>
      <c r="L573" s="52"/>
      <c r="M573" s="58"/>
      <c r="N573" s="58"/>
      <c r="O573" s="60"/>
      <c r="P573" s="60"/>
      <c r="Q573" s="63"/>
    </row>
    <row r="574" spans="1:17" x14ac:dyDescent="0.2">
      <c r="A574" s="52"/>
      <c r="B574" s="53"/>
      <c r="C574" s="57"/>
      <c r="D574" s="54"/>
      <c r="E574" s="62"/>
      <c r="F574" s="54"/>
      <c r="G574" s="66"/>
      <c r="H574" s="66"/>
      <c r="I574" s="62"/>
      <c r="J574" s="53"/>
      <c r="K574" s="57"/>
      <c r="L574" s="52"/>
      <c r="M574" s="58"/>
      <c r="N574" s="58"/>
      <c r="O574" s="60"/>
      <c r="P574" s="60"/>
      <c r="Q574" s="63"/>
    </row>
    <row r="575" spans="1:17" x14ac:dyDescent="0.2">
      <c r="A575" s="52"/>
      <c r="B575" s="53"/>
      <c r="C575" s="57"/>
      <c r="D575" s="54"/>
      <c r="E575" s="62"/>
      <c r="F575" s="54"/>
      <c r="G575" s="66"/>
      <c r="H575" s="66"/>
      <c r="I575" s="62"/>
      <c r="J575" s="53"/>
      <c r="K575" s="57"/>
      <c r="L575" s="52"/>
      <c r="M575" s="58"/>
      <c r="N575" s="58"/>
      <c r="O575" s="60"/>
      <c r="P575" s="60"/>
      <c r="Q575" s="63"/>
    </row>
    <row r="576" spans="1:17" x14ac:dyDescent="0.2">
      <c r="A576" s="52"/>
      <c r="B576" s="53"/>
      <c r="C576" s="57"/>
      <c r="D576" s="54"/>
      <c r="E576" s="62"/>
      <c r="F576" s="54"/>
      <c r="G576" s="66"/>
      <c r="H576" s="66"/>
      <c r="I576" s="62"/>
      <c r="J576" s="53"/>
      <c r="K576" s="57"/>
      <c r="L576" s="52"/>
      <c r="M576" s="58"/>
      <c r="N576" s="58"/>
      <c r="O576" s="60"/>
      <c r="P576" s="60"/>
      <c r="Q576" s="63"/>
    </row>
    <row r="577" spans="1:17" x14ac:dyDescent="0.2">
      <c r="A577" s="52"/>
      <c r="B577" s="53"/>
      <c r="C577" s="57"/>
      <c r="D577" s="54"/>
      <c r="E577" s="62"/>
      <c r="F577" s="54"/>
      <c r="G577" s="66"/>
      <c r="H577" s="66"/>
      <c r="I577" s="62"/>
      <c r="J577" s="53"/>
      <c r="K577" s="57"/>
      <c r="L577" s="52"/>
      <c r="M577" s="58"/>
      <c r="N577" s="58"/>
      <c r="O577" s="60"/>
      <c r="P577" s="60"/>
      <c r="Q577" s="63"/>
    </row>
    <row r="578" spans="1:17" x14ac:dyDescent="0.2">
      <c r="A578" s="52"/>
      <c r="B578" s="53"/>
      <c r="C578" s="57"/>
      <c r="D578" s="54"/>
      <c r="E578" s="62"/>
      <c r="F578" s="54"/>
      <c r="G578" s="66"/>
      <c r="H578" s="66"/>
      <c r="I578" s="62"/>
      <c r="J578" s="53"/>
      <c r="K578" s="57"/>
      <c r="L578" s="52"/>
      <c r="M578" s="58"/>
      <c r="N578" s="58"/>
      <c r="O578" s="60"/>
      <c r="P578" s="60"/>
      <c r="Q578" s="63"/>
    </row>
    <row r="579" spans="1:17" x14ac:dyDescent="0.2">
      <c r="A579" s="52"/>
      <c r="B579" s="53"/>
      <c r="C579" s="57"/>
      <c r="D579" s="54"/>
      <c r="E579" s="62"/>
      <c r="F579" s="54"/>
      <c r="G579" s="66"/>
      <c r="H579" s="66"/>
      <c r="I579" s="62"/>
      <c r="J579" s="53"/>
      <c r="K579" s="57"/>
      <c r="L579" s="52"/>
      <c r="M579" s="58"/>
      <c r="N579" s="58"/>
      <c r="O579" s="60"/>
      <c r="P579" s="60"/>
      <c r="Q579" s="63"/>
    </row>
    <row r="580" spans="1:17" x14ac:dyDescent="0.2">
      <c r="A580" s="52"/>
      <c r="B580" s="53"/>
      <c r="C580" s="57"/>
      <c r="D580" s="54"/>
      <c r="E580" s="62"/>
      <c r="F580" s="54"/>
      <c r="G580" s="66"/>
      <c r="H580" s="66"/>
      <c r="I580" s="62"/>
      <c r="J580" s="53"/>
      <c r="K580" s="57"/>
      <c r="L580" s="52"/>
      <c r="M580" s="58"/>
      <c r="N580" s="58"/>
      <c r="O580" s="60"/>
      <c r="P580" s="60"/>
      <c r="Q580" s="63"/>
    </row>
    <row r="581" spans="1:17" x14ac:dyDescent="0.2">
      <c r="A581" s="52"/>
      <c r="B581" s="53"/>
      <c r="C581" s="57"/>
      <c r="D581" s="54"/>
      <c r="E581" s="62"/>
      <c r="F581" s="54"/>
      <c r="G581" s="66"/>
      <c r="H581" s="66"/>
      <c r="I581" s="62"/>
      <c r="J581" s="53"/>
      <c r="K581" s="57"/>
      <c r="L581" s="52"/>
      <c r="M581" s="58"/>
      <c r="N581" s="58"/>
      <c r="O581" s="60"/>
      <c r="P581" s="60"/>
      <c r="Q581" s="63"/>
    </row>
    <row r="582" spans="1:17" x14ac:dyDescent="0.2">
      <c r="A582" s="52"/>
      <c r="B582" s="53"/>
      <c r="C582" s="57"/>
      <c r="D582" s="54"/>
      <c r="E582" s="62"/>
      <c r="F582" s="54"/>
      <c r="G582" s="66"/>
      <c r="H582" s="66"/>
      <c r="I582" s="62"/>
      <c r="J582" s="53"/>
      <c r="K582" s="57"/>
      <c r="L582" s="52"/>
      <c r="M582" s="58"/>
      <c r="N582" s="58"/>
      <c r="O582" s="60"/>
      <c r="P582" s="60"/>
      <c r="Q582" s="63"/>
    </row>
    <row r="583" spans="1:17" x14ac:dyDescent="0.2">
      <c r="A583" s="52"/>
      <c r="B583" s="53"/>
      <c r="C583" s="57"/>
      <c r="D583" s="54"/>
      <c r="E583" s="62"/>
      <c r="F583" s="54"/>
      <c r="G583" s="66"/>
      <c r="H583" s="66"/>
      <c r="I583" s="62"/>
      <c r="J583" s="53"/>
      <c r="K583" s="57"/>
      <c r="L583" s="52"/>
      <c r="M583" s="58"/>
      <c r="N583" s="58"/>
      <c r="O583" s="60"/>
      <c r="P583" s="60"/>
      <c r="Q583" s="63"/>
    </row>
    <row r="584" spans="1:17" x14ac:dyDescent="0.2">
      <c r="A584" s="52"/>
      <c r="B584" s="53"/>
      <c r="C584" s="57"/>
      <c r="D584" s="54"/>
      <c r="E584" s="62"/>
      <c r="F584" s="54"/>
      <c r="G584" s="66"/>
      <c r="H584" s="66"/>
      <c r="I584" s="62"/>
      <c r="J584" s="53"/>
      <c r="K584" s="57"/>
      <c r="L584" s="52"/>
      <c r="M584" s="58"/>
      <c r="N584" s="58"/>
      <c r="O584" s="60"/>
      <c r="P584" s="60"/>
      <c r="Q584" s="63"/>
    </row>
    <row r="585" spans="1:17" x14ac:dyDescent="0.2">
      <c r="A585" s="52"/>
      <c r="B585" s="53"/>
      <c r="C585" s="57"/>
      <c r="D585" s="54"/>
      <c r="E585" s="62"/>
      <c r="F585" s="54"/>
      <c r="G585" s="66"/>
      <c r="H585" s="66"/>
      <c r="I585" s="62"/>
      <c r="J585" s="53"/>
      <c r="K585" s="57"/>
      <c r="L585" s="52"/>
      <c r="M585" s="58"/>
      <c r="N585" s="58"/>
      <c r="O585" s="60"/>
      <c r="P585" s="60"/>
      <c r="Q585" s="63"/>
    </row>
    <row r="586" spans="1:17" x14ac:dyDescent="0.2">
      <c r="A586" s="52"/>
      <c r="B586" s="53"/>
      <c r="C586" s="57"/>
      <c r="D586" s="54"/>
      <c r="E586" s="62"/>
      <c r="F586" s="54"/>
      <c r="G586" s="66"/>
      <c r="H586" s="66"/>
      <c r="I586" s="62"/>
      <c r="J586" s="53"/>
      <c r="K586" s="57"/>
      <c r="L586" s="52"/>
      <c r="M586" s="58"/>
      <c r="N586" s="58"/>
      <c r="O586" s="60"/>
      <c r="P586" s="60"/>
      <c r="Q586" s="63"/>
    </row>
    <row r="587" spans="1:17" x14ac:dyDescent="0.2">
      <c r="A587" s="52"/>
      <c r="B587" s="53"/>
      <c r="C587" s="57"/>
      <c r="D587" s="54"/>
      <c r="E587" s="62"/>
      <c r="F587" s="54"/>
      <c r="G587" s="66"/>
      <c r="H587" s="66"/>
      <c r="I587" s="62"/>
      <c r="J587" s="53"/>
      <c r="K587" s="57"/>
      <c r="L587" s="52"/>
      <c r="M587" s="58"/>
      <c r="N587" s="58"/>
      <c r="O587" s="60"/>
      <c r="P587" s="60"/>
      <c r="Q587" s="63"/>
    </row>
    <row r="588" spans="1:17" x14ac:dyDescent="0.2">
      <c r="A588" s="52"/>
      <c r="B588" s="53"/>
      <c r="C588" s="57"/>
      <c r="D588" s="54"/>
      <c r="E588" s="62"/>
      <c r="F588" s="54"/>
      <c r="G588" s="66"/>
      <c r="H588" s="66"/>
      <c r="I588" s="62"/>
      <c r="J588" s="53"/>
      <c r="K588" s="57"/>
      <c r="L588" s="52"/>
      <c r="M588" s="58"/>
      <c r="N588" s="58"/>
      <c r="O588" s="60"/>
      <c r="P588" s="60"/>
      <c r="Q588" s="63"/>
    </row>
    <row r="589" spans="1:17" x14ac:dyDescent="0.2">
      <c r="A589" s="52"/>
      <c r="B589" s="53"/>
      <c r="C589" s="57"/>
      <c r="D589" s="54"/>
      <c r="E589" s="62"/>
      <c r="F589" s="54"/>
      <c r="G589" s="66"/>
      <c r="H589" s="66"/>
      <c r="I589" s="62"/>
      <c r="J589" s="53"/>
      <c r="K589" s="57"/>
      <c r="L589" s="52"/>
      <c r="M589" s="58"/>
      <c r="N589" s="58"/>
      <c r="O589" s="60"/>
      <c r="P589" s="60"/>
      <c r="Q589" s="63"/>
    </row>
    <row r="590" spans="1:17" x14ac:dyDescent="0.2">
      <c r="A590" s="52"/>
      <c r="B590" s="53"/>
      <c r="C590" s="57"/>
      <c r="D590" s="54"/>
      <c r="E590" s="62"/>
      <c r="F590" s="54"/>
      <c r="G590" s="66"/>
      <c r="H590" s="66"/>
      <c r="I590" s="62"/>
      <c r="J590" s="53"/>
      <c r="K590" s="57"/>
      <c r="L590" s="52"/>
      <c r="M590" s="58"/>
      <c r="N590" s="58"/>
      <c r="O590" s="60"/>
      <c r="P590" s="60"/>
      <c r="Q590" s="63"/>
    </row>
    <row r="591" spans="1:17" x14ac:dyDescent="0.2">
      <c r="A591" s="52"/>
      <c r="B591" s="53"/>
      <c r="C591" s="57"/>
      <c r="D591" s="54"/>
      <c r="E591" s="62"/>
      <c r="F591" s="54"/>
      <c r="G591" s="66"/>
      <c r="H591" s="66"/>
      <c r="I591" s="62"/>
      <c r="J591" s="53"/>
      <c r="K591" s="57"/>
      <c r="L591" s="52"/>
      <c r="M591" s="58"/>
      <c r="N591" s="58"/>
      <c r="O591" s="60"/>
      <c r="P591" s="60"/>
      <c r="Q591" s="63"/>
    </row>
    <row r="592" spans="1:17" x14ac:dyDescent="0.2">
      <c r="A592" s="52"/>
      <c r="B592" s="53"/>
      <c r="C592" s="57"/>
      <c r="D592" s="54"/>
      <c r="E592" s="62"/>
      <c r="F592" s="54"/>
      <c r="G592" s="66"/>
      <c r="H592" s="66"/>
      <c r="I592" s="62"/>
      <c r="J592" s="53"/>
      <c r="K592" s="57"/>
      <c r="L592" s="52"/>
      <c r="M592" s="58"/>
      <c r="N592" s="58"/>
      <c r="O592" s="60"/>
      <c r="P592" s="60"/>
      <c r="Q592" s="63"/>
    </row>
    <row r="593" spans="1:17" x14ac:dyDescent="0.2">
      <c r="A593" s="52"/>
      <c r="B593" s="53"/>
      <c r="C593" s="57"/>
      <c r="D593" s="54"/>
      <c r="E593" s="62"/>
      <c r="F593" s="54"/>
      <c r="G593" s="66"/>
      <c r="H593" s="66"/>
      <c r="I593" s="62"/>
      <c r="J593" s="53"/>
      <c r="K593" s="57"/>
      <c r="L593" s="52"/>
      <c r="M593" s="58"/>
      <c r="N593" s="58"/>
      <c r="O593" s="60"/>
      <c r="P593" s="60"/>
      <c r="Q593" s="63"/>
    </row>
    <row r="594" spans="1:17" x14ac:dyDescent="0.2">
      <c r="A594" s="52"/>
      <c r="B594" s="53"/>
      <c r="C594" s="57"/>
      <c r="D594" s="54"/>
      <c r="E594" s="62"/>
      <c r="F594" s="54"/>
      <c r="G594" s="66"/>
      <c r="H594" s="66"/>
      <c r="I594" s="62"/>
      <c r="J594" s="53"/>
      <c r="K594" s="57"/>
      <c r="L594" s="52"/>
      <c r="M594" s="58"/>
      <c r="N594" s="58"/>
      <c r="O594" s="60"/>
      <c r="P594" s="60"/>
      <c r="Q594" s="63"/>
    </row>
    <row r="595" spans="1:17" x14ac:dyDescent="0.2">
      <c r="A595" s="52"/>
      <c r="B595" s="53"/>
      <c r="C595" s="57"/>
      <c r="D595" s="54"/>
      <c r="E595" s="62"/>
      <c r="F595" s="54"/>
      <c r="G595" s="66"/>
      <c r="H595" s="66"/>
      <c r="I595" s="62"/>
      <c r="J595" s="53"/>
      <c r="K595" s="57"/>
      <c r="L595" s="52"/>
      <c r="M595" s="58"/>
      <c r="N595" s="58"/>
      <c r="O595" s="60"/>
      <c r="P595" s="60"/>
      <c r="Q595" s="63"/>
    </row>
    <row r="596" spans="1:17" x14ac:dyDescent="0.2">
      <c r="A596" s="52"/>
      <c r="B596" s="53"/>
      <c r="C596" s="57"/>
      <c r="D596" s="54"/>
      <c r="E596" s="62"/>
      <c r="F596" s="54"/>
      <c r="G596" s="66"/>
      <c r="H596" s="66"/>
      <c r="I596" s="62"/>
      <c r="J596" s="53"/>
      <c r="K596" s="57"/>
      <c r="L596" s="52"/>
      <c r="M596" s="58"/>
      <c r="N596" s="58"/>
      <c r="O596" s="60"/>
      <c r="P596" s="60"/>
      <c r="Q596" s="63"/>
    </row>
    <row r="597" spans="1:17" x14ac:dyDescent="0.2">
      <c r="A597" s="52"/>
      <c r="B597" s="53"/>
      <c r="C597" s="57"/>
      <c r="D597" s="54"/>
      <c r="E597" s="62"/>
      <c r="F597" s="54"/>
      <c r="G597" s="66"/>
      <c r="H597" s="66"/>
      <c r="I597" s="62"/>
      <c r="J597" s="53"/>
      <c r="K597" s="57"/>
      <c r="L597" s="52"/>
      <c r="M597" s="58"/>
      <c r="N597" s="58"/>
      <c r="O597" s="60"/>
      <c r="P597" s="60"/>
      <c r="Q597" s="63"/>
    </row>
    <row r="598" spans="1:17" x14ac:dyDescent="0.2">
      <c r="A598" s="52"/>
      <c r="B598" s="53"/>
      <c r="C598" s="57"/>
      <c r="D598" s="54"/>
      <c r="E598" s="62"/>
      <c r="F598" s="54"/>
      <c r="G598" s="66"/>
      <c r="H598" s="66"/>
      <c r="I598" s="62"/>
      <c r="J598" s="53"/>
      <c r="K598" s="57"/>
      <c r="L598" s="52"/>
      <c r="M598" s="58"/>
      <c r="N598" s="58"/>
      <c r="O598" s="60"/>
      <c r="P598" s="60"/>
      <c r="Q598" s="63"/>
    </row>
    <row r="599" spans="1:17" x14ac:dyDescent="0.2">
      <c r="A599" s="52"/>
      <c r="B599" s="53"/>
      <c r="C599" s="57"/>
      <c r="D599" s="54"/>
      <c r="E599" s="62"/>
      <c r="F599" s="54"/>
      <c r="G599" s="66"/>
      <c r="H599" s="66"/>
      <c r="I599" s="62"/>
      <c r="J599" s="53"/>
      <c r="K599" s="57"/>
      <c r="L599" s="52"/>
      <c r="M599" s="58"/>
      <c r="N599" s="58"/>
      <c r="O599" s="60"/>
      <c r="P599" s="60"/>
      <c r="Q599" s="63"/>
    </row>
    <row r="600" spans="1:17" x14ac:dyDescent="0.2">
      <c r="A600" s="52"/>
      <c r="B600" s="53"/>
      <c r="C600" s="57"/>
      <c r="D600" s="54"/>
      <c r="E600" s="62"/>
      <c r="F600" s="54"/>
      <c r="G600" s="66"/>
      <c r="H600" s="66"/>
      <c r="I600" s="62"/>
      <c r="J600" s="53"/>
      <c r="K600" s="57"/>
      <c r="L600" s="52"/>
      <c r="M600" s="58"/>
      <c r="N600" s="58"/>
      <c r="O600" s="60"/>
      <c r="P600" s="60"/>
      <c r="Q600" s="63"/>
    </row>
    <row r="601" spans="1:17" x14ac:dyDescent="0.2">
      <c r="A601" s="52"/>
      <c r="B601" s="53"/>
      <c r="C601" s="57"/>
      <c r="D601" s="54"/>
      <c r="E601" s="62"/>
      <c r="F601" s="54"/>
      <c r="G601" s="66"/>
      <c r="H601" s="66"/>
      <c r="I601" s="62"/>
      <c r="J601" s="53"/>
      <c r="K601" s="57"/>
      <c r="L601" s="52"/>
      <c r="M601" s="58"/>
      <c r="N601" s="58"/>
      <c r="O601" s="60"/>
      <c r="P601" s="60"/>
      <c r="Q601" s="63"/>
    </row>
    <row r="602" spans="1:17" x14ac:dyDescent="0.2">
      <c r="A602" s="52"/>
      <c r="B602" s="53"/>
      <c r="C602" s="57"/>
      <c r="D602" s="54"/>
      <c r="E602" s="62"/>
      <c r="F602" s="54"/>
      <c r="G602" s="66"/>
      <c r="H602" s="66"/>
      <c r="I602" s="62"/>
      <c r="J602" s="53"/>
      <c r="K602" s="57"/>
      <c r="L602" s="52"/>
      <c r="M602" s="58"/>
      <c r="N602" s="58"/>
      <c r="O602" s="60"/>
      <c r="P602" s="60"/>
      <c r="Q602" s="63"/>
    </row>
    <row r="603" spans="1:17" x14ac:dyDescent="0.2">
      <c r="A603" s="52"/>
      <c r="B603" s="53"/>
      <c r="C603" s="57"/>
      <c r="D603" s="54"/>
      <c r="E603" s="62"/>
      <c r="F603" s="54"/>
      <c r="G603" s="66"/>
      <c r="H603" s="66"/>
      <c r="I603" s="62"/>
      <c r="J603" s="53"/>
      <c r="K603" s="57"/>
      <c r="L603" s="52"/>
      <c r="M603" s="58"/>
      <c r="N603" s="58"/>
      <c r="O603" s="60"/>
      <c r="P603" s="60"/>
      <c r="Q603" s="63"/>
    </row>
    <row r="604" spans="1:17" x14ac:dyDescent="0.2">
      <c r="A604" s="52"/>
      <c r="B604" s="53"/>
      <c r="C604" s="57"/>
      <c r="D604" s="54"/>
      <c r="E604" s="62"/>
      <c r="F604" s="54"/>
      <c r="G604" s="66"/>
      <c r="H604" s="66"/>
      <c r="I604" s="62"/>
      <c r="J604" s="53"/>
      <c r="K604" s="57"/>
      <c r="L604" s="52"/>
      <c r="M604" s="58"/>
      <c r="N604" s="58"/>
      <c r="O604" s="60"/>
      <c r="P604" s="60"/>
      <c r="Q604" s="63"/>
    </row>
    <row r="605" spans="1:17" x14ac:dyDescent="0.2">
      <c r="A605" s="52"/>
      <c r="B605" s="53"/>
      <c r="C605" s="57"/>
      <c r="D605" s="54"/>
      <c r="E605" s="62"/>
      <c r="F605" s="54"/>
      <c r="G605" s="66"/>
      <c r="H605" s="66"/>
      <c r="I605" s="62"/>
      <c r="J605" s="53"/>
      <c r="K605" s="57"/>
      <c r="L605" s="52"/>
      <c r="M605" s="58"/>
      <c r="N605" s="58"/>
      <c r="O605" s="60"/>
      <c r="P605" s="60"/>
      <c r="Q605" s="63"/>
    </row>
    <row r="606" spans="1:17" x14ac:dyDescent="0.2">
      <c r="A606" s="52"/>
      <c r="B606" s="53"/>
      <c r="C606" s="57"/>
      <c r="D606" s="54"/>
      <c r="E606" s="62"/>
      <c r="F606" s="54"/>
      <c r="G606" s="66"/>
      <c r="H606" s="66"/>
      <c r="I606" s="62"/>
      <c r="J606" s="53"/>
      <c r="K606" s="57"/>
      <c r="L606" s="52"/>
      <c r="M606" s="58"/>
      <c r="N606" s="59"/>
      <c r="O606" s="71"/>
      <c r="P606" s="60"/>
      <c r="Q606" s="63"/>
    </row>
    <row r="607" spans="1:17" x14ac:dyDescent="0.2">
      <c r="A607" s="52"/>
      <c r="B607" s="53"/>
      <c r="C607" s="57"/>
      <c r="D607" s="54"/>
      <c r="E607" s="62"/>
      <c r="F607" s="54"/>
      <c r="G607" s="66"/>
      <c r="H607" s="66"/>
      <c r="I607" s="62"/>
      <c r="J607" s="53"/>
      <c r="K607" s="57"/>
      <c r="L607" s="52"/>
      <c r="M607" s="58"/>
      <c r="N607" s="58"/>
      <c r="O607" s="60"/>
      <c r="P607" s="60"/>
      <c r="Q607" s="63"/>
    </row>
    <row r="608" spans="1:17" x14ac:dyDescent="0.2">
      <c r="A608" s="52"/>
      <c r="B608" s="53"/>
      <c r="C608" s="57"/>
      <c r="D608" s="54"/>
      <c r="E608" s="62"/>
      <c r="F608" s="54"/>
      <c r="G608" s="66"/>
      <c r="H608" s="66"/>
      <c r="I608" s="62"/>
      <c r="J608" s="53"/>
      <c r="K608" s="57"/>
      <c r="L608" s="52"/>
      <c r="M608" s="58"/>
      <c r="N608" s="58"/>
      <c r="O608" s="60"/>
      <c r="P608" s="60"/>
      <c r="Q608" s="63"/>
    </row>
    <row r="609" spans="1:17" x14ac:dyDescent="0.2">
      <c r="A609" s="52"/>
      <c r="B609" s="53"/>
      <c r="C609" s="57"/>
      <c r="D609" s="54"/>
      <c r="E609" s="62"/>
      <c r="F609" s="54"/>
      <c r="G609" s="66"/>
      <c r="H609" s="66"/>
      <c r="I609" s="62"/>
      <c r="J609" s="53"/>
      <c r="K609" s="57"/>
      <c r="L609" s="52"/>
      <c r="M609" s="58"/>
      <c r="N609" s="58"/>
      <c r="O609" s="60"/>
      <c r="P609" s="60"/>
      <c r="Q609" s="63"/>
    </row>
    <row r="610" spans="1:17" x14ac:dyDescent="0.2">
      <c r="A610" s="52"/>
      <c r="B610" s="53"/>
      <c r="C610" s="57"/>
      <c r="D610" s="54"/>
      <c r="E610" s="62"/>
      <c r="F610" s="54"/>
      <c r="G610" s="66"/>
      <c r="H610" s="66"/>
      <c r="I610" s="62"/>
      <c r="J610" s="53"/>
      <c r="K610" s="57"/>
      <c r="L610" s="52"/>
      <c r="M610" s="58"/>
      <c r="N610" s="58"/>
      <c r="O610" s="60"/>
      <c r="P610" s="60"/>
      <c r="Q610" s="63"/>
    </row>
    <row r="611" spans="1:17" x14ac:dyDescent="0.2">
      <c r="A611" s="52"/>
      <c r="B611" s="53"/>
      <c r="C611" s="57"/>
      <c r="D611" s="54"/>
      <c r="E611" s="62"/>
      <c r="F611" s="54"/>
      <c r="G611" s="66"/>
      <c r="H611" s="66"/>
      <c r="I611" s="62"/>
      <c r="J611" s="53"/>
      <c r="K611" s="57"/>
      <c r="L611" s="52"/>
      <c r="M611" s="58"/>
      <c r="N611" s="58"/>
      <c r="O611" s="60"/>
      <c r="P611" s="60"/>
      <c r="Q611" s="63"/>
    </row>
    <row r="612" spans="1:17" x14ac:dyDescent="0.2">
      <c r="A612" s="52"/>
      <c r="B612" s="53"/>
      <c r="C612" s="57"/>
      <c r="D612" s="54"/>
      <c r="E612" s="62"/>
      <c r="F612" s="54"/>
      <c r="G612" s="66"/>
      <c r="H612" s="66"/>
      <c r="I612" s="62"/>
      <c r="J612" s="53"/>
      <c r="K612" s="57"/>
      <c r="L612" s="52"/>
      <c r="M612" s="58"/>
      <c r="N612" s="58"/>
      <c r="O612" s="60"/>
      <c r="P612" s="60"/>
      <c r="Q612" s="63"/>
    </row>
    <row r="613" spans="1:17" x14ac:dyDescent="0.2">
      <c r="A613" s="52"/>
      <c r="B613" s="53"/>
      <c r="C613" s="57"/>
      <c r="D613" s="54"/>
      <c r="E613" s="62"/>
      <c r="F613" s="54"/>
      <c r="G613" s="66"/>
      <c r="H613" s="66"/>
      <c r="I613" s="62"/>
      <c r="J613" s="53"/>
      <c r="K613" s="57"/>
      <c r="L613" s="52"/>
      <c r="M613" s="58"/>
      <c r="N613" s="58"/>
      <c r="O613" s="60"/>
      <c r="P613" s="60"/>
      <c r="Q613" s="63"/>
    </row>
    <row r="614" spans="1:17" x14ac:dyDescent="0.2">
      <c r="A614" s="52"/>
      <c r="B614" s="53"/>
      <c r="C614" s="57"/>
      <c r="D614" s="54"/>
      <c r="E614" s="62"/>
      <c r="F614" s="54"/>
      <c r="G614" s="66"/>
      <c r="H614" s="66"/>
      <c r="I614" s="62"/>
      <c r="J614" s="53"/>
      <c r="K614" s="57"/>
      <c r="L614" s="52"/>
      <c r="M614" s="58"/>
      <c r="N614" s="58"/>
      <c r="O614" s="60"/>
      <c r="P614" s="60"/>
      <c r="Q614" s="63"/>
    </row>
    <row r="615" spans="1:17" x14ac:dyDescent="0.2">
      <c r="A615" s="52"/>
      <c r="B615" s="53"/>
      <c r="C615" s="57"/>
      <c r="D615" s="54"/>
      <c r="E615" s="62"/>
      <c r="F615" s="54"/>
      <c r="G615" s="66"/>
      <c r="H615" s="66"/>
      <c r="I615" s="62"/>
      <c r="J615" s="53"/>
      <c r="K615" s="57"/>
      <c r="L615" s="52"/>
      <c r="M615" s="58"/>
      <c r="N615" s="58"/>
      <c r="O615" s="60"/>
      <c r="P615" s="60"/>
      <c r="Q615" s="63"/>
    </row>
    <row r="616" spans="1:17" x14ac:dyDescent="0.2">
      <c r="A616" s="52"/>
      <c r="B616" s="53"/>
      <c r="C616" s="57"/>
      <c r="D616" s="54"/>
      <c r="E616" s="62"/>
      <c r="F616" s="54"/>
      <c r="G616" s="66"/>
      <c r="H616" s="66"/>
      <c r="I616" s="62"/>
      <c r="J616" s="53"/>
      <c r="K616" s="57"/>
      <c r="L616" s="52"/>
      <c r="M616" s="58"/>
      <c r="N616" s="58"/>
      <c r="O616" s="60"/>
      <c r="P616" s="60"/>
      <c r="Q616" s="63"/>
    </row>
    <row r="617" spans="1:17" x14ac:dyDescent="0.2">
      <c r="A617" s="52"/>
      <c r="B617" s="53"/>
      <c r="C617" s="57"/>
      <c r="D617" s="54"/>
      <c r="E617" s="62"/>
      <c r="F617" s="54"/>
      <c r="G617" s="66"/>
      <c r="H617" s="66"/>
      <c r="I617" s="62"/>
      <c r="J617" s="53"/>
      <c r="K617" s="57"/>
      <c r="L617" s="52"/>
      <c r="M617" s="58"/>
      <c r="N617" s="58"/>
      <c r="O617" s="60"/>
      <c r="P617" s="60"/>
      <c r="Q617" s="63"/>
    </row>
    <row r="618" spans="1:17" x14ac:dyDescent="0.2">
      <c r="A618" s="52"/>
      <c r="B618" s="53"/>
      <c r="C618" s="57"/>
      <c r="D618" s="54"/>
      <c r="E618" s="62"/>
      <c r="F618" s="54"/>
      <c r="G618" s="66"/>
      <c r="H618" s="66"/>
      <c r="I618" s="62"/>
      <c r="J618" s="53"/>
      <c r="K618" s="57"/>
      <c r="L618" s="52"/>
      <c r="M618" s="58"/>
      <c r="N618" s="58"/>
      <c r="O618" s="60"/>
      <c r="P618" s="60"/>
      <c r="Q618" s="63"/>
    </row>
    <row r="619" spans="1:17" x14ac:dyDescent="0.2">
      <c r="A619" s="52"/>
      <c r="B619" s="53"/>
      <c r="C619" s="57"/>
      <c r="D619" s="54"/>
      <c r="E619" s="62"/>
      <c r="F619" s="54"/>
      <c r="G619" s="66"/>
      <c r="H619" s="66"/>
      <c r="I619" s="62"/>
      <c r="J619" s="53"/>
      <c r="K619" s="57"/>
      <c r="L619" s="52"/>
      <c r="M619" s="58"/>
      <c r="N619" s="58"/>
      <c r="O619" s="60"/>
      <c r="P619" s="60"/>
      <c r="Q619" s="63"/>
    </row>
    <row r="620" spans="1:17" x14ac:dyDescent="0.2">
      <c r="A620" s="52"/>
      <c r="B620" s="53"/>
      <c r="C620" s="57"/>
      <c r="D620" s="54"/>
      <c r="E620" s="62"/>
      <c r="F620" s="54"/>
      <c r="G620" s="66"/>
      <c r="H620" s="66"/>
      <c r="I620" s="62"/>
      <c r="J620" s="53"/>
      <c r="K620" s="57"/>
      <c r="L620" s="52"/>
      <c r="M620" s="58"/>
      <c r="N620" s="58"/>
      <c r="O620" s="60"/>
      <c r="P620" s="60"/>
      <c r="Q620" s="63"/>
    </row>
    <row r="621" spans="1:17" x14ac:dyDescent="0.2">
      <c r="A621" s="52"/>
      <c r="B621" s="53"/>
      <c r="C621" s="57"/>
      <c r="D621" s="54"/>
      <c r="E621" s="62"/>
      <c r="F621" s="54"/>
      <c r="G621" s="66"/>
      <c r="H621" s="66"/>
      <c r="I621" s="62"/>
      <c r="J621" s="53"/>
      <c r="K621" s="57"/>
      <c r="L621" s="52"/>
      <c r="M621" s="58"/>
      <c r="N621" s="58"/>
      <c r="O621" s="60"/>
      <c r="P621" s="60"/>
      <c r="Q621" s="63"/>
    </row>
    <row r="622" spans="1:17" x14ac:dyDescent="0.2">
      <c r="A622" s="52"/>
      <c r="B622" s="53"/>
      <c r="C622" s="57"/>
      <c r="D622" s="54"/>
      <c r="E622" s="62"/>
      <c r="F622" s="54"/>
      <c r="G622" s="66"/>
      <c r="H622" s="66"/>
      <c r="I622" s="62"/>
      <c r="J622" s="53"/>
      <c r="K622" s="57"/>
      <c r="L622" s="52"/>
      <c r="M622" s="58"/>
      <c r="N622" s="58"/>
      <c r="O622" s="60"/>
      <c r="P622" s="60"/>
      <c r="Q622" s="63"/>
    </row>
    <row r="623" spans="1:17" x14ac:dyDescent="0.2">
      <c r="A623" s="52"/>
      <c r="B623" s="53"/>
      <c r="C623" s="57"/>
      <c r="D623" s="54"/>
      <c r="E623" s="62"/>
      <c r="F623" s="54"/>
      <c r="G623" s="66"/>
      <c r="H623" s="66"/>
      <c r="I623" s="62"/>
      <c r="J623" s="53"/>
      <c r="K623" s="57"/>
      <c r="L623" s="52"/>
      <c r="M623" s="58"/>
      <c r="N623" s="58"/>
      <c r="O623" s="60"/>
      <c r="P623" s="60"/>
      <c r="Q623" s="63"/>
    </row>
    <row r="624" spans="1:17" x14ac:dyDescent="0.2">
      <c r="A624" s="52"/>
      <c r="B624" s="53"/>
      <c r="C624" s="57"/>
      <c r="D624" s="54"/>
      <c r="E624" s="62"/>
      <c r="F624" s="54"/>
      <c r="G624" s="66"/>
      <c r="H624" s="66"/>
      <c r="I624" s="62"/>
      <c r="J624" s="53"/>
      <c r="K624" s="57"/>
      <c r="L624" s="52"/>
      <c r="M624" s="58"/>
      <c r="N624" s="58"/>
      <c r="O624" s="60"/>
      <c r="P624" s="60"/>
      <c r="Q624" s="63"/>
    </row>
    <row r="625" spans="1:17" x14ac:dyDescent="0.2">
      <c r="A625" s="52"/>
      <c r="B625" s="53"/>
      <c r="C625" s="57"/>
      <c r="D625" s="54"/>
      <c r="E625" s="62"/>
      <c r="F625" s="54"/>
      <c r="G625" s="66"/>
      <c r="H625" s="66"/>
      <c r="I625" s="62"/>
      <c r="J625" s="53"/>
      <c r="K625" s="57"/>
      <c r="L625" s="52"/>
      <c r="M625" s="58"/>
      <c r="N625" s="58"/>
      <c r="O625" s="60"/>
      <c r="P625" s="60"/>
      <c r="Q625" s="63"/>
    </row>
    <row r="626" spans="1:17" x14ac:dyDescent="0.2">
      <c r="A626" s="52"/>
      <c r="B626" s="53"/>
      <c r="C626" s="57"/>
      <c r="D626" s="54"/>
      <c r="E626" s="62"/>
      <c r="F626" s="54"/>
      <c r="G626" s="66"/>
      <c r="H626" s="66"/>
      <c r="I626" s="62"/>
      <c r="J626" s="53"/>
      <c r="K626" s="57"/>
      <c r="L626" s="52"/>
      <c r="M626" s="58"/>
      <c r="N626" s="58"/>
      <c r="O626" s="60"/>
      <c r="P626" s="60"/>
      <c r="Q626" s="63"/>
    </row>
    <row r="627" spans="1:17" x14ac:dyDescent="0.2">
      <c r="A627" s="52"/>
      <c r="B627" s="53"/>
      <c r="C627" s="57"/>
      <c r="D627" s="54"/>
      <c r="E627" s="62"/>
      <c r="F627" s="54"/>
      <c r="G627" s="66"/>
      <c r="H627" s="66"/>
      <c r="I627" s="62"/>
      <c r="J627" s="53"/>
      <c r="K627" s="57"/>
      <c r="L627" s="52"/>
      <c r="M627" s="58"/>
      <c r="N627" s="58"/>
      <c r="O627" s="60"/>
      <c r="P627" s="60"/>
      <c r="Q627" s="63"/>
    </row>
    <row r="628" spans="1:17" x14ac:dyDescent="0.2">
      <c r="A628" s="52"/>
      <c r="B628" s="53"/>
      <c r="C628" s="57"/>
      <c r="D628" s="54"/>
      <c r="E628" s="62"/>
      <c r="F628" s="54"/>
      <c r="G628" s="66"/>
      <c r="H628" s="66"/>
      <c r="I628" s="62"/>
      <c r="J628" s="53"/>
      <c r="K628" s="57"/>
      <c r="L628" s="52"/>
      <c r="M628" s="58"/>
      <c r="N628" s="58"/>
      <c r="O628" s="60"/>
      <c r="P628" s="60"/>
      <c r="Q628" s="63"/>
    </row>
    <row r="629" spans="1:17" x14ac:dyDescent="0.2">
      <c r="A629" s="52"/>
      <c r="B629" s="53"/>
      <c r="C629" s="57"/>
      <c r="D629" s="54"/>
      <c r="E629" s="62"/>
      <c r="F629" s="54"/>
      <c r="G629" s="66"/>
      <c r="H629" s="66"/>
      <c r="I629" s="62"/>
      <c r="J629" s="53"/>
      <c r="K629" s="57"/>
      <c r="L629" s="52"/>
      <c r="M629" s="58"/>
      <c r="N629" s="58"/>
      <c r="O629" s="60"/>
      <c r="P629" s="60"/>
      <c r="Q629" s="63"/>
    </row>
    <row r="630" spans="1:17" x14ac:dyDescent="0.2">
      <c r="A630" s="52"/>
      <c r="B630" s="53"/>
      <c r="C630" s="57"/>
      <c r="D630" s="54"/>
      <c r="E630" s="62"/>
      <c r="F630" s="54"/>
      <c r="G630" s="66"/>
      <c r="H630" s="66"/>
      <c r="I630" s="62"/>
      <c r="J630" s="53"/>
      <c r="K630" s="57"/>
      <c r="L630" s="52"/>
      <c r="M630" s="58"/>
      <c r="N630" s="58"/>
      <c r="O630" s="60"/>
      <c r="P630" s="60"/>
      <c r="Q630" s="63"/>
    </row>
    <row r="631" spans="1:17" x14ac:dyDescent="0.2">
      <c r="A631" s="52"/>
      <c r="B631" s="53"/>
      <c r="C631" s="57"/>
      <c r="D631" s="54"/>
      <c r="E631" s="62"/>
      <c r="F631" s="54"/>
      <c r="G631" s="66"/>
      <c r="H631" s="56"/>
      <c r="I631" s="62"/>
      <c r="J631" s="53"/>
      <c r="K631" s="57"/>
      <c r="L631" s="52"/>
      <c r="M631" s="58"/>
      <c r="N631" s="59"/>
      <c r="O631" s="71"/>
      <c r="P631" s="60"/>
      <c r="Q631" s="63"/>
    </row>
    <row r="632" spans="1:17" x14ac:dyDescent="0.2">
      <c r="A632" s="52"/>
      <c r="B632" s="53"/>
      <c r="C632" s="57"/>
      <c r="D632" s="54"/>
      <c r="E632" s="62"/>
      <c r="F632" s="54"/>
      <c r="G632" s="66"/>
      <c r="H632" s="66"/>
      <c r="I632" s="62"/>
      <c r="J632" s="53"/>
      <c r="K632" s="57"/>
      <c r="L632" s="52"/>
      <c r="M632" s="58"/>
      <c r="N632" s="58"/>
      <c r="O632" s="60"/>
      <c r="P632" s="60"/>
      <c r="Q632" s="63"/>
    </row>
    <row r="633" spans="1:17" x14ac:dyDescent="0.2">
      <c r="A633" s="52"/>
      <c r="B633" s="53"/>
      <c r="C633" s="57"/>
      <c r="D633" s="54"/>
      <c r="E633" s="62"/>
      <c r="F633" s="54"/>
      <c r="G633" s="66"/>
      <c r="H633" s="66"/>
      <c r="I633" s="62"/>
      <c r="J633" s="53"/>
      <c r="K633" s="57"/>
      <c r="L633" s="52"/>
      <c r="M633" s="58"/>
      <c r="N633" s="58"/>
      <c r="O633" s="60"/>
      <c r="P633" s="60"/>
      <c r="Q633" s="63"/>
    </row>
    <row r="634" spans="1:17" x14ac:dyDescent="0.2">
      <c r="A634" s="52"/>
      <c r="B634" s="53"/>
      <c r="C634" s="57"/>
      <c r="D634" s="54"/>
      <c r="E634" s="62"/>
      <c r="F634" s="54"/>
      <c r="G634" s="66"/>
      <c r="H634" s="66"/>
      <c r="I634" s="62"/>
      <c r="J634" s="53"/>
      <c r="K634" s="57"/>
      <c r="L634" s="52"/>
      <c r="M634" s="58"/>
      <c r="N634" s="58"/>
      <c r="O634" s="60"/>
      <c r="P634" s="60"/>
      <c r="Q634" s="63"/>
    </row>
    <row r="635" spans="1:17" x14ac:dyDescent="0.2">
      <c r="A635" s="52"/>
      <c r="B635" s="53"/>
      <c r="C635" s="57"/>
      <c r="D635" s="54"/>
      <c r="E635" s="62"/>
      <c r="F635" s="54"/>
      <c r="G635" s="66"/>
      <c r="H635" s="66"/>
      <c r="I635" s="62"/>
      <c r="J635" s="53"/>
      <c r="K635" s="57"/>
      <c r="L635" s="52"/>
      <c r="M635" s="58"/>
      <c r="N635" s="58"/>
      <c r="O635" s="60"/>
      <c r="P635" s="60"/>
      <c r="Q635" s="63"/>
    </row>
    <row r="636" spans="1:17" x14ac:dyDescent="0.2">
      <c r="A636" s="52"/>
      <c r="B636" s="53"/>
      <c r="C636" s="57"/>
      <c r="D636" s="54"/>
      <c r="E636" s="62"/>
      <c r="F636" s="54"/>
      <c r="G636" s="66"/>
      <c r="H636" s="66"/>
      <c r="I636" s="62"/>
      <c r="J636" s="53"/>
      <c r="K636" s="57"/>
      <c r="L636" s="52"/>
      <c r="M636" s="58"/>
      <c r="N636" s="58"/>
      <c r="O636" s="60"/>
      <c r="P636" s="60"/>
      <c r="Q636" s="63"/>
    </row>
    <row r="637" spans="1:17" x14ac:dyDescent="0.2">
      <c r="A637" s="52"/>
      <c r="B637" s="53"/>
      <c r="C637" s="57"/>
      <c r="D637" s="54"/>
      <c r="E637" s="62"/>
      <c r="F637" s="54"/>
      <c r="G637" s="66"/>
      <c r="H637" s="66"/>
      <c r="I637" s="62"/>
      <c r="J637" s="53"/>
      <c r="K637" s="57"/>
      <c r="L637" s="52"/>
      <c r="M637" s="58"/>
      <c r="N637" s="58"/>
      <c r="O637" s="60"/>
      <c r="P637" s="60"/>
      <c r="Q637" s="63"/>
    </row>
    <row r="638" spans="1:17" x14ac:dyDescent="0.2">
      <c r="A638" s="52"/>
      <c r="B638" s="53"/>
      <c r="C638" s="57"/>
      <c r="D638" s="54"/>
      <c r="E638" s="62"/>
      <c r="F638" s="54"/>
      <c r="G638" s="66"/>
      <c r="H638" s="66"/>
      <c r="I638" s="62"/>
      <c r="J638" s="53"/>
      <c r="K638" s="57"/>
      <c r="L638" s="52"/>
      <c r="M638" s="58"/>
      <c r="N638" s="58"/>
      <c r="O638" s="60"/>
      <c r="P638" s="60"/>
      <c r="Q638" s="63"/>
    </row>
    <row r="639" spans="1:17" x14ac:dyDescent="0.2">
      <c r="A639" s="52"/>
      <c r="B639" s="53"/>
      <c r="C639" s="57"/>
      <c r="D639" s="54"/>
      <c r="E639" s="62"/>
      <c r="F639" s="54"/>
      <c r="G639" s="66"/>
      <c r="H639" s="66"/>
      <c r="I639" s="62"/>
      <c r="J639" s="53"/>
      <c r="K639" s="57"/>
      <c r="L639" s="52"/>
      <c r="M639" s="58"/>
      <c r="N639" s="58"/>
      <c r="O639" s="60"/>
      <c r="P639" s="60"/>
      <c r="Q639" s="63"/>
    </row>
    <row r="640" spans="1:17" x14ac:dyDescent="0.2">
      <c r="A640" s="52"/>
      <c r="B640" s="53"/>
      <c r="C640" s="57"/>
      <c r="D640" s="54"/>
      <c r="E640" s="62"/>
      <c r="F640" s="54"/>
      <c r="G640" s="66"/>
      <c r="H640" s="66"/>
      <c r="I640" s="62"/>
      <c r="J640" s="53"/>
      <c r="K640" s="57"/>
      <c r="L640" s="52"/>
      <c r="M640" s="58"/>
      <c r="N640" s="58"/>
      <c r="O640" s="60"/>
      <c r="P640" s="60"/>
      <c r="Q640" s="63"/>
    </row>
    <row r="641" spans="1:17" x14ac:dyDescent="0.2">
      <c r="A641" s="52"/>
      <c r="B641" s="53"/>
      <c r="C641" s="57"/>
      <c r="D641" s="54"/>
      <c r="E641" s="62"/>
      <c r="F641" s="54"/>
      <c r="G641" s="66"/>
      <c r="H641" s="66"/>
      <c r="I641" s="62"/>
      <c r="J641" s="53"/>
      <c r="K641" s="57"/>
      <c r="L641" s="52"/>
      <c r="M641" s="58"/>
      <c r="N641" s="58"/>
      <c r="O641" s="60"/>
      <c r="P641" s="60"/>
      <c r="Q641" s="63"/>
    </row>
    <row r="642" spans="1:17" x14ac:dyDescent="0.2">
      <c r="A642" s="52"/>
      <c r="B642" s="53"/>
      <c r="C642" s="57"/>
      <c r="D642" s="54"/>
      <c r="E642" s="62"/>
      <c r="F642" s="54"/>
      <c r="G642" s="66"/>
      <c r="H642" s="66"/>
      <c r="I642" s="62"/>
      <c r="J642" s="53"/>
      <c r="K642" s="57"/>
      <c r="L642" s="52"/>
      <c r="M642" s="58"/>
      <c r="N642" s="58"/>
      <c r="O642" s="60"/>
      <c r="P642" s="60"/>
      <c r="Q642" s="63"/>
    </row>
    <row r="643" spans="1:17" x14ac:dyDescent="0.2">
      <c r="A643" s="52"/>
      <c r="B643" s="53"/>
      <c r="C643" s="57"/>
      <c r="D643" s="54"/>
      <c r="E643" s="62"/>
      <c r="F643" s="54"/>
      <c r="G643" s="66"/>
      <c r="H643" s="66"/>
      <c r="I643" s="62"/>
      <c r="J643" s="53"/>
      <c r="K643" s="57"/>
      <c r="L643" s="52"/>
      <c r="M643" s="58"/>
      <c r="N643" s="58"/>
      <c r="O643" s="60"/>
      <c r="P643" s="60"/>
      <c r="Q643" s="63"/>
    </row>
    <row r="644" spans="1:17" x14ac:dyDescent="0.2">
      <c r="A644" s="52"/>
      <c r="B644" s="53"/>
      <c r="C644" s="57"/>
      <c r="D644" s="54"/>
      <c r="E644" s="62"/>
      <c r="F644" s="54"/>
      <c r="G644" s="66"/>
      <c r="H644" s="66"/>
      <c r="I644" s="62"/>
      <c r="J644" s="53"/>
      <c r="K644" s="57"/>
      <c r="L644" s="52"/>
      <c r="M644" s="58"/>
      <c r="N644" s="58"/>
      <c r="O644" s="60"/>
      <c r="P644" s="60"/>
      <c r="Q644" s="63"/>
    </row>
    <row r="645" spans="1:17" x14ac:dyDescent="0.2">
      <c r="A645" s="52"/>
      <c r="B645" s="53"/>
      <c r="C645" s="57"/>
      <c r="D645" s="54"/>
      <c r="E645" s="62"/>
      <c r="F645" s="54"/>
      <c r="G645" s="66"/>
      <c r="H645" s="66"/>
      <c r="I645" s="62"/>
      <c r="J645" s="53"/>
      <c r="K645" s="57"/>
      <c r="L645" s="52"/>
      <c r="M645" s="58"/>
      <c r="N645" s="58"/>
      <c r="O645" s="60"/>
      <c r="P645" s="60"/>
      <c r="Q645" s="63"/>
    </row>
    <row r="646" spans="1:17" x14ac:dyDescent="0.2">
      <c r="A646" s="52"/>
      <c r="B646" s="53"/>
      <c r="C646" s="57"/>
      <c r="D646" s="54"/>
      <c r="E646" s="62"/>
      <c r="F646" s="54"/>
      <c r="G646" s="66"/>
      <c r="H646" s="66"/>
      <c r="I646" s="62"/>
      <c r="J646" s="53"/>
      <c r="K646" s="57"/>
      <c r="L646" s="52"/>
      <c r="M646" s="58"/>
      <c r="N646" s="58"/>
      <c r="O646" s="60"/>
      <c r="P646" s="60"/>
      <c r="Q646" s="63"/>
    </row>
    <row r="647" spans="1:17" x14ac:dyDescent="0.2">
      <c r="A647" s="52"/>
      <c r="B647" s="53"/>
      <c r="C647" s="57"/>
      <c r="D647" s="54"/>
      <c r="E647" s="62"/>
      <c r="F647" s="54"/>
      <c r="G647" s="66"/>
      <c r="H647" s="66"/>
      <c r="I647" s="62"/>
      <c r="J647" s="53"/>
      <c r="K647" s="57"/>
      <c r="L647" s="52"/>
      <c r="M647" s="58"/>
      <c r="N647" s="58"/>
      <c r="O647" s="60"/>
      <c r="P647" s="60"/>
      <c r="Q647" s="63"/>
    </row>
    <row r="648" spans="1:17" x14ac:dyDescent="0.2">
      <c r="A648" s="52"/>
      <c r="B648" s="53"/>
      <c r="C648" s="57"/>
      <c r="D648" s="54"/>
      <c r="E648" s="62"/>
      <c r="F648" s="54"/>
      <c r="G648" s="66"/>
      <c r="H648" s="66"/>
      <c r="I648" s="62"/>
      <c r="J648" s="53"/>
      <c r="K648" s="57"/>
      <c r="L648" s="52"/>
      <c r="M648" s="58"/>
      <c r="N648" s="58"/>
      <c r="O648" s="60"/>
      <c r="P648" s="60"/>
      <c r="Q648" s="63"/>
    </row>
    <row r="649" spans="1:17" x14ac:dyDescent="0.2">
      <c r="A649" s="52"/>
      <c r="B649" s="53"/>
      <c r="C649" s="57"/>
      <c r="D649" s="54"/>
      <c r="E649" s="62"/>
      <c r="F649" s="54"/>
      <c r="G649" s="66"/>
      <c r="H649" s="66"/>
      <c r="I649" s="62"/>
      <c r="J649" s="53"/>
      <c r="K649" s="57"/>
      <c r="L649" s="52"/>
      <c r="M649" s="58"/>
      <c r="N649" s="58"/>
      <c r="O649" s="60"/>
      <c r="P649" s="60"/>
      <c r="Q649" s="63"/>
    </row>
    <row r="650" spans="1:17" x14ac:dyDescent="0.2">
      <c r="A650" s="52"/>
      <c r="B650" s="53"/>
      <c r="C650" s="57"/>
      <c r="D650" s="54"/>
      <c r="E650" s="62"/>
      <c r="F650" s="54"/>
      <c r="G650" s="66"/>
      <c r="H650" s="66"/>
      <c r="I650" s="62"/>
      <c r="J650" s="53"/>
      <c r="K650" s="57"/>
      <c r="L650" s="52"/>
      <c r="M650" s="58"/>
      <c r="N650" s="58"/>
      <c r="O650" s="60"/>
      <c r="P650" s="60"/>
      <c r="Q650" s="63"/>
    </row>
    <row r="651" spans="1:17" x14ac:dyDescent="0.2">
      <c r="A651" s="52"/>
      <c r="B651" s="53"/>
      <c r="C651" s="57"/>
      <c r="D651" s="54"/>
      <c r="E651" s="62"/>
      <c r="F651" s="54"/>
      <c r="G651" s="66"/>
      <c r="H651" s="66"/>
      <c r="I651" s="62"/>
      <c r="J651" s="53"/>
      <c r="K651" s="57"/>
      <c r="L651" s="52"/>
      <c r="M651" s="58"/>
      <c r="N651" s="58"/>
      <c r="O651" s="60"/>
      <c r="P651" s="60"/>
      <c r="Q651" s="63"/>
    </row>
    <row r="652" spans="1:17" x14ac:dyDescent="0.2">
      <c r="A652" s="52"/>
      <c r="B652" s="53"/>
      <c r="C652" s="57"/>
      <c r="D652" s="54"/>
      <c r="E652" s="62"/>
      <c r="F652" s="54"/>
      <c r="G652" s="66"/>
      <c r="H652" s="66"/>
      <c r="I652" s="62"/>
      <c r="J652" s="53"/>
      <c r="K652" s="57"/>
      <c r="L652" s="52"/>
      <c r="M652" s="58"/>
      <c r="N652" s="58"/>
      <c r="O652" s="60"/>
      <c r="P652" s="60"/>
      <c r="Q652" s="63"/>
    </row>
    <row r="653" spans="1:17" x14ac:dyDescent="0.2">
      <c r="A653" s="52"/>
      <c r="B653" s="53"/>
      <c r="C653" s="57"/>
      <c r="D653" s="54"/>
      <c r="E653" s="62"/>
      <c r="F653" s="54"/>
      <c r="G653" s="66"/>
      <c r="H653" s="66"/>
      <c r="I653" s="62"/>
      <c r="J653" s="53"/>
      <c r="K653" s="57"/>
      <c r="L653" s="52"/>
      <c r="M653" s="58"/>
      <c r="N653" s="58"/>
      <c r="O653" s="60"/>
      <c r="P653" s="60"/>
      <c r="Q653" s="63"/>
    </row>
    <row r="654" spans="1:17" x14ac:dyDescent="0.2">
      <c r="A654" s="52"/>
      <c r="B654" s="53"/>
      <c r="C654" s="57"/>
      <c r="D654" s="54"/>
      <c r="E654" s="62"/>
      <c r="F654" s="54"/>
      <c r="G654" s="66"/>
      <c r="H654" s="66"/>
      <c r="I654" s="62"/>
      <c r="J654" s="53"/>
      <c r="K654" s="57"/>
      <c r="L654" s="52"/>
      <c r="M654" s="58"/>
      <c r="N654" s="58"/>
      <c r="O654" s="60"/>
      <c r="P654" s="60"/>
      <c r="Q654" s="63"/>
    </row>
    <row r="655" spans="1:17" x14ac:dyDescent="0.2">
      <c r="A655" s="52"/>
      <c r="B655" s="53"/>
      <c r="C655" s="57"/>
      <c r="D655" s="54"/>
      <c r="E655" s="62"/>
      <c r="F655" s="54"/>
      <c r="G655" s="66"/>
      <c r="H655" s="66"/>
      <c r="I655" s="62"/>
      <c r="J655" s="53"/>
      <c r="K655" s="57"/>
      <c r="L655" s="52"/>
      <c r="M655" s="58"/>
      <c r="N655" s="58"/>
      <c r="O655" s="60"/>
      <c r="P655" s="60"/>
      <c r="Q655" s="63"/>
    </row>
    <row r="656" spans="1:17" x14ac:dyDescent="0.2">
      <c r="A656" s="52"/>
      <c r="B656" s="53"/>
      <c r="C656" s="53"/>
      <c r="D656" s="54"/>
      <c r="E656" s="55"/>
      <c r="F656" s="54"/>
      <c r="G656" s="66"/>
      <c r="H656" s="66"/>
      <c r="I656" s="55"/>
      <c r="J656" s="53"/>
      <c r="K656" s="57"/>
      <c r="L656" s="52"/>
      <c r="M656" s="58"/>
      <c r="N656" s="59"/>
      <c r="O656" s="60"/>
      <c r="P656" s="60"/>
      <c r="Q656" s="63"/>
    </row>
    <row r="657" spans="1:17" x14ac:dyDescent="0.2">
      <c r="A657" s="52"/>
      <c r="B657" s="53"/>
      <c r="C657" s="53"/>
      <c r="D657" s="54"/>
      <c r="E657" s="55"/>
      <c r="F657" s="54"/>
      <c r="G657" s="66"/>
      <c r="H657" s="66"/>
      <c r="I657" s="55"/>
      <c r="J657" s="53"/>
      <c r="K657" s="57"/>
      <c r="L657" s="52"/>
      <c r="M657" s="58"/>
      <c r="N657" s="59"/>
      <c r="O657" s="60"/>
      <c r="P657" s="60"/>
      <c r="Q657" s="63"/>
    </row>
    <row r="658" spans="1:17" x14ac:dyDescent="0.2">
      <c r="A658" s="52"/>
      <c r="B658" s="53"/>
      <c r="C658" s="53"/>
      <c r="D658" s="54"/>
      <c r="E658" s="55"/>
      <c r="F658" s="54"/>
      <c r="G658" s="66"/>
      <c r="H658" s="66"/>
      <c r="I658" s="55"/>
      <c r="J658" s="53"/>
      <c r="K658" s="57"/>
      <c r="L658" s="52"/>
      <c r="M658" s="58"/>
      <c r="N658" s="59"/>
      <c r="O658" s="60"/>
      <c r="P658" s="60"/>
      <c r="Q658" s="63"/>
    </row>
    <row r="659" spans="1:17" x14ac:dyDescent="0.2">
      <c r="A659" s="52"/>
      <c r="B659" s="53"/>
      <c r="C659" s="53"/>
      <c r="D659" s="54"/>
      <c r="E659" s="55"/>
      <c r="F659" s="54"/>
      <c r="G659" s="66"/>
      <c r="H659" s="66"/>
      <c r="I659" s="55"/>
      <c r="J659" s="53"/>
      <c r="K659" s="57"/>
      <c r="L659" s="52"/>
      <c r="M659" s="58"/>
      <c r="N659" s="59"/>
      <c r="O659" s="60"/>
      <c r="P659" s="60"/>
      <c r="Q659" s="63"/>
    </row>
    <row r="660" spans="1:17" x14ac:dyDescent="0.2">
      <c r="A660" s="52"/>
      <c r="B660" s="53"/>
      <c r="C660" s="53"/>
      <c r="D660" s="54"/>
      <c r="E660" s="55"/>
      <c r="F660" s="54"/>
      <c r="G660" s="66"/>
      <c r="H660" s="66"/>
      <c r="I660" s="55"/>
      <c r="J660" s="53"/>
      <c r="K660" s="57"/>
      <c r="L660" s="52"/>
      <c r="M660" s="58"/>
      <c r="N660" s="59"/>
      <c r="O660" s="60"/>
      <c r="P660" s="60"/>
      <c r="Q660" s="63"/>
    </row>
    <row r="661" spans="1:17" x14ac:dyDescent="0.2">
      <c r="A661" s="52"/>
      <c r="B661" s="53"/>
      <c r="C661" s="53"/>
      <c r="D661" s="54"/>
      <c r="E661" s="55"/>
      <c r="F661" s="54"/>
      <c r="G661" s="66"/>
      <c r="H661" s="66"/>
      <c r="I661" s="55"/>
      <c r="J661" s="53"/>
      <c r="K661" s="57"/>
      <c r="L661" s="52"/>
      <c r="M661" s="58"/>
      <c r="N661" s="59"/>
      <c r="O661" s="60"/>
      <c r="P661" s="60"/>
      <c r="Q661" s="63"/>
    </row>
    <row r="662" spans="1:17" x14ac:dyDescent="0.2">
      <c r="A662" s="52"/>
      <c r="B662" s="53"/>
      <c r="C662" s="53"/>
      <c r="D662" s="54"/>
      <c r="E662" s="55"/>
      <c r="F662" s="54"/>
      <c r="G662" s="66"/>
      <c r="H662" s="66"/>
      <c r="I662" s="55"/>
      <c r="J662" s="53"/>
      <c r="K662" s="57"/>
      <c r="L662" s="52"/>
      <c r="M662" s="58"/>
      <c r="N662" s="59"/>
      <c r="O662" s="60"/>
      <c r="P662" s="60"/>
      <c r="Q662" s="63"/>
    </row>
    <row r="663" spans="1:17" x14ac:dyDescent="0.2">
      <c r="A663" s="52"/>
      <c r="B663" s="53"/>
      <c r="C663" s="53"/>
      <c r="D663" s="54"/>
      <c r="E663" s="55"/>
      <c r="F663" s="54"/>
      <c r="G663" s="66"/>
      <c r="H663" s="66"/>
      <c r="I663" s="55"/>
      <c r="J663" s="53"/>
      <c r="K663" s="57"/>
      <c r="L663" s="52"/>
      <c r="M663" s="58"/>
      <c r="N663" s="59"/>
      <c r="O663" s="60"/>
      <c r="P663" s="60"/>
      <c r="Q663" s="63"/>
    </row>
    <row r="664" spans="1:17" x14ac:dyDescent="0.2">
      <c r="A664" s="52"/>
      <c r="B664" s="53"/>
      <c r="C664" s="53"/>
      <c r="D664" s="54"/>
      <c r="E664" s="55"/>
      <c r="F664" s="54"/>
      <c r="G664" s="66"/>
      <c r="H664" s="66"/>
      <c r="I664" s="55"/>
      <c r="J664" s="53"/>
      <c r="K664" s="57"/>
      <c r="L664" s="52"/>
      <c r="M664" s="58"/>
      <c r="N664" s="59"/>
      <c r="O664" s="60"/>
      <c r="P664" s="60"/>
      <c r="Q664" s="63"/>
    </row>
    <row r="665" spans="1:17" x14ac:dyDescent="0.2">
      <c r="A665" s="52"/>
      <c r="B665" s="53"/>
      <c r="C665" s="53"/>
      <c r="D665" s="54"/>
      <c r="E665" s="55"/>
      <c r="F665" s="54"/>
      <c r="G665" s="66"/>
      <c r="H665" s="66"/>
      <c r="I665" s="55"/>
      <c r="J665" s="53"/>
      <c r="K665" s="57"/>
      <c r="L665" s="52"/>
      <c r="M665" s="58"/>
      <c r="N665" s="59"/>
      <c r="O665" s="60"/>
      <c r="P665" s="60"/>
      <c r="Q665" s="63"/>
    </row>
    <row r="666" spans="1:17" x14ac:dyDescent="0.2">
      <c r="A666" s="52"/>
      <c r="B666" s="53"/>
      <c r="C666" s="53"/>
      <c r="D666" s="54"/>
      <c r="E666" s="55"/>
      <c r="F666" s="54"/>
      <c r="G666" s="66"/>
      <c r="H666" s="66"/>
      <c r="I666" s="55"/>
      <c r="J666" s="53"/>
      <c r="K666" s="57"/>
      <c r="L666" s="52"/>
      <c r="M666" s="58"/>
      <c r="N666" s="59"/>
      <c r="O666" s="60"/>
      <c r="P666" s="60"/>
      <c r="Q666" s="6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Y34"/>
  <sheetViews>
    <sheetView workbookViewId="0"/>
  </sheetViews>
  <sheetFormatPr baseColWidth="10" defaultColWidth="8.83203125" defaultRowHeight="15" x14ac:dyDescent="0.2"/>
  <cols>
    <col min="1" max="1" width="16.5" style="14" bestFit="1" customWidth="1"/>
    <col min="2" max="6" width="11.83203125" style="14" bestFit="1" customWidth="1"/>
    <col min="7" max="7" width="14.83203125" style="14" bestFit="1" customWidth="1"/>
    <col min="8" max="8" width="24" style="46" bestFit="1" customWidth="1"/>
    <col min="9" max="25" width="11.83203125" bestFit="1" customWidth="1"/>
  </cols>
  <sheetData>
    <row r="1" spans="1:25" ht="17.25" customHeight="1" x14ac:dyDescent="0.2">
      <c r="A1" s="43" t="s">
        <v>55</v>
      </c>
      <c r="B1" s="231" t="s">
        <v>56</v>
      </c>
      <c r="C1" s="231"/>
      <c r="D1" s="231"/>
      <c r="E1" s="231"/>
      <c r="F1" s="231"/>
      <c r="G1" s="231"/>
      <c r="H1" s="44"/>
      <c r="I1" s="44"/>
      <c r="J1" s="44"/>
      <c r="K1" s="44"/>
      <c r="L1" s="44"/>
      <c r="M1" s="44"/>
      <c r="N1" s="44"/>
      <c r="O1" s="44"/>
      <c r="P1" s="44"/>
      <c r="Q1" s="44"/>
      <c r="R1" s="44"/>
      <c r="S1" s="44"/>
      <c r="T1" s="44"/>
      <c r="U1" s="44"/>
      <c r="V1" s="44"/>
      <c r="W1" s="44"/>
      <c r="X1" s="44"/>
      <c r="Y1" s="44"/>
    </row>
    <row r="2" spans="1:25" ht="17.25" customHeight="1" x14ac:dyDescent="0.2">
      <c r="A2" s="7" t="s">
        <v>57</v>
      </c>
      <c r="B2" s="230" t="s">
        <v>58</v>
      </c>
      <c r="C2" s="230"/>
      <c r="D2" s="230"/>
      <c r="E2" s="230"/>
      <c r="F2" s="230"/>
      <c r="G2" s="230"/>
      <c r="H2" s="227" t="s">
        <v>59</v>
      </c>
    </row>
    <row r="3" spans="1:25" ht="17.25" customHeight="1" x14ac:dyDescent="0.2">
      <c r="A3" s="7" t="s">
        <v>60</v>
      </c>
      <c r="B3" s="230" t="s">
        <v>61</v>
      </c>
      <c r="C3" s="230"/>
      <c r="D3" s="230"/>
      <c r="E3" s="230"/>
      <c r="F3" s="230"/>
      <c r="G3" s="230"/>
      <c r="H3" s="228"/>
    </row>
    <row r="4" spans="1:25" ht="17.25" customHeight="1" x14ac:dyDescent="0.2">
      <c r="A4" s="7" t="s">
        <v>62</v>
      </c>
      <c r="B4" s="230" t="s">
        <v>63</v>
      </c>
      <c r="C4" s="230"/>
      <c r="D4" s="230"/>
      <c r="E4" s="230"/>
      <c r="F4" s="230"/>
      <c r="G4" s="230"/>
      <c r="H4" s="45" t="s">
        <v>64</v>
      </c>
    </row>
    <row r="5" spans="1:25" ht="17.25" customHeight="1" x14ac:dyDescent="0.2">
      <c r="A5" s="7" t="s">
        <v>65</v>
      </c>
      <c r="B5" s="230" t="s">
        <v>66</v>
      </c>
      <c r="C5" s="230"/>
      <c r="D5" s="230"/>
      <c r="E5" s="230"/>
      <c r="F5" s="230"/>
      <c r="G5" s="230"/>
      <c r="H5" s="45" t="s">
        <v>67</v>
      </c>
    </row>
    <row r="6" spans="1:25" ht="17.25" customHeight="1" x14ac:dyDescent="0.2">
      <c r="A6" s="7" t="s">
        <v>68</v>
      </c>
      <c r="B6" s="230" t="s">
        <v>69</v>
      </c>
      <c r="C6" s="230"/>
      <c r="D6" s="230"/>
      <c r="E6" s="230"/>
      <c r="F6" s="230"/>
      <c r="G6" s="230"/>
      <c r="H6" s="227" t="s">
        <v>70</v>
      </c>
    </row>
    <row r="7" spans="1:25" ht="17.25" customHeight="1" x14ac:dyDescent="0.2">
      <c r="A7" s="7" t="s">
        <v>71</v>
      </c>
      <c r="B7" s="226"/>
      <c r="C7" s="226"/>
      <c r="D7" s="226"/>
      <c r="E7" s="226"/>
      <c r="F7" s="226"/>
      <c r="G7" s="226"/>
      <c r="H7" s="228"/>
    </row>
    <row r="8" spans="1:25" ht="17.25" customHeight="1" x14ac:dyDescent="0.2">
      <c r="A8" s="7" t="s">
        <v>72</v>
      </c>
      <c r="B8" s="230" t="s">
        <v>69</v>
      </c>
      <c r="C8" s="230"/>
      <c r="D8" s="230"/>
      <c r="E8" s="230"/>
      <c r="F8" s="230"/>
      <c r="G8" s="230"/>
      <c r="H8" s="228"/>
    </row>
    <row r="9" spans="1:25" ht="17.25" customHeight="1" x14ac:dyDescent="0.2">
      <c r="A9" s="22" t="s">
        <v>73</v>
      </c>
      <c r="B9" s="229" t="s">
        <v>74</v>
      </c>
      <c r="C9" s="229"/>
      <c r="D9" s="229"/>
      <c r="E9" s="229"/>
      <c r="F9" s="229"/>
      <c r="G9" s="229"/>
      <c r="H9" s="227" t="s">
        <v>75</v>
      </c>
    </row>
    <row r="10" spans="1:25" ht="17.25" customHeight="1" x14ac:dyDescent="0.2">
      <c r="A10" s="7" t="s">
        <v>76</v>
      </c>
      <c r="B10" s="226"/>
      <c r="C10" s="226"/>
      <c r="D10" s="226"/>
      <c r="E10" s="226"/>
      <c r="F10" s="226"/>
      <c r="G10" s="226"/>
      <c r="H10" s="228"/>
    </row>
    <row r="11" spans="1:25" ht="17.25" customHeight="1" x14ac:dyDescent="0.2">
      <c r="A11" s="7" t="s">
        <v>77</v>
      </c>
      <c r="B11" s="226"/>
      <c r="C11" s="226"/>
      <c r="D11" s="226"/>
      <c r="E11" s="226"/>
      <c r="F11" s="226"/>
      <c r="G11" s="226"/>
      <c r="H11" s="228"/>
    </row>
    <row r="12" spans="1:25" ht="17.25" customHeight="1" x14ac:dyDescent="0.2">
      <c r="A12" s="7" t="s">
        <v>78</v>
      </c>
      <c r="B12" s="226"/>
      <c r="C12" s="226"/>
      <c r="D12" s="226"/>
      <c r="E12" s="226"/>
      <c r="F12" s="226"/>
      <c r="G12" s="226"/>
      <c r="H12" s="228"/>
    </row>
    <row r="13" spans="1:25" ht="17.25" customHeight="1" x14ac:dyDescent="0.2">
      <c r="A13" s="7" t="s">
        <v>79</v>
      </c>
      <c r="B13" s="226"/>
      <c r="C13" s="226"/>
      <c r="D13" s="226"/>
      <c r="E13" s="226"/>
      <c r="F13" s="226"/>
      <c r="G13" s="226"/>
      <c r="H13" s="228"/>
    </row>
    <row r="14" spans="1:25" ht="17.25" customHeight="1" x14ac:dyDescent="0.2">
      <c r="A14" s="7" t="s">
        <v>80</v>
      </c>
      <c r="B14" s="226"/>
      <c r="C14" s="226"/>
      <c r="D14" s="226"/>
      <c r="E14" s="226"/>
      <c r="F14" s="226"/>
      <c r="G14" s="226"/>
      <c r="H14" s="228"/>
    </row>
    <row r="15" spans="1:25" ht="17.25" customHeight="1" x14ac:dyDescent="0.2">
      <c r="A15" s="22" t="s">
        <v>81</v>
      </c>
      <c r="B15" s="229" t="s">
        <v>82</v>
      </c>
      <c r="C15" s="229"/>
      <c r="D15" s="229"/>
      <c r="E15" s="229"/>
      <c r="F15" s="229"/>
      <c r="G15" s="229"/>
      <c r="H15" s="227" t="s">
        <v>83</v>
      </c>
    </row>
    <row r="16" spans="1:25" ht="17.25" customHeight="1" x14ac:dyDescent="0.2">
      <c r="A16" s="22" t="s">
        <v>84</v>
      </c>
      <c r="B16" s="229" t="s">
        <v>85</v>
      </c>
      <c r="C16" s="229"/>
      <c r="D16" s="229"/>
      <c r="E16" s="229"/>
      <c r="F16" s="229"/>
      <c r="G16" s="229"/>
      <c r="H16" s="228"/>
    </row>
    <row r="17" spans="1:8" ht="17.25" customHeight="1" x14ac:dyDescent="0.2">
      <c r="A17" s="7" t="s">
        <v>86</v>
      </c>
      <c r="B17" s="226"/>
      <c r="C17" s="226"/>
      <c r="D17" s="226"/>
      <c r="E17" s="226"/>
      <c r="F17" s="226"/>
      <c r="G17" s="226"/>
      <c r="H17" s="228"/>
    </row>
    <row r="18" spans="1:8" ht="17.25" customHeight="1" x14ac:dyDescent="0.2">
      <c r="A18" s="7" t="s">
        <v>87</v>
      </c>
      <c r="B18" s="226"/>
      <c r="C18" s="226"/>
      <c r="D18" s="226"/>
      <c r="E18" s="226"/>
      <c r="F18" s="226"/>
      <c r="G18" s="226"/>
      <c r="H18" s="227" t="s">
        <v>88</v>
      </c>
    </row>
    <row r="19" spans="1:8" ht="17.25" customHeight="1" x14ac:dyDescent="0.2">
      <c r="A19" s="7" t="s">
        <v>89</v>
      </c>
      <c r="B19" s="226"/>
      <c r="C19" s="226"/>
      <c r="D19" s="226"/>
      <c r="E19" s="226"/>
      <c r="F19" s="226"/>
      <c r="G19" s="226"/>
      <c r="H19" s="228"/>
    </row>
    <row r="20" spans="1:8" ht="17.25" customHeight="1" x14ac:dyDescent="0.2">
      <c r="A20" s="7" t="s">
        <v>90</v>
      </c>
      <c r="B20" s="226"/>
      <c r="C20" s="226"/>
      <c r="D20" s="226"/>
      <c r="E20" s="226"/>
      <c r="F20" s="226"/>
      <c r="G20" s="226"/>
      <c r="H20" s="228"/>
    </row>
    <row r="21" spans="1:8" ht="17.25" customHeight="1" x14ac:dyDescent="0.2">
      <c r="A21" s="7" t="s">
        <v>91</v>
      </c>
      <c r="B21" s="226"/>
      <c r="C21" s="226"/>
      <c r="D21" s="226"/>
      <c r="E21" s="226"/>
      <c r="F21" s="226"/>
      <c r="G21" s="226"/>
      <c r="H21" s="227" t="s">
        <v>92</v>
      </c>
    </row>
    <row r="22" spans="1:8" ht="17.25" customHeight="1" x14ac:dyDescent="0.2">
      <c r="A22" s="7" t="s">
        <v>93</v>
      </c>
      <c r="B22" s="226"/>
      <c r="C22" s="226"/>
      <c r="D22" s="226"/>
      <c r="E22" s="226"/>
      <c r="F22" s="226"/>
      <c r="G22" s="226"/>
      <c r="H22" s="228"/>
    </row>
    <row r="23" spans="1:8" ht="17.25" customHeight="1" x14ac:dyDescent="0.2">
      <c r="A23" s="7" t="s">
        <v>94</v>
      </c>
      <c r="B23" s="226"/>
      <c r="C23" s="226"/>
      <c r="D23" s="226"/>
      <c r="E23" s="226"/>
      <c r="F23" s="226"/>
      <c r="G23" s="226"/>
      <c r="H23" s="228"/>
    </row>
    <row r="24" spans="1:8" ht="17.25" customHeight="1" x14ac:dyDescent="0.2">
      <c r="A24" s="7" t="s">
        <v>95</v>
      </c>
      <c r="B24" s="226"/>
      <c r="C24" s="226"/>
      <c r="D24" s="226"/>
      <c r="E24" s="226"/>
      <c r="F24" s="226"/>
      <c r="G24" s="226"/>
      <c r="H24" s="228"/>
    </row>
    <row r="25" spans="1:8" ht="17.25" customHeight="1" x14ac:dyDescent="0.2">
      <c r="A25" s="7" t="s">
        <v>96</v>
      </c>
      <c r="B25" s="226"/>
      <c r="C25" s="226"/>
      <c r="D25" s="226"/>
      <c r="E25" s="226"/>
      <c r="F25" s="226"/>
      <c r="G25" s="226"/>
      <c r="H25" s="227" t="s">
        <v>97</v>
      </c>
    </row>
    <row r="26" spans="1:8" ht="17.25" customHeight="1" x14ac:dyDescent="0.2">
      <c r="A26" s="7" t="s">
        <v>98</v>
      </c>
      <c r="B26" s="226"/>
      <c r="C26" s="226"/>
      <c r="D26" s="226"/>
      <c r="E26" s="226"/>
      <c r="F26" s="226"/>
      <c r="G26" s="226"/>
      <c r="H26" s="228"/>
    </row>
    <row r="27" spans="1:8" ht="17.25" customHeight="1" x14ac:dyDescent="0.2">
      <c r="A27" s="7" t="s">
        <v>99</v>
      </c>
      <c r="H27" s="228"/>
    </row>
    <row r="28" spans="1:8" ht="17.25" customHeight="1" x14ac:dyDescent="0.2">
      <c r="A28" s="7" t="s">
        <v>100</v>
      </c>
      <c r="B28" s="226"/>
      <c r="C28" s="226"/>
      <c r="D28" s="226"/>
      <c r="E28" s="226"/>
      <c r="F28" s="226"/>
      <c r="G28" s="226"/>
      <c r="H28" s="228"/>
    </row>
    <row r="29" spans="1:8" ht="17.25" customHeight="1" x14ac:dyDescent="0.2">
      <c r="A29" s="7" t="s">
        <v>101</v>
      </c>
      <c r="B29" s="226"/>
      <c r="C29" s="226"/>
      <c r="D29" s="226"/>
      <c r="E29" s="226"/>
      <c r="F29" s="226"/>
      <c r="G29" s="226"/>
      <c r="H29" s="227" t="s">
        <v>102</v>
      </c>
    </row>
    <row r="30" spans="1:8" ht="17.25" customHeight="1" x14ac:dyDescent="0.2">
      <c r="A30" s="7" t="s">
        <v>103</v>
      </c>
      <c r="B30" s="226"/>
      <c r="C30" s="226"/>
      <c r="D30" s="226"/>
      <c r="E30" s="226"/>
      <c r="F30" s="226"/>
      <c r="G30" s="226"/>
      <c r="H30" s="228"/>
    </row>
    <row r="31" spans="1:8" ht="17.25" customHeight="1" x14ac:dyDescent="0.2">
      <c r="A31" s="7" t="s">
        <v>104</v>
      </c>
      <c r="B31" s="226"/>
      <c r="C31" s="226"/>
      <c r="D31" s="226"/>
      <c r="E31" s="226"/>
      <c r="F31" s="226"/>
      <c r="G31" s="226"/>
      <c r="H31" s="228"/>
    </row>
    <row r="32" spans="1:8" ht="17.25" customHeight="1" x14ac:dyDescent="0.2">
      <c r="A32" s="7" t="s">
        <v>105</v>
      </c>
      <c r="B32" s="226"/>
      <c r="C32" s="226"/>
      <c r="D32" s="226"/>
      <c r="E32" s="226"/>
      <c r="F32" s="226"/>
      <c r="G32" s="226"/>
      <c r="H32" s="228"/>
    </row>
    <row r="33" spans="1:8" ht="17.25" customHeight="1" x14ac:dyDescent="0.2">
      <c r="A33" s="7" t="s">
        <v>106</v>
      </c>
      <c r="B33" s="226"/>
      <c r="C33" s="226"/>
      <c r="D33" s="226"/>
      <c r="E33" s="226"/>
      <c r="F33" s="226"/>
      <c r="G33" s="226"/>
      <c r="H33" s="228"/>
    </row>
    <row r="34" spans="1:8" ht="17.25" customHeight="1" x14ac:dyDescent="0.2">
      <c r="A34" s="7" t="s">
        <v>107</v>
      </c>
      <c r="B34" s="226"/>
      <c r="C34" s="226"/>
      <c r="D34" s="226"/>
      <c r="E34" s="226"/>
      <c r="F34" s="226"/>
      <c r="G34" s="226"/>
      <c r="H34" s="228"/>
    </row>
  </sheetData>
  <mergeCells count="41">
    <mergeCell ref="B1:G1"/>
    <mergeCell ref="B2:G2"/>
    <mergeCell ref="H2:H3"/>
    <mergeCell ref="B3:G3"/>
    <mergeCell ref="B4:G4"/>
    <mergeCell ref="B5:G5"/>
    <mergeCell ref="B6:G6"/>
    <mergeCell ref="H6:H8"/>
    <mergeCell ref="B7:G7"/>
    <mergeCell ref="B8:G8"/>
    <mergeCell ref="B9:G9"/>
    <mergeCell ref="H9:H14"/>
    <mergeCell ref="B10:G10"/>
    <mergeCell ref="B11:G11"/>
    <mergeCell ref="B12:G12"/>
    <mergeCell ref="B13:G13"/>
    <mergeCell ref="B14:G14"/>
    <mergeCell ref="B15:G15"/>
    <mergeCell ref="H15:H17"/>
    <mergeCell ref="B16:G16"/>
    <mergeCell ref="B17:G17"/>
    <mergeCell ref="B18:G18"/>
    <mergeCell ref="H18:H20"/>
    <mergeCell ref="B19:G19"/>
    <mergeCell ref="B20:G20"/>
    <mergeCell ref="B21:G21"/>
    <mergeCell ref="H21:H24"/>
    <mergeCell ref="B22:G22"/>
    <mergeCell ref="B23:G23"/>
    <mergeCell ref="B24:G24"/>
    <mergeCell ref="B25:G25"/>
    <mergeCell ref="H25:H28"/>
    <mergeCell ref="B26:G26"/>
    <mergeCell ref="B28:G28"/>
    <mergeCell ref="B29:G29"/>
    <mergeCell ref="H29:H34"/>
    <mergeCell ref="B30:G30"/>
    <mergeCell ref="B31:G31"/>
    <mergeCell ref="B32:G32"/>
    <mergeCell ref="B33:G33"/>
    <mergeCell ref="B34:G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Z1004"/>
  <sheetViews>
    <sheetView workbookViewId="0"/>
  </sheetViews>
  <sheetFormatPr baseColWidth="10" defaultColWidth="8.83203125" defaultRowHeight="15" x14ac:dyDescent="0.2"/>
  <cols>
    <col min="1" max="1" width="11.83203125" bestFit="1" customWidth="1"/>
    <col min="2" max="2" width="10.83203125" bestFit="1" customWidth="1"/>
    <col min="3" max="3" width="11.83203125" style="42" bestFit="1" customWidth="1"/>
    <col min="4" max="8" width="7.5" style="3" bestFit="1" customWidth="1"/>
    <col min="9" max="26" width="11.83203125" bestFit="1" customWidth="1"/>
  </cols>
  <sheetData>
    <row r="1" spans="1:26" ht="17.25" customHeight="1" x14ac:dyDescent="0.2">
      <c r="A1" s="22" t="s">
        <v>36</v>
      </c>
      <c r="C1" s="2">
        <v>160</v>
      </c>
      <c r="D1" s="2">
        <v>170</v>
      </c>
      <c r="E1" s="2">
        <v>180</v>
      </c>
      <c r="F1" s="2">
        <v>200</v>
      </c>
      <c r="G1" s="2">
        <v>220</v>
      </c>
      <c r="H1" s="2">
        <v>250</v>
      </c>
    </row>
    <row r="2" spans="1:26" ht="17.25" customHeight="1" x14ac:dyDescent="0.2">
      <c r="C2" s="20"/>
      <c r="D2" s="2"/>
      <c r="E2" s="2"/>
      <c r="F2" s="2"/>
      <c r="G2" s="2"/>
      <c r="H2" s="2"/>
    </row>
    <row r="3" spans="1:26" ht="17.25" customHeight="1" x14ac:dyDescent="0.2">
      <c r="A3" s="23" t="s">
        <v>37</v>
      </c>
      <c r="B3" s="24" t="s">
        <v>38</v>
      </c>
      <c r="C3" s="25">
        <v>15956.7</v>
      </c>
      <c r="D3" s="26"/>
      <c r="E3" s="26"/>
      <c r="F3" s="26"/>
      <c r="G3" s="26"/>
      <c r="H3" s="26"/>
      <c r="I3" s="27"/>
      <c r="J3" s="27"/>
      <c r="K3" s="27"/>
      <c r="L3" s="27"/>
      <c r="M3" s="27"/>
      <c r="N3" s="27"/>
      <c r="O3" s="27"/>
      <c r="P3" s="27"/>
      <c r="Q3" s="27"/>
      <c r="R3" s="27"/>
      <c r="S3" s="27"/>
      <c r="T3" s="27"/>
      <c r="U3" s="27"/>
      <c r="V3" s="27"/>
      <c r="W3" s="27"/>
      <c r="X3" s="27"/>
      <c r="Y3" s="27"/>
      <c r="Z3" s="27"/>
    </row>
    <row r="4" spans="1:26" ht="17.25" customHeight="1" x14ac:dyDescent="0.2">
      <c r="A4" s="28"/>
      <c r="B4" s="10" t="s">
        <v>39</v>
      </c>
      <c r="C4" s="29">
        <f t="shared" ref="C4:H4" si="0">$C$3+C1*11/12</f>
        <v>16103.366666666667</v>
      </c>
      <c r="D4" s="30">
        <f t="shared" si="0"/>
        <v>16112.533333333335</v>
      </c>
      <c r="E4" s="30">
        <f t="shared" si="0"/>
        <v>16121.7</v>
      </c>
      <c r="F4" s="30">
        <f t="shared" si="0"/>
        <v>16140.033333333335</v>
      </c>
      <c r="G4" s="30">
        <f t="shared" si="0"/>
        <v>16158.366666666667</v>
      </c>
      <c r="H4" s="30">
        <f t="shared" si="0"/>
        <v>16185.866666666667</v>
      </c>
    </row>
    <row r="5" spans="1:26" ht="17.25" customHeight="1" x14ac:dyDescent="0.2">
      <c r="A5" s="28"/>
      <c r="C5" s="20"/>
      <c r="D5" s="2"/>
      <c r="E5" s="2"/>
      <c r="F5" s="2"/>
      <c r="G5" s="2"/>
      <c r="H5" s="2"/>
    </row>
    <row r="6" spans="1:26" ht="17.25" customHeight="1" x14ac:dyDescent="0.2">
      <c r="A6" s="28"/>
      <c r="B6" s="10" t="s">
        <v>40</v>
      </c>
      <c r="C6" s="2">
        <v>4440</v>
      </c>
      <c r="D6" s="2">
        <v>4440</v>
      </c>
      <c r="E6" s="2">
        <v>4440</v>
      </c>
      <c r="F6" s="2">
        <v>4440</v>
      </c>
      <c r="G6" s="2">
        <v>4440</v>
      </c>
      <c r="H6" s="2">
        <v>4440</v>
      </c>
    </row>
    <row r="7" spans="1:26" ht="17.25" customHeight="1" x14ac:dyDescent="0.2">
      <c r="A7" s="28"/>
      <c r="B7" s="10" t="s">
        <v>41</v>
      </c>
      <c r="C7" s="2">
        <f t="shared" ref="C7:H7" si="1">C4-C6</f>
        <v>11663.366666666667</v>
      </c>
      <c r="D7" s="2">
        <f t="shared" si="1"/>
        <v>11672.533333333335</v>
      </c>
      <c r="E7" s="2">
        <f t="shared" si="1"/>
        <v>11681.7</v>
      </c>
      <c r="F7" s="2">
        <f t="shared" si="1"/>
        <v>11700.033333333335</v>
      </c>
      <c r="G7" s="2">
        <f t="shared" si="1"/>
        <v>11718.366666666667</v>
      </c>
      <c r="H7" s="2">
        <f t="shared" si="1"/>
        <v>11745.866666666667</v>
      </c>
    </row>
    <row r="8" spans="1:26" ht="17.25" customHeight="1" x14ac:dyDescent="0.2">
      <c r="A8" s="31"/>
      <c r="B8" s="32" t="s">
        <v>42</v>
      </c>
      <c r="C8" s="33">
        <f t="shared" ref="C8:H8" si="2">C4</f>
        <v>16103.366666666667</v>
      </c>
      <c r="D8" s="33">
        <f t="shared" si="2"/>
        <v>16112.533333333335</v>
      </c>
      <c r="E8" s="33">
        <f t="shared" si="2"/>
        <v>16121.7</v>
      </c>
      <c r="F8" s="33">
        <f t="shared" si="2"/>
        <v>16140.033333333335</v>
      </c>
      <c r="G8" s="33">
        <f t="shared" si="2"/>
        <v>16158.366666666667</v>
      </c>
      <c r="H8" s="33">
        <f t="shared" si="2"/>
        <v>16185.866666666667</v>
      </c>
      <c r="I8" s="34"/>
      <c r="J8" s="34"/>
      <c r="K8" s="34"/>
      <c r="L8" s="34"/>
      <c r="M8" s="34"/>
      <c r="N8" s="34"/>
      <c r="O8" s="34"/>
      <c r="P8" s="34"/>
      <c r="Q8" s="34"/>
      <c r="R8" s="34"/>
      <c r="S8" s="34"/>
      <c r="T8" s="34"/>
      <c r="U8" s="34"/>
      <c r="V8" s="34"/>
      <c r="W8" s="34"/>
      <c r="X8" s="34"/>
      <c r="Y8" s="34"/>
      <c r="Z8" s="34"/>
    </row>
    <row r="9" spans="1:26" ht="17.25" customHeight="1" x14ac:dyDescent="0.2">
      <c r="C9" s="20"/>
      <c r="D9" s="2"/>
      <c r="E9" s="2"/>
      <c r="F9" s="2"/>
      <c r="G9" s="2"/>
      <c r="H9" s="2"/>
    </row>
    <row r="10" spans="1:26" ht="17.25" customHeight="1" x14ac:dyDescent="0.2">
      <c r="A10" s="35" t="s">
        <v>43</v>
      </c>
      <c r="B10" s="24" t="s">
        <v>38</v>
      </c>
      <c r="C10" s="36">
        <v>12919.21</v>
      </c>
      <c r="D10" s="26"/>
      <c r="E10" s="26"/>
      <c r="F10" s="26"/>
      <c r="G10" s="26"/>
      <c r="H10" s="26"/>
      <c r="I10" s="27"/>
      <c r="J10" s="27"/>
      <c r="K10" s="27"/>
      <c r="L10" s="27"/>
      <c r="M10" s="27"/>
      <c r="N10" s="27"/>
      <c r="O10" s="27"/>
      <c r="P10" s="27"/>
      <c r="Q10" s="27"/>
      <c r="R10" s="27"/>
      <c r="S10" s="27"/>
      <c r="T10" s="27"/>
      <c r="U10" s="27"/>
      <c r="V10" s="27"/>
      <c r="W10" s="27"/>
      <c r="X10" s="27"/>
      <c r="Y10" s="27"/>
      <c r="Z10" s="27"/>
    </row>
    <row r="11" spans="1:26" ht="17.25" customHeight="1" x14ac:dyDescent="0.2">
      <c r="A11" s="37"/>
      <c r="B11" s="10" t="s">
        <v>39</v>
      </c>
      <c r="C11" s="2">
        <f t="shared" ref="C11:H11" si="3">$C$10+C1*19/20</f>
        <v>13071.21</v>
      </c>
      <c r="D11" s="2">
        <f t="shared" si="3"/>
        <v>13080.71</v>
      </c>
      <c r="E11" s="2">
        <f t="shared" si="3"/>
        <v>13090.21</v>
      </c>
      <c r="F11" s="2">
        <f t="shared" si="3"/>
        <v>13109.21</v>
      </c>
      <c r="G11" s="2">
        <f t="shared" si="3"/>
        <v>13128.21</v>
      </c>
      <c r="H11" s="2">
        <f t="shared" si="3"/>
        <v>13156.71</v>
      </c>
    </row>
    <row r="12" spans="1:26" ht="17.25" customHeight="1" x14ac:dyDescent="0.2">
      <c r="A12" s="37"/>
      <c r="C12" s="20"/>
      <c r="D12" s="2"/>
      <c r="E12" s="2"/>
      <c r="F12" s="2"/>
      <c r="G12" s="2"/>
      <c r="H12" s="2"/>
    </row>
    <row r="13" spans="1:26" ht="17.25" customHeight="1" x14ac:dyDescent="0.2">
      <c r="A13" s="37" t="s">
        <v>44</v>
      </c>
      <c r="B13" s="10" t="s">
        <v>45</v>
      </c>
      <c r="C13" s="2">
        <f t="shared" ref="C13:H13" si="4">C11</f>
        <v>13071.21</v>
      </c>
      <c r="D13" s="2">
        <f t="shared" si="4"/>
        <v>13080.71</v>
      </c>
      <c r="E13" s="2">
        <f t="shared" si="4"/>
        <v>13090.21</v>
      </c>
      <c r="F13" s="2">
        <f t="shared" si="4"/>
        <v>13109.21</v>
      </c>
      <c r="G13" s="2">
        <f t="shared" si="4"/>
        <v>13128.21</v>
      </c>
      <c r="H13" s="2">
        <f t="shared" si="4"/>
        <v>13156.71</v>
      </c>
    </row>
    <row r="14" spans="1:26" ht="17.25" customHeight="1" x14ac:dyDescent="0.2">
      <c r="A14" s="37" t="s">
        <v>46</v>
      </c>
      <c r="B14" s="10" t="s">
        <v>40</v>
      </c>
      <c r="C14" s="9"/>
      <c r="D14" s="9"/>
      <c r="E14" s="9"/>
      <c r="F14" s="9"/>
      <c r="G14" s="9"/>
      <c r="H14" s="9"/>
    </row>
    <row r="15" spans="1:26" ht="17.25" customHeight="1" x14ac:dyDescent="0.2">
      <c r="A15" s="37"/>
      <c r="B15" s="10" t="s">
        <v>47</v>
      </c>
      <c r="C15" s="2">
        <v>1634</v>
      </c>
      <c r="D15" s="2">
        <v>1634</v>
      </c>
      <c r="E15" s="2">
        <v>1634</v>
      </c>
      <c r="F15" s="2">
        <v>1634</v>
      </c>
      <c r="G15" s="2">
        <v>1634</v>
      </c>
      <c r="H15" s="2">
        <v>1634</v>
      </c>
    </row>
    <row r="16" spans="1:26" ht="17.25" customHeight="1" x14ac:dyDescent="0.2">
      <c r="A16" s="37" t="s">
        <v>48</v>
      </c>
      <c r="B16" s="10" t="s">
        <v>41</v>
      </c>
      <c r="C16" s="2">
        <f t="shared" ref="C16:H16" si="5">C13-4247.7</f>
        <v>8823.5099999999984</v>
      </c>
      <c r="D16" s="2">
        <f t="shared" si="5"/>
        <v>8833.0099999999984</v>
      </c>
      <c r="E16" s="2">
        <f t="shared" si="5"/>
        <v>8842.5099999999984</v>
      </c>
      <c r="F16" s="2">
        <f t="shared" si="5"/>
        <v>8861.5099999999984</v>
      </c>
      <c r="G16" s="2">
        <f t="shared" si="5"/>
        <v>8880.5099999999984</v>
      </c>
      <c r="H16" s="2">
        <f t="shared" si="5"/>
        <v>8909.0099999999984</v>
      </c>
    </row>
    <row r="17" spans="1:26" ht="17.25" customHeight="1" x14ac:dyDescent="0.2">
      <c r="A17" s="37" t="s">
        <v>49</v>
      </c>
      <c r="B17" s="10" t="s">
        <v>50</v>
      </c>
      <c r="C17" s="2">
        <v>2613.8000000000002</v>
      </c>
      <c r="D17" s="2">
        <v>2613.8000000000002</v>
      </c>
      <c r="E17" s="2">
        <v>2613.8000000000002</v>
      </c>
      <c r="F17" s="2">
        <v>2613.8000000000002</v>
      </c>
      <c r="G17" s="2">
        <v>2613.8000000000002</v>
      </c>
      <c r="H17" s="2">
        <v>2613.8000000000002</v>
      </c>
    </row>
    <row r="18" spans="1:26" ht="17.25" customHeight="1" x14ac:dyDescent="0.2">
      <c r="A18" s="38" t="s">
        <v>49</v>
      </c>
      <c r="B18" s="32" t="s">
        <v>51</v>
      </c>
      <c r="C18" s="33">
        <f t="shared" ref="C18:H18" si="6">C13-4966.51</f>
        <v>8104.6999999999989</v>
      </c>
      <c r="D18" s="33">
        <f t="shared" si="6"/>
        <v>8114.1999999999989</v>
      </c>
      <c r="E18" s="33">
        <f t="shared" si="6"/>
        <v>8123.6999999999989</v>
      </c>
      <c r="F18" s="33">
        <f t="shared" si="6"/>
        <v>8142.6999999999989</v>
      </c>
      <c r="G18" s="33">
        <f t="shared" si="6"/>
        <v>8161.6999999999989</v>
      </c>
      <c r="H18" s="33">
        <f t="shared" si="6"/>
        <v>8190.1999999999989</v>
      </c>
      <c r="I18" s="34"/>
      <c r="J18" s="34"/>
      <c r="K18" s="34"/>
      <c r="L18" s="34"/>
      <c r="M18" s="34"/>
      <c r="N18" s="34"/>
      <c r="O18" s="34"/>
      <c r="P18" s="34"/>
      <c r="Q18" s="34"/>
      <c r="R18" s="34"/>
      <c r="S18" s="34"/>
      <c r="T18" s="34"/>
      <c r="U18" s="34"/>
      <c r="V18" s="34"/>
      <c r="W18" s="34"/>
      <c r="X18" s="34"/>
      <c r="Y18" s="34"/>
      <c r="Z18" s="34"/>
    </row>
    <row r="19" spans="1:26" ht="17.25" customHeight="1" x14ac:dyDescent="0.2">
      <c r="B19" s="10"/>
      <c r="C19" s="20"/>
      <c r="D19" s="2"/>
      <c r="E19" s="2"/>
      <c r="F19" s="2"/>
      <c r="G19" s="2"/>
      <c r="H19" s="2"/>
    </row>
    <row r="20" spans="1:26" ht="17.25" customHeight="1" x14ac:dyDescent="0.2">
      <c r="A20" s="39" t="s">
        <v>52</v>
      </c>
      <c r="B20" s="24" t="s">
        <v>53</v>
      </c>
      <c r="C20" s="40">
        <v>6129</v>
      </c>
      <c r="D20" s="40">
        <v>6129</v>
      </c>
      <c r="E20" s="40">
        <v>6129</v>
      </c>
      <c r="F20" s="40">
        <v>6129</v>
      </c>
      <c r="G20" s="40">
        <v>6129</v>
      </c>
      <c r="H20" s="40">
        <v>6129</v>
      </c>
      <c r="I20" s="27"/>
      <c r="J20" s="27"/>
      <c r="K20" s="27"/>
      <c r="L20" s="27"/>
      <c r="M20" s="27"/>
      <c r="N20" s="27"/>
      <c r="O20" s="27"/>
      <c r="P20" s="27"/>
      <c r="Q20" s="27"/>
      <c r="R20" s="27"/>
      <c r="S20" s="27"/>
      <c r="T20" s="27"/>
      <c r="U20" s="27"/>
      <c r="V20" s="27"/>
      <c r="W20" s="27"/>
      <c r="X20" s="27"/>
      <c r="Y20" s="27"/>
      <c r="Z20" s="27"/>
    </row>
    <row r="21" spans="1:26" ht="17.25" customHeight="1" x14ac:dyDescent="0.2">
      <c r="A21" s="41"/>
      <c r="B21" s="32" t="s">
        <v>54</v>
      </c>
      <c r="C21" s="33">
        <f t="shared" ref="C21:H21" si="7">2*C20</f>
        <v>12258</v>
      </c>
      <c r="D21" s="33">
        <f t="shared" si="7"/>
        <v>12258</v>
      </c>
      <c r="E21" s="33">
        <f t="shared" si="7"/>
        <v>12258</v>
      </c>
      <c r="F21" s="33">
        <f t="shared" si="7"/>
        <v>12258</v>
      </c>
      <c r="G21" s="33">
        <f t="shared" si="7"/>
        <v>12258</v>
      </c>
      <c r="H21" s="33">
        <f t="shared" si="7"/>
        <v>12258</v>
      </c>
      <c r="I21" s="34"/>
      <c r="J21" s="34"/>
      <c r="K21" s="34"/>
      <c r="L21" s="34"/>
      <c r="M21" s="34"/>
      <c r="N21" s="34"/>
      <c r="O21" s="34"/>
      <c r="P21" s="34"/>
      <c r="Q21" s="34"/>
      <c r="R21" s="34"/>
      <c r="S21" s="34"/>
      <c r="T21" s="34"/>
      <c r="U21" s="34"/>
      <c r="V21" s="34"/>
      <c r="W21" s="34"/>
      <c r="X21" s="34"/>
      <c r="Y21" s="34"/>
      <c r="Z21" s="34"/>
    </row>
    <row r="22" spans="1:26" ht="17.25" customHeight="1" x14ac:dyDescent="0.2">
      <c r="C22" s="20"/>
      <c r="D22" s="2"/>
      <c r="E22" s="2"/>
      <c r="F22" s="2"/>
      <c r="G22" s="2"/>
      <c r="H22" s="2"/>
    </row>
    <row r="23" spans="1:26" ht="17.25" customHeight="1" x14ac:dyDescent="0.2">
      <c r="C23" s="20"/>
      <c r="D23" s="2"/>
      <c r="E23" s="2"/>
      <c r="F23" s="2"/>
      <c r="G23" s="2"/>
      <c r="H23" s="2"/>
    </row>
    <row r="24" spans="1:26" ht="17.25" customHeight="1" x14ac:dyDescent="0.2">
      <c r="C24" s="20"/>
      <c r="D24" s="2"/>
      <c r="E24" s="2"/>
      <c r="F24" s="2"/>
      <c r="G24" s="2"/>
      <c r="H24" s="2"/>
    </row>
    <row r="25" spans="1:26" ht="17.25" customHeight="1" x14ac:dyDescent="0.2">
      <c r="C25" s="20"/>
      <c r="D25" s="2"/>
      <c r="E25" s="2"/>
      <c r="F25" s="2"/>
      <c r="G25" s="2"/>
      <c r="H25" s="2"/>
    </row>
    <row r="26" spans="1:26" ht="17.25" customHeight="1" x14ac:dyDescent="0.2">
      <c r="C26" s="20"/>
      <c r="D26" s="2"/>
      <c r="E26" s="2"/>
      <c r="F26" s="2"/>
      <c r="G26" s="2"/>
      <c r="H26" s="2"/>
    </row>
    <row r="27" spans="1:26" ht="17.25" customHeight="1" x14ac:dyDescent="0.2">
      <c r="C27" s="20"/>
      <c r="D27" s="2"/>
      <c r="E27" s="2"/>
      <c r="F27" s="2"/>
      <c r="G27" s="2"/>
      <c r="H27" s="2"/>
    </row>
    <row r="28" spans="1:26" ht="17.25" customHeight="1" x14ac:dyDescent="0.2">
      <c r="C28" s="20"/>
      <c r="D28" s="2"/>
      <c r="E28" s="2"/>
      <c r="F28" s="2"/>
      <c r="G28" s="2"/>
      <c r="H28" s="2"/>
    </row>
    <row r="29" spans="1:26" ht="17.25" customHeight="1" x14ac:dyDescent="0.2">
      <c r="C29" s="20"/>
      <c r="D29" s="2"/>
      <c r="E29" s="2"/>
      <c r="F29" s="2"/>
      <c r="G29" s="2"/>
      <c r="H29" s="2"/>
    </row>
    <row r="30" spans="1:26" ht="17.25" customHeight="1" x14ac:dyDescent="0.2">
      <c r="C30" s="20"/>
      <c r="D30" s="2"/>
      <c r="E30" s="2"/>
      <c r="F30" s="2"/>
      <c r="G30" s="2"/>
      <c r="H30" s="2"/>
    </row>
    <row r="31" spans="1:26" ht="17.25" customHeight="1" x14ac:dyDescent="0.2">
      <c r="C31" s="20"/>
      <c r="D31" s="2"/>
      <c r="E31" s="2"/>
      <c r="F31" s="2"/>
      <c r="G31" s="2"/>
      <c r="H31" s="2"/>
    </row>
    <row r="32" spans="1:26" ht="17.25" customHeight="1" x14ac:dyDescent="0.2">
      <c r="C32" s="20"/>
      <c r="D32" s="2"/>
      <c r="E32" s="2"/>
      <c r="F32" s="2"/>
      <c r="G32" s="2"/>
      <c r="H32" s="2"/>
    </row>
    <row r="33" spans="3:8" ht="17.25" customHeight="1" x14ac:dyDescent="0.2">
      <c r="C33" s="20"/>
      <c r="D33" s="2"/>
      <c r="E33" s="2"/>
      <c r="F33" s="2"/>
      <c r="G33" s="2"/>
      <c r="H33" s="2"/>
    </row>
    <row r="34" spans="3:8" ht="17.25" customHeight="1" x14ac:dyDescent="0.2">
      <c r="C34" s="20"/>
      <c r="D34" s="2"/>
      <c r="E34" s="2"/>
      <c r="F34" s="2"/>
      <c r="G34" s="2"/>
      <c r="H34" s="2"/>
    </row>
    <row r="35" spans="3:8" ht="17.25" customHeight="1" x14ac:dyDescent="0.2">
      <c r="C35" s="20"/>
      <c r="D35" s="2"/>
      <c r="E35" s="2"/>
      <c r="F35" s="2"/>
      <c r="G35" s="2"/>
      <c r="H35" s="2"/>
    </row>
    <row r="36" spans="3:8" ht="17.25" customHeight="1" x14ac:dyDescent="0.2">
      <c r="C36" s="20"/>
      <c r="D36" s="2"/>
      <c r="E36" s="2"/>
      <c r="F36" s="2"/>
      <c r="G36" s="2"/>
      <c r="H36" s="2"/>
    </row>
    <row r="37" spans="3:8" ht="17.25" customHeight="1" x14ac:dyDescent="0.2">
      <c r="C37" s="20"/>
      <c r="D37" s="2"/>
      <c r="E37" s="2"/>
      <c r="F37" s="2"/>
      <c r="G37" s="2"/>
      <c r="H37" s="2"/>
    </row>
    <row r="38" spans="3:8" ht="17.25" customHeight="1" x14ac:dyDescent="0.2">
      <c r="C38" s="20"/>
      <c r="D38" s="2"/>
      <c r="E38" s="2"/>
      <c r="F38" s="2"/>
      <c r="G38" s="2"/>
      <c r="H38" s="2"/>
    </row>
    <row r="39" spans="3:8" ht="17.25" customHeight="1" x14ac:dyDescent="0.2">
      <c r="C39" s="20"/>
      <c r="D39" s="2"/>
      <c r="E39" s="2"/>
      <c r="F39" s="2"/>
      <c r="G39" s="2"/>
      <c r="H39" s="2"/>
    </row>
    <row r="40" spans="3:8" ht="17.25" customHeight="1" x14ac:dyDescent="0.2">
      <c r="C40" s="20"/>
      <c r="D40" s="2"/>
      <c r="E40" s="2"/>
      <c r="F40" s="2"/>
      <c r="G40" s="2"/>
      <c r="H40" s="2"/>
    </row>
    <row r="41" spans="3:8" ht="17.25" customHeight="1" x14ac:dyDescent="0.2">
      <c r="C41" s="20"/>
      <c r="D41" s="2"/>
      <c r="E41" s="2"/>
      <c r="F41" s="2"/>
      <c r="G41" s="2"/>
      <c r="H41" s="2"/>
    </row>
    <row r="42" spans="3:8" ht="17.25" customHeight="1" x14ac:dyDescent="0.2">
      <c r="C42" s="20"/>
      <c r="D42" s="2"/>
      <c r="E42" s="2"/>
      <c r="F42" s="2"/>
      <c r="G42" s="2"/>
      <c r="H42" s="2"/>
    </row>
    <row r="43" spans="3:8" ht="17.25" customHeight="1" x14ac:dyDescent="0.2">
      <c r="C43" s="20"/>
      <c r="D43" s="2"/>
      <c r="E43" s="2"/>
      <c r="F43" s="2"/>
      <c r="G43" s="2"/>
      <c r="H43" s="2"/>
    </row>
    <row r="44" spans="3:8" ht="17.25" customHeight="1" x14ac:dyDescent="0.2">
      <c r="C44" s="20"/>
      <c r="D44" s="2"/>
      <c r="E44" s="2"/>
      <c r="F44" s="2"/>
      <c r="G44" s="2"/>
      <c r="H44" s="2"/>
    </row>
    <row r="45" spans="3:8" ht="17.25" customHeight="1" x14ac:dyDescent="0.2">
      <c r="C45" s="20"/>
      <c r="D45" s="2"/>
      <c r="E45" s="2"/>
      <c r="F45" s="2"/>
      <c r="G45" s="2"/>
      <c r="H45" s="2"/>
    </row>
    <row r="46" spans="3:8" ht="17.25" customHeight="1" x14ac:dyDescent="0.2">
      <c r="C46" s="20"/>
      <c r="D46" s="2"/>
      <c r="E46" s="2"/>
      <c r="F46" s="2"/>
      <c r="G46" s="2"/>
      <c r="H46" s="2"/>
    </row>
    <row r="47" spans="3:8" ht="17.25" customHeight="1" x14ac:dyDescent="0.2">
      <c r="C47" s="20"/>
      <c r="D47" s="2"/>
      <c r="E47" s="2"/>
      <c r="F47" s="2"/>
      <c r="G47" s="2"/>
      <c r="H47" s="2"/>
    </row>
    <row r="48" spans="3:8" ht="17.25" customHeight="1" x14ac:dyDescent="0.2">
      <c r="C48" s="20"/>
      <c r="D48" s="2"/>
      <c r="E48" s="2"/>
      <c r="F48" s="2"/>
      <c r="G48" s="2"/>
      <c r="H48" s="2"/>
    </row>
    <row r="49" spans="3:8" ht="17.25" customHeight="1" x14ac:dyDescent="0.2">
      <c r="C49" s="20"/>
      <c r="D49" s="2"/>
      <c r="E49" s="2"/>
      <c r="F49" s="2"/>
      <c r="G49" s="2"/>
      <c r="H49" s="2"/>
    </row>
    <row r="50" spans="3:8" ht="17.25" customHeight="1" x14ac:dyDescent="0.2">
      <c r="C50" s="20"/>
      <c r="D50" s="2"/>
      <c r="E50" s="2"/>
      <c r="F50" s="2"/>
      <c r="G50" s="2"/>
      <c r="H50" s="2"/>
    </row>
    <row r="51" spans="3:8" ht="17.25" customHeight="1" x14ac:dyDescent="0.2">
      <c r="C51" s="20"/>
      <c r="D51" s="2"/>
      <c r="E51" s="2"/>
      <c r="F51" s="2"/>
      <c r="G51" s="2"/>
      <c r="H51" s="2"/>
    </row>
    <row r="52" spans="3:8" ht="17.25" customHeight="1" x14ac:dyDescent="0.2">
      <c r="C52" s="20"/>
      <c r="D52" s="2"/>
      <c r="E52" s="2"/>
      <c r="F52" s="2"/>
      <c r="G52" s="2"/>
      <c r="H52" s="2"/>
    </row>
    <row r="53" spans="3:8" ht="17.25" customHeight="1" x14ac:dyDescent="0.2">
      <c r="C53" s="20"/>
      <c r="D53" s="2"/>
      <c r="E53" s="2"/>
      <c r="F53" s="2"/>
      <c r="G53" s="2"/>
      <c r="H53" s="2"/>
    </row>
    <row r="54" spans="3:8" ht="17.25" customHeight="1" x14ac:dyDescent="0.2">
      <c r="C54" s="20"/>
      <c r="D54" s="2"/>
      <c r="E54" s="2"/>
      <c r="F54" s="2"/>
      <c r="G54" s="2"/>
      <c r="H54" s="2"/>
    </row>
    <row r="55" spans="3:8" ht="17.25" customHeight="1" x14ac:dyDescent="0.2">
      <c r="C55" s="20"/>
      <c r="D55" s="2"/>
      <c r="E55" s="2"/>
      <c r="F55" s="2"/>
      <c r="G55" s="2"/>
      <c r="H55" s="2"/>
    </row>
    <row r="56" spans="3:8" ht="17.25" customHeight="1" x14ac:dyDescent="0.2">
      <c r="C56" s="20"/>
      <c r="D56" s="2"/>
      <c r="E56" s="2"/>
      <c r="F56" s="2"/>
      <c r="G56" s="2"/>
      <c r="H56" s="2"/>
    </row>
    <row r="57" spans="3:8" ht="17.25" customHeight="1" x14ac:dyDescent="0.2">
      <c r="C57" s="20"/>
      <c r="D57" s="2"/>
      <c r="E57" s="2"/>
      <c r="F57" s="2"/>
      <c r="G57" s="2"/>
      <c r="H57" s="2"/>
    </row>
    <row r="58" spans="3:8" ht="17.25" customHeight="1" x14ac:dyDescent="0.2">
      <c r="C58" s="20"/>
      <c r="D58" s="2"/>
      <c r="E58" s="2"/>
      <c r="F58" s="2"/>
      <c r="G58" s="2"/>
      <c r="H58" s="2"/>
    </row>
    <row r="59" spans="3:8" ht="17.25" customHeight="1" x14ac:dyDescent="0.2">
      <c r="C59" s="20"/>
      <c r="D59" s="2"/>
      <c r="E59" s="2"/>
      <c r="F59" s="2"/>
      <c r="G59" s="2"/>
      <c r="H59" s="2"/>
    </row>
    <row r="60" spans="3:8" ht="17.25" customHeight="1" x14ac:dyDescent="0.2">
      <c r="C60" s="20"/>
      <c r="D60" s="2"/>
      <c r="E60" s="2"/>
      <c r="F60" s="2"/>
      <c r="G60" s="2"/>
      <c r="H60" s="2"/>
    </row>
    <row r="61" spans="3:8" ht="17.25" customHeight="1" x14ac:dyDescent="0.2">
      <c r="C61" s="20"/>
      <c r="D61" s="2"/>
      <c r="E61" s="2"/>
      <c r="F61" s="2"/>
      <c r="G61" s="2"/>
      <c r="H61" s="2"/>
    </row>
    <row r="62" spans="3:8" ht="17.25" customHeight="1" x14ac:dyDescent="0.2">
      <c r="C62" s="20"/>
      <c r="D62" s="2"/>
      <c r="E62" s="2"/>
      <c r="F62" s="2"/>
      <c r="G62" s="2"/>
      <c r="H62" s="2"/>
    </row>
    <row r="63" spans="3:8" ht="17.25" customHeight="1" x14ac:dyDescent="0.2">
      <c r="C63" s="20"/>
      <c r="D63" s="2"/>
      <c r="E63" s="2"/>
      <c r="F63" s="2"/>
      <c r="G63" s="2"/>
      <c r="H63" s="2"/>
    </row>
    <row r="64" spans="3:8" ht="17.25" customHeight="1" x14ac:dyDescent="0.2">
      <c r="C64" s="20"/>
      <c r="D64" s="2"/>
      <c r="E64" s="2"/>
      <c r="F64" s="2"/>
      <c r="G64" s="2"/>
      <c r="H64" s="2"/>
    </row>
    <row r="65" spans="3:8" ht="17.25" customHeight="1" x14ac:dyDescent="0.2">
      <c r="C65" s="20"/>
      <c r="D65" s="2"/>
      <c r="E65" s="2"/>
      <c r="F65" s="2"/>
      <c r="G65" s="2"/>
      <c r="H65" s="2"/>
    </row>
    <row r="66" spans="3:8" ht="17.25" customHeight="1" x14ac:dyDescent="0.2">
      <c r="C66" s="20"/>
      <c r="D66" s="2"/>
      <c r="E66" s="2"/>
      <c r="F66" s="2"/>
      <c r="G66" s="2"/>
      <c r="H66" s="2"/>
    </row>
    <row r="67" spans="3:8" ht="17.25" customHeight="1" x14ac:dyDescent="0.2">
      <c r="C67" s="20"/>
      <c r="D67" s="2"/>
      <c r="E67" s="2"/>
      <c r="F67" s="2"/>
      <c r="G67" s="2"/>
      <c r="H67" s="2"/>
    </row>
    <row r="68" spans="3:8" ht="17.25" customHeight="1" x14ac:dyDescent="0.2">
      <c r="C68" s="20"/>
      <c r="D68" s="2"/>
      <c r="E68" s="2"/>
      <c r="F68" s="2"/>
      <c r="G68" s="2"/>
      <c r="H68" s="2"/>
    </row>
    <row r="69" spans="3:8" ht="17.25" customHeight="1" x14ac:dyDescent="0.2">
      <c r="C69" s="20"/>
      <c r="D69" s="2"/>
      <c r="E69" s="2"/>
      <c r="F69" s="2"/>
      <c r="G69" s="2"/>
      <c r="H69" s="2"/>
    </row>
    <row r="70" spans="3:8" ht="17.25" customHeight="1" x14ac:dyDescent="0.2">
      <c r="C70" s="20"/>
      <c r="D70" s="2"/>
      <c r="E70" s="2"/>
      <c r="F70" s="2"/>
      <c r="G70" s="2"/>
      <c r="H70" s="2"/>
    </row>
    <row r="71" spans="3:8" ht="17.25" customHeight="1" x14ac:dyDescent="0.2">
      <c r="C71" s="20"/>
      <c r="D71" s="2"/>
      <c r="E71" s="2"/>
      <c r="F71" s="2"/>
      <c r="G71" s="2"/>
      <c r="H71" s="2"/>
    </row>
    <row r="72" spans="3:8" ht="17.25" customHeight="1" x14ac:dyDescent="0.2">
      <c r="C72" s="20"/>
      <c r="D72" s="2"/>
      <c r="E72" s="2"/>
      <c r="F72" s="2"/>
      <c r="G72" s="2"/>
      <c r="H72" s="2"/>
    </row>
    <row r="73" spans="3:8" ht="17.25" customHeight="1" x14ac:dyDescent="0.2">
      <c r="C73" s="20"/>
      <c r="D73" s="2"/>
      <c r="E73" s="2"/>
      <c r="F73" s="2"/>
      <c r="G73" s="2"/>
      <c r="H73" s="2"/>
    </row>
    <row r="74" spans="3:8" ht="17.25" customHeight="1" x14ac:dyDescent="0.2">
      <c r="C74" s="20"/>
      <c r="D74" s="2"/>
      <c r="E74" s="2"/>
      <c r="F74" s="2"/>
      <c r="G74" s="2"/>
      <c r="H74" s="2"/>
    </row>
    <row r="75" spans="3:8" ht="17.25" customHeight="1" x14ac:dyDescent="0.2">
      <c r="C75" s="20"/>
      <c r="D75" s="2"/>
      <c r="E75" s="2"/>
      <c r="F75" s="2"/>
      <c r="G75" s="2"/>
      <c r="H75" s="2"/>
    </row>
    <row r="76" spans="3:8" ht="17.25" customHeight="1" x14ac:dyDescent="0.2">
      <c r="C76" s="20"/>
      <c r="D76" s="2"/>
      <c r="E76" s="2"/>
      <c r="F76" s="2"/>
      <c r="G76" s="2"/>
      <c r="H76" s="2"/>
    </row>
    <row r="77" spans="3:8" ht="17.25" customHeight="1" x14ac:dyDescent="0.2">
      <c r="C77" s="20"/>
      <c r="D77" s="2"/>
      <c r="E77" s="2"/>
      <c r="F77" s="2"/>
      <c r="G77" s="2"/>
      <c r="H77" s="2"/>
    </row>
    <row r="78" spans="3:8" ht="17.25" customHeight="1" x14ac:dyDescent="0.2">
      <c r="C78" s="20"/>
      <c r="D78" s="2"/>
      <c r="E78" s="2"/>
      <c r="F78" s="2"/>
      <c r="G78" s="2"/>
      <c r="H78" s="2"/>
    </row>
    <row r="79" spans="3:8" ht="17.25" customHeight="1" x14ac:dyDescent="0.2">
      <c r="C79" s="20"/>
      <c r="D79" s="2"/>
      <c r="E79" s="2"/>
      <c r="F79" s="2"/>
      <c r="G79" s="2"/>
      <c r="H79" s="2"/>
    </row>
    <row r="80" spans="3:8" ht="17.25" customHeight="1" x14ac:dyDescent="0.2">
      <c r="C80" s="20"/>
      <c r="D80" s="2"/>
      <c r="E80" s="2"/>
      <c r="F80" s="2"/>
      <c r="G80" s="2"/>
      <c r="H80" s="2"/>
    </row>
    <row r="81" spans="3:8" ht="17.25" customHeight="1" x14ac:dyDescent="0.2">
      <c r="C81" s="20"/>
      <c r="D81" s="2"/>
      <c r="E81" s="2"/>
      <c r="F81" s="2"/>
      <c r="G81" s="2"/>
      <c r="H81" s="2"/>
    </row>
    <row r="82" spans="3:8" ht="17.25" customHeight="1" x14ac:dyDescent="0.2">
      <c r="C82" s="20"/>
      <c r="D82" s="2"/>
      <c r="E82" s="2"/>
      <c r="F82" s="2"/>
      <c r="G82" s="2"/>
      <c r="H82" s="2"/>
    </row>
    <row r="83" spans="3:8" ht="17.25" customHeight="1" x14ac:dyDescent="0.2">
      <c r="C83" s="20"/>
      <c r="D83" s="2"/>
      <c r="E83" s="2"/>
      <c r="F83" s="2"/>
      <c r="G83" s="2"/>
      <c r="H83" s="2"/>
    </row>
    <row r="84" spans="3:8" ht="17.25" customHeight="1" x14ac:dyDescent="0.2">
      <c r="C84" s="20"/>
      <c r="D84" s="2"/>
      <c r="E84" s="2"/>
      <c r="F84" s="2"/>
      <c r="G84" s="2"/>
      <c r="H84" s="2"/>
    </row>
    <row r="85" spans="3:8" ht="17.25" customHeight="1" x14ac:dyDescent="0.2">
      <c r="C85" s="20"/>
      <c r="D85" s="2"/>
      <c r="E85" s="2"/>
      <c r="F85" s="2"/>
      <c r="G85" s="2"/>
      <c r="H85" s="2"/>
    </row>
    <row r="86" spans="3:8" ht="17.25" customHeight="1" x14ac:dyDescent="0.2">
      <c r="C86" s="20"/>
      <c r="D86" s="2"/>
      <c r="E86" s="2"/>
      <c r="F86" s="2"/>
      <c r="G86" s="2"/>
      <c r="H86" s="2"/>
    </row>
    <row r="87" spans="3:8" ht="17.25" customHeight="1" x14ac:dyDescent="0.2">
      <c r="C87" s="20"/>
      <c r="D87" s="2"/>
      <c r="E87" s="2"/>
      <c r="F87" s="2"/>
      <c r="G87" s="2"/>
      <c r="H87" s="2"/>
    </row>
    <row r="88" spans="3:8" ht="17.25" customHeight="1" x14ac:dyDescent="0.2">
      <c r="C88" s="20"/>
      <c r="D88" s="2"/>
      <c r="E88" s="2"/>
      <c r="F88" s="2"/>
      <c r="G88" s="2"/>
      <c r="H88" s="2"/>
    </row>
    <row r="89" spans="3:8" ht="17.25" customHeight="1" x14ac:dyDescent="0.2">
      <c r="C89" s="20"/>
      <c r="D89" s="2"/>
      <c r="E89" s="2"/>
      <c r="F89" s="2"/>
      <c r="G89" s="2"/>
      <c r="H89" s="2"/>
    </row>
    <row r="90" spans="3:8" ht="17.25" customHeight="1" x14ac:dyDescent="0.2">
      <c r="C90" s="20"/>
      <c r="D90" s="2"/>
      <c r="E90" s="2"/>
      <c r="F90" s="2"/>
      <c r="G90" s="2"/>
      <c r="H90" s="2"/>
    </row>
    <row r="91" spans="3:8" ht="17.25" customHeight="1" x14ac:dyDescent="0.2">
      <c r="C91" s="20"/>
      <c r="D91" s="2"/>
      <c r="E91" s="2"/>
      <c r="F91" s="2"/>
      <c r="G91" s="2"/>
      <c r="H91" s="2"/>
    </row>
    <row r="92" spans="3:8" ht="17.25" customHeight="1" x14ac:dyDescent="0.2">
      <c r="C92" s="20"/>
      <c r="D92" s="2"/>
      <c r="E92" s="2"/>
      <c r="F92" s="2"/>
      <c r="G92" s="2"/>
      <c r="H92" s="2"/>
    </row>
    <row r="93" spans="3:8" ht="17.25" customHeight="1" x14ac:dyDescent="0.2">
      <c r="C93" s="20"/>
      <c r="D93" s="2"/>
      <c r="E93" s="2"/>
      <c r="F93" s="2"/>
      <c r="G93" s="2"/>
      <c r="H93" s="2"/>
    </row>
    <row r="94" spans="3:8" ht="17.25" customHeight="1" x14ac:dyDescent="0.2">
      <c r="C94" s="20"/>
      <c r="D94" s="2"/>
      <c r="E94" s="2"/>
      <c r="F94" s="2"/>
      <c r="G94" s="2"/>
      <c r="H94" s="2"/>
    </row>
    <row r="95" spans="3:8" ht="17.25" customHeight="1" x14ac:dyDescent="0.2">
      <c r="C95" s="20"/>
      <c r="D95" s="2"/>
      <c r="E95" s="2"/>
      <c r="F95" s="2"/>
      <c r="G95" s="2"/>
      <c r="H95" s="2"/>
    </row>
    <row r="96" spans="3:8" ht="17.25" customHeight="1" x14ac:dyDescent="0.2">
      <c r="C96" s="20"/>
      <c r="D96" s="2"/>
      <c r="E96" s="2"/>
      <c r="F96" s="2"/>
      <c r="G96" s="2"/>
      <c r="H96" s="2"/>
    </row>
    <row r="97" spans="3:8" ht="17.25" customHeight="1" x14ac:dyDescent="0.2">
      <c r="C97" s="20"/>
      <c r="D97" s="2"/>
      <c r="E97" s="2"/>
      <c r="F97" s="2"/>
      <c r="G97" s="2"/>
      <c r="H97" s="2"/>
    </row>
    <row r="98" spans="3:8" ht="17.25" customHeight="1" x14ac:dyDescent="0.2">
      <c r="C98" s="20"/>
      <c r="D98" s="2"/>
      <c r="E98" s="2"/>
      <c r="F98" s="2"/>
      <c r="G98" s="2"/>
      <c r="H98" s="2"/>
    </row>
    <row r="99" spans="3:8" ht="17.25" customHeight="1" x14ac:dyDescent="0.2">
      <c r="C99" s="20"/>
      <c r="D99" s="2"/>
      <c r="E99" s="2"/>
      <c r="F99" s="2"/>
      <c r="G99" s="2"/>
      <c r="H99" s="2"/>
    </row>
    <row r="100" spans="3:8" ht="17.25" customHeight="1" x14ac:dyDescent="0.2">
      <c r="C100" s="20"/>
      <c r="D100" s="2"/>
      <c r="E100" s="2"/>
      <c r="F100" s="2"/>
      <c r="G100" s="2"/>
      <c r="H100" s="2"/>
    </row>
    <row r="101" spans="3:8" ht="17.25" customHeight="1" x14ac:dyDescent="0.2">
      <c r="C101" s="20"/>
      <c r="D101" s="2"/>
      <c r="E101" s="2"/>
      <c r="F101" s="2"/>
      <c r="G101" s="2"/>
      <c r="H101" s="2"/>
    </row>
    <row r="102" spans="3:8" ht="17.25" customHeight="1" x14ac:dyDescent="0.2">
      <c r="C102" s="20"/>
      <c r="D102" s="2"/>
      <c r="E102" s="2"/>
      <c r="F102" s="2"/>
      <c r="G102" s="2"/>
      <c r="H102" s="2"/>
    </row>
    <row r="103" spans="3:8" ht="17.25" customHeight="1" x14ac:dyDescent="0.2">
      <c r="C103" s="20"/>
      <c r="D103" s="2"/>
      <c r="E103" s="2"/>
      <c r="F103" s="2"/>
      <c r="G103" s="2"/>
      <c r="H103" s="2"/>
    </row>
    <row r="104" spans="3:8" ht="17.25" customHeight="1" x14ac:dyDescent="0.2">
      <c r="C104" s="20"/>
      <c r="D104" s="2"/>
      <c r="E104" s="2"/>
      <c r="F104" s="2"/>
      <c r="G104" s="2"/>
      <c r="H104" s="2"/>
    </row>
    <row r="105" spans="3:8" ht="17.25" customHeight="1" x14ac:dyDescent="0.2">
      <c r="C105" s="20"/>
      <c r="D105" s="2"/>
      <c r="E105" s="2"/>
      <c r="F105" s="2"/>
      <c r="G105" s="2"/>
      <c r="H105" s="2"/>
    </row>
    <row r="106" spans="3:8" ht="17.25" customHeight="1" x14ac:dyDescent="0.2">
      <c r="C106" s="20"/>
      <c r="D106" s="2"/>
      <c r="E106" s="2"/>
      <c r="F106" s="2"/>
      <c r="G106" s="2"/>
      <c r="H106" s="2"/>
    </row>
    <row r="107" spans="3:8" ht="17.25" customHeight="1" x14ac:dyDescent="0.2">
      <c r="C107" s="20"/>
      <c r="D107" s="2"/>
      <c r="E107" s="2"/>
      <c r="F107" s="2"/>
      <c r="G107" s="2"/>
      <c r="H107" s="2"/>
    </row>
    <row r="108" spans="3:8" ht="17.25" customHeight="1" x14ac:dyDescent="0.2">
      <c r="C108" s="20"/>
      <c r="D108" s="2"/>
      <c r="E108" s="2"/>
      <c r="F108" s="2"/>
      <c r="G108" s="2"/>
      <c r="H108" s="2"/>
    </row>
    <row r="109" spans="3:8" ht="17.25" customHeight="1" x14ac:dyDescent="0.2">
      <c r="C109" s="20"/>
      <c r="D109" s="2"/>
      <c r="E109" s="2"/>
      <c r="F109" s="2"/>
      <c r="G109" s="2"/>
      <c r="H109" s="2"/>
    </row>
    <row r="110" spans="3:8" ht="17.25" customHeight="1" x14ac:dyDescent="0.2">
      <c r="C110" s="20"/>
      <c r="D110" s="2"/>
      <c r="E110" s="2"/>
      <c r="F110" s="2"/>
      <c r="G110" s="2"/>
      <c r="H110" s="2"/>
    </row>
    <row r="111" spans="3:8" ht="17.25" customHeight="1" x14ac:dyDescent="0.2">
      <c r="C111" s="20"/>
      <c r="D111" s="2"/>
      <c r="E111" s="2"/>
      <c r="F111" s="2"/>
      <c r="G111" s="2"/>
      <c r="H111" s="2"/>
    </row>
    <row r="112" spans="3:8" ht="17.25" customHeight="1" x14ac:dyDescent="0.2">
      <c r="C112" s="20"/>
      <c r="D112" s="2"/>
      <c r="E112" s="2"/>
      <c r="F112" s="2"/>
      <c r="G112" s="2"/>
      <c r="H112" s="2"/>
    </row>
    <row r="113" spans="3:8" ht="17.25" customHeight="1" x14ac:dyDescent="0.2">
      <c r="C113" s="20"/>
      <c r="D113" s="2"/>
      <c r="E113" s="2"/>
      <c r="F113" s="2"/>
      <c r="G113" s="2"/>
      <c r="H113" s="2"/>
    </row>
    <row r="114" spans="3:8" ht="17.25" customHeight="1" x14ac:dyDescent="0.2">
      <c r="C114" s="20"/>
      <c r="D114" s="2"/>
      <c r="E114" s="2"/>
      <c r="F114" s="2"/>
      <c r="G114" s="2"/>
      <c r="H114" s="2"/>
    </row>
    <row r="115" spans="3:8" ht="17.25" customHeight="1" x14ac:dyDescent="0.2">
      <c r="C115" s="20"/>
      <c r="D115" s="2"/>
      <c r="E115" s="2"/>
      <c r="F115" s="2"/>
      <c r="G115" s="2"/>
      <c r="H115" s="2"/>
    </row>
    <row r="116" spans="3:8" ht="17.25" customHeight="1" x14ac:dyDescent="0.2">
      <c r="C116" s="20"/>
      <c r="D116" s="2"/>
      <c r="E116" s="2"/>
      <c r="F116" s="2"/>
      <c r="G116" s="2"/>
      <c r="H116" s="2"/>
    </row>
    <row r="117" spans="3:8" ht="17.25" customHeight="1" x14ac:dyDescent="0.2">
      <c r="C117" s="20"/>
      <c r="D117" s="2"/>
      <c r="E117" s="2"/>
      <c r="F117" s="2"/>
      <c r="G117" s="2"/>
      <c r="H117" s="2"/>
    </row>
    <row r="118" spans="3:8" ht="17.25" customHeight="1" x14ac:dyDescent="0.2">
      <c r="C118" s="20"/>
      <c r="D118" s="2"/>
      <c r="E118" s="2"/>
      <c r="F118" s="2"/>
      <c r="G118" s="2"/>
      <c r="H118" s="2"/>
    </row>
    <row r="119" spans="3:8" ht="17.25" customHeight="1" x14ac:dyDescent="0.2">
      <c r="C119" s="20"/>
      <c r="D119" s="2"/>
      <c r="E119" s="2"/>
      <c r="F119" s="2"/>
      <c r="G119" s="2"/>
      <c r="H119" s="2"/>
    </row>
    <row r="120" spans="3:8" ht="17.25" customHeight="1" x14ac:dyDescent="0.2">
      <c r="C120" s="20"/>
      <c r="D120" s="2"/>
      <c r="E120" s="2"/>
      <c r="F120" s="2"/>
      <c r="G120" s="2"/>
      <c r="H120" s="2"/>
    </row>
    <row r="121" spans="3:8" ht="17.25" customHeight="1" x14ac:dyDescent="0.2">
      <c r="C121" s="20"/>
      <c r="D121" s="2"/>
      <c r="E121" s="2"/>
      <c r="F121" s="2"/>
      <c r="G121" s="2"/>
      <c r="H121" s="2"/>
    </row>
    <row r="122" spans="3:8" ht="17.25" customHeight="1" x14ac:dyDescent="0.2">
      <c r="C122" s="20"/>
      <c r="D122" s="2"/>
      <c r="E122" s="2"/>
      <c r="F122" s="2"/>
      <c r="G122" s="2"/>
      <c r="H122" s="2"/>
    </row>
    <row r="123" spans="3:8" ht="17.25" customHeight="1" x14ac:dyDescent="0.2">
      <c r="C123" s="20"/>
      <c r="D123" s="2"/>
      <c r="E123" s="2"/>
      <c r="F123" s="2"/>
      <c r="G123" s="2"/>
      <c r="H123" s="2"/>
    </row>
    <row r="124" spans="3:8" ht="17.25" customHeight="1" x14ac:dyDescent="0.2">
      <c r="C124" s="20"/>
      <c r="D124" s="2"/>
      <c r="E124" s="2"/>
      <c r="F124" s="2"/>
      <c r="G124" s="2"/>
      <c r="H124" s="2"/>
    </row>
    <row r="125" spans="3:8" ht="17.25" customHeight="1" x14ac:dyDescent="0.2">
      <c r="C125" s="20"/>
      <c r="D125" s="2"/>
      <c r="E125" s="2"/>
      <c r="F125" s="2"/>
      <c r="G125" s="2"/>
      <c r="H125" s="2"/>
    </row>
    <row r="126" spans="3:8" ht="17.25" customHeight="1" x14ac:dyDescent="0.2">
      <c r="C126" s="20"/>
      <c r="D126" s="2"/>
      <c r="E126" s="2"/>
      <c r="F126" s="2"/>
      <c r="G126" s="2"/>
      <c r="H126" s="2"/>
    </row>
    <row r="127" spans="3:8" ht="17.25" customHeight="1" x14ac:dyDescent="0.2">
      <c r="C127" s="20"/>
      <c r="D127" s="2"/>
      <c r="E127" s="2"/>
      <c r="F127" s="2"/>
      <c r="G127" s="2"/>
      <c r="H127" s="2"/>
    </row>
    <row r="128" spans="3:8" ht="17.25" customHeight="1" x14ac:dyDescent="0.2">
      <c r="C128" s="20"/>
      <c r="D128" s="2"/>
      <c r="E128" s="2"/>
      <c r="F128" s="2"/>
      <c r="G128" s="2"/>
      <c r="H128" s="2"/>
    </row>
    <row r="129" spans="3:8" ht="17.25" customHeight="1" x14ac:dyDescent="0.2">
      <c r="C129" s="20"/>
      <c r="D129" s="2"/>
      <c r="E129" s="2"/>
      <c r="F129" s="2"/>
      <c r="G129" s="2"/>
      <c r="H129" s="2"/>
    </row>
    <row r="130" spans="3:8" ht="17.25" customHeight="1" x14ac:dyDescent="0.2">
      <c r="C130" s="20"/>
      <c r="D130" s="2"/>
      <c r="E130" s="2"/>
      <c r="F130" s="2"/>
      <c r="G130" s="2"/>
      <c r="H130" s="2"/>
    </row>
    <row r="131" spans="3:8" ht="17.25" customHeight="1" x14ac:dyDescent="0.2">
      <c r="C131" s="20"/>
      <c r="D131" s="2"/>
      <c r="E131" s="2"/>
      <c r="F131" s="2"/>
      <c r="G131" s="2"/>
      <c r="H131" s="2"/>
    </row>
    <row r="132" spans="3:8" ht="17.25" customHeight="1" x14ac:dyDescent="0.2">
      <c r="C132" s="20"/>
      <c r="D132" s="2"/>
      <c r="E132" s="2"/>
      <c r="F132" s="2"/>
      <c r="G132" s="2"/>
      <c r="H132" s="2"/>
    </row>
    <row r="133" spans="3:8" ht="17.25" customHeight="1" x14ac:dyDescent="0.2">
      <c r="C133" s="20"/>
      <c r="D133" s="2"/>
      <c r="E133" s="2"/>
      <c r="F133" s="2"/>
      <c r="G133" s="2"/>
      <c r="H133" s="2"/>
    </row>
    <row r="134" spans="3:8" ht="17.25" customHeight="1" x14ac:dyDescent="0.2">
      <c r="C134" s="20"/>
      <c r="D134" s="2"/>
      <c r="E134" s="2"/>
      <c r="F134" s="2"/>
      <c r="G134" s="2"/>
      <c r="H134" s="2"/>
    </row>
    <row r="135" spans="3:8" ht="17.25" customHeight="1" x14ac:dyDescent="0.2">
      <c r="C135" s="20"/>
      <c r="D135" s="2"/>
      <c r="E135" s="2"/>
      <c r="F135" s="2"/>
      <c r="G135" s="2"/>
      <c r="H135" s="2"/>
    </row>
    <row r="136" spans="3:8" ht="17.25" customHeight="1" x14ac:dyDescent="0.2">
      <c r="C136" s="20"/>
      <c r="D136" s="2"/>
      <c r="E136" s="2"/>
      <c r="F136" s="2"/>
      <c r="G136" s="2"/>
      <c r="H136" s="2"/>
    </row>
    <row r="137" spans="3:8" ht="17.25" customHeight="1" x14ac:dyDescent="0.2">
      <c r="C137" s="20"/>
      <c r="D137" s="2"/>
      <c r="E137" s="2"/>
      <c r="F137" s="2"/>
      <c r="G137" s="2"/>
      <c r="H137" s="2"/>
    </row>
    <row r="138" spans="3:8" ht="17.25" customHeight="1" x14ac:dyDescent="0.2">
      <c r="C138" s="20"/>
      <c r="D138" s="2"/>
      <c r="E138" s="2"/>
      <c r="F138" s="2"/>
      <c r="G138" s="2"/>
      <c r="H138" s="2"/>
    </row>
    <row r="139" spans="3:8" ht="17.25" customHeight="1" x14ac:dyDescent="0.2">
      <c r="C139" s="20"/>
      <c r="D139" s="2"/>
      <c r="E139" s="2"/>
      <c r="F139" s="2"/>
      <c r="G139" s="2"/>
      <c r="H139" s="2"/>
    </row>
    <row r="140" spans="3:8" ht="17.25" customHeight="1" x14ac:dyDescent="0.2">
      <c r="C140" s="20"/>
      <c r="D140" s="2"/>
      <c r="E140" s="2"/>
      <c r="F140" s="2"/>
      <c r="G140" s="2"/>
      <c r="H140" s="2"/>
    </row>
    <row r="141" spans="3:8" ht="17.25" customHeight="1" x14ac:dyDescent="0.2">
      <c r="C141" s="20"/>
      <c r="D141" s="2"/>
      <c r="E141" s="2"/>
      <c r="F141" s="2"/>
      <c r="G141" s="2"/>
      <c r="H141" s="2"/>
    </row>
    <row r="142" spans="3:8" ht="17.25" customHeight="1" x14ac:dyDescent="0.2">
      <c r="C142" s="20"/>
      <c r="D142" s="2"/>
      <c r="E142" s="2"/>
      <c r="F142" s="2"/>
      <c r="G142" s="2"/>
      <c r="H142" s="2"/>
    </row>
    <row r="143" spans="3:8" ht="17.25" customHeight="1" x14ac:dyDescent="0.2">
      <c r="C143" s="20"/>
      <c r="D143" s="2"/>
      <c r="E143" s="2"/>
      <c r="F143" s="2"/>
      <c r="G143" s="2"/>
      <c r="H143" s="2"/>
    </row>
    <row r="144" spans="3:8" ht="17.25" customHeight="1" x14ac:dyDescent="0.2">
      <c r="C144" s="20"/>
      <c r="D144" s="2"/>
      <c r="E144" s="2"/>
      <c r="F144" s="2"/>
      <c r="G144" s="2"/>
      <c r="H144" s="2"/>
    </row>
    <row r="145" spans="3:8" ht="17.25" customHeight="1" x14ac:dyDescent="0.2">
      <c r="C145" s="20"/>
      <c r="D145" s="2"/>
      <c r="E145" s="2"/>
      <c r="F145" s="2"/>
      <c r="G145" s="2"/>
      <c r="H145" s="2"/>
    </row>
    <row r="146" spans="3:8" ht="17.25" customHeight="1" x14ac:dyDescent="0.2">
      <c r="C146" s="20"/>
      <c r="D146" s="2"/>
      <c r="E146" s="2"/>
      <c r="F146" s="2"/>
      <c r="G146" s="2"/>
      <c r="H146" s="2"/>
    </row>
    <row r="147" spans="3:8" ht="17.25" customHeight="1" x14ac:dyDescent="0.2">
      <c r="C147" s="20"/>
      <c r="D147" s="2"/>
      <c r="E147" s="2"/>
      <c r="F147" s="2"/>
      <c r="G147" s="2"/>
      <c r="H147" s="2"/>
    </row>
    <row r="148" spans="3:8" ht="17.25" customHeight="1" x14ac:dyDescent="0.2">
      <c r="C148" s="20"/>
      <c r="D148" s="2"/>
      <c r="E148" s="2"/>
      <c r="F148" s="2"/>
      <c r="G148" s="2"/>
      <c r="H148" s="2"/>
    </row>
    <row r="149" spans="3:8" ht="17.25" customHeight="1" x14ac:dyDescent="0.2">
      <c r="C149" s="20"/>
      <c r="D149" s="2"/>
      <c r="E149" s="2"/>
      <c r="F149" s="2"/>
      <c r="G149" s="2"/>
      <c r="H149" s="2"/>
    </row>
    <row r="150" spans="3:8" ht="17.25" customHeight="1" x14ac:dyDescent="0.2">
      <c r="C150" s="20"/>
      <c r="D150" s="2"/>
      <c r="E150" s="2"/>
      <c r="F150" s="2"/>
      <c r="G150" s="2"/>
      <c r="H150" s="2"/>
    </row>
    <row r="151" spans="3:8" ht="17.25" customHeight="1" x14ac:dyDescent="0.2">
      <c r="C151" s="20"/>
      <c r="D151" s="2"/>
      <c r="E151" s="2"/>
      <c r="F151" s="2"/>
      <c r="G151" s="2"/>
      <c r="H151" s="2"/>
    </row>
    <row r="152" spans="3:8" ht="17.25" customHeight="1" x14ac:dyDescent="0.2">
      <c r="C152" s="20"/>
      <c r="D152" s="2"/>
      <c r="E152" s="2"/>
      <c r="F152" s="2"/>
      <c r="G152" s="2"/>
      <c r="H152" s="2"/>
    </row>
    <row r="153" spans="3:8" ht="17.25" customHeight="1" x14ac:dyDescent="0.2">
      <c r="C153" s="20"/>
      <c r="D153" s="2"/>
      <c r="E153" s="2"/>
      <c r="F153" s="2"/>
      <c r="G153" s="2"/>
      <c r="H153" s="2"/>
    </row>
    <row r="154" spans="3:8" ht="17.25" customHeight="1" x14ac:dyDescent="0.2">
      <c r="C154" s="20"/>
      <c r="D154" s="2"/>
      <c r="E154" s="2"/>
      <c r="F154" s="2"/>
      <c r="G154" s="2"/>
      <c r="H154" s="2"/>
    </row>
    <row r="155" spans="3:8" ht="17.25" customHeight="1" x14ac:dyDescent="0.2">
      <c r="C155" s="20"/>
      <c r="D155" s="2"/>
      <c r="E155" s="2"/>
      <c r="F155" s="2"/>
      <c r="G155" s="2"/>
      <c r="H155" s="2"/>
    </row>
    <row r="156" spans="3:8" ht="17.25" customHeight="1" x14ac:dyDescent="0.2">
      <c r="C156" s="20"/>
      <c r="D156" s="2"/>
      <c r="E156" s="2"/>
      <c r="F156" s="2"/>
      <c r="G156" s="2"/>
      <c r="H156" s="2"/>
    </row>
    <row r="157" spans="3:8" ht="17.25" customHeight="1" x14ac:dyDescent="0.2">
      <c r="C157" s="20"/>
      <c r="D157" s="2"/>
      <c r="E157" s="2"/>
      <c r="F157" s="2"/>
      <c r="G157" s="2"/>
      <c r="H157" s="2"/>
    </row>
    <row r="158" spans="3:8" ht="17.25" customHeight="1" x14ac:dyDescent="0.2">
      <c r="C158" s="20"/>
      <c r="D158" s="2"/>
      <c r="E158" s="2"/>
      <c r="F158" s="2"/>
      <c r="G158" s="2"/>
      <c r="H158" s="2"/>
    </row>
    <row r="159" spans="3:8" ht="17.25" customHeight="1" x14ac:dyDescent="0.2">
      <c r="C159" s="20"/>
      <c r="D159" s="2"/>
      <c r="E159" s="2"/>
      <c r="F159" s="2"/>
      <c r="G159" s="2"/>
      <c r="H159" s="2"/>
    </row>
    <row r="160" spans="3:8" ht="17.25" customHeight="1" x14ac:dyDescent="0.2">
      <c r="C160" s="20"/>
      <c r="D160" s="2"/>
      <c r="E160" s="2"/>
      <c r="F160" s="2"/>
      <c r="G160" s="2"/>
      <c r="H160" s="2"/>
    </row>
    <row r="161" spans="3:8" ht="17.25" customHeight="1" x14ac:dyDescent="0.2">
      <c r="C161" s="20"/>
      <c r="D161" s="2"/>
      <c r="E161" s="2"/>
      <c r="F161" s="2"/>
      <c r="G161" s="2"/>
      <c r="H161" s="2"/>
    </row>
    <row r="162" spans="3:8" ht="17.25" customHeight="1" x14ac:dyDescent="0.2">
      <c r="C162" s="20"/>
      <c r="D162" s="2"/>
      <c r="E162" s="2"/>
      <c r="F162" s="2"/>
      <c r="G162" s="2"/>
      <c r="H162" s="2"/>
    </row>
    <row r="163" spans="3:8" ht="17.25" customHeight="1" x14ac:dyDescent="0.2">
      <c r="C163" s="20"/>
      <c r="D163" s="2"/>
      <c r="E163" s="2"/>
      <c r="F163" s="2"/>
      <c r="G163" s="2"/>
      <c r="H163" s="2"/>
    </row>
    <row r="164" spans="3:8" ht="17.25" customHeight="1" x14ac:dyDescent="0.2">
      <c r="C164" s="20"/>
      <c r="D164" s="2"/>
      <c r="E164" s="2"/>
      <c r="F164" s="2"/>
      <c r="G164" s="2"/>
      <c r="H164" s="2"/>
    </row>
    <row r="165" spans="3:8" ht="17.25" customHeight="1" x14ac:dyDescent="0.2">
      <c r="C165" s="20"/>
      <c r="D165" s="2"/>
      <c r="E165" s="2"/>
      <c r="F165" s="2"/>
      <c r="G165" s="2"/>
      <c r="H165" s="2"/>
    </row>
    <row r="166" spans="3:8" ht="17.25" customHeight="1" x14ac:dyDescent="0.2">
      <c r="C166" s="20"/>
      <c r="D166" s="2"/>
      <c r="E166" s="2"/>
      <c r="F166" s="2"/>
      <c r="G166" s="2"/>
      <c r="H166" s="2"/>
    </row>
    <row r="167" spans="3:8" ht="17.25" customHeight="1" x14ac:dyDescent="0.2">
      <c r="C167" s="20"/>
      <c r="D167" s="2"/>
      <c r="E167" s="2"/>
      <c r="F167" s="2"/>
      <c r="G167" s="2"/>
      <c r="H167" s="2"/>
    </row>
    <row r="168" spans="3:8" ht="17.25" customHeight="1" x14ac:dyDescent="0.2">
      <c r="C168" s="20"/>
      <c r="D168" s="2"/>
      <c r="E168" s="2"/>
      <c r="F168" s="2"/>
      <c r="G168" s="2"/>
      <c r="H168" s="2"/>
    </row>
    <row r="169" spans="3:8" ht="17.25" customHeight="1" x14ac:dyDescent="0.2">
      <c r="C169" s="20"/>
      <c r="D169" s="2"/>
      <c r="E169" s="2"/>
      <c r="F169" s="2"/>
      <c r="G169" s="2"/>
      <c r="H169" s="2"/>
    </row>
    <row r="170" spans="3:8" ht="17.25" customHeight="1" x14ac:dyDescent="0.2">
      <c r="C170" s="20"/>
      <c r="D170" s="2"/>
      <c r="E170" s="2"/>
      <c r="F170" s="2"/>
      <c r="G170" s="2"/>
      <c r="H170" s="2"/>
    </row>
    <row r="171" spans="3:8" ht="17.25" customHeight="1" x14ac:dyDescent="0.2">
      <c r="C171" s="20"/>
      <c r="D171" s="2"/>
      <c r="E171" s="2"/>
      <c r="F171" s="2"/>
      <c r="G171" s="2"/>
      <c r="H171" s="2"/>
    </row>
    <row r="172" spans="3:8" ht="17.25" customHeight="1" x14ac:dyDescent="0.2">
      <c r="C172" s="20"/>
      <c r="D172" s="2"/>
      <c r="E172" s="2"/>
      <c r="F172" s="2"/>
      <c r="G172" s="2"/>
      <c r="H172" s="2"/>
    </row>
    <row r="173" spans="3:8" ht="17.25" customHeight="1" x14ac:dyDescent="0.2">
      <c r="C173" s="20"/>
      <c r="D173" s="2"/>
      <c r="E173" s="2"/>
      <c r="F173" s="2"/>
      <c r="G173" s="2"/>
      <c r="H173" s="2"/>
    </row>
    <row r="174" spans="3:8" ht="17.25" customHeight="1" x14ac:dyDescent="0.2">
      <c r="C174" s="20"/>
      <c r="D174" s="2"/>
      <c r="E174" s="2"/>
      <c r="F174" s="2"/>
      <c r="G174" s="2"/>
      <c r="H174" s="2"/>
    </row>
    <row r="175" spans="3:8" ht="17.25" customHeight="1" x14ac:dyDescent="0.2">
      <c r="C175" s="20"/>
      <c r="D175" s="2"/>
      <c r="E175" s="2"/>
      <c r="F175" s="2"/>
      <c r="G175" s="2"/>
      <c r="H175" s="2"/>
    </row>
    <row r="176" spans="3:8" ht="17.25" customHeight="1" x14ac:dyDescent="0.2">
      <c r="C176" s="20"/>
      <c r="D176" s="2"/>
      <c r="E176" s="2"/>
      <c r="F176" s="2"/>
      <c r="G176" s="2"/>
      <c r="H176" s="2"/>
    </row>
    <row r="177" spans="3:8" ht="17.25" customHeight="1" x14ac:dyDescent="0.2">
      <c r="C177" s="20"/>
      <c r="D177" s="2"/>
      <c r="E177" s="2"/>
      <c r="F177" s="2"/>
      <c r="G177" s="2"/>
      <c r="H177" s="2"/>
    </row>
    <row r="178" spans="3:8" ht="17.25" customHeight="1" x14ac:dyDescent="0.2">
      <c r="C178" s="20"/>
      <c r="D178" s="2"/>
      <c r="E178" s="2"/>
      <c r="F178" s="2"/>
      <c r="G178" s="2"/>
      <c r="H178" s="2"/>
    </row>
    <row r="179" spans="3:8" ht="17.25" customHeight="1" x14ac:dyDescent="0.2">
      <c r="C179" s="20"/>
      <c r="D179" s="2"/>
      <c r="E179" s="2"/>
      <c r="F179" s="2"/>
      <c r="G179" s="2"/>
      <c r="H179" s="2"/>
    </row>
    <row r="180" spans="3:8" ht="17.25" customHeight="1" x14ac:dyDescent="0.2">
      <c r="C180" s="20"/>
      <c r="D180" s="2"/>
      <c r="E180" s="2"/>
      <c r="F180" s="2"/>
      <c r="G180" s="2"/>
      <c r="H180" s="2"/>
    </row>
    <row r="181" spans="3:8" ht="17.25" customHeight="1" x14ac:dyDescent="0.2">
      <c r="C181" s="20"/>
      <c r="D181" s="2"/>
      <c r="E181" s="2"/>
      <c r="F181" s="2"/>
      <c r="G181" s="2"/>
      <c r="H181" s="2"/>
    </row>
    <row r="182" spans="3:8" ht="17.25" customHeight="1" x14ac:dyDescent="0.2">
      <c r="C182" s="20"/>
      <c r="D182" s="2"/>
      <c r="E182" s="2"/>
      <c r="F182" s="2"/>
      <c r="G182" s="2"/>
      <c r="H182" s="2"/>
    </row>
    <row r="183" spans="3:8" ht="17.25" customHeight="1" x14ac:dyDescent="0.2">
      <c r="C183" s="20"/>
      <c r="D183" s="2"/>
      <c r="E183" s="2"/>
      <c r="F183" s="2"/>
      <c r="G183" s="2"/>
      <c r="H183" s="2"/>
    </row>
    <row r="184" spans="3:8" ht="17.25" customHeight="1" x14ac:dyDescent="0.2">
      <c r="C184" s="20"/>
      <c r="D184" s="2"/>
      <c r="E184" s="2"/>
      <c r="F184" s="2"/>
      <c r="G184" s="2"/>
      <c r="H184" s="2"/>
    </row>
    <row r="185" spans="3:8" ht="17.25" customHeight="1" x14ac:dyDescent="0.2">
      <c r="C185" s="20"/>
      <c r="D185" s="2"/>
      <c r="E185" s="2"/>
      <c r="F185" s="2"/>
      <c r="G185" s="2"/>
      <c r="H185" s="2"/>
    </row>
    <row r="186" spans="3:8" ht="17.25" customHeight="1" x14ac:dyDescent="0.2">
      <c r="C186" s="20"/>
      <c r="D186" s="2"/>
      <c r="E186" s="2"/>
      <c r="F186" s="2"/>
      <c r="G186" s="2"/>
      <c r="H186" s="2"/>
    </row>
    <row r="187" spans="3:8" ht="17.25" customHeight="1" x14ac:dyDescent="0.2">
      <c r="C187" s="20"/>
      <c r="D187" s="2"/>
      <c r="E187" s="2"/>
      <c r="F187" s="2"/>
      <c r="G187" s="2"/>
      <c r="H187" s="2"/>
    </row>
    <row r="188" spans="3:8" ht="17.25" customHeight="1" x14ac:dyDescent="0.2">
      <c r="C188" s="20"/>
      <c r="D188" s="2"/>
      <c r="E188" s="2"/>
      <c r="F188" s="2"/>
      <c r="G188" s="2"/>
      <c r="H188" s="2"/>
    </row>
    <row r="189" spans="3:8" ht="17.25" customHeight="1" x14ac:dyDescent="0.2">
      <c r="C189" s="20"/>
      <c r="D189" s="2"/>
      <c r="E189" s="2"/>
      <c r="F189" s="2"/>
      <c r="G189" s="2"/>
      <c r="H189" s="2"/>
    </row>
    <row r="190" spans="3:8" ht="17.25" customHeight="1" x14ac:dyDescent="0.2">
      <c r="C190" s="20"/>
      <c r="D190" s="2"/>
      <c r="E190" s="2"/>
      <c r="F190" s="2"/>
      <c r="G190" s="2"/>
      <c r="H190" s="2"/>
    </row>
    <row r="191" spans="3:8" ht="17.25" customHeight="1" x14ac:dyDescent="0.2">
      <c r="C191" s="20"/>
      <c r="D191" s="2"/>
      <c r="E191" s="2"/>
      <c r="F191" s="2"/>
      <c r="G191" s="2"/>
      <c r="H191" s="2"/>
    </row>
    <row r="192" spans="3:8" ht="17.25" customHeight="1" x14ac:dyDescent="0.2">
      <c r="C192" s="20"/>
      <c r="D192" s="2"/>
      <c r="E192" s="2"/>
      <c r="F192" s="2"/>
      <c r="G192" s="2"/>
      <c r="H192" s="2"/>
    </row>
    <row r="193" spans="3:8" ht="17.25" customHeight="1" x14ac:dyDescent="0.2">
      <c r="C193" s="20"/>
      <c r="D193" s="2"/>
      <c r="E193" s="2"/>
      <c r="F193" s="2"/>
      <c r="G193" s="2"/>
      <c r="H193" s="2"/>
    </row>
    <row r="194" spans="3:8" ht="17.25" customHeight="1" x14ac:dyDescent="0.2">
      <c r="C194" s="20"/>
      <c r="D194" s="2"/>
      <c r="E194" s="2"/>
      <c r="F194" s="2"/>
      <c r="G194" s="2"/>
      <c r="H194" s="2"/>
    </row>
    <row r="195" spans="3:8" ht="17.25" customHeight="1" x14ac:dyDescent="0.2">
      <c r="C195" s="20"/>
      <c r="D195" s="2"/>
      <c r="E195" s="2"/>
      <c r="F195" s="2"/>
      <c r="G195" s="2"/>
      <c r="H195" s="2"/>
    </row>
    <row r="196" spans="3:8" ht="17.25" customHeight="1" x14ac:dyDescent="0.2">
      <c r="C196" s="20"/>
      <c r="D196" s="2"/>
      <c r="E196" s="2"/>
      <c r="F196" s="2"/>
      <c r="G196" s="2"/>
      <c r="H196" s="2"/>
    </row>
    <row r="197" spans="3:8" ht="17.25" customHeight="1" x14ac:dyDescent="0.2">
      <c r="C197" s="20"/>
      <c r="D197" s="2"/>
      <c r="E197" s="2"/>
      <c r="F197" s="2"/>
      <c r="G197" s="2"/>
      <c r="H197" s="2"/>
    </row>
    <row r="198" spans="3:8" ht="17.25" customHeight="1" x14ac:dyDescent="0.2">
      <c r="C198" s="20"/>
      <c r="D198" s="2"/>
      <c r="E198" s="2"/>
      <c r="F198" s="2"/>
      <c r="G198" s="2"/>
      <c r="H198" s="2"/>
    </row>
    <row r="199" spans="3:8" ht="17.25" customHeight="1" x14ac:dyDescent="0.2">
      <c r="C199" s="20"/>
      <c r="D199" s="2"/>
      <c r="E199" s="2"/>
      <c r="F199" s="2"/>
      <c r="G199" s="2"/>
      <c r="H199" s="2"/>
    </row>
    <row r="200" spans="3:8" ht="17.25" customHeight="1" x14ac:dyDescent="0.2">
      <c r="C200" s="20"/>
      <c r="D200" s="2"/>
      <c r="E200" s="2"/>
      <c r="F200" s="2"/>
      <c r="G200" s="2"/>
      <c r="H200" s="2"/>
    </row>
    <row r="201" spans="3:8" ht="17.25" customHeight="1" x14ac:dyDescent="0.2">
      <c r="C201" s="20"/>
      <c r="D201" s="2"/>
      <c r="E201" s="2"/>
      <c r="F201" s="2"/>
      <c r="G201" s="2"/>
      <c r="H201" s="2"/>
    </row>
    <row r="202" spans="3:8" ht="17.25" customHeight="1" x14ac:dyDescent="0.2">
      <c r="C202" s="20"/>
      <c r="D202" s="2"/>
      <c r="E202" s="2"/>
      <c r="F202" s="2"/>
      <c r="G202" s="2"/>
      <c r="H202" s="2"/>
    </row>
    <row r="203" spans="3:8" ht="17.25" customHeight="1" x14ac:dyDescent="0.2">
      <c r="C203" s="20"/>
      <c r="D203" s="2"/>
      <c r="E203" s="2"/>
      <c r="F203" s="2"/>
      <c r="G203" s="2"/>
      <c r="H203" s="2"/>
    </row>
    <row r="204" spans="3:8" ht="17.25" customHeight="1" x14ac:dyDescent="0.2">
      <c r="C204" s="20"/>
      <c r="D204" s="2"/>
      <c r="E204" s="2"/>
      <c r="F204" s="2"/>
      <c r="G204" s="2"/>
      <c r="H204" s="2"/>
    </row>
    <row r="205" spans="3:8" ht="17.25" customHeight="1" x14ac:dyDescent="0.2">
      <c r="C205" s="20"/>
      <c r="D205" s="2"/>
      <c r="E205" s="2"/>
      <c r="F205" s="2"/>
      <c r="G205" s="2"/>
      <c r="H205" s="2"/>
    </row>
    <row r="206" spans="3:8" ht="17.25" customHeight="1" x14ac:dyDescent="0.2">
      <c r="C206" s="20"/>
      <c r="D206" s="2"/>
      <c r="E206" s="2"/>
      <c r="F206" s="2"/>
      <c r="G206" s="2"/>
      <c r="H206" s="2"/>
    </row>
    <row r="207" spans="3:8" ht="17.25" customHeight="1" x14ac:dyDescent="0.2">
      <c r="C207" s="20"/>
      <c r="D207" s="2"/>
      <c r="E207" s="2"/>
      <c r="F207" s="2"/>
      <c r="G207" s="2"/>
      <c r="H207" s="2"/>
    </row>
    <row r="208" spans="3:8" ht="17.25" customHeight="1" x14ac:dyDescent="0.2">
      <c r="C208" s="20"/>
      <c r="D208" s="2"/>
      <c r="E208" s="2"/>
      <c r="F208" s="2"/>
      <c r="G208" s="2"/>
      <c r="H208" s="2"/>
    </row>
    <row r="209" spans="3:8" ht="17.25" customHeight="1" x14ac:dyDescent="0.2">
      <c r="C209" s="20"/>
      <c r="D209" s="2"/>
      <c r="E209" s="2"/>
      <c r="F209" s="2"/>
      <c r="G209" s="2"/>
      <c r="H209" s="2"/>
    </row>
    <row r="210" spans="3:8" ht="17.25" customHeight="1" x14ac:dyDescent="0.2">
      <c r="C210" s="20"/>
      <c r="D210" s="2"/>
      <c r="E210" s="2"/>
      <c r="F210" s="2"/>
      <c r="G210" s="2"/>
      <c r="H210" s="2"/>
    </row>
    <row r="211" spans="3:8" ht="17.25" customHeight="1" x14ac:dyDescent="0.2">
      <c r="C211" s="20"/>
      <c r="D211" s="2"/>
      <c r="E211" s="2"/>
      <c r="F211" s="2"/>
      <c r="G211" s="2"/>
      <c r="H211" s="2"/>
    </row>
    <row r="212" spans="3:8" ht="17.25" customHeight="1" x14ac:dyDescent="0.2">
      <c r="C212" s="20"/>
      <c r="D212" s="2"/>
      <c r="E212" s="2"/>
      <c r="F212" s="2"/>
      <c r="G212" s="2"/>
      <c r="H212" s="2"/>
    </row>
    <row r="213" spans="3:8" ht="17.25" customHeight="1" x14ac:dyDescent="0.2">
      <c r="C213" s="20"/>
      <c r="D213" s="2"/>
      <c r="E213" s="2"/>
      <c r="F213" s="2"/>
      <c r="G213" s="2"/>
      <c r="H213" s="2"/>
    </row>
    <row r="214" spans="3:8" ht="17.25" customHeight="1" x14ac:dyDescent="0.2">
      <c r="C214" s="20"/>
      <c r="D214" s="2"/>
      <c r="E214" s="2"/>
      <c r="F214" s="2"/>
      <c r="G214" s="2"/>
      <c r="H214" s="2"/>
    </row>
    <row r="215" spans="3:8" ht="17.25" customHeight="1" x14ac:dyDescent="0.2">
      <c r="C215" s="20"/>
      <c r="D215" s="2"/>
      <c r="E215" s="2"/>
      <c r="F215" s="2"/>
      <c r="G215" s="2"/>
      <c r="H215" s="2"/>
    </row>
    <row r="216" spans="3:8" ht="17.25" customHeight="1" x14ac:dyDescent="0.2">
      <c r="C216" s="20"/>
      <c r="D216" s="2"/>
      <c r="E216" s="2"/>
      <c r="F216" s="2"/>
      <c r="G216" s="2"/>
      <c r="H216" s="2"/>
    </row>
    <row r="217" spans="3:8" ht="17.25" customHeight="1" x14ac:dyDescent="0.2">
      <c r="C217" s="20"/>
      <c r="D217" s="2"/>
      <c r="E217" s="2"/>
      <c r="F217" s="2"/>
      <c r="G217" s="2"/>
      <c r="H217" s="2"/>
    </row>
    <row r="218" spans="3:8" ht="17.25" customHeight="1" x14ac:dyDescent="0.2">
      <c r="C218" s="20"/>
      <c r="D218" s="2"/>
      <c r="E218" s="2"/>
      <c r="F218" s="2"/>
      <c r="G218" s="2"/>
      <c r="H218" s="2"/>
    </row>
    <row r="219" spans="3:8" ht="17.25" customHeight="1" x14ac:dyDescent="0.2">
      <c r="C219" s="20"/>
      <c r="D219" s="2"/>
      <c r="E219" s="2"/>
      <c r="F219" s="2"/>
      <c r="G219" s="2"/>
      <c r="H219" s="2"/>
    </row>
    <row r="220" spans="3:8" ht="17.25" customHeight="1" x14ac:dyDescent="0.2">
      <c r="C220" s="20"/>
      <c r="D220" s="2"/>
      <c r="E220" s="2"/>
      <c r="F220" s="2"/>
      <c r="G220" s="2"/>
      <c r="H220" s="2"/>
    </row>
    <row r="221" spans="3:8" ht="17.25" customHeight="1" x14ac:dyDescent="0.2">
      <c r="C221" s="20"/>
      <c r="D221" s="2"/>
      <c r="E221" s="2"/>
      <c r="F221" s="2"/>
      <c r="G221" s="2"/>
      <c r="H221" s="2"/>
    </row>
    <row r="222" spans="3:8" ht="17.25" customHeight="1" x14ac:dyDescent="0.2">
      <c r="C222" s="20"/>
      <c r="D222" s="2"/>
      <c r="E222" s="2"/>
      <c r="F222" s="2"/>
      <c r="G222" s="2"/>
      <c r="H222" s="2"/>
    </row>
    <row r="223" spans="3:8" ht="17.25" customHeight="1" x14ac:dyDescent="0.2">
      <c r="C223" s="20"/>
      <c r="D223" s="2"/>
      <c r="E223" s="2"/>
      <c r="F223" s="2"/>
      <c r="G223" s="2"/>
      <c r="H223" s="2"/>
    </row>
    <row r="224" spans="3:8" ht="17.25" customHeight="1" x14ac:dyDescent="0.2">
      <c r="C224" s="20"/>
      <c r="D224" s="2"/>
      <c r="E224" s="2"/>
      <c r="F224" s="2"/>
      <c r="G224" s="2"/>
      <c r="H224" s="2"/>
    </row>
    <row r="225" spans="3:8" ht="17.25" customHeight="1" x14ac:dyDescent="0.2">
      <c r="C225" s="20"/>
      <c r="D225" s="2"/>
      <c r="E225" s="2"/>
      <c r="F225" s="2"/>
      <c r="G225" s="2"/>
      <c r="H225" s="2"/>
    </row>
    <row r="226" spans="3:8" ht="17.25" customHeight="1" x14ac:dyDescent="0.2">
      <c r="C226" s="20"/>
      <c r="D226" s="2"/>
      <c r="E226" s="2"/>
      <c r="F226" s="2"/>
      <c r="G226" s="2"/>
      <c r="H226" s="2"/>
    </row>
    <row r="227" spans="3:8" ht="17.25" customHeight="1" x14ac:dyDescent="0.2">
      <c r="C227" s="20"/>
      <c r="D227" s="2"/>
      <c r="E227" s="2"/>
      <c r="F227" s="2"/>
      <c r="G227" s="2"/>
      <c r="H227" s="2"/>
    </row>
    <row r="228" spans="3:8" ht="17.25" customHeight="1" x14ac:dyDescent="0.2">
      <c r="C228" s="20"/>
      <c r="D228" s="2"/>
      <c r="E228" s="2"/>
      <c r="F228" s="2"/>
      <c r="G228" s="2"/>
      <c r="H228" s="2"/>
    </row>
    <row r="229" spans="3:8" ht="17.25" customHeight="1" x14ac:dyDescent="0.2">
      <c r="C229" s="20"/>
      <c r="D229" s="2"/>
      <c r="E229" s="2"/>
      <c r="F229" s="2"/>
      <c r="G229" s="2"/>
      <c r="H229" s="2"/>
    </row>
    <row r="230" spans="3:8" ht="17.25" customHeight="1" x14ac:dyDescent="0.2">
      <c r="C230" s="20"/>
      <c r="D230" s="2"/>
      <c r="E230" s="2"/>
      <c r="F230" s="2"/>
      <c r="G230" s="2"/>
      <c r="H230" s="2"/>
    </row>
    <row r="231" spans="3:8" ht="17.25" customHeight="1" x14ac:dyDescent="0.2">
      <c r="C231" s="20"/>
      <c r="D231" s="2"/>
      <c r="E231" s="2"/>
      <c r="F231" s="2"/>
      <c r="G231" s="2"/>
      <c r="H231" s="2"/>
    </row>
    <row r="232" spans="3:8" ht="17.25" customHeight="1" x14ac:dyDescent="0.2">
      <c r="C232" s="20"/>
      <c r="D232" s="2"/>
      <c r="E232" s="2"/>
      <c r="F232" s="2"/>
      <c r="G232" s="2"/>
      <c r="H232" s="2"/>
    </row>
    <row r="233" spans="3:8" ht="17.25" customHeight="1" x14ac:dyDescent="0.2">
      <c r="C233" s="20"/>
      <c r="D233" s="2"/>
      <c r="E233" s="2"/>
      <c r="F233" s="2"/>
      <c r="G233" s="2"/>
      <c r="H233" s="2"/>
    </row>
    <row r="234" spans="3:8" ht="17.25" customHeight="1" x14ac:dyDescent="0.2">
      <c r="C234" s="20"/>
      <c r="D234" s="2"/>
      <c r="E234" s="2"/>
      <c r="F234" s="2"/>
      <c r="G234" s="2"/>
      <c r="H234" s="2"/>
    </row>
    <row r="235" spans="3:8" ht="17.25" customHeight="1" x14ac:dyDescent="0.2">
      <c r="C235" s="20"/>
      <c r="D235" s="2"/>
      <c r="E235" s="2"/>
      <c r="F235" s="2"/>
      <c r="G235" s="2"/>
      <c r="H235" s="2"/>
    </row>
    <row r="236" spans="3:8" ht="17.25" customHeight="1" x14ac:dyDescent="0.2">
      <c r="C236" s="20"/>
      <c r="D236" s="2"/>
      <c r="E236" s="2"/>
      <c r="F236" s="2"/>
      <c r="G236" s="2"/>
      <c r="H236" s="2"/>
    </row>
    <row r="237" spans="3:8" ht="17.25" customHeight="1" x14ac:dyDescent="0.2">
      <c r="C237" s="20"/>
      <c r="D237" s="2"/>
      <c r="E237" s="2"/>
      <c r="F237" s="2"/>
      <c r="G237" s="2"/>
      <c r="H237" s="2"/>
    </row>
    <row r="238" spans="3:8" ht="17.25" customHeight="1" x14ac:dyDescent="0.2">
      <c r="C238" s="20"/>
      <c r="D238" s="2"/>
      <c r="E238" s="2"/>
      <c r="F238" s="2"/>
      <c r="G238" s="2"/>
      <c r="H238" s="2"/>
    </row>
    <row r="239" spans="3:8" ht="17.25" customHeight="1" x14ac:dyDescent="0.2">
      <c r="C239" s="20"/>
      <c r="D239" s="2"/>
      <c r="E239" s="2"/>
      <c r="F239" s="2"/>
      <c r="G239" s="2"/>
      <c r="H239" s="2"/>
    </row>
    <row r="240" spans="3:8" ht="17.25" customHeight="1" x14ac:dyDescent="0.2">
      <c r="C240" s="20"/>
      <c r="D240" s="2"/>
      <c r="E240" s="2"/>
      <c r="F240" s="2"/>
      <c r="G240" s="2"/>
      <c r="H240" s="2"/>
    </row>
    <row r="241" spans="3:8" ht="17.25" customHeight="1" x14ac:dyDescent="0.2">
      <c r="C241" s="20"/>
      <c r="D241" s="2"/>
      <c r="E241" s="2"/>
      <c r="F241" s="2"/>
      <c r="G241" s="2"/>
      <c r="H241" s="2"/>
    </row>
    <row r="242" spans="3:8" ht="17.25" customHeight="1" x14ac:dyDescent="0.2">
      <c r="C242" s="20"/>
      <c r="D242" s="2"/>
      <c r="E242" s="2"/>
      <c r="F242" s="2"/>
      <c r="G242" s="2"/>
      <c r="H242" s="2"/>
    </row>
    <row r="243" spans="3:8" ht="17.25" customHeight="1" x14ac:dyDescent="0.2">
      <c r="C243" s="20"/>
      <c r="D243" s="2"/>
      <c r="E243" s="2"/>
      <c r="F243" s="2"/>
      <c r="G243" s="2"/>
      <c r="H243" s="2"/>
    </row>
    <row r="244" spans="3:8" ht="17.25" customHeight="1" x14ac:dyDescent="0.2">
      <c r="C244" s="20"/>
      <c r="D244" s="2"/>
      <c r="E244" s="2"/>
      <c r="F244" s="2"/>
      <c r="G244" s="2"/>
      <c r="H244" s="2"/>
    </row>
    <row r="245" spans="3:8" ht="17.25" customHeight="1" x14ac:dyDescent="0.2">
      <c r="C245" s="20"/>
      <c r="D245" s="2"/>
      <c r="E245" s="2"/>
      <c r="F245" s="2"/>
      <c r="G245" s="2"/>
      <c r="H245" s="2"/>
    </row>
    <row r="246" spans="3:8" ht="17.25" customHeight="1" x14ac:dyDescent="0.2">
      <c r="C246" s="20"/>
      <c r="D246" s="2"/>
      <c r="E246" s="2"/>
      <c r="F246" s="2"/>
      <c r="G246" s="2"/>
      <c r="H246" s="2"/>
    </row>
    <row r="247" spans="3:8" ht="17.25" customHeight="1" x14ac:dyDescent="0.2">
      <c r="C247" s="20"/>
      <c r="D247" s="2"/>
      <c r="E247" s="2"/>
      <c r="F247" s="2"/>
      <c r="G247" s="2"/>
      <c r="H247" s="2"/>
    </row>
    <row r="248" spans="3:8" ht="17.25" customHeight="1" x14ac:dyDescent="0.2">
      <c r="C248" s="20"/>
      <c r="D248" s="2"/>
      <c r="E248" s="2"/>
      <c r="F248" s="2"/>
      <c r="G248" s="2"/>
      <c r="H248" s="2"/>
    </row>
    <row r="249" spans="3:8" ht="17.25" customHeight="1" x14ac:dyDescent="0.2">
      <c r="C249" s="20"/>
      <c r="D249" s="2"/>
      <c r="E249" s="2"/>
      <c r="F249" s="2"/>
      <c r="G249" s="2"/>
      <c r="H249" s="2"/>
    </row>
    <row r="250" spans="3:8" ht="17.25" customHeight="1" x14ac:dyDescent="0.2">
      <c r="C250" s="20"/>
      <c r="D250" s="2"/>
      <c r="E250" s="2"/>
      <c r="F250" s="2"/>
      <c r="G250" s="2"/>
      <c r="H250" s="2"/>
    </row>
    <row r="251" spans="3:8" ht="17.25" customHeight="1" x14ac:dyDescent="0.2">
      <c r="C251" s="20"/>
      <c r="D251" s="2"/>
      <c r="E251" s="2"/>
      <c r="F251" s="2"/>
      <c r="G251" s="2"/>
      <c r="H251" s="2"/>
    </row>
    <row r="252" spans="3:8" ht="17.25" customHeight="1" x14ac:dyDescent="0.2">
      <c r="C252" s="20"/>
      <c r="D252" s="2"/>
      <c r="E252" s="2"/>
      <c r="F252" s="2"/>
      <c r="G252" s="2"/>
      <c r="H252" s="2"/>
    </row>
    <row r="253" spans="3:8" ht="17.25" customHeight="1" x14ac:dyDescent="0.2">
      <c r="C253" s="20"/>
      <c r="D253" s="2"/>
      <c r="E253" s="2"/>
      <c r="F253" s="2"/>
      <c r="G253" s="2"/>
      <c r="H253" s="2"/>
    </row>
    <row r="254" spans="3:8" ht="17.25" customHeight="1" x14ac:dyDescent="0.2">
      <c r="C254" s="20"/>
      <c r="D254" s="2"/>
      <c r="E254" s="2"/>
      <c r="F254" s="2"/>
      <c r="G254" s="2"/>
      <c r="H254" s="2"/>
    </row>
    <row r="255" spans="3:8" ht="17.25" customHeight="1" x14ac:dyDescent="0.2">
      <c r="C255" s="20"/>
      <c r="D255" s="2"/>
      <c r="E255" s="2"/>
      <c r="F255" s="2"/>
      <c r="G255" s="2"/>
      <c r="H255" s="2"/>
    </row>
    <row r="256" spans="3:8" ht="17.25" customHeight="1" x14ac:dyDescent="0.2">
      <c r="C256" s="20"/>
      <c r="D256" s="2"/>
      <c r="E256" s="2"/>
      <c r="F256" s="2"/>
      <c r="G256" s="2"/>
      <c r="H256" s="2"/>
    </row>
    <row r="257" spans="3:8" ht="17.25" customHeight="1" x14ac:dyDescent="0.2">
      <c r="C257" s="20"/>
      <c r="D257" s="2"/>
      <c r="E257" s="2"/>
      <c r="F257" s="2"/>
      <c r="G257" s="2"/>
      <c r="H257" s="2"/>
    </row>
    <row r="258" spans="3:8" ht="17.25" customHeight="1" x14ac:dyDescent="0.2">
      <c r="C258" s="20"/>
      <c r="D258" s="2"/>
      <c r="E258" s="2"/>
      <c r="F258" s="2"/>
      <c r="G258" s="2"/>
      <c r="H258" s="2"/>
    </row>
    <row r="259" spans="3:8" ht="17.25" customHeight="1" x14ac:dyDescent="0.2">
      <c r="C259" s="20"/>
      <c r="D259" s="2"/>
      <c r="E259" s="2"/>
      <c r="F259" s="2"/>
      <c r="G259" s="2"/>
      <c r="H259" s="2"/>
    </row>
    <row r="260" spans="3:8" ht="17.25" customHeight="1" x14ac:dyDescent="0.2">
      <c r="C260" s="20"/>
      <c r="D260" s="2"/>
      <c r="E260" s="2"/>
      <c r="F260" s="2"/>
      <c r="G260" s="2"/>
      <c r="H260" s="2"/>
    </row>
    <row r="261" spans="3:8" ht="17.25" customHeight="1" x14ac:dyDescent="0.2">
      <c r="C261" s="20"/>
      <c r="D261" s="2"/>
      <c r="E261" s="2"/>
      <c r="F261" s="2"/>
      <c r="G261" s="2"/>
      <c r="H261" s="2"/>
    </row>
    <row r="262" spans="3:8" ht="17.25" customHeight="1" x14ac:dyDescent="0.2">
      <c r="C262" s="20"/>
      <c r="D262" s="2"/>
      <c r="E262" s="2"/>
      <c r="F262" s="2"/>
      <c r="G262" s="2"/>
      <c r="H262" s="2"/>
    </row>
    <row r="263" spans="3:8" ht="17.25" customHeight="1" x14ac:dyDescent="0.2">
      <c r="C263" s="20"/>
      <c r="D263" s="2"/>
      <c r="E263" s="2"/>
      <c r="F263" s="2"/>
      <c r="G263" s="2"/>
      <c r="H263" s="2"/>
    </row>
    <row r="264" spans="3:8" ht="17.25" customHeight="1" x14ac:dyDescent="0.2">
      <c r="C264" s="20"/>
      <c r="D264" s="2"/>
      <c r="E264" s="2"/>
      <c r="F264" s="2"/>
      <c r="G264" s="2"/>
      <c r="H264" s="2"/>
    </row>
    <row r="265" spans="3:8" ht="17.25" customHeight="1" x14ac:dyDescent="0.2">
      <c r="C265" s="20"/>
      <c r="D265" s="2"/>
      <c r="E265" s="2"/>
      <c r="F265" s="2"/>
      <c r="G265" s="2"/>
      <c r="H265" s="2"/>
    </row>
    <row r="266" spans="3:8" ht="17.25" customHeight="1" x14ac:dyDescent="0.2">
      <c r="C266" s="20"/>
      <c r="D266" s="2"/>
      <c r="E266" s="2"/>
      <c r="F266" s="2"/>
      <c r="G266" s="2"/>
      <c r="H266" s="2"/>
    </row>
    <row r="267" spans="3:8" ht="17.25" customHeight="1" x14ac:dyDescent="0.2">
      <c r="C267" s="20"/>
      <c r="D267" s="2"/>
      <c r="E267" s="2"/>
      <c r="F267" s="2"/>
      <c r="G267" s="2"/>
      <c r="H267" s="2"/>
    </row>
    <row r="268" spans="3:8" ht="17.25" customHeight="1" x14ac:dyDescent="0.2">
      <c r="C268" s="20"/>
      <c r="D268" s="2"/>
      <c r="E268" s="2"/>
      <c r="F268" s="2"/>
      <c r="G268" s="2"/>
      <c r="H268" s="2"/>
    </row>
    <row r="269" spans="3:8" ht="17.25" customHeight="1" x14ac:dyDescent="0.2">
      <c r="C269" s="20"/>
      <c r="D269" s="2"/>
      <c r="E269" s="2"/>
      <c r="F269" s="2"/>
      <c r="G269" s="2"/>
      <c r="H269" s="2"/>
    </row>
    <row r="270" spans="3:8" ht="17.25" customHeight="1" x14ac:dyDescent="0.2">
      <c r="C270" s="20"/>
      <c r="D270" s="2"/>
      <c r="E270" s="2"/>
      <c r="F270" s="2"/>
      <c r="G270" s="2"/>
      <c r="H270" s="2"/>
    </row>
    <row r="271" spans="3:8" ht="17.25" customHeight="1" x14ac:dyDescent="0.2">
      <c r="C271" s="20"/>
      <c r="D271" s="2"/>
      <c r="E271" s="2"/>
      <c r="F271" s="2"/>
      <c r="G271" s="2"/>
      <c r="H271" s="2"/>
    </row>
    <row r="272" spans="3:8" ht="17.25" customHeight="1" x14ac:dyDescent="0.2">
      <c r="C272" s="20"/>
      <c r="D272" s="2"/>
      <c r="E272" s="2"/>
      <c r="F272" s="2"/>
      <c r="G272" s="2"/>
      <c r="H272" s="2"/>
    </row>
    <row r="273" spans="3:8" ht="17.25" customHeight="1" x14ac:dyDescent="0.2">
      <c r="C273" s="20"/>
      <c r="D273" s="2"/>
      <c r="E273" s="2"/>
      <c r="F273" s="2"/>
      <c r="G273" s="2"/>
      <c r="H273" s="2"/>
    </row>
    <row r="274" spans="3:8" ht="17.25" customHeight="1" x14ac:dyDescent="0.2">
      <c r="C274" s="20"/>
      <c r="D274" s="2"/>
      <c r="E274" s="2"/>
      <c r="F274" s="2"/>
      <c r="G274" s="2"/>
      <c r="H274" s="2"/>
    </row>
    <row r="275" spans="3:8" ht="17.25" customHeight="1" x14ac:dyDescent="0.2">
      <c r="C275" s="20"/>
      <c r="D275" s="2"/>
      <c r="E275" s="2"/>
      <c r="F275" s="2"/>
      <c r="G275" s="2"/>
      <c r="H275" s="2"/>
    </row>
    <row r="276" spans="3:8" ht="17.25" customHeight="1" x14ac:dyDescent="0.2">
      <c r="C276" s="20"/>
      <c r="D276" s="2"/>
      <c r="E276" s="2"/>
      <c r="F276" s="2"/>
      <c r="G276" s="2"/>
      <c r="H276" s="2"/>
    </row>
    <row r="277" spans="3:8" ht="17.25" customHeight="1" x14ac:dyDescent="0.2">
      <c r="C277" s="20"/>
      <c r="D277" s="2"/>
      <c r="E277" s="2"/>
      <c r="F277" s="2"/>
      <c r="G277" s="2"/>
      <c r="H277" s="2"/>
    </row>
    <row r="278" spans="3:8" ht="17.25" customHeight="1" x14ac:dyDescent="0.2">
      <c r="C278" s="20"/>
      <c r="D278" s="2"/>
      <c r="E278" s="2"/>
      <c r="F278" s="2"/>
      <c r="G278" s="2"/>
      <c r="H278" s="2"/>
    </row>
    <row r="279" spans="3:8" ht="17.25" customHeight="1" x14ac:dyDescent="0.2">
      <c r="C279" s="20"/>
      <c r="D279" s="2"/>
      <c r="E279" s="2"/>
      <c r="F279" s="2"/>
      <c r="G279" s="2"/>
      <c r="H279" s="2"/>
    </row>
    <row r="280" spans="3:8" ht="17.25" customHeight="1" x14ac:dyDescent="0.2">
      <c r="C280" s="20"/>
      <c r="D280" s="2"/>
      <c r="E280" s="2"/>
      <c r="F280" s="2"/>
      <c r="G280" s="2"/>
      <c r="H280" s="2"/>
    </row>
    <row r="281" spans="3:8" ht="17.25" customHeight="1" x14ac:dyDescent="0.2">
      <c r="C281" s="20"/>
      <c r="D281" s="2"/>
      <c r="E281" s="2"/>
      <c r="F281" s="2"/>
      <c r="G281" s="2"/>
      <c r="H281" s="2"/>
    </row>
    <row r="282" spans="3:8" ht="17.25" customHeight="1" x14ac:dyDescent="0.2">
      <c r="C282" s="20"/>
      <c r="D282" s="2"/>
      <c r="E282" s="2"/>
      <c r="F282" s="2"/>
      <c r="G282" s="2"/>
      <c r="H282" s="2"/>
    </row>
    <row r="283" spans="3:8" ht="17.25" customHeight="1" x14ac:dyDescent="0.2">
      <c r="C283" s="20"/>
      <c r="D283" s="2"/>
      <c r="E283" s="2"/>
      <c r="F283" s="2"/>
      <c r="G283" s="2"/>
      <c r="H283" s="2"/>
    </row>
    <row r="284" spans="3:8" ht="17.25" customHeight="1" x14ac:dyDescent="0.2">
      <c r="C284" s="20"/>
      <c r="D284" s="2"/>
      <c r="E284" s="2"/>
      <c r="F284" s="2"/>
      <c r="G284" s="2"/>
      <c r="H284" s="2"/>
    </row>
    <row r="285" spans="3:8" ht="17.25" customHeight="1" x14ac:dyDescent="0.2">
      <c r="C285" s="20"/>
      <c r="D285" s="2"/>
      <c r="E285" s="2"/>
      <c r="F285" s="2"/>
      <c r="G285" s="2"/>
      <c r="H285" s="2"/>
    </row>
    <row r="286" spans="3:8" ht="17.25" customHeight="1" x14ac:dyDescent="0.2">
      <c r="C286" s="20"/>
      <c r="D286" s="2"/>
      <c r="E286" s="2"/>
      <c r="F286" s="2"/>
      <c r="G286" s="2"/>
      <c r="H286" s="2"/>
    </row>
    <row r="287" spans="3:8" ht="17.25" customHeight="1" x14ac:dyDescent="0.2">
      <c r="C287" s="20"/>
      <c r="D287" s="2"/>
      <c r="E287" s="2"/>
      <c r="F287" s="2"/>
      <c r="G287" s="2"/>
      <c r="H287" s="2"/>
    </row>
    <row r="288" spans="3:8" ht="17.25" customHeight="1" x14ac:dyDescent="0.2">
      <c r="C288" s="20"/>
      <c r="D288" s="2"/>
      <c r="E288" s="2"/>
      <c r="F288" s="2"/>
      <c r="G288" s="2"/>
      <c r="H288" s="2"/>
    </row>
    <row r="289" spans="3:8" ht="17.25" customHeight="1" x14ac:dyDescent="0.2">
      <c r="C289" s="20"/>
      <c r="D289" s="2"/>
      <c r="E289" s="2"/>
      <c r="F289" s="2"/>
      <c r="G289" s="2"/>
      <c r="H289" s="2"/>
    </row>
    <row r="290" spans="3:8" ht="17.25" customHeight="1" x14ac:dyDescent="0.2">
      <c r="C290" s="20"/>
      <c r="D290" s="2"/>
      <c r="E290" s="2"/>
      <c r="F290" s="2"/>
      <c r="G290" s="2"/>
      <c r="H290" s="2"/>
    </row>
    <row r="291" spans="3:8" ht="17.25" customHeight="1" x14ac:dyDescent="0.2">
      <c r="C291" s="20"/>
      <c r="D291" s="2"/>
      <c r="E291" s="2"/>
      <c r="F291" s="2"/>
      <c r="G291" s="2"/>
      <c r="H291" s="2"/>
    </row>
    <row r="292" spans="3:8" ht="17.25" customHeight="1" x14ac:dyDescent="0.2">
      <c r="C292" s="20"/>
      <c r="D292" s="2"/>
      <c r="E292" s="2"/>
      <c r="F292" s="2"/>
      <c r="G292" s="2"/>
      <c r="H292" s="2"/>
    </row>
    <row r="293" spans="3:8" ht="17.25" customHeight="1" x14ac:dyDescent="0.2">
      <c r="C293" s="20"/>
      <c r="D293" s="2"/>
      <c r="E293" s="2"/>
      <c r="F293" s="2"/>
      <c r="G293" s="2"/>
      <c r="H293" s="2"/>
    </row>
    <row r="294" spans="3:8" ht="17.25" customHeight="1" x14ac:dyDescent="0.2">
      <c r="C294" s="20"/>
      <c r="D294" s="2"/>
      <c r="E294" s="2"/>
      <c r="F294" s="2"/>
      <c r="G294" s="2"/>
      <c r="H294" s="2"/>
    </row>
    <row r="295" spans="3:8" ht="17.25" customHeight="1" x14ac:dyDescent="0.2">
      <c r="C295" s="20"/>
      <c r="D295" s="2"/>
      <c r="E295" s="2"/>
      <c r="F295" s="2"/>
      <c r="G295" s="2"/>
      <c r="H295" s="2"/>
    </row>
    <row r="296" spans="3:8" ht="17.25" customHeight="1" x14ac:dyDescent="0.2">
      <c r="C296" s="20"/>
      <c r="D296" s="2"/>
      <c r="E296" s="2"/>
      <c r="F296" s="2"/>
      <c r="G296" s="2"/>
      <c r="H296" s="2"/>
    </row>
    <row r="297" spans="3:8" ht="17.25" customHeight="1" x14ac:dyDescent="0.2">
      <c r="C297" s="20"/>
      <c r="D297" s="2"/>
      <c r="E297" s="2"/>
      <c r="F297" s="2"/>
      <c r="G297" s="2"/>
      <c r="H297" s="2"/>
    </row>
    <row r="298" spans="3:8" ht="17.25" customHeight="1" x14ac:dyDescent="0.2">
      <c r="C298" s="20"/>
      <c r="D298" s="2"/>
      <c r="E298" s="2"/>
      <c r="F298" s="2"/>
      <c r="G298" s="2"/>
      <c r="H298" s="2"/>
    </row>
    <row r="299" spans="3:8" ht="17.25" customHeight="1" x14ac:dyDescent="0.2">
      <c r="C299" s="20"/>
      <c r="D299" s="2"/>
      <c r="E299" s="2"/>
      <c r="F299" s="2"/>
      <c r="G299" s="2"/>
      <c r="H299" s="2"/>
    </row>
    <row r="300" spans="3:8" ht="17.25" customHeight="1" x14ac:dyDescent="0.2">
      <c r="C300" s="20"/>
      <c r="D300" s="2"/>
      <c r="E300" s="2"/>
      <c r="F300" s="2"/>
      <c r="G300" s="2"/>
      <c r="H300" s="2"/>
    </row>
    <row r="301" spans="3:8" ht="17.25" customHeight="1" x14ac:dyDescent="0.2">
      <c r="C301" s="20"/>
      <c r="D301" s="2"/>
      <c r="E301" s="2"/>
      <c r="F301" s="2"/>
      <c r="G301" s="2"/>
      <c r="H301" s="2"/>
    </row>
    <row r="302" spans="3:8" ht="17.25" customHeight="1" x14ac:dyDescent="0.2">
      <c r="C302" s="20"/>
      <c r="D302" s="2"/>
      <c r="E302" s="2"/>
      <c r="F302" s="2"/>
      <c r="G302" s="2"/>
      <c r="H302" s="2"/>
    </row>
    <row r="303" spans="3:8" ht="17.25" customHeight="1" x14ac:dyDescent="0.2">
      <c r="C303" s="20"/>
      <c r="D303" s="2"/>
      <c r="E303" s="2"/>
      <c r="F303" s="2"/>
      <c r="G303" s="2"/>
      <c r="H303" s="2"/>
    </row>
    <row r="304" spans="3:8" ht="17.25" customHeight="1" x14ac:dyDescent="0.2">
      <c r="C304" s="20"/>
      <c r="D304" s="2"/>
      <c r="E304" s="2"/>
      <c r="F304" s="2"/>
      <c r="G304" s="2"/>
      <c r="H304" s="2"/>
    </row>
    <row r="305" spans="3:8" ht="17.25" customHeight="1" x14ac:dyDescent="0.2">
      <c r="C305" s="20"/>
      <c r="D305" s="2"/>
      <c r="E305" s="2"/>
      <c r="F305" s="2"/>
      <c r="G305" s="2"/>
      <c r="H305" s="2"/>
    </row>
    <row r="306" spans="3:8" ht="17.25" customHeight="1" x14ac:dyDescent="0.2">
      <c r="C306" s="20"/>
      <c r="D306" s="2"/>
      <c r="E306" s="2"/>
      <c r="F306" s="2"/>
      <c r="G306" s="2"/>
      <c r="H306" s="2"/>
    </row>
    <row r="307" spans="3:8" ht="17.25" customHeight="1" x14ac:dyDescent="0.2">
      <c r="C307" s="20"/>
      <c r="D307" s="2"/>
      <c r="E307" s="2"/>
      <c r="F307" s="2"/>
      <c r="G307" s="2"/>
      <c r="H307" s="2"/>
    </row>
    <row r="308" spans="3:8" ht="17.25" customHeight="1" x14ac:dyDescent="0.2">
      <c r="C308" s="20"/>
      <c r="D308" s="2"/>
      <c r="E308" s="2"/>
      <c r="F308" s="2"/>
      <c r="G308" s="2"/>
      <c r="H308" s="2"/>
    </row>
    <row r="309" spans="3:8" ht="17.25" customHeight="1" x14ac:dyDescent="0.2">
      <c r="C309" s="20"/>
      <c r="D309" s="2"/>
      <c r="E309" s="2"/>
      <c r="F309" s="2"/>
      <c r="G309" s="2"/>
      <c r="H309" s="2"/>
    </row>
    <row r="310" spans="3:8" ht="17.25" customHeight="1" x14ac:dyDescent="0.2">
      <c r="C310" s="20"/>
      <c r="D310" s="2"/>
      <c r="E310" s="2"/>
      <c r="F310" s="2"/>
      <c r="G310" s="2"/>
      <c r="H310" s="2"/>
    </row>
    <row r="311" spans="3:8" ht="17.25" customHeight="1" x14ac:dyDescent="0.2">
      <c r="C311" s="20"/>
      <c r="D311" s="2"/>
      <c r="E311" s="2"/>
      <c r="F311" s="2"/>
      <c r="G311" s="2"/>
      <c r="H311" s="2"/>
    </row>
    <row r="312" spans="3:8" ht="17.25" customHeight="1" x14ac:dyDescent="0.2">
      <c r="C312" s="20"/>
      <c r="D312" s="2"/>
      <c r="E312" s="2"/>
      <c r="F312" s="2"/>
      <c r="G312" s="2"/>
      <c r="H312" s="2"/>
    </row>
    <row r="313" spans="3:8" ht="17.25" customHeight="1" x14ac:dyDescent="0.2">
      <c r="C313" s="20"/>
      <c r="D313" s="2"/>
      <c r="E313" s="2"/>
      <c r="F313" s="2"/>
      <c r="G313" s="2"/>
      <c r="H313" s="2"/>
    </row>
    <row r="314" spans="3:8" ht="17.25" customHeight="1" x14ac:dyDescent="0.2">
      <c r="C314" s="20"/>
      <c r="D314" s="2"/>
      <c r="E314" s="2"/>
      <c r="F314" s="2"/>
      <c r="G314" s="2"/>
      <c r="H314" s="2"/>
    </row>
    <row r="315" spans="3:8" ht="17.25" customHeight="1" x14ac:dyDescent="0.2">
      <c r="C315" s="20"/>
      <c r="D315" s="2"/>
      <c r="E315" s="2"/>
      <c r="F315" s="2"/>
      <c r="G315" s="2"/>
      <c r="H315" s="2"/>
    </row>
    <row r="316" spans="3:8" ht="17.25" customHeight="1" x14ac:dyDescent="0.2">
      <c r="C316" s="20"/>
      <c r="D316" s="2"/>
      <c r="E316" s="2"/>
      <c r="F316" s="2"/>
      <c r="G316" s="2"/>
      <c r="H316" s="2"/>
    </row>
    <row r="317" spans="3:8" ht="17.25" customHeight="1" x14ac:dyDescent="0.2">
      <c r="C317" s="20"/>
      <c r="D317" s="2"/>
      <c r="E317" s="2"/>
      <c r="F317" s="2"/>
      <c r="G317" s="2"/>
      <c r="H317" s="2"/>
    </row>
    <row r="318" spans="3:8" ht="17.25" customHeight="1" x14ac:dyDescent="0.2">
      <c r="C318" s="20"/>
      <c r="D318" s="2"/>
      <c r="E318" s="2"/>
      <c r="F318" s="2"/>
      <c r="G318" s="2"/>
      <c r="H318" s="2"/>
    </row>
    <row r="319" spans="3:8" ht="17.25" customHeight="1" x14ac:dyDescent="0.2">
      <c r="C319" s="20"/>
      <c r="D319" s="2"/>
      <c r="E319" s="2"/>
      <c r="F319" s="2"/>
      <c r="G319" s="2"/>
      <c r="H319" s="2"/>
    </row>
    <row r="320" spans="3:8" ht="17.25" customHeight="1" x14ac:dyDescent="0.2">
      <c r="C320" s="20"/>
      <c r="D320" s="2"/>
      <c r="E320" s="2"/>
      <c r="F320" s="2"/>
      <c r="G320" s="2"/>
      <c r="H320" s="2"/>
    </row>
    <row r="321" spans="3:8" ht="17.25" customHeight="1" x14ac:dyDescent="0.2">
      <c r="C321" s="20"/>
      <c r="D321" s="2"/>
      <c r="E321" s="2"/>
      <c r="F321" s="2"/>
      <c r="G321" s="2"/>
      <c r="H321" s="2"/>
    </row>
    <row r="322" spans="3:8" ht="17.25" customHeight="1" x14ac:dyDescent="0.2">
      <c r="C322" s="20"/>
      <c r="D322" s="2"/>
      <c r="E322" s="2"/>
      <c r="F322" s="2"/>
      <c r="G322" s="2"/>
      <c r="H322" s="2"/>
    </row>
    <row r="323" spans="3:8" ht="17.25" customHeight="1" x14ac:dyDescent="0.2">
      <c r="C323" s="20"/>
      <c r="D323" s="2"/>
      <c r="E323" s="2"/>
      <c r="F323" s="2"/>
      <c r="G323" s="2"/>
      <c r="H323" s="2"/>
    </row>
    <row r="324" spans="3:8" ht="17.25" customHeight="1" x14ac:dyDescent="0.2">
      <c r="C324" s="20"/>
      <c r="D324" s="2"/>
      <c r="E324" s="2"/>
      <c r="F324" s="2"/>
      <c r="G324" s="2"/>
      <c r="H324" s="2"/>
    </row>
    <row r="325" spans="3:8" ht="17.25" customHeight="1" x14ac:dyDescent="0.2">
      <c r="C325" s="20"/>
      <c r="D325" s="2"/>
      <c r="E325" s="2"/>
      <c r="F325" s="2"/>
      <c r="G325" s="2"/>
      <c r="H325" s="2"/>
    </row>
    <row r="326" spans="3:8" ht="17.25" customHeight="1" x14ac:dyDescent="0.2">
      <c r="C326" s="20"/>
      <c r="D326" s="2"/>
      <c r="E326" s="2"/>
      <c r="F326" s="2"/>
      <c r="G326" s="2"/>
      <c r="H326" s="2"/>
    </row>
    <row r="327" spans="3:8" ht="17.25" customHeight="1" x14ac:dyDescent="0.2">
      <c r="C327" s="20"/>
      <c r="D327" s="2"/>
      <c r="E327" s="2"/>
      <c r="F327" s="2"/>
      <c r="G327" s="2"/>
      <c r="H327" s="2"/>
    </row>
    <row r="328" spans="3:8" ht="17.25" customHeight="1" x14ac:dyDescent="0.2">
      <c r="C328" s="20"/>
      <c r="D328" s="2"/>
      <c r="E328" s="2"/>
      <c r="F328" s="2"/>
      <c r="G328" s="2"/>
      <c r="H328" s="2"/>
    </row>
    <row r="329" spans="3:8" ht="17.25" customHeight="1" x14ac:dyDescent="0.2">
      <c r="C329" s="20"/>
      <c r="D329" s="2"/>
      <c r="E329" s="2"/>
      <c r="F329" s="2"/>
      <c r="G329" s="2"/>
      <c r="H329" s="2"/>
    </row>
    <row r="330" spans="3:8" ht="17.25" customHeight="1" x14ac:dyDescent="0.2">
      <c r="C330" s="20"/>
      <c r="D330" s="2"/>
      <c r="E330" s="2"/>
      <c r="F330" s="2"/>
      <c r="G330" s="2"/>
      <c r="H330" s="2"/>
    </row>
    <row r="331" spans="3:8" ht="17.25" customHeight="1" x14ac:dyDescent="0.2">
      <c r="C331" s="20"/>
      <c r="D331" s="2"/>
      <c r="E331" s="2"/>
      <c r="F331" s="2"/>
      <c r="G331" s="2"/>
      <c r="H331" s="2"/>
    </row>
    <row r="332" spans="3:8" ht="17.25" customHeight="1" x14ac:dyDescent="0.2">
      <c r="C332" s="20"/>
      <c r="D332" s="2"/>
      <c r="E332" s="2"/>
      <c r="F332" s="2"/>
      <c r="G332" s="2"/>
      <c r="H332" s="2"/>
    </row>
    <row r="333" spans="3:8" ht="17.25" customHeight="1" x14ac:dyDescent="0.2">
      <c r="C333" s="20"/>
      <c r="D333" s="2"/>
      <c r="E333" s="2"/>
      <c r="F333" s="2"/>
      <c r="G333" s="2"/>
      <c r="H333" s="2"/>
    </row>
    <row r="334" spans="3:8" ht="17.25" customHeight="1" x14ac:dyDescent="0.2">
      <c r="C334" s="20"/>
      <c r="D334" s="2"/>
      <c r="E334" s="2"/>
      <c r="F334" s="2"/>
      <c r="G334" s="2"/>
      <c r="H334" s="2"/>
    </row>
    <row r="335" spans="3:8" ht="17.25" customHeight="1" x14ac:dyDescent="0.2">
      <c r="C335" s="20"/>
      <c r="D335" s="2"/>
      <c r="E335" s="2"/>
      <c r="F335" s="2"/>
      <c r="G335" s="2"/>
      <c r="H335" s="2"/>
    </row>
    <row r="336" spans="3:8" ht="17.25" customHeight="1" x14ac:dyDescent="0.2">
      <c r="C336" s="20"/>
      <c r="D336" s="2"/>
      <c r="E336" s="2"/>
      <c r="F336" s="2"/>
      <c r="G336" s="2"/>
      <c r="H336" s="2"/>
    </row>
    <row r="337" spans="3:8" ht="17.25" customHeight="1" x14ac:dyDescent="0.2">
      <c r="C337" s="20"/>
      <c r="D337" s="2"/>
      <c r="E337" s="2"/>
      <c r="F337" s="2"/>
      <c r="G337" s="2"/>
      <c r="H337" s="2"/>
    </row>
    <row r="338" spans="3:8" ht="17.25" customHeight="1" x14ac:dyDescent="0.2">
      <c r="C338" s="20"/>
      <c r="D338" s="2"/>
      <c r="E338" s="2"/>
      <c r="F338" s="2"/>
      <c r="G338" s="2"/>
      <c r="H338" s="2"/>
    </row>
    <row r="339" spans="3:8" ht="17.25" customHeight="1" x14ac:dyDescent="0.2">
      <c r="C339" s="20"/>
      <c r="D339" s="2"/>
      <c r="E339" s="2"/>
      <c r="F339" s="2"/>
      <c r="G339" s="2"/>
      <c r="H339" s="2"/>
    </row>
    <row r="340" spans="3:8" ht="17.25" customHeight="1" x14ac:dyDescent="0.2">
      <c r="C340" s="20"/>
      <c r="D340" s="2"/>
      <c r="E340" s="2"/>
      <c r="F340" s="2"/>
      <c r="G340" s="2"/>
      <c r="H340" s="2"/>
    </row>
    <row r="341" spans="3:8" ht="17.25" customHeight="1" x14ac:dyDescent="0.2">
      <c r="C341" s="20"/>
      <c r="D341" s="2"/>
      <c r="E341" s="2"/>
      <c r="F341" s="2"/>
      <c r="G341" s="2"/>
      <c r="H341" s="2"/>
    </row>
    <row r="342" spans="3:8" ht="17.25" customHeight="1" x14ac:dyDescent="0.2">
      <c r="C342" s="20"/>
      <c r="D342" s="2"/>
      <c r="E342" s="2"/>
      <c r="F342" s="2"/>
      <c r="G342" s="2"/>
      <c r="H342" s="2"/>
    </row>
    <row r="343" spans="3:8" ht="17.25" customHeight="1" x14ac:dyDescent="0.2">
      <c r="C343" s="20"/>
      <c r="D343" s="2"/>
      <c r="E343" s="2"/>
      <c r="F343" s="2"/>
      <c r="G343" s="2"/>
      <c r="H343" s="2"/>
    </row>
    <row r="344" spans="3:8" ht="17.25" customHeight="1" x14ac:dyDescent="0.2">
      <c r="C344" s="20"/>
      <c r="D344" s="2"/>
      <c r="E344" s="2"/>
      <c r="F344" s="2"/>
      <c r="G344" s="2"/>
      <c r="H344" s="2"/>
    </row>
    <row r="345" spans="3:8" ht="17.25" customHeight="1" x14ac:dyDescent="0.2">
      <c r="C345" s="20"/>
      <c r="D345" s="2"/>
      <c r="E345" s="2"/>
      <c r="F345" s="2"/>
      <c r="G345" s="2"/>
      <c r="H345" s="2"/>
    </row>
    <row r="346" spans="3:8" ht="17.25" customHeight="1" x14ac:dyDescent="0.2">
      <c r="C346" s="20"/>
      <c r="D346" s="2"/>
      <c r="E346" s="2"/>
      <c r="F346" s="2"/>
      <c r="G346" s="2"/>
      <c r="H346" s="2"/>
    </row>
    <row r="347" spans="3:8" ht="17.25" customHeight="1" x14ac:dyDescent="0.2">
      <c r="C347" s="20"/>
      <c r="D347" s="2"/>
      <c r="E347" s="2"/>
      <c r="F347" s="2"/>
      <c r="G347" s="2"/>
      <c r="H347" s="2"/>
    </row>
    <row r="348" spans="3:8" ht="17.25" customHeight="1" x14ac:dyDescent="0.2">
      <c r="C348" s="20"/>
      <c r="D348" s="2"/>
      <c r="E348" s="2"/>
      <c r="F348" s="2"/>
      <c r="G348" s="2"/>
      <c r="H348" s="2"/>
    </row>
    <row r="349" spans="3:8" ht="17.25" customHeight="1" x14ac:dyDescent="0.2">
      <c r="C349" s="20"/>
      <c r="D349" s="2"/>
      <c r="E349" s="2"/>
      <c r="F349" s="2"/>
      <c r="G349" s="2"/>
      <c r="H349" s="2"/>
    </row>
    <row r="350" spans="3:8" ht="17.25" customHeight="1" x14ac:dyDescent="0.2">
      <c r="C350" s="20"/>
      <c r="D350" s="2"/>
      <c r="E350" s="2"/>
      <c r="F350" s="2"/>
      <c r="G350" s="2"/>
      <c r="H350" s="2"/>
    </row>
    <row r="351" spans="3:8" ht="17.25" customHeight="1" x14ac:dyDescent="0.2">
      <c r="C351" s="20"/>
      <c r="D351" s="2"/>
      <c r="E351" s="2"/>
      <c r="F351" s="2"/>
      <c r="G351" s="2"/>
      <c r="H351" s="2"/>
    </row>
    <row r="352" spans="3:8" ht="17.25" customHeight="1" x14ac:dyDescent="0.2">
      <c r="C352" s="20"/>
      <c r="D352" s="2"/>
      <c r="E352" s="2"/>
      <c r="F352" s="2"/>
      <c r="G352" s="2"/>
      <c r="H352" s="2"/>
    </row>
    <row r="353" spans="3:8" ht="17.25" customHeight="1" x14ac:dyDescent="0.2">
      <c r="C353" s="20"/>
      <c r="D353" s="2"/>
      <c r="E353" s="2"/>
      <c r="F353" s="2"/>
      <c r="G353" s="2"/>
      <c r="H353" s="2"/>
    </row>
    <row r="354" spans="3:8" ht="17.25" customHeight="1" x14ac:dyDescent="0.2">
      <c r="C354" s="20"/>
      <c r="D354" s="2"/>
      <c r="E354" s="2"/>
      <c r="F354" s="2"/>
      <c r="G354" s="2"/>
      <c r="H354" s="2"/>
    </row>
    <row r="355" spans="3:8" ht="17.25" customHeight="1" x14ac:dyDescent="0.2">
      <c r="C355" s="20"/>
      <c r="D355" s="2"/>
      <c r="E355" s="2"/>
      <c r="F355" s="2"/>
      <c r="G355" s="2"/>
      <c r="H355" s="2"/>
    </row>
    <row r="356" spans="3:8" ht="17.25" customHeight="1" x14ac:dyDescent="0.2">
      <c r="C356" s="20"/>
      <c r="D356" s="2"/>
      <c r="E356" s="2"/>
      <c r="F356" s="2"/>
      <c r="G356" s="2"/>
      <c r="H356" s="2"/>
    </row>
    <row r="357" spans="3:8" ht="17.25" customHeight="1" x14ac:dyDescent="0.2">
      <c r="C357" s="20"/>
      <c r="D357" s="2"/>
      <c r="E357" s="2"/>
      <c r="F357" s="2"/>
      <c r="G357" s="2"/>
      <c r="H357" s="2"/>
    </row>
    <row r="358" spans="3:8" ht="17.25" customHeight="1" x14ac:dyDescent="0.2">
      <c r="C358" s="20"/>
      <c r="D358" s="2"/>
      <c r="E358" s="2"/>
      <c r="F358" s="2"/>
      <c r="G358" s="2"/>
      <c r="H358" s="2"/>
    </row>
    <row r="359" spans="3:8" ht="17.25" customHeight="1" x14ac:dyDescent="0.2">
      <c r="C359" s="20"/>
      <c r="D359" s="2"/>
      <c r="E359" s="2"/>
      <c r="F359" s="2"/>
      <c r="G359" s="2"/>
      <c r="H359" s="2"/>
    </row>
    <row r="360" spans="3:8" ht="17.25" customHeight="1" x14ac:dyDescent="0.2">
      <c r="C360" s="20"/>
      <c r="D360" s="2"/>
      <c r="E360" s="2"/>
      <c r="F360" s="2"/>
      <c r="G360" s="2"/>
      <c r="H360" s="2"/>
    </row>
    <row r="361" spans="3:8" ht="17.25" customHeight="1" x14ac:dyDescent="0.2">
      <c r="C361" s="20"/>
      <c r="D361" s="2"/>
      <c r="E361" s="2"/>
      <c r="F361" s="2"/>
      <c r="G361" s="2"/>
      <c r="H361" s="2"/>
    </row>
    <row r="362" spans="3:8" ht="17.25" customHeight="1" x14ac:dyDescent="0.2">
      <c r="C362" s="20"/>
      <c r="D362" s="2"/>
      <c r="E362" s="2"/>
      <c r="F362" s="2"/>
      <c r="G362" s="2"/>
      <c r="H362" s="2"/>
    </row>
    <row r="363" spans="3:8" ht="17.25" customHeight="1" x14ac:dyDescent="0.2">
      <c r="C363" s="20"/>
      <c r="D363" s="2"/>
      <c r="E363" s="2"/>
      <c r="F363" s="2"/>
      <c r="G363" s="2"/>
      <c r="H363" s="2"/>
    </row>
    <row r="364" spans="3:8" ht="17.25" customHeight="1" x14ac:dyDescent="0.2">
      <c r="C364" s="20"/>
      <c r="D364" s="2"/>
      <c r="E364" s="2"/>
      <c r="F364" s="2"/>
      <c r="G364" s="2"/>
      <c r="H364" s="2"/>
    </row>
    <row r="365" spans="3:8" ht="17.25" customHeight="1" x14ac:dyDescent="0.2">
      <c r="C365" s="20"/>
      <c r="D365" s="2"/>
      <c r="E365" s="2"/>
      <c r="F365" s="2"/>
      <c r="G365" s="2"/>
      <c r="H365" s="2"/>
    </row>
    <row r="366" spans="3:8" ht="17.25" customHeight="1" x14ac:dyDescent="0.2">
      <c r="C366" s="20"/>
      <c r="D366" s="2"/>
      <c r="E366" s="2"/>
      <c r="F366" s="2"/>
      <c r="G366" s="2"/>
      <c r="H366" s="2"/>
    </row>
    <row r="367" spans="3:8" ht="17.25" customHeight="1" x14ac:dyDescent="0.2">
      <c r="C367" s="20"/>
      <c r="D367" s="2"/>
      <c r="E367" s="2"/>
      <c r="F367" s="2"/>
      <c r="G367" s="2"/>
      <c r="H367" s="2"/>
    </row>
    <row r="368" spans="3:8" ht="17.25" customHeight="1" x14ac:dyDescent="0.2">
      <c r="C368" s="20"/>
      <c r="D368" s="2"/>
      <c r="E368" s="2"/>
      <c r="F368" s="2"/>
      <c r="G368" s="2"/>
      <c r="H368" s="2"/>
    </row>
    <row r="369" spans="3:8" ht="17.25" customHeight="1" x14ac:dyDescent="0.2">
      <c r="C369" s="20"/>
      <c r="D369" s="2"/>
      <c r="E369" s="2"/>
      <c r="F369" s="2"/>
      <c r="G369" s="2"/>
      <c r="H369" s="2"/>
    </row>
    <row r="370" spans="3:8" ht="17.25" customHeight="1" x14ac:dyDescent="0.2">
      <c r="C370" s="20"/>
      <c r="D370" s="2"/>
      <c r="E370" s="2"/>
      <c r="F370" s="2"/>
      <c r="G370" s="2"/>
      <c r="H370" s="2"/>
    </row>
    <row r="371" spans="3:8" ht="17.25" customHeight="1" x14ac:dyDescent="0.2">
      <c r="C371" s="20"/>
      <c r="D371" s="2"/>
      <c r="E371" s="2"/>
      <c r="F371" s="2"/>
      <c r="G371" s="2"/>
      <c r="H371" s="2"/>
    </row>
    <row r="372" spans="3:8" ht="17.25" customHeight="1" x14ac:dyDescent="0.2">
      <c r="C372" s="20"/>
      <c r="D372" s="2"/>
      <c r="E372" s="2"/>
      <c r="F372" s="2"/>
      <c r="G372" s="2"/>
      <c r="H372" s="2"/>
    </row>
    <row r="373" spans="3:8" ht="17.25" customHeight="1" x14ac:dyDescent="0.2">
      <c r="C373" s="20"/>
      <c r="D373" s="2"/>
      <c r="E373" s="2"/>
      <c r="F373" s="2"/>
      <c r="G373" s="2"/>
      <c r="H373" s="2"/>
    </row>
    <row r="374" spans="3:8" ht="17.25" customHeight="1" x14ac:dyDescent="0.2">
      <c r="C374" s="20"/>
      <c r="D374" s="2"/>
      <c r="E374" s="2"/>
      <c r="F374" s="2"/>
      <c r="G374" s="2"/>
      <c r="H374" s="2"/>
    </row>
    <row r="375" spans="3:8" ht="17.25" customHeight="1" x14ac:dyDescent="0.2">
      <c r="C375" s="20"/>
      <c r="D375" s="2"/>
      <c r="E375" s="2"/>
      <c r="F375" s="2"/>
      <c r="G375" s="2"/>
      <c r="H375" s="2"/>
    </row>
    <row r="376" spans="3:8" ht="17.25" customHeight="1" x14ac:dyDescent="0.2">
      <c r="C376" s="20"/>
      <c r="D376" s="2"/>
      <c r="E376" s="2"/>
      <c r="F376" s="2"/>
      <c r="G376" s="2"/>
      <c r="H376" s="2"/>
    </row>
    <row r="377" spans="3:8" ht="17.25" customHeight="1" x14ac:dyDescent="0.2">
      <c r="C377" s="20"/>
      <c r="D377" s="2"/>
      <c r="E377" s="2"/>
      <c r="F377" s="2"/>
      <c r="G377" s="2"/>
      <c r="H377" s="2"/>
    </row>
    <row r="378" spans="3:8" ht="17.25" customHeight="1" x14ac:dyDescent="0.2">
      <c r="C378" s="20"/>
      <c r="D378" s="2"/>
      <c r="E378" s="2"/>
      <c r="F378" s="2"/>
      <c r="G378" s="2"/>
      <c r="H378" s="2"/>
    </row>
    <row r="379" spans="3:8" ht="17.25" customHeight="1" x14ac:dyDescent="0.2">
      <c r="C379" s="20"/>
      <c r="D379" s="2"/>
      <c r="E379" s="2"/>
      <c r="F379" s="2"/>
      <c r="G379" s="2"/>
      <c r="H379" s="2"/>
    </row>
    <row r="380" spans="3:8" ht="17.25" customHeight="1" x14ac:dyDescent="0.2">
      <c r="C380" s="20"/>
      <c r="D380" s="2"/>
      <c r="E380" s="2"/>
      <c r="F380" s="2"/>
      <c r="G380" s="2"/>
      <c r="H380" s="2"/>
    </row>
    <row r="381" spans="3:8" ht="17.25" customHeight="1" x14ac:dyDescent="0.2">
      <c r="C381" s="20"/>
      <c r="D381" s="2"/>
      <c r="E381" s="2"/>
      <c r="F381" s="2"/>
      <c r="G381" s="2"/>
      <c r="H381" s="2"/>
    </row>
    <row r="382" spans="3:8" ht="17.25" customHeight="1" x14ac:dyDescent="0.2">
      <c r="C382" s="20"/>
      <c r="D382" s="2"/>
      <c r="E382" s="2"/>
      <c r="F382" s="2"/>
      <c r="G382" s="2"/>
      <c r="H382" s="2"/>
    </row>
    <row r="383" spans="3:8" ht="17.25" customHeight="1" x14ac:dyDescent="0.2">
      <c r="C383" s="20"/>
      <c r="D383" s="2"/>
      <c r="E383" s="2"/>
      <c r="F383" s="2"/>
      <c r="G383" s="2"/>
      <c r="H383" s="2"/>
    </row>
    <row r="384" spans="3:8" ht="17.25" customHeight="1" x14ac:dyDescent="0.2">
      <c r="C384" s="20"/>
      <c r="D384" s="2"/>
      <c r="E384" s="2"/>
      <c r="F384" s="2"/>
      <c r="G384" s="2"/>
      <c r="H384" s="2"/>
    </row>
    <row r="385" spans="3:8" ht="17.25" customHeight="1" x14ac:dyDescent="0.2">
      <c r="C385" s="20"/>
      <c r="D385" s="2"/>
      <c r="E385" s="2"/>
      <c r="F385" s="2"/>
      <c r="G385" s="2"/>
      <c r="H385" s="2"/>
    </row>
    <row r="386" spans="3:8" ht="17.25" customHeight="1" x14ac:dyDescent="0.2">
      <c r="C386" s="20"/>
      <c r="D386" s="2"/>
      <c r="E386" s="2"/>
      <c r="F386" s="2"/>
      <c r="G386" s="2"/>
      <c r="H386" s="2"/>
    </row>
    <row r="387" spans="3:8" ht="17.25" customHeight="1" x14ac:dyDescent="0.2">
      <c r="C387" s="20"/>
      <c r="D387" s="2"/>
      <c r="E387" s="2"/>
      <c r="F387" s="2"/>
      <c r="G387" s="2"/>
      <c r="H387" s="2"/>
    </row>
    <row r="388" spans="3:8" ht="17.25" customHeight="1" x14ac:dyDescent="0.2">
      <c r="C388" s="20"/>
      <c r="D388" s="2"/>
      <c r="E388" s="2"/>
      <c r="F388" s="2"/>
      <c r="G388" s="2"/>
      <c r="H388" s="2"/>
    </row>
    <row r="389" spans="3:8" ht="17.25" customHeight="1" x14ac:dyDescent="0.2">
      <c r="C389" s="20"/>
      <c r="D389" s="2"/>
      <c r="E389" s="2"/>
      <c r="F389" s="2"/>
      <c r="G389" s="2"/>
      <c r="H389" s="2"/>
    </row>
    <row r="390" spans="3:8" ht="17.25" customHeight="1" x14ac:dyDescent="0.2">
      <c r="C390" s="20"/>
      <c r="D390" s="2"/>
      <c r="E390" s="2"/>
      <c r="F390" s="2"/>
      <c r="G390" s="2"/>
      <c r="H390" s="2"/>
    </row>
    <row r="391" spans="3:8" ht="17.25" customHeight="1" x14ac:dyDescent="0.2">
      <c r="C391" s="20"/>
      <c r="D391" s="2"/>
      <c r="E391" s="2"/>
      <c r="F391" s="2"/>
      <c r="G391" s="2"/>
      <c r="H391" s="2"/>
    </row>
    <row r="392" spans="3:8" ht="17.25" customHeight="1" x14ac:dyDescent="0.2">
      <c r="C392" s="20"/>
      <c r="D392" s="2"/>
      <c r="E392" s="2"/>
      <c r="F392" s="2"/>
      <c r="G392" s="2"/>
      <c r="H392" s="2"/>
    </row>
    <row r="393" spans="3:8" ht="17.25" customHeight="1" x14ac:dyDescent="0.2">
      <c r="C393" s="20"/>
      <c r="D393" s="2"/>
      <c r="E393" s="2"/>
      <c r="F393" s="2"/>
      <c r="G393" s="2"/>
      <c r="H393" s="2"/>
    </row>
    <row r="394" spans="3:8" ht="17.25" customHeight="1" x14ac:dyDescent="0.2">
      <c r="C394" s="20"/>
      <c r="D394" s="2"/>
      <c r="E394" s="2"/>
      <c r="F394" s="2"/>
      <c r="G394" s="2"/>
      <c r="H394" s="2"/>
    </row>
    <row r="395" spans="3:8" ht="17.25" customHeight="1" x14ac:dyDescent="0.2">
      <c r="C395" s="20"/>
      <c r="D395" s="2"/>
      <c r="E395" s="2"/>
      <c r="F395" s="2"/>
      <c r="G395" s="2"/>
      <c r="H395" s="2"/>
    </row>
    <row r="396" spans="3:8" ht="17.25" customHeight="1" x14ac:dyDescent="0.2">
      <c r="C396" s="20"/>
      <c r="D396" s="2"/>
      <c r="E396" s="2"/>
      <c r="F396" s="2"/>
      <c r="G396" s="2"/>
      <c r="H396" s="2"/>
    </row>
    <row r="397" spans="3:8" ht="17.25" customHeight="1" x14ac:dyDescent="0.2">
      <c r="C397" s="20"/>
      <c r="D397" s="2"/>
      <c r="E397" s="2"/>
      <c r="F397" s="2"/>
      <c r="G397" s="2"/>
      <c r="H397" s="2"/>
    </row>
    <row r="398" spans="3:8" ht="17.25" customHeight="1" x14ac:dyDescent="0.2">
      <c r="C398" s="20"/>
      <c r="D398" s="2"/>
      <c r="E398" s="2"/>
      <c r="F398" s="2"/>
      <c r="G398" s="2"/>
      <c r="H398" s="2"/>
    </row>
    <row r="399" spans="3:8" ht="17.25" customHeight="1" x14ac:dyDescent="0.2">
      <c r="C399" s="20"/>
      <c r="D399" s="2"/>
      <c r="E399" s="2"/>
      <c r="F399" s="2"/>
      <c r="G399" s="2"/>
      <c r="H399" s="2"/>
    </row>
    <row r="400" spans="3:8" ht="17.25" customHeight="1" x14ac:dyDescent="0.2">
      <c r="C400" s="20"/>
      <c r="D400" s="2"/>
      <c r="E400" s="2"/>
      <c r="F400" s="2"/>
      <c r="G400" s="2"/>
      <c r="H400" s="2"/>
    </row>
    <row r="401" spans="3:8" ht="17.25" customHeight="1" x14ac:dyDescent="0.2">
      <c r="C401" s="20"/>
      <c r="D401" s="2"/>
      <c r="E401" s="2"/>
      <c r="F401" s="2"/>
      <c r="G401" s="2"/>
      <c r="H401" s="2"/>
    </row>
    <row r="402" spans="3:8" ht="17.25" customHeight="1" x14ac:dyDescent="0.2">
      <c r="C402" s="20"/>
      <c r="D402" s="2"/>
      <c r="E402" s="2"/>
      <c r="F402" s="2"/>
      <c r="G402" s="2"/>
      <c r="H402" s="2"/>
    </row>
    <row r="403" spans="3:8" ht="17.25" customHeight="1" x14ac:dyDescent="0.2">
      <c r="C403" s="20"/>
      <c r="D403" s="2"/>
      <c r="E403" s="2"/>
      <c r="F403" s="2"/>
      <c r="G403" s="2"/>
      <c r="H403" s="2"/>
    </row>
    <row r="404" spans="3:8" ht="17.25" customHeight="1" x14ac:dyDescent="0.2">
      <c r="C404" s="20"/>
      <c r="D404" s="2"/>
      <c r="E404" s="2"/>
      <c r="F404" s="2"/>
      <c r="G404" s="2"/>
      <c r="H404" s="2"/>
    </row>
    <row r="405" spans="3:8" ht="17.25" customHeight="1" x14ac:dyDescent="0.2">
      <c r="C405" s="20"/>
      <c r="D405" s="2"/>
      <c r="E405" s="2"/>
      <c r="F405" s="2"/>
      <c r="G405" s="2"/>
      <c r="H405" s="2"/>
    </row>
    <row r="406" spans="3:8" ht="17.25" customHeight="1" x14ac:dyDescent="0.2">
      <c r="C406" s="20"/>
      <c r="D406" s="2"/>
      <c r="E406" s="2"/>
      <c r="F406" s="2"/>
      <c r="G406" s="2"/>
      <c r="H406" s="2"/>
    </row>
    <row r="407" spans="3:8" ht="17.25" customHeight="1" x14ac:dyDescent="0.2">
      <c r="C407" s="20"/>
      <c r="D407" s="2"/>
      <c r="E407" s="2"/>
      <c r="F407" s="2"/>
      <c r="G407" s="2"/>
      <c r="H407" s="2"/>
    </row>
    <row r="408" spans="3:8" ht="17.25" customHeight="1" x14ac:dyDescent="0.2">
      <c r="C408" s="20"/>
      <c r="D408" s="2"/>
      <c r="E408" s="2"/>
      <c r="F408" s="2"/>
      <c r="G408" s="2"/>
      <c r="H408" s="2"/>
    </row>
    <row r="409" spans="3:8" ht="17.25" customHeight="1" x14ac:dyDescent="0.2">
      <c r="C409" s="20"/>
      <c r="D409" s="2"/>
      <c r="E409" s="2"/>
      <c r="F409" s="2"/>
      <c r="G409" s="2"/>
      <c r="H409" s="2"/>
    </row>
    <row r="410" spans="3:8" ht="17.25" customHeight="1" x14ac:dyDescent="0.2">
      <c r="C410" s="20"/>
      <c r="D410" s="2"/>
      <c r="E410" s="2"/>
      <c r="F410" s="2"/>
      <c r="G410" s="2"/>
      <c r="H410" s="2"/>
    </row>
    <row r="411" spans="3:8" ht="17.25" customHeight="1" x14ac:dyDescent="0.2">
      <c r="C411" s="20"/>
      <c r="D411" s="2"/>
      <c r="E411" s="2"/>
      <c r="F411" s="2"/>
      <c r="G411" s="2"/>
      <c r="H411" s="2"/>
    </row>
    <row r="412" spans="3:8" ht="17.25" customHeight="1" x14ac:dyDescent="0.2">
      <c r="C412" s="20"/>
      <c r="D412" s="2"/>
      <c r="E412" s="2"/>
      <c r="F412" s="2"/>
      <c r="G412" s="2"/>
      <c r="H412" s="2"/>
    </row>
    <row r="413" spans="3:8" ht="17.25" customHeight="1" x14ac:dyDescent="0.2">
      <c r="C413" s="20"/>
      <c r="D413" s="2"/>
      <c r="E413" s="2"/>
      <c r="F413" s="2"/>
      <c r="G413" s="2"/>
      <c r="H413" s="2"/>
    </row>
    <row r="414" spans="3:8" ht="17.25" customHeight="1" x14ac:dyDescent="0.2">
      <c r="C414" s="20"/>
      <c r="D414" s="2"/>
      <c r="E414" s="2"/>
      <c r="F414" s="2"/>
      <c r="G414" s="2"/>
      <c r="H414" s="2"/>
    </row>
    <row r="415" spans="3:8" ht="17.25" customHeight="1" x14ac:dyDescent="0.2">
      <c r="C415" s="20"/>
      <c r="D415" s="2"/>
      <c r="E415" s="2"/>
      <c r="F415" s="2"/>
      <c r="G415" s="2"/>
      <c r="H415" s="2"/>
    </row>
    <row r="416" spans="3:8" ht="17.25" customHeight="1" x14ac:dyDescent="0.2">
      <c r="C416" s="20"/>
      <c r="D416" s="2"/>
      <c r="E416" s="2"/>
      <c r="F416" s="2"/>
      <c r="G416" s="2"/>
      <c r="H416" s="2"/>
    </row>
    <row r="417" spans="3:8" ht="17.25" customHeight="1" x14ac:dyDescent="0.2">
      <c r="C417" s="20"/>
      <c r="D417" s="2"/>
      <c r="E417" s="2"/>
      <c r="F417" s="2"/>
      <c r="G417" s="2"/>
      <c r="H417" s="2"/>
    </row>
    <row r="418" spans="3:8" ht="17.25" customHeight="1" x14ac:dyDescent="0.2">
      <c r="C418" s="20"/>
      <c r="D418" s="2"/>
      <c r="E418" s="2"/>
      <c r="F418" s="2"/>
      <c r="G418" s="2"/>
      <c r="H418" s="2"/>
    </row>
    <row r="419" spans="3:8" ht="17.25" customHeight="1" x14ac:dyDescent="0.2">
      <c r="C419" s="20"/>
      <c r="D419" s="2"/>
      <c r="E419" s="2"/>
      <c r="F419" s="2"/>
      <c r="G419" s="2"/>
      <c r="H419" s="2"/>
    </row>
    <row r="420" spans="3:8" ht="17.25" customHeight="1" x14ac:dyDescent="0.2">
      <c r="C420" s="20"/>
      <c r="D420" s="2"/>
      <c r="E420" s="2"/>
      <c r="F420" s="2"/>
      <c r="G420" s="2"/>
      <c r="H420" s="2"/>
    </row>
    <row r="421" spans="3:8" ht="17.25" customHeight="1" x14ac:dyDescent="0.2">
      <c r="C421" s="20"/>
      <c r="D421" s="2"/>
      <c r="E421" s="2"/>
      <c r="F421" s="2"/>
      <c r="G421" s="2"/>
      <c r="H421" s="2"/>
    </row>
    <row r="422" spans="3:8" ht="17.25" customHeight="1" x14ac:dyDescent="0.2">
      <c r="C422" s="20"/>
      <c r="D422" s="2"/>
      <c r="E422" s="2"/>
      <c r="F422" s="2"/>
      <c r="G422" s="2"/>
      <c r="H422" s="2"/>
    </row>
    <row r="423" spans="3:8" ht="17.25" customHeight="1" x14ac:dyDescent="0.2">
      <c r="C423" s="20"/>
      <c r="D423" s="2"/>
      <c r="E423" s="2"/>
      <c r="F423" s="2"/>
      <c r="G423" s="2"/>
      <c r="H423" s="2"/>
    </row>
    <row r="424" spans="3:8" ht="17.25" customHeight="1" x14ac:dyDescent="0.2">
      <c r="C424" s="20"/>
      <c r="D424" s="2"/>
      <c r="E424" s="2"/>
      <c r="F424" s="2"/>
      <c r="G424" s="2"/>
      <c r="H424" s="2"/>
    </row>
    <row r="425" spans="3:8" ht="17.25" customHeight="1" x14ac:dyDescent="0.2">
      <c r="C425" s="20"/>
      <c r="D425" s="2"/>
      <c r="E425" s="2"/>
      <c r="F425" s="2"/>
      <c r="G425" s="2"/>
      <c r="H425" s="2"/>
    </row>
    <row r="426" spans="3:8" ht="17.25" customHeight="1" x14ac:dyDescent="0.2">
      <c r="C426" s="20"/>
      <c r="D426" s="2"/>
      <c r="E426" s="2"/>
      <c r="F426" s="2"/>
      <c r="G426" s="2"/>
      <c r="H426" s="2"/>
    </row>
    <row r="427" spans="3:8" ht="17.25" customHeight="1" x14ac:dyDescent="0.2">
      <c r="C427" s="20"/>
      <c r="D427" s="2"/>
      <c r="E427" s="2"/>
      <c r="F427" s="2"/>
      <c r="G427" s="2"/>
      <c r="H427" s="2"/>
    </row>
    <row r="428" spans="3:8" ht="17.25" customHeight="1" x14ac:dyDescent="0.2">
      <c r="C428" s="20"/>
      <c r="D428" s="2"/>
      <c r="E428" s="2"/>
      <c r="F428" s="2"/>
      <c r="G428" s="2"/>
      <c r="H428" s="2"/>
    </row>
    <row r="429" spans="3:8" ht="17.25" customHeight="1" x14ac:dyDescent="0.2">
      <c r="C429" s="20"/>
      <c r="D429" s="2"/>
      <c r="E429" s="2"/>
      <c r="F429" s="2"/>
      <c r="G429" s="2"/>
      <c r="H429" s="2"/>
    </row>
    <row r="430" spans="3:8" ht="17.25" customHeight="1" x14ac:dyDescent="0.2">
      <c r="C430" s="20"/>
      <c r="D430" s="2"/>
      <c r="E430" s="2"/>
      <c r="F430" s="2"/>
      <c r="G430" s="2"/>
      <c r="H430" s="2"/>
    </row>
    <row r="431" spans="3:8" ht="17.25" customHeight="1" x14ac:dyDescent="0.2">
      <c r="C431" s="20"/>
      <c r="D431" s="2"/>
      <c r="E431" s="2"/>
      <c r="F431" s="2"/>
      <c r="G431" s="2"/>
      <c r="H431" s="2"/>
    </row>
    <row r="432" spans="3:8" ht="17.25" customHeight="1" x14ac:dyDescent="0.2">
      <c r="C432" s="20"/>
      <c r="D432" s="2"/>
      <c r="E432" s="2"/>
      <c r="F432" s="2"/>
      <c r="G432" s="2"/>
      <c r="H432" s="2"/>
    </row>
    <row r="433" spans="3:8" ht="17.25" customHeight="1" x14ac:dyDescent="0.2">
      <c r="C433" s="20"/>
      <c r="D433" s="2"/>
      <c r="E433" s="2"/>
      <c r="F433" s="2"/>
      <c r="G433" s="2"/>
      <c r="H433" s="2"/>
    </row>
    <row r="434" spans="3:8" ht="17.25" customHeight="1" x14ac:dyDescent="0.2">
      <c r="C434" s="20"/>
      <c r="D434" s="2"/>
      <c r="E434" s="2"/>
      <c r="F434" s="2"/>
      <c r="G434" s="2"/>
      <c r="H434" s="2"/>
    </row>
    <row r="435" spans="3:8" ht="17.25" customHeight="1" x14ac:dyDescent="0.2">
      <c r="C435" s="20"/>
      <c r="D435" s="2"/>
      <c r="E435" s="2"/>
      <c r="F435" s="2"/>
      <c r="G435" s="2"/>
      <c r="H435" s="2"/>
    </row>
    <row r="436" spans="3:8" ht="17.25" customHeight="1" x14ac:dyDescent="0.2">
      <c r="C436" s="20"/>
      <c r="D436" s="2"/>
      <c r="E436" s="2"/>
      <c r="F436" s="2"/>
      <c r="G436" s="2"/>
      <c r="H436" s="2"/>
    </row>
    <row r="437" spans="3:8" ht="17.25" customHeight="1" x14ac:dyDescent="0.2">
      <c r="C437" s="20"/>
      <c r="D437" s="2"/>
      <c r="E437" s="2"/>
      <c r="F437" s="2"/>
      <c r="G437" s="2"/>
      <c r="H437" s="2"/>
    </row>
    <row r="438" spans="3:8" ht="17.25" customHeight="1" x14ac:dyDescent="0.2">
      <c r="C438" s="20"/>
      <c r="D438" s="2"/>
      <c r="E438" s="2"/>
      <c r="F438" s="2"/>
      <c r="G438" s="2"/>
      <c r="H438" s="2"/>
    </row>
    <row r="439" spans="3:8" ht="17.25" customHeight="1" x14ac:dyDescent="0.2">
      <c r="C439" s="20"/>
      <c r="D439" s="2"/>
      <c r="E439" s="2"/>
      <c r="F439" s="2"/>
      <c r="G439" s="2"/>
      <c r="H439" s="2"/>
    </row>
    <row r="440" spans="3:8" ht="17.25" customHeight="1" x14ac:dyDescent="0.2">
      <c r="C440" s="20"/>
      <c r="D440" s="2"/>
      <c r="E440" s="2"/>
      <c r="F440" s="2"/>
      <c r="G440" s="2"/>
      <c r="H440" s="2"/>
    </row>
    <row r="441" spans="3:8" ht="17.25" customHeight="1" x14ac:dyDescent="0.2">
      <c r="C441" s="20"/>
      <c r="D441" s="2"/>
      <c r="E441" s="2"/>
      <c r="F441" s="2"/>
      <c r="G441" s="2"/>
      <c r="H441" s="2"/>
    </row>
    <row r="442" spans="3:8" ht="17.25" customHeight="1" x14ac:dyDescent="0.2">
      <c r="C442" s="20"/>
      <c r="D442" s="2"/>
      <c r="E442" s="2"/>
      <c r="F442" s="2"/>
      <c r="G442" s="2"/>
      <c r="H442" s="2"/>
    </row>
    <row r="443" spans="3:8" ht="17.25" customHeight="1" x14ac:dyDescent="0.2">
      <c r="C443" s="20"/>
      <c r="D443" s="2"/>
      <c r="E443" s="2"/>
      <c r="F443" s="2"/>
      <c r="G443" s="2"/>
      <c r="H443" s="2"/>
    </row>
    <row r="444" spans="3:8" ht="17.25" customHeight="1" x14ac:dyDescent="0.2">
      <c r="C444" s="20"/>
      <c r="D444" s="2"/>
      <c r="E444" s="2"/>
      <c r="F444" s="2"/>
      <c r="G444" s="2"/>
      <c r="H444" s="2"/>
    </row>
    <row r="445" spans="3:8" ht="17.25" customHeight="1" x14ac:dyDescent="0.2">
      <c r="C445" s="20"/>
      <c r="D445" s="2"/>
      <c r="E445" s="2"/>
      <c r="F445" s="2"/>
      <c r="G445" s="2"/>
      <c r="H445" s="2"/>
    </row>
    <row r="446" spans="3:8" ht="17.25" customHeight="1" x14ac:dyDescent="0.2">
      <c r="C446" s="20"/>
      <c r="D446" s="2"/>
      <c r="E446" s="2"/>
      <c r="F446" s="2"/>
      <c r="G446" s="2"/>
      <c r="H446" s="2"/>
    </row>
    <row r="447" spans="3:8" ht="17.25" customHeight="1" x14ac:dyDescent="0.2">
      <c r="C447" s="20"/>
      <c r="D447" s="2"/>
      <c r="E447" s="2"/>
      <c r="F447" s="2"/>
      <c r="G447" s="2"/>
      <c r="H447" s="2"/>
    </row>
    <row r="448" spans="3:8" ht="17.25" customHeight="1" x14ac:dyDescent="0.2">
      <c r="C448" s="20"/>
      <c r="D448" s="2"/>
      <c r="E448" s="2"/>
      <c r="F448" s="2"/>
      <c r="G448" s="2"/>
      <c r="H448" s="2"/>
    </row>
    <row r="449" spans="3:8" ht="17.25" customHeight="1" x14ac:dyDescent="0.2">
      <c r="C449" s="20"/>
      <c r="D449" s="2"/>
      <c r="E449" s="2"/>
      <c r="F449" s="2"/>
      <c r="G449" s="2"/>
      <c r="H449" s="2"/>
    </row>
    <row r="450" spans="3:8" ht="17.25" customHeight="1" x14ac:dyDescent="0.2">
      <c r="C450" s="20"/>
      <c r="D450" s="2"/>
      <c r="E450" s="2"/>
      <c r="F450" s="2"/>
      <c r="G450" s="2"/>
      <c r="H450" s="2"/>
    </row>
    <row r="451" spans="3:8" ht="17.25" customHeight="1" x14ac:dyDescent="0.2">
      <c r="C451" s="20"/>
      <c r="D451" s="2"/>
      <c r="E451" s="2"/>
      <c r="F451" s="2"/>
      <c r="G451" s="2"/>
      <c r="H451" s="2"/>
    </row>
    <row r="452" spans="3:8" ht="17.25" customHeight="1" x14ac:dyDescent="0.2">
      <c r="C452" s="20"/>
      <c r="D452" s="2"/>
      <c r="E452" s="2"/>
      <c r="F452" s="2"/>
      <c r="G452" s="2"/>
      <c r="H452" s="2"/>
    </row>
    <row r="453" spans="3:8" ht="17.25" customHeight="1" x14ac:dyDescent="0.2">
      <c r="C453" s="20"/>
      <c r="D453" s="2"/>
      <c r="E453" s="2"/>
      <c r="F453" s="2"/>
      <c r="G453" s="2"/>
      <c r="H453" s="2"/>
    </row>
    <row r="454" spans="3:8" ht="17.25" customHeight="1" x14ac:dyDescent="0.2">
      <c r="C454" s="20"/>
      <c r="D454" s="2"/>
      <c r="E454" s="2"/>
      <c r="F454" s="2"/>
      <c r="G454" s="2"/>
      <c r="H454" s="2"/>
    </row>
    <row r="455" spans="3:8" ht="17.25" customHeight="1" x14ac:dyDescent="0.2">
      <c r="C455" s="20"/>
      <c r="D455" s="2"/>
      <c r="E455" s="2"/>
      <c r="F455" s="2"/>
      <c r="G455" s="2"/>
      <c r="H455" s="2"/>
    </row>
    <row r="456" spans="3:8" ht="17.25" customHeight="1" x14ac:dyDescent="0.2">
      <c r="C456" s="20"/>
      <c r="D456" s="2"/>
      <c r="E456" s="2"/>
      <c r="F456" s="2"/>
      <c r="G456" s="2"/>
      <c r="H456" s="2"/>
    </row>
    <row r="457" spans="3:8" ht="17.25" customHeight="1" x14ac:dyDescent="0.2">
      <c r="C457" s="20"/>
      <c r="D457" s="2"/>
      <c r="E457" s="2"/>
      <c r="F457" s="2"/>
      <c r="G457" s="2"/>
      <c r="H457" s="2"/>
    </row>
    <row r="458" spans="3:8" ht="17.25" customHeight="1" x14ac:dyDescent="0.2">
      <c r="C458" s="20"/>
      <c r="D458" s="2"/>
      <c r="E458" s="2"/>
      <c r="F458" s="2"/>
      <c r="G458" s="2"/>
      <c r="H458" s="2"/>
    </row>
    <row r="459" spans="3:8" ht="17.25" customHeight="1" x14ac:dyDescent="0.2">
      <c r="C459" s="20"/>
      <c r="D459" s="2"/>
      <c r="E459" s="2"/>
      <c r="F459" s="2"/>
      <c r="G459" s="2"/>
      <c r="H459" s="2"/>
    </row>
    <row r="460" spans="3:8" ht="17.25" customHeight="1" x14ac:dyDescent="0.2">
      <c r="C460" s="20"/>
      <c r="D460" s="2"/>
      <c r="E460" s="2"/>
      <c r="F460" s="2"/>
      <c r="G460" s="2"/>
      <c r="H460" s="2"/>
    </row>
    <row r="461" spans="3:8" ht="17.25" customHeight="1" x14ac:dyDescent="0.2">
      <c r="C461" s="20"/>
      <c r="D461" s="2"/>
      <c r="E461" s="2"/>
      <c r="F461" s="2"/>
      <c r="G461" s="2"/>
      <c r="H461" s="2"/>
    </row>
    <row r="462" spans="3:8" ht="17.25" customHeight="1" x14ac:dyDescent="0.2">
      <c r="C462" s="20"/>
      <c r="D462" s="2"/>
      <c r="E462" s="2"/>
      <c r="F462" s="2"/>
      <c r="G462" s="2"/>
      <c r="H462" s="2"/>
    </row>
    <row r="463" spans="3:8" ht="17.25" customHeight="1" x14ac:dyDescent="0.2">
      <c r="C463" s="20"/>
      <c r="D463" s="2"/>
      <c r="E463" s="2"/>
      <c r="F463" s="2"/>
      <c r="G463" s="2"/>
      <c r="H463" s="2"/>
    </row>
    <row r="464" spans="3:8" ht="17.25" customHeight="1" x14ac:dyDescent="0.2">
      <c r="C464" s="20"/>
      <c r="D464" s="2"/>
      <c r="E464" s="2"/>
      <c r="F464" s="2"/>
      <c r="G464" s="2"/>
      <c r="H464" s="2"/>
    </row>
    <row r="465" spans="3:8" ht="17.25" customHeight="1" x14ac:dyDescent="0.2">
      <c r="C465" s="20"/>
      <c r="D465" s="2"/>
      <c r="E465" s="2"/>
      <c r="F465" s="2"/>
      <c r="G465" s="2"/>
      <c r="H465" s="2"/>
    </row>
    <row r="466" spans="3:8" ht="17.25" customHeight="1" x14ac:dyDescent="0.2">
      <c r="C466" s="20"/>
      <c r="D466" s="2"/>
      <c r="E466" s="2"/>
      <c r="F466" s="2"/>
      <c r="G466" s="2"/>
      <c r="H466" s="2"/>
    </row>
    <row r="467" spans="3:8" ht="17.25" customHeight="1" x14ac:dyDescent="0.2">
      <c r="C467" s="20"/>
      <c r="D467" s="2"/>
      <c r="E467" s="2"/>
      <c r="F467" s="2"/>
      <c r="G467" s="2"/>
      <c r="H467" s="2"/>
    </row>
    <row r="468" spans="3:8" ht="17.25" customHeight="1" x14ac:dyDescent="0.2">
      <c r="C468" s="20"/>
      <c r="D468" s="2"/>
      <c r="E468" s="2"/>
      <c r="F468" s="2"/>
      <c r="G468" s="2"/>
      <c r="H468" s="2"/>
    </row>
    <row r="469" spans="3:8" ht="17.25" customHeight="1" x14ac:dyDescent="0.2">
      <c r="C469" s="20"/>
      <c r="D469" s="2"/>
      <c r="E469" s="2"/>
      <c r="F469" s="2"/>
      <c r="G469" s="2"/>
      <c r="H469" s="2"/>
    </row>
    <row r="470" spans="3:8" ht="17.25" customHeight="1" x14ac:dyDescent="0.2">
      <c r="C470" s="20"/>
      <c r="D470" s="2"/>
      <c r="E470" s="2"/>
      <c r="F470" s="2"/>
      <c r="G470" s="2"/>
      <c r="H470" s="2"/>
    </row>
    <row r="471" spans="3:8" ht="17.25" customHeight="1" x14ac:dyDescent="0.2">
      <c r="C471" s="20"/>
      <c r="D471" s="2"/>
      <c r="E471" s="2"/>
      <c r="F471" s="2"/>
      <c r="G471" s="2"/>
      <c r="H471" s="2"/>
    </row>
    <row r="472" spans="3:8" ht="17.25" customHeight="1" x14ac:dyDescent="0.2">
      <c r="C472" s="20"/>
      <c r="D472" s="2"/>
      <c r="E472" s="2"/>
      <c r="F472" s="2"/>
      <c r="G472" s="2"/>
      <c r="H472" s="2"/>
    </row>
    <row r="473" spans="3:8" ht="17.25" customHeight="1" x14ac:dyDescent="0.2">
      <c r="C473" s="20"/>
      <c r="D473" s="2"/>
      <c r="E473" s="2"/>
      <c r="F473" s="2"/>
      <c r="G473" s="2"/>
      <c r="H473" s="2"/>
    </row>
    <row r="474" spans="3:8" ht="17.25" customHeight="1" x14ac:dyDescent="0.2">
      <c r="C474" s="20"/>
      <c r="D474" s="2"/>
      <c r="E474" s="2"/>
      <c r="F474" s="2"/>
      <c r="G474" s="2"/>
      <c r="H474" s="2"/>
    </row>
    <row r="475" spans="3:8" ht="17.25" customHeight="1" x14ac:dyDescent="0.2">
      <c r="C475" s="20"/>
      <c r="D475" s="2"/>
      <c r="E475" s="2"/>
      <c r="F475" s="2"/>
      <c r="G475" s="2"/>
      <c r="H475" s="2"/>
    </row>
    <row r="476" spans="3:8" ht="17.25" customHeight="1" x14ac:dyDescent="0.2">
      <c r="C476" s="20"/>
      <c r="D476" s="2"/>
      <c r="E476" s="2"/>
      <c r="F476" s="2"/>
      <c r="G476" s="2"/>
      <c r="H476" s="2"/>
    </row>
    <row r="477" spans="3:8" ht="17.25" customHeight="1" x14ac:dyDescent="0.2">
      <c r="C477" s="20"/>
      <c r="D477" s="2"/>
      <c r="E477" s="2"/>
      <c r="F477" s="2"/>
      <c r="G477" s="2"/>
      <c r="H477" s="2"/>
    </row>
    <row r="478" spans="3:8" ht="17.25" customHeight="1" x14ac:dyDescent="0.2">
      <c r="C478" s="20"/>
      <c r="D478" s="2"/>
      <c r="E478" s="2"/>
      <c r="F478" s="2"/>
      <c r="G478" s="2"/>
      <c r="H478" s="2"/>
    </row>
    <row r="479" spans="3:8" ht="17.25" customHeight="1" x14ac:dyDescent="0.2">
      <c r="C479" s="20"/>
      <c r="D479" s="2"/>
      <c r="E479" s="2"/>
      <c r="F479" s="2"/>
      <c r="G479" s="2"/>
      <c r="H479" s="2"/>
    </row>
    <row r="480" spans="3:8" ht="17.25" customHeight="1" x14ac:dyDescent="0.2">
      <c r="C480" s="20"/>
      <c r="D480" s="2"/>
      <c r="E480" s="2"/>
      <c r="F480" s="2"/>
      <c r="G480" s="2"/>
      <c r="H480" s="2"/>
    </row>
    <row r="481" spans="3:8" ht="17.25" customHeight="1" x14ac:dyDescent="0.2">
      <c r="C481" s="20"/>
      <c r="D481" s="2"/>
      <c r="E481" s="2"/>
      <c r="F481" s="2"/>
      <c r="G481" s="2"/>
      <c r="H481" s="2"/>
    </row>
    <row r="482" spans="3:8" ht="17.25" customHeight="1" x14ac:dyDescent="0.2">
      <c r="C482" s="20"/>
      <c r="D482" s="2"/>
      <c r="E482" s="2"/>
      <c r="F482" s="2"/>
      <c r="G482" s="2"/>
      <c r="H482" s="2"/>
    </row>
    <row r="483" spans="3:8" ht="17.25" customHeight="1" x14ac:dyDescent="0.2">
      <c r="C483" s="20"/>
      <c r="D483" s="2"/>
      <c r="E483" s="2"/>
      <c r="F483" s="2"/>
      <c r="G483" s="2"/>
      <c r="H483" s="2"/>
    </row>
    <row r="484" spans="3:8" ht="17.25" customHeight="1" x14ac:dyDescent="0.2">
      <c r="C484" s="20"/>
      <c r="D484" s="2"/>
      <c r="E484" s="2"/>
      <c r="F484" s="2"/>
      <c r="G484" s="2"/>
      <c r="H484" s="2"/>
    </row>
    <row r="485" spans="3:8" ht="17.25" customHeight="1" x14ac:dyDescent="0.2">
      <c r="C485" s="20"/>
      <c r="D485" s="2"/>
      <c r="E485" s="2"/>
      <c r="F485" s="2"/>
      <c r="G485" s="2"/>
      <c r="H485" s="2"/>
    </row>
    <row r="486" spans="3:8" ht="17.25" customHeight="1" x14ac:dyDescent="0.2">
      <c r="C486" s="20"/>
      <c r="D486" s="2"/>
      <c r="E486" s="2"/>
      <c r="F486" s="2"/>
      <c r="G486" s="2"/>
      <c r="H486" s="2"/>
    </row>
    <row r="487" spans="3:8" ht="17.25" customHeight="1" x14ac:dyDescent="0.2">
      <c r="C487" s="20"/>
      <c r="D487" s="2"/>
      <c r="E487" s="2"/>
      <c r="F487" s="2"/>
      <c r="G487" s="2"/>
      <c r="H487" s="2"/>
    </row>
    <row r="488" spans="3:8" ht="17.25" customHeight="1" x14ac:dyDescent="0.2">
      <c r="C488" s="20"/>
      <c r="D488" s="2"/>
      <c r="E488" s="2"/>
      <c r="F488" s="2"/>
      <c r="G488" s="2"/>
      <c r="H488" s="2"/>
    </row>
    <row r="489" spans="3:8" ht="17.25" customHeight="1" x14ac:dyDescent="0.2">
      <c r="C489" s="20"/>
      <c r="D489" s="2"/>
      <c r="E489" s="2"/>
      <c r="F489" s="2"/>
      <c r="G489" s="2"/>
      <c r="H489" s="2"/>
    </row>
    <row r="490" spans="3:8" ht="17.25" customHeight="1" x14ac:dyDescent="0.2">
      <c r="C490" s="20"/>
      <c r="D490" s="2"/>
      <c r="E490" s="2"/>
      <c r="F490" s="2"/>
      <c r="G490" s="2"/>
      <c r="H490" s="2"/>
    </row>
    <row r="491" spans="3:8" ht="17.25" customHeight="1" x14ac:dyDescent="0.2">
      <c r="C491" s="20"/>
      <c r="D491" s="2"/>
      <c r="E491" s="2"/>
      <c r="F491" s="2"/>
      <c r="G491" s="2"/>
      <c r="H491" s="2"/>
    </row>
    <row r="492" spans="3:8" ht="17.25" customHeight="1" x14ac:dyDescent="0.2">
      <c r="C492" s="20"/>
      <c r="D492" s="2"/>
      <c r="E492" s="2"/>
      <c r="F492" s="2"/>
      <c r="G492" s="2"/>
      <c r="H492" s="2"/>
    </row>
    <row r="493" spans="3:8" ht="17.25" customHeight="1" x14ac:dyDescent="0.2">
      <c r="C493" s="20"/>
      <c r="D493" s="2"/>
      <c r="E493" s="2"/>
      <c r="F493" s="2"/>
      <c r="G493" s="2"/>
      <c r="H493" s="2"/>
    </row>
    <row r="494" spans="3:8" ht="17.25" customHeight="1" x14ac:dyDescent="0.2">
      <c r="C494" s="20"/>
      <c r="D494" s="2"/>
      <c r="E494" s="2"/>
      <c r="F494" s="2"/>
      <c r="G494" s="2"/>
      <c r="H494" s="2"/>
    </row>
    <row r="495" spans="3:8" ht="17.25" customHeight="1" x14ac:dyDescent="0.2">
      <c r="C495" s="20"/>
      <c r="D495" s="2"/>
      <c r="E495" s="2"/>
      <c r="F495" s="2"/>
      <c r="G495" s="2"/>
      <c r="H495" s="2"/>
    </row>
    <row r="496" spans="3:8" ht="17.25" customHeight="1" x14ac:dyDescent="0.2">
      <c r="C496" s="20"/>
      <c r="D496" s="2"/>
      <c r="E496" s="2"/>
      <c r="F496" s="2"/>
      <c r="G496" s="2"/>
      <c r="H496" s="2"/>
    </row>
    <row r="497" spans="3:8" ht="17.25" customHeight="1" x14ac:dyDescent="0.2">
      <c r="C497" s="20"/>
      <c r="D497" s="2"/>
      <c r="E497" s="2"/>
      <c r="F497" s="2"/>
      <c r="G497" s="2"/>
      <c r="H497" s="2"/>
    </row>
    <row r="498" spans="3:8" ht="17.25" customHeight="1" x14ac:dyDescent="0.2">
      <c r="C498" s="20"/>
      <c r="D498" s="2"/>
      <c r="E498" s="2"/>
      <c r="F498" s="2"/>
      <c r="G498" s="2"/>
      <c r="H498" s="2"/>
    </row>
    <row r="499" spans="3:8" ht="17.25" customHeight="1" x14ac:dyDescent="0.2">
      <c r="C499" s="20"/>
      <c r="D499" s="2"/>
      <c r="E499" s="2"/>
      <c r="F499" s="2"/>
      <c r="G499" s="2"/>
      <c r="H499" s="2"/>
    </row>
    <row r="500" spans="3:8" ht="17.25" customHeight="1" x14ac:dyDescent="0.2">
      <c r="C500" s="20"/>
      <c r="D500" s="2"/>
      <c r="E500" s="2"/>
      <c r="F500" s="2"/>
      <c r="G500" s="2"/>
      <c r="H500" s="2"/>
    </row>
    <row r="501" spans="3:8" ht="17.25" customHeight="1" x14ac:dyDescent="0.2">
      <c r="C501" s="20"/>
      <c r="D501" s="2"/>
      <c r="E501" s="2"/>
      <c r="F501" s="2"/>
      <c r="G501" s="2"/>
      <c r="H501" s="2"/>
    </row>
    <row r="502" spans="3:8" ht="17.25" customHeight="1" x14ac:dyDescent="0.2">
      <c r="C502" s="20"/>
      <c r="D502" s="2"/>
      <c r="E502" s="2"/>
      <c r="F502" s="2"/>
      <c r="G502" s="2"/>
      <c r="H502" s="2"/>
    </row>
    <row r="503" spans="3:8" ht="17.25" customHeight="1" x14ac:dyDescent="0.2">
      <c r="C503" s="20"/>
      <c r="D503" s="2"/>
      <c r="E503" s="2"/>
      <c r="F503" s="2"/>
      <c r="G503" s="2"/>
      <c r="H503" s="2"/>
    </row>
    <row r="504" spans="3:8" ht="17.25" customHeight="1" x14ac:dyDescent="0.2">
      <c r="C504" s="20"/>
      <c r="D504" s="2"/>
      <c r="E504" s="2"/>
      <c r="F504" s="2"/>
      <c r="G504" s="2"/>
      <c r="H504" s="2"/>
    </row>
    <row r="505" spans="3:8" ht="17.25" customHeight="1" x14ac:dyDescent="0.2">
      <c r="C505" s="20"/>
      <c r="D505" s="2"/>
      <c r="E505" s="2"/>
      <c r="F505" s="2"/>
      <c r="G505" s="2"/>
      <c r="H505" s="2"/>
    </row>
    <row r="506" spans="3:8" ht="17.25" customHeight="1" x14ac:dyDescent="0.2">
      <c r="C506" s="20"/>
      <c r="D506" s="2"/>
      <c r="E506" s="2"/>
      <c r="F506" s="2"/>
      <c r="G506" s="2"/>
      <c r="H506" s="2"/>
    </row>
    <row r="507" spans="3:8" ht="17.25" customHeight="1" x14ac:dyDescent="0.2">
      <c r="C507" s="20"/>
      <c r="D507" s="2"/>
      <c r="E507" s="2"/>
      <c r="F507" s="2"/>
      <c r="G507" s="2"/>
      <c r="H507" s="2"/>
    </row>
    <row r="508" spans="3:8" ht="17.25" customHeight="1" x14ac:dyDescent="0.2">
      <c r="C508" s="20"/>
      <c r="D508" s="2"/>
      <c r="E508" s="2"/>
      <c r="F508" s="2"/>
      <c r="G508" s="2"/>
      <c r="H508" s="2"/>
    </row>
    <row r="509" spans="3:8" ht="17.25" customHeight="1" x14ac:dyDescent="0.2">
      <c r="C509" s="20"/>
      <c r="D509" s="2"/>
      <c r="E509" s="2"/>
      <c r="F509" s="2"/>
      <c r="G509" s="2"/>
      <c r="H509" s="2"/>
    </row>
    <row r="510" spans="3:8" ht="17.25" customHeight="1" x14ac:dyDescent="0.2">
      <c r="C510" s="20"/>
      <c r="D510" s="2"/>
      <c r="E510" s="2"/>
      <c r="F510" s="2"/>
      <c r="G510" s="2"/>
      <c r="H510" s="2"/>
    </row>
    <row r="511" spans="3:8" ht="17.25" customHeight="1" x14ac:dyDescent="0.2">
      <c r="C511" s="20"/>
      <c r="D511" s="2"/>
      <c r="E511" s="2"/>
      <c r="F511" s="2"/>
      <c r="G511" s="2"/>
      <c r="H511" s="2"/>
    </row>
    <row r="512" spans="3:8" ht="17.25" customHeight="1" x14ac:dyDescent="0.2">
      <c r="C512" s="20"/>
      <c r="D512" s="2"/>
      <c r="E512" s="2"/>
      <c r="F512" s="2"/>
      <c r="G512" s="2"/>
      <c r="H512" s="2"/>
    </row>
    <row r="513" spans="3:8" ht="17.25" customHeight="1" x14ac:dyDescent="0.2">
      <c r="C513" s="20"/>
      <c r="D513" s="2"/>
      <c r="E513" s="2"/>
      <c r="F513" s="2"/>
      <c r="G513" s="2"/>
      <c r="H513" s="2"/>
    </row>
    <row r="514" spans="3:8" ht="17.25" customHeight="1" x14ac:dyDescent="0.2">
      <c r="C514" s="20"/>
      <c r="D514" s="2"/>
      <c r="E514" s="2"/>
      <c r="F514" s="2"/>
      <c r="G514" s="2"/>
      <c r="H514" s="2"/>
    </row>
    <row r="515" spans="3:8" ht="17.25" customHeight="1" x14ac:dyDescent="0.2">
      <c r="C515" s="20"/>
      <c r="D515" s="2"/>
      <c r="E515" s="2"/>
      <c r="F515" s="2"/>
      <c r="G515" s="2"/>
      <c r="H515" s="2"/>
    </row>
    <row r="516" spans="3:8" ht="17.25" customHeight="1" x14ac:dyDescent="0.2">
      <c r="C516" s="20"/>
      <c r="D516" s="2"/>
      <c r="E516" s="2"/>
      <c r="F516" s="2"/>
      <c r="G516" s="2"/>
      <c r="H516" s="2"/>
    </row>
    <row r="517" spans="3:8" ht="17.25" customHeight="1" x14ac:dyDescent="0.2">
      <c r="C517" s="20"/>
      <c r="D517" s="2"/>
      <c r="E517" s="2"/>
      <c r="F517" s="2"/>
      <c r="G517" s="2"/>
      <c r="H517" s="2"/>
    </row>
    <row r="518" spans="3:8" ht="17.25" customHeight="1" x14ac:dyDescent="0.2">
      <c r="C518" s="20"/>
      <c r="D518" s="2"/>
      <c r="E518" s="2"/>
      <c r="F518" s="2"/>
      <c r="G518" s="2"/>
      <c r="H518" s="2"/>
    </row>
    <row r="519" spans="3:8" ht="17.25" customHeight="1" x14ac:dyDescent="0.2">
      <c r="C519" s="20"/>
      <c r="D519" s="2"/>
      <c r="E519" s="2"/>
      <c r="F519" s="2"/>
      <c r="G519" s="2"/>
      <c r="H519" s="2"/>
    </row>
    <row r="520" spans="3:8" ht="17.25" customHeight="1" x14ac:dyDescent="0.2">
      <c r="C520" s="20"/>
      <c r="D520" s="2"/>
      <c r="E520" s="2"/>
      <c r="F520" s="2"/>
      <c r="G520" s="2"/>
      <c r="H520" s="2"/>
    </row>
    <row r="521" spans="3:8" ht="17.25" customHeight="1" x14ac:dyDescent="0.2">
      <c r="C521" s="20"/>
      <c r="D521" s="2"/>
      <c r="E521" s="2"/>
      <c r="F521" s="2"/>
      <c r="G521" s="2"/>
      <c r="H521" s="2"/>
    </row>
    <row r="522" spans="3:8" ht="17.25" customHeight="1" x14ac:dyDescent="0.2">
      <c r="C522" s="20"/>
      <c r="D522" s="2"/>
      <c r="E522" s="2"/>
      <c r="F522" s="2"/>
      <c r="G522" s="2"/>
      <c r="H522" s="2"/>
    </row>
    <row r="523" spans="3:8" ht="17.25" customHeight="1" x14ac:dyDescent="0.2">
      <c r="C523" s="20"/>
      <c r="D523" s="2"/>
      <c r="E523" s="2"/>
      <c r="F523" s="2"/>
      <c r="G523" s="2"/>
      <c r="H523" s="2"/>
    </row>
    <row r="524" spans="3:8" ht="17.25" customHeight="1" x14ac:dyDescent="0.2">
      <c r="C524" s="20"/>
      <c r="D524" s="2"/>
      <c r="E524" s="2"/>
      <c r="F524" s="2"/>
      <c r="G524" s="2"/>
      <c r="H524" s="2"/>
    </row>
    <row r="525" spans="3:8" ht="17.25" customHeight="1" x14ac:dyDescent="0.2">
      <c r="C525" s="20"/>
      <c r="D525" s="2"/>
      <c r="E525" s="2"/>
      <c r="F525" s="2"/>
      <c r="G525" s="2"/>
      <c r="H525" s="2"/>
    </row>
    <row r="526" spans="3:8" ht="17.25" customHeight="1" x14ac:dyDescent="0.2">
      <c r="C526" s="20"/>
      <c r="D526" s="2"/>
      <c r="E526" s="2"/>
      <c r="F526" s="2"/>
      <c r="G526" s="2"/>
      <c r="H526" s="2"/>
    </row>
    <row r="527" spans="3:8" ht="17.25" customHeight="1" x14ac:dyDescent="0.2">
      <c r="C527" s="20"/>
      <c r="D527" s="2"/>
      <c r="E527" s="2"/>
      <c r="F527" s="2"/>
      <c r="G527" s="2"/>
      <c r="H527" s="2"/>
    </row>
    <row r="528" spans="3:8" ht="17.25" customHeight="1" x14ac:dyDescent="0.2">
      <c r="C528" s="20"/>
      <c r="D528" s="2"/>
      <c r="E528" s="2"/>
      <c r="F528" s="2"/>
      <c r="G528" s="2"/>
      <c r="H528" s="2"/>
    </row>
    <row r="529" spans="3:8" ht="17.25" customHeight="1" x14ac:dyDescent="0.2">
      <c r="C529" s="20"/>
      <c r="D529" s="2"/>
      <c r="E529" s="2"/>
      <c r="F529" s="2"/>
      <c r="G529" s="2"/>
      <c r="H529" s="2"/>
    </row>
    <row r="530" spans="3:8" ht="17.25" customHeight="1" x14ac:dyDescent="0.2">
      <c r="C530" s="20"/>
      <c r="D530" s="2"/>
      <c r="E530" s="2"/>
      <c r="F530" s="2"/>
      <c r="G530" s="2"/>
      <c r="H530" s="2"/>
    </row>
    <row r="531" spans="3:8" ht="17.25" customHeight="1" x14ac:dyDescent="0.2">
      <c r="C531" s="20"/>
      <c r="D531" s="2"/>
      <c r="E531" s="2"/>
      <c r="F531" s="2"/>
      <c r="G531" s="2"/>
      <c r="H531" s="2"/>
    </row>
    <row r="532" spans="3:8" ht="17.25" customHeight="1" x14ac:dyDescent="0.2">
      <c r="C532" s="20"/>
      <c r="D532" s="2"/>
      <c r="E532" s="2"/>
      <c r="F532" s="2"/>
      <c r="G532" s="2"/>
      <c r="H532" s="2"/>
    </row>
    <row r="533" spans="3:8" ht="17.25" customHeight="1" x14ac:dyDescent="0.2">
      <c r="C533" s="20"/>
      <c r="D533" s="2"/>
      <c r="E533" s="2"/>
      <c r="F533" s="2"/>
      <c r="G533" s="2"/>
      <c r="H533" s="2"/>
    </row>
    <row r="534" spans="3:8" ht="17.25" customHeight="1" x14ac:dyDescent="0.2">
      <c r="C534" s="20"/>
      <c r="D534" s="2"/>
      <c r="E534" s="2"/>
      <c r="F534" s="2"/>
      <c r="G534" s="2"/>
      <c r="H534" s="2"/>
    </row>
    <row r="535" spans="3:8" ht="17.25" customHeight="1" x14ac:dyDescent="0.2">
      <c r="C535" s="20"/>
      <c r="D535" s="2"/>
      <c r="E535" s="2"/>
      <c r="F535" s="2"/>
      <c r="G535" s="2"/>
      <c r="H535" s="2"/>
    </row>
    <row r="536" spans="3:8" ht="17.25" customHeight="1" x14ac:dyDescent="0.2">
      <c r="C536" s="20"/>
      <c r="D536" s="2"/>
      <c r="E536" s="2"/>
      <c r="F536" s="2"/>
      <c r="G536" s="2"/>
      <c r="H536" s="2"/>
    </row>
    <row r="537" spans="3:8" ht="17.25" customHeight="1" x14ac:dyDescent="0.2">
      <c r="C537" s="20"/>
      <c r="D537" s="2"/>
      <c r="E537" s="2"/>
      <c r="F537" s="2"/>
      <c r="G537" s="2"/>
      <c r="H537" s="2"/>
    </row>
    <row r="538" spans="3:8" ht="17.25" customHeight="1" x14ac:dyDescent="0.2">
      <c r="C538" s="20"/>
      <c r="D538" s="2"/>
      <c r="E538" s="2"/>
      <c r="F538" s="2"/>
      <c r="G538" s="2"/>
      <c r="H538" s="2"/>
    </row>
    <row r="539" spans="3:8" ht="17.25" customHeight="1" x14ac:dyDescent="0.2">
      <c r="C539" s="20"/>
      <c r="D539" s="2"/>
      <c r="E539" s="2"/>
      <c r="F539" s="2"/>
      <c r="G539" s="2"/>
      <c r="H539" s="2"/>
    </row>
    <row r="540" spans="3:8" ht="17.25" customHeight="1" x14ac:dyDescent="0.2">
      <c r="C540" s="20"/>
      <c r="D540" s="2"/>
      <c r="E540" s="2"/>
      <c r="F540" s="2"/>
      <c r="G540" s="2"/>
      <c r="H540" s="2"/>
    </row>
    <row r="541" spans="3:8" ht="17.25" customHeight="1" x14ac:dyDescent="0.2">
      <c r="C541" s="20"/>
      <c r="D541" s="2"/>
      <c r="E541" s="2"/>
      <c r="F541" s="2"/>
      <c r="G541" s="2"/>
      <c r="H541" s="2"/>
    </row>
    <row r="542" spans="3:8" ht="17.25" customHeight="1" x14ac:dyDescent="0.2">
      <c r="C542" s="20"/>
      <c r="D542" s="2"/>
      <c r="E542" s="2"/>
      <c r="F542" s="2"/>
      <c r="G542" s="2"/>
      <c r="H542" s="2"/>
    </row>
    <row r="543" spans="3:8" ht="17.25" customHeight="1" x14ac:dyDescent="0.2">
      <c r="C543" s="20"/>
      <c r="D543" s="2"/>
      <c r="E543" s="2"/>
      <c r="F543" s="2"/>
      <c r="G543" s="2"/>
      <c r="H543" s="2"/>
    </row>
    <row r="544" spans="3:8" ht="17.25" customHeight="1" x14ac:dyDescent="0.2">
      <c r="C544" s="20"/>
      <c r="D544" s="2"/>
      <c r="E544" s="2"/>
      <c r="F544" s="2"/>
      <c r="G544" s="2"/>
      <c r="H544" s="2"/>
    </row>
    <row r="545" spans="3:8" ht="17.25" customHeight="1" x14ac:dyDescent="0.2">
      <c r="C545" s="20"/>
      <c r="D545" s="2"/>
      <c r="E545" s="2"/>
      <c r="F545" s="2"/>
      <c r="G545" s="2"/>
      <c r="H545" s="2"/>
    </row>
    <row r="546" spans="3:8" ht="17.25" customHeight="1" x14ac:dyDescent="0.2">
      <c r="C546" s="20"/>
      <c r="D546" s="2"/>
      <c r="E546" s="2"/>
      <c r="F546" s="2"/>
      <c r="G546" s="2"/>
      <c r="H546" s="2"/>
    </row>
    <row r="547" spans="3:8" ht="17.25" customHeight="1" x14ac:dyDescent="0.2">
      <c r="C547" s="20"/>
      <c r="D547" s="2"/>
      <c r="E547" s="2"/>
      <c r="F547" s="2"/>
      <c r="G547" s="2"/>
      <c r="H547" s="2"/>
    </row>
    <row r="548" spans="3:8" ht="17.25" customHeight="1" x14ac:dyDescent="0.2">
      <c r="C548" s="20"/>
      <c r="D548" s="2"/>
      <c r="E548" s="2"/>
      <c r="F548" s="2"/>
      <c r="G548" s="2"/>
      <c r="H548" s="2"/>
    </row>
    <row r="549" spans="3:8" ht="17.25" customHeight="1" x14ac:dyDescent="0.2">
      <c r="C549" s="20"/>
      <c r="D549" s="2"/>
      <c r="E549" s="2"/>
      <c r="F549" s="2"/>
      <c r="G549" s="2"/>
      <c r="H549" s="2"/>
    </row>
    <row r="550" spans="3:8" ht="17.25" customHeight="1" x14ac:dyDescent="0.2">
      <c r="C550" s="20"/>
      <c r="D550" s="2"/>
      <c r="E550" s="2"/>
      <c r="F550" s="2"/>
      <c r="G550" s="2"/>
      <c r="H550" s="2"/>
    </row>
    <row r="551" spans="3:8" ht="17.25" customHeight="1" x14ac:dyDescent="0.2">
      <c r="C551" s="20"/>
      <c r="D551" s="2"/>
      <c r="E551" s="2"/>
      <c r="F551" s="2"/>
      <c r="G551" s="2"/>
      <c r="H551" s="2"/>
    </row>
    <row r="552" spans="3:8" ht="17.25" customHeight="1" x14ac:dyDescent="0.2">
      <c r="C552" s="20"/>
      <c r="D552" s="2"/>
      <c r="E552" s="2"/>
      <c r="F552" s="2"/>
      <c r="G552" s="2"/>
      <c r="H552" s="2"/>
    </row>
    <row r="553" spans="3:8" ht="17.25" customHeight="1" x14ac:dyDescent="0.2">
      <c r="C553" s="20"/>
      <c r="D553" s="2"/>
      <c r="E553" s="2"/>
      <c r="F553" s="2"/>
      <c r="G553" s="2"/>
      <c r="H553" s="2"/>
    </row>
    <row r="554" spans="3:8" ht="17.25" customHeight="1" x14ac:dyDescent="0.2">
      <c r="C554" s="20"/>
      <c r="D554" s="2"/>
      <c r="E554" s="2"/>
      <c r="F554" s="2"/>
      <c r="G554" s="2"/>
      <c r="H554" s="2"/>
    </row>
    <row r="555" spans="3:8" ht="17.25" customHeight="1" x14ac:dyDescent="0.2">
      <c r="C555" s="20"/>
      <c r="D555" s="2"/>
      <c r="E555" s="2"/>
      <c r="F555" s="2"/>
      <c r="G555" s="2"/>
      <c r="H555" s="2"/>
    </row>
    <row r="556" spans="3:8" ht="17.25" customHeight="1" x14ac:dyDescent="0.2">
      <c r="C556" s="20"/>
      <c r="D556" s="2"/>
      <c r="E556" s="2"/>
      <c r="F556" s="2"/>
      <c r="G556" s="2"/>
      <c r="H556" s="2"/>
    </row>
    <row r="557" spans="3:8" ht="17.25" customHeight="1" x14ac:dyDescent="0.2">
      <c r="C557" s="20"/>
      <c r="D557" s="2"/>
      <c r="E557" s="2"/>
      <c r="F557" s="2"/>
      <c r="G557" s="2"/>
      <c r="H557" s="2"/>
    </row>
    <row r="558" spans="3:8" ht="17.25" customHeight="1" x14ac:dyDescent="0.2">
      <c r="C558" s="20"/>
      <c r="D558" s="2"/>
      <c r="E558" s="2"/>
      <c r="F558" s="2"/>
      <c r="G558" s="2"/>
      <c r="H558" s="2"/>
    </row>
    <row r="559" spans="3:8" ht="17.25" customHeight="1" x14ac:dyDescent="0.2">
      <c r="C559" s="20"/>
      <c r="D559" s="2"/>
      <c r="E559" s="2"/>
      <c r="F559" s="2"/>
      <c r="G559" s="2"/>
      <c r="H559" s="2"/>
    </row>
    <row r="560" spans="3:8" ht="17.25" customHeight="1" x14ac:dyDescent="0.2">
      <c r="C560" s="20"/>
      <c r="D560" s="2"/>
      <c r="E560" s="2"/>
      <c r="F560" s="2"/>
      <c r="G560" s="2"/>
      <c r="H560" s="2"/>
    </row>
    <row r="561" spans="3:8" ht="17.25" customHeight="1" x14ac:dyDescent="0.2">
      <c r="C561" s="20"/>
      <c r="D561" s="2"/>
      <c r="E561" s="2"/>
      <c r="F561" s="2"/>
      <c r="G561" s="2"/>
      <c r="H561" s="2"/>
    </row>
    <row r="562" spans="3:8" ht="17.25" customHeight="1" x14ac:dyDescent="0.2">
      <c r="C562" s="20"/>
      <c r="D562" s="2"/>
      <c r="E562" s="2"/>
      <c r="F562" s="2"/>
      <c r="G562" s="2"/>
      <c r="H562" s="2"/>
    </row>
    <row r="563" spans="3:8" ht="17.25" customHeight="1" x14ac:dyDescent="0.2">
      <c r="C563" s="20"/>
      <c r="D563" s="2"/>
      <c r="E563" s="2"/>
      <c r="F563" s="2"/>
      <c r="G563" s="2"/>
      <c r="H563" s="2"/>
    </row>
    <row r="564" spans="3:8" ht="17.25" customHeight="1" x14ac:dyDescent="0.2">
      <c r="C564" s="20"/>
      <c r="D564" s="2"/>
      <c r="E564" s="2"/>
      <c r="F564" s="2"/>
      <c r="G564" s="2"/>
      <c r="H564" s="2"/>
    </row>
    <row r="565" spans="3:8" ht="17.25" customHeight="1" x14ac:dyDescent="0.2">
      <c r="C565" s="20"/>
      <c r="D565" s="2"/>
      <c r="E565" s="2"/>
      <c r="F565" s="2"/>
      <c r="G565" s="2"/>
      <c r="H565" s="2"/>
    </row>
    <row r="566" spans="3:8" ht="17.25" customHeight="1" x14ac:dyDescent="0.2">
      <c r="C566" s="20"/>
      <c r="D566" s="2"/>
      <c r="E566" s="2"/>
      <c r="F566" s="2"/>
      <c r="G566" s="2"/>
      <c r="H566" s="2"/>
    </row>
    <row r="567" spans="3:8" ht="17.25" customHeight="1" x14ac:dyDescent="0.2">
      <c r="C567" s="20"/>
      <c r="D567" s="2"/>
      <c r="E567" s="2"/>
      <c r="F567" s="2"/>
      <c r="G567" s="2"/>
      <c r="H567" s="2"/>
    </row>
    <row r="568" spans="3:8" ht="17.25" customHeight="1" x14ac:dyDescent="0.2">
      <c r="C568" s="20"/>
      <c r="D568" s="2"/>
      <c r="E568" s="2"/>
      <c r="F568" s="2"/>
      <c r="G568" s="2"/>
      <c r="H568" s="2"/>
    </row>
    <row r="569" spans="3:8" ht="17.25" customHeight="1" x14ac:dyDescent="0.2">
      <c r="C569" s="20"/>
      <c r="D569" s="2"/>
      <c r="E569" s="2"/>
      <c r="F569" s="2"/>
      <c r="G569" s="2"/>
      <c r="H569" s="2"/>
    </row>
    <row r="570" spans="3:8" ht="17.25" customHeight="1" x14ac:dyDescent="0.2">
      <c r="C570" s="20"/>
      <c r="D570" s="2"/>
      <c r="E570" s="2"/>
      <c r="F570" s="2"/>
      <c r="G570" s="2"/>
      <c r="H570" s="2"/>
    </row>
    <row r="571" spans="3:8" ht="17.25" customHeight="1" x14ac:dyDescent="0.2">
      <c r="C571" s="20"/>
      <c r="D571" s="2"/>
      <c r="E571" s="2"/>
      <c r="F571" s="2"/>
      <c r="G571" s="2"/>
      <c r="H571" s="2"/>
    </row>
    <row r="572" spans="3:8" ht="17.25" customHeight="1" x14ac:dyDescent="0.2">
      <c r="C572" s="20"/>
      <c r="D572" s="2"/>
      <c r="E572" s="2"/>
      <c r="F572" s="2"/>
      <c r="G572" s="2"/>
      <c r="H572" s="2"/>
    </row>
    <row r="573" spans="3:8" ht="17.25" customHeight="1" x14ac:dyDescent="0.2">
      <c r="C573" s="20"/>
      <c r="D573" s="2"/>
      <c r="E573" s="2"/>
      <c r="F573" s="2"/>
      <c r="G573" s="2"/>
      <c r="H573" s="2"/>
    </row>
    <row r="574" spans="3:8" ht="17.25" customHeight="1" x14ac:dyDescent="0.2">
      <c r="C574" s="20"/>
      <c r="D574" s="2"/>
      <c r="E574" s="2"/>
      <c r="F574" s="2"/>
      <c r="G574" s="2"/>
      <c r="H574" s="2"/>
    </row>
    <row r="575" spans="3:8" ht="17.25" customHeight="1" x14ac:dyDescent="0.2">
      <c r="C575" s="20"/>
      <c r="D575" s="2"/>
      <c r="E575" s="2"/>
      <c r="F575" s="2"/>
      <c r="G575" s="2"/>
      <c r="H575" s="2"/>
    </row>
    <row r="576" spans="3:8" ht="17.25" customHeight="1" x14ac:dyDescent="0.2">
      <c r="C576" s="20"/>
      <c r="D576" s="2"/>
      <c r="E576" s="2"/>
      <c r="F576" s="2"/>
      <c r="G576" s="2"/>
      <c r="H576" s="2"/>
    </row>
    <row r="577" spans="3:8" ht="17.25" customHeight="1" x14ac:dyDescent="0.2">
      <c r="C577" s="20"/>
      <c r="D577" s="2"/>
      <c r="E577" s="2"/>
      <c r="F577" s="2"/>
      <c r="G577" s="2"/>
      <c r="H577" s="2"/>
    </row>
    <row r="578" spans="3:8" ht="17.25" customHeight="1" x14ac:dyDescent="0.2">
      <c r="C578" s="20"/>
      <c r="D578" s="2"/>
      <c r="E578" s="2"/>
      <c r="F578" s="2"/>
      <c r="G578" s="2"/>
      <c r="H578" s="2"/>
    </row>
    <row r="579" spans="3:8" ht="17.25" customHeight="1" x14ac:dyDescent="0.2">
      <c r="C579" s="20"/>
      <c r="D579" s="2"/>
      <c r="E579" s="2"/>
      <c r="F579" s="2"/>
      <c r="G579" s="2"/>
      <c r="H579" s="2"/>
    </row>
    <row r="580" spans="3:8" ht="17.25" customHeight="1" x14ac:dyDescent="0.2">
      <c r="C580" s="20"/>
      <c r="D580" s="2"/>
      <c r="E580" s="2"/>
      <c r="F580" s="2"/>
      <c r="G580" s="2"/>
      <c r="H580" s="2"/>
    </row>
    <row r="581" spans="3:8" ht="17.25" customHeight="1" x14ac:dyDescent="0.2">
      <c r="C581" s="20"/>
      <c r="D581" s="2"/>
      <c r="E581" s="2"/>
      <c r="F581" s="2"/>
      <c r="G581" s="2"/>
      <c r="H581" s="2"/>
    </row>
    <row r="582" spans="3:8" ht="17.25" customHeight="1" x14ac:dyDescent="0.2">
      <c r="C582" s="20"/>
      <c r="D582" s="2"/>
      <c r="E582" s="2"/>
      <c r="F582" s="2"/>
      <c r="G582" s="2"/>
      <c r="H582" s="2"/>
    </row>
    <row r="583" spans="3:8" ht="17.25" customHeight="1" x14ac:dyDescent="0.2">
      <c r="C583" s="20"/>
      <c r="D583" s="2"/>
      <c r="E583" s="2"/>
      <c r="F583" s="2"/>
      <c r="G583" s="2"/>
      <c r="H583" s="2"/>
    </row>
    <row r="584" spans="3:8" ht="17.25" customHeight="1" x14ac:dyDescent="0.2">
      <c r="C584" s="20"/>
      <c r="D584" s="2"/>
      <c r="E584" s="2"/>
      <c r="F584" s="2"/>
      <c r="G584" s="2"/>
      <c r="H584" s="2"/>
    </row>
    <row r="585" spans="3:8" ht="17.25" customHeight="1" x14ac:dyDescent="0.2">
      <c r="C585" s="20"/>
      <c r="D585" s="2"/>
      <c r="E585" s="2"/>
      <c r="F585" s="2"/>
      <c r="G585" s="2"/>
      <c r="H585" s="2"/>
    </row>
    <row r="586" spans="3:8" ht="17.25" customHeight="1" x14ac:dyDescent="0.2">
      <c r="C586" s="20"/>
      <c r="D586" s="2"/>
      <c r="E586" s="2"/>
      <c r="F586" s="2"/>
      <c r="G586" s="2"/>
      <c r="H586" s="2"/>
    </row>
    <row r="587" spans="3:8" ht="17.25" customHeight="1" x14ac:dyDescent="0.2">
      <c r="C587" s="20"/>
      <c r="D587" s="2"/>
      <c r="E587" s="2"/>
      <c r="F587" s="2"/>
      <c r="G587" s="2"/>
      <c r="H587" s="2"/>
    </row>
    <row r="588" spans="3:8" ht="17.25" customHeight="1" x14ac:dyDescent="0.2">
      <c r="C588" s="20"/>
      <c r="D588" s="2"/>
      <c r="E588" s="2"/>
      <c r="F588" s="2"/>
      <c r="G588" s="2"/>
      <c r="H588" s="2"/>
    </row>
    <row r="589" spans="3:8" ht="17.25" customHeight="1" x14ac:dyDescent="0.2">
      <c r="C589" s="20"/>
      <c r="D589" s="2"/>
      <c r="E589" s="2"/>
      <c r="F589" s="2"/>
      <c r="G589" s="2"/>
      <c r="H589" s="2"/>
    </row>
    <row r="590" spans="3:8" ht="17.25" customHeight="1" x14ac:dyDescent="0.2">
      <c r="C590" s="20"/>
      <c r="D590" s="2"/>
      <c r="E590" s="2"/>
      <c r="F590" s="2"/>
      <c r="G590" s="2"/>
      <c r="H590" s="2"/>
    </row>
    <row r="591" spans="3:8" ht="17.25" customHeight="1" x14ac:dyDescent="0.2">
      <c r="C591" s="20"/>
      <c r="D591" s="2"/>
      <c r="E591" s="2"/>
      <c r="F591" s="2"/>
      <c r="G591" s="2"/>
      <c r="H591" s="2"/>
    </row>
    <row r="592" spans="3:8" ht="17.25" customHeight="1" x14ac:dyDescent="0.2">
      <c r="C592" s="20"/>
      <c r="D592" s="2"/>
      <c r="E592" s="2"/>
      <c r="F592" s="2"/>
      <c r="G592" s="2"/>
      <c r="H592" s="2"/>
    </row>
    <row r="593" spans="3:8" ht="17.25" customHeight="1" x14ac:dyDescent="0.2">
      <c r="C593" s="20"/>
      <c r="D593" s="2"/>
      <c r="E593" s="2"/>
      <c r="F593" s="2"/>
      <c r="G593" s="2"/>
      <c r="H593" s="2"/>
    </row>
    <row r="594" spans="3:8" ht="17.25" customHeight="1" x14ac:dyDescent="0.2">
      <c r="C594" s="20"/>
      <c r="D594" s="2"/>
      <c r="E594" s="2"/>
      <c r="F594" s="2"/>
      <c r="G594" s="2"/>
      <c r="H594" s="2"/>
    </row>
    <row r="595" spans="3:8" ht="17.25" customHeight="1" x14ac:dyDescent="0.2">
      <c r="C595" s="20"/>
      <c r="D595" s="2"/>
      <c r="E595" s="2"/>
      <c r="F595" s="2"/>
      <c r="G595" s="2"/>
      <c r="H595" s="2"/>
    </row>
    <row r="596" spans="3:8" ht="17.25" customHeight="1" x14ac:dyDescent="0.2">
      <c r="C596" s="20"/>
      <c r="D596" s="2"/>
      <c r="E596" s="2"/>
      <c r="F596" s="2"/>
      <c r="G596" s="2"/>
      <c r="H596" s="2"/>
    </row>
    <row r="597" spans="3:8" ht="17.25" customHeight="1" x14ac:dyDescent="0.2">
      <c r="C597" s="20"/>
      <c r="D597" s="2"/>
      <c r="E597" s="2"/>
      <c r="F597" s="2"/>
      <c r="G597" s="2"/>
      <c r="H597" s="2"/>
    </row>
    <row r="598" spans="3:8" ht="17.25" customHeight="1" x14ac:dyDescent="0.2">
      <c r="C598" s="20"/>
      <c r="D598" s="2"/>
      <c r="E598" s="2"/>
      <c r="F598" s="2"/>
      <c r="G598" s="2"/>
      <c r="H598" s="2"/>
    </row>
    <row r="599" spans="3:8" ht="17.25" customHeight="1" x14ac:dyDescent="0.2">
      <c r="C599" s="20"/>
      <c r="D599" s="2"/>
      <c r="E599" s="2"/>
      <c r="F599" s="2"/>
      <c r="G599" s="2"/>
      <c r="H599" s="2"/>
    </row>
    <row r="600" spans="3:8" ht="17.25" customHeight="1" x14ac:dyDescent="0.2">
      <c r="C600" s="20"/>
      <c r="D600" s="2"/>
      <c r="E600" s="2"/>
      <c r="F600" s="2"/>
      <c r="G600" s="2"/>
      <c r="H600" s="2"/>
    </row>
    <row r="601" spans="3:8" ht="17.25" customHeight="1" x14ac:dyDescent="0.2">
      <c r="C601" s="20"/>
      <c r="D601" s="2"/>
      <c r="E601" s="2"/>
      <c r="F601" s="2"/>
      <c r="G601" s="2"/>
      <c r="H601" s="2"/>
    </row>
    <row r="602" spans="3:8" ht="17.25" customHeight="1" x14ac:dyDescent="0.2">
      <c r="C602" s="20"/>
      <c r="D602" s="2"/>
      <c r="E602" s="2"/>
      <c r="F602" s="2"/>
      <c r="G602" s="2"/>
      <c r="H602" s="2"/>
    </row>
    <row r="603" spans="3:8" ht="17.25" customHeight="1" x14ac:dyDescent="0.2">
      <c r="C603" s="20"/>
      <c r="D603" s="2"/>
      <c r="E603" s="2"/>
      <c r="F603" s="2"/>
      <c r="G603" s="2"/>
      <c r="H603" s="2"/>
    </row>
    <row r="604" spans="3:8" ht="17.25" customHeight="1" x14ac:dyDescent="0.2">
      <c r="C604" s="20"/>
      <c r="D604" s="2"/>
      <c r="E604" s="2"/>
      <c r="F604" s="2"/>
      <c r="G604" s="2"/>
      <c r="H604" s="2"/>
    </row>
    <row r="605" spans="3:8" ht="17.25" customHeight="1" x14ac:dyDescent="0.2">
      <c r="C605" s="20"/>
      <c r="D605" s="2"/>
      <c r="E605" s="2"/>
      <c r="F605" s="2"/>
      <c r="G605" s="2"/>
      <c r="H605" s="2"/>
    </row>
    <row r="606" spans="3:8" ht="17.25" customHeight="1" x14ac:dyDescent="0.2">
      <c r="C606" s="20"/>
      <c r="D606" s="2"/>
      <c r="E606" s="2"/>
      <c r="F606" s="2"/>
      <c r="G606" s="2"/>
      <c r="H606" s="2"/>
    </row>
    <row r="607" spans="3:8" ht="17.25" customHeight="1" x14ac:dyDescent="0.2">
      <c r="C607" s="20"/>
      <c r="D607" s="2"/>
      <c r="E607" s="2"/>
      <c r="F607" s="2"/>
      <c r="G607" s="2"/>
      <c r="H607" s="2"/>
    </row>
    <row r="608" spans="3:8" ht="17.25" customHeight="1" x14ac:dyDescent="0.2">
      <c r="C608" s="20"/>
      <c r="D608" s="2"/>
      <c r="E608" s="2"/>
      <c r="F608" s="2"/>
      <c r="G608" s="2"/>
      <c r="H608" s="2"/>
    </row>
    <row r="609" spans="3:8" ht="17.25" customHeight="1" x14ac:dyDescent="0.2">
      <c r="C609" s="20"/>
      <c r="D609" s="2"/>
      <c r="E609" s="2"/>
      <c r="F609" s="2"/>
      <c r="G609" s="2"/>
      <c r="H609" s="2"/>
    </row>
    <row r="610" spans="3:8" ht="17.25" customHeight="1" x14ac:dyDescent="0.2">
      <c r="C610" s="20"/>
      <c r="D610" s="2"/>
      <c r="E610" s="2"/>
      <c r="F610" s="2"/>
      <c r="G610" s="2"/>
      <c r="H610" s="2"/>
    </row>
    <row r="611" spans="3:8" ht="17.25" customHeight="1" x14ac:dyDescent="0.2">
      <c r="C611" s="20"/>
      <c r="D611" s="2"/>
      <c r="E611" s="2"/>
      <c r="F611" s="2"/>
      <c r="G611" s="2"/>
      <c r="H611" s="2"/>
    </row>
    <row r="612" spans="3:8" ht="17.25" customHeight="1" x14ac:dyDescent="0.2">
      <c r="C612" s="20"/>
      <c r="D612" s="2"/>
      <c r="E612" s="2"/>
      <c r="F612" s="2"/>
      <c r="G612" s="2"/>
      <c r="H612" s="2"/>
    </row>
    <row r="613" spans="3:8" ht="17.25" customHeight="1" x14ac:dyDescent="0.2">
      <c r="C613" s="20"/>
      <c r="D613" s="2"/>
      <c r="E613" s="2"/>
      <c r="F613" s="2"/>
      <c r="G613" s="2"/>
      <c r="H613" s="2"/>
    </row>
    <row r="614" spans="3:8" ht="17.25" customHeight="1" x14ac:dyDescent="0.2">
      <c r="C614" s="20"/>
      <c r="D614" s="2"/>
      <c r="E614" s="2"/>
      <c r="F614" s="2"/>
      <c r="G614" s="2"/>
      <c r="H614" s="2"/>
    </row>
    <row r="615" spans="3:8" ht="17.25" customHeight="1" x14ac:dyDescent="0.2">
      <c r="C615" s="20"/>
      <c r="D615" s="2"/>
      <c r="E615" s="2"/>
      <c r="F615" s="2"/>
      <c r="G615" s="2"/>
      <c r="H615" s="2"/>
    </row>
    <row r="616" spans="3:8" ht="17.25" customHeight="1" x14ac:dyDescent="0.2">
      <c r="C616" s="20"/>
      <c r="D616" s="2"/>
      <c r="E616" s="2"/>
      <c r="F616" s="2"/>
      <c r="G616" s="2"/>
      <c r="H616" s="2"/>
    </row>
    <row r="617" spans="3:8" ht="17.25" customHeight="1" x14ac:dyDescent="0.2">
      <c r="C617" s="20"/>
      <c r="D617" s="2"/>
      <c r="E617" s="2"/>
      <c r="F617" s="2"/>
      <c r="G617" s="2"/>
      <c r="H617" s="2"/>
    </row>
    <row r="618" spans="3:8" ht="17.25" customHeight="1" x14ac:dyDescent="0.2">
      <c r="C618" s="20"/>
      <c r="D618" s="2"/>
      <c r="E618" s="2"/>
      <c r="F618" s="2"/>
      <c r="G618" s="2"/>
      <c r="H618" s="2"/>
    </row>
    <row r="619" spans="3:8" ht="17.25" customHeight="1" x14ac:dyDescent="0.2">
      <c r="C619" s="20"/>
      <c r="D619" s="2"/>
      <c r="E619" s="2"/>
      <c r="F619" s="2"/>
      <c r="G619" s="2"/>
      <c r="H619" s="2"/>
    </row>
    <row r="620" spans="3:8" ht="17.25" customHeight="1" x14ac:dyDescent="0.2">
      <c r="C620" s="20"/>
      <c r="D620" s="2"/>
      <c r="E620" s="2"/>
      <c r="F620" s="2"/>
      <c r="G620" s="2"/>
      <c r="H620" s="2"/>
    </row>
    <row r="621" spans="3:8" ht="17.25" customHeight="1" x14ac:dyDescent="0.2">
      <c r="C621" s="20"/>
      <c r="D621" s="2"/>
      <c r="E621" s="2"/>
      <c r="F621" s="2"/>
      <c r="G621" s="2"/>
      <c r="H621" s="2"/>
    </row>
    <row r="622" spans="3:8" ht="17.25" customHeight="1" x14ac:dyDescent="0.2">
      <c r="C622" s="20"/>
      <c r="D622" s="2"/>
      <c r="E622" s="2"/>
      <c r="F622" s="2"/>
      <c r="G622" s="2"/>
      <c r="H622" s="2"/>
    </row>
    <row r="623" spans="3:8" ht="17.25" customHeight="1" x14ac:dyDescent="0.2">
      <c r="C623" s="20"/>
      <c r="D623" s="2"/>
      <c r="E623" s="2"/>
      <c r="F623" s="2"/>
      <c r="G623" s="2"/>
      <c r="H623" s="2"/>
    </row>
    <row r="624" spans="3:8" ht="17.25" customHeight="1" x14ac:dyDescent="0.2">
      <c r="C624" s="20"/>
      <c r="D624" s="2"/>
      <c r="E624" s="2"/>
      <c r="F624" s="2"/>
      <c r="G624" s="2"/>
      <c r="H624" s="2"/>
    </row>
    <row r="625" spans="3:8" ht="17.25" customHeight="1" x14ac:dyDescent="0.2">
      <c r="C625" s="20"/>
      <c r="D625" s="2"/>
      <c r="E625" s="2"/>
      <c r="F625" s="2"/>
      <c r="G625" s="2"/>
      <c r="H625" s="2"/>
    </row>
    <row r="626" spans="3:8" ht="17.25" customHeight="1" x14ac:dyDescent="0.2">
      <c r="C626" s="20"/>
      <c r="D626" s="2"/>
      <c r="E626" s="2"/>
      <c r="F626" s="2"/>
      <c r="G626" s="2"/>
      <c r="H626" s="2"/>
    </row>
    <row r="627" spans="3:8" ht="17.25" customHeight="1" x14ac:dyDescent="0.2">
      <c r="C627" s="20"/>
      <c r="D627" s="2"/>
      <c r="E627" s="2"/>
      <c r="F627" s="2"/>
      <c r="G627" s="2"/>
      <c r="H627" s="2"/>
    </row>
    <row r="628" spans="3:8" ht="17.25" customHeight="1" x14ac:dyDescent="0.2">
      <c r="C628" s="20"/>
      <c r="D628" s="2"/>
      <c r="E628" s="2"/>
      <c r="F628" s="2"/>
      <c r="G628" s="2"/>
      <c r="H628" s="2"/>
    </row>
    <row r="629" spans="3:8" ht="17.25" customHeight="1" x14ac:dyDescent="0.2">
      <c r="C629" s="20"/>
      <c r="D629" s="2"/>
      <c r="E629" s="2"/>
      <c r="F629" s="2"/>
      <c r="G629" s="2"/>
      <c r="H629" s="2"/>
    </row>
    <row r="630" spans="3:8" ht="17.25" customHeight="1" x14ac:dyDescent="0.2">
      <c r="C630" s="20"/>
      <c r="D630" s="2"/>
      <c r="E630" s="2"/>
      <c r="F630" s="2"/>
      <c r="G630" s="2"/>
      <c r="H630" s="2"/>
    </row>
    <row r="631" spans="3:8" ht="17.25" customHeight="1" x14ac:dyDescent="0.2">
      <c r="C631" s="20"/>
      <c r="D631" s="2"/>
      <c r="E631" s="2"/>
      <c r="F631" s="2"/>
      <c r="G631" s="2"/>
      <c r="H631" s="2"/>
    </row>
    <row r="632" spans="3:8" ht="17.25" customHeight="1" x14ac:dyDescent="0.2">
      <c r="C632" s="20"/>
      <c r="D632" s="2"/>
      <c r="E632" s="2"/>
      <c r="F632" s="2"/>
      <c r="G632" s="2"/>
      <c r="H632" s="2"/>
    </row>
    <row r="633" spans="3:8" ht="17.25" customHeight="1" x14ac:dyDescent="0.2">
      <c r="C633" s="20"/>
      <c r="D633" s="2"/>
      <c r="E633" s="2"/>
      <c r="F633" s="2"/>
      <c r="G633" s="2"/>
      <c r="H633" s="2"/>
    </row>
    <row r="634" spans="3:8" ht="17.25" customHeight="1" x14ac:dyDescent="0.2">
      <c r="C634" s="20"/>
      <c r="D634" s="2"/>
      <c r="E634" s="2"/>
      <c r="F634" s="2"/>
      <c r="G634" s="2"/>
      <c r="H634" s="2"/>
    </row>
    <row r="635" spans="3:8" ht="17.25" customHeight="1" x14ac:dyDescent="0.2">
      <c r="C635" s="20"/>
      <c r="D635" s="2"/>
      <c r="E635" s="2"/>
      <c r="F635" s="2"/>
      <c r="G635" s="2"/>
      <c r="H635" s="2"/>
    </row>
    <row r="636" spans="3:8" ht="17.25" customHeight="1" x14ac:dyDescent="0.2">
      <c r="C636" s="20"/>
      <c r="D636" s="2"/>
      <c r="E636" s="2"/>
      <c r="F636" s="2"/>
      <c r="G636" s="2"/>
      <c r="H636" s="2"/>
    </row>
    <row r="637" spans="3:8" ht="17.25" customHeight="1" x14ac:dyDescent="0.2">
      <c r="C637" s="20"/>
      <c r="D637" s="2"/>
      <c r="E637" s="2"/>
      <c r="F637" s="2"/>
      <c r="G637" s="2"/>
      <c r="H637" s="2"/>
    </row>
    <row r="638" spans="3:8" ht="17.25" customHeight="1" x14ac:dyDescent="0.2">
      <c r="C638" s="20"/>
      <c r="D638" s="2"/>
      <c r="E638" s="2"/>
      <c r="F638" s="2"/>
      <c r="G638" s="2"/>
      <c r="H638" s="2"/>
    </row>
    <row r="639" spans="3:8" ht="17.25" customHeight="1" x14ac:dyDescent="0.2">
      <c r="C639" s="20"/>
      <c r="D639" s="2"/>
      <c r="E639" s="2"/>
      <c r="F639" s="2"/>
      <c r="G639" s="2"/>
      <c r="H639" s="2"/>
    </row>
    <row r="640" spans="3:8" ht="17.25" customHeight="1" x14ac:dyDescent="0.2">
      <c r="C640" s="20"/>
      <c r="D640" s="2"/>
      <c r="E640" s="2"/>
      <c r="F640" s="2"/>
      <c r="G640" s="2"/>
      <c r="H640" s="2"/>
    </row>
    <row r="641" spans="3:8" ht="17.25" customHeight="1" x14ac:dyDescent="0.2">
      <c r="C641" s="20"/>
      <c r="D641" s="2"/>
      <c r="E641" s="2"/>
      <c r="F641" s="2"/>
      <c r="G641" s="2"/>
      <c r="H641" s="2"/>
    </row>
    <row r="642" spans="3:8" ht="17.25" customHeight="1" x14ac:dyDescent="0.2">
      <c r="C642" s="20"/>
      <c r="D642" s="2"/>
      <c r="E642" s="2"/>
      <c r="F642" s="2"/>
      <c r="G642" s="2"/>
      <c r="H642" s="2"/>
    </row>
    <row r="643" spans="3:8" ht="17.25" customHeight="1" x14ac:dyDescent="0.2">
      <c r="C643" s="20"/>
      <c r="D643" s="2"/>
      <c r="E643" s="2"/>
      <c r="F643" s="2"/>
      <c r="G643" s="2"/>
      <c r="H643" s="2"/>
    </row>
    <row r="644" spans="3:8" ht="17.25" customHeight="1" x14ac:dyDescent="0.2">
      <c r="C644" s="20"/>
      <c r="D644" s="2"/>
      <c r="E644" s="2"/>
      <c r="F644" s="2"/>
      <c r="G644" s="2"/>
      <c r="H644" s="2"/>
    </row>
    <row r="645" spans="3:8" ht="17.25" customHeight="1" x14ac:dyDescent="0.2">
      <c r="C645" s="20"/>
      <c r="D645" s="2"/>
      <c r="E645" s="2"/>
      <c r="F645" s="2"/>
      <c r="G645" s="2"/>
      <c r="H645" s="2"/>
    </row>
    <row r="646" spans="3:8" ht="17.25" customHeight="1" x14ac:dyDescent="0.2">
      <c r="C646" s="20"/>
      <c r="D646" s="2"/>
      <c r="E646" s="2"/>
      <c r="F646" s="2"/>
      <c r="G646" s="2"/>
      <c r="H646" s="2"/>
    </row>
    <row r="647" spans="3:8" ht="17.25" customHeight="1" x14ac:dyDescent="0.2">
      <c r="C647" s="20"/>
      <c r="D647" s="2"/>
      <c r="E647" s="2"/>
      <c r="F647" s="2"/>
      <c r="G647" s="2"/>
      <c r="H647" s="2"/>
    </row>
    <row r="648" spans="3:8" ht="17.25" customHeight="1" x14ac:dyDescent="0.2">
      <c r="C648" s="20"/>
      <c r="D648" s="2"/>
      <c r="E648" s="2"/>
      <c r="F648" s="2"/>
      <c r="G648" s="2"/>
      <c r="H648" s="2"/>
    </row>
    <row r="649" spans="3:8" ht="17.25" customHeight="1" x14ac:dyDescent="0.2">
      <c r="C649" s="20"/>
      <c r="D649" s="2"/>
      <c r="E649" s="2"/>
      <c r="F649" s="2"/>
      <c r="G649" s="2"/>
      <c r="H649" s="2"/>
    </row>
    <row r="650" spans="3:8" ht="17.25" customHeight="1" x14ac:dyDescent="0.2">
      <c r="C650" s="20"/>
      <c r="D650" s="2"/>
      <c r="E650" s="2"/>
      <c r="F650" s="2"/>
      <c r="G650" s="2"/>
      <c r="H650" s="2"/>
    </row>
    <row r="651" spans="3:8" ht="17.25" customHeight="1" x14ac:dyDescent="0.2">
      <c r="C651" s="20"/>
      <c r="D651" s="2"/>
      <c r="E651" s="2"/>
      <c r="F651" s="2"/>
      <c r="G651" s="2"/>
      <c r="H651" s="2"/>
    </row>
    <row r="652" spans="3:8" ht="17.25" customHeight="1" x14ac:dyDescent="0.2">
      <c r="C652" s="20"/>
      <c r="D652" s="2"/>
      <c r="E652" s="2"/>
      <c r="F652" s="2"/>
      <c r="G652" s="2"/>
      <c r="H652" s="2"/>
    </row>
    <row r="653" spans="3:8" ht="17.25" customHeight="1" x14ac:dyDescent="0.2">
      <c r="C653" s="20"/>
      <c r="D653" s="2"/>
      <c r="E653" s="2"/>
      <c r="F653" s="2"/>
      <c r="G653" s="2"/>
      <c r="H653" s="2"/>
    </row>
    <row r="654" spans="3:8" ht="17.25" customHeight="1" x14ac:dyDescent="0.2">
      <c r="C654" s="20"/>
      <c r="D654" s="2"/>
      <c r="E654" s="2"/>
      <c r="F654" s="2"/>
      <c r="G654" s="2"/>
      <c r="H654" s="2"/>
    </row>
    <row r="655" spans="3:8" ht="17.25" customHeight="1" x14ac:dyDescent="0.2">
      <c r="C655" s="20"/>
      <c r="D655" s="2"/>
      <c r="E655" s="2"/>
      <c r="F655" s="2"/>
      <c r="G655" s="2"/>
      <c r="H655" s="2"/>
    </row>
    <row r="656" spans="3:8" ht="17.25" customHeight="1" x14ac:dyDescent="0.2">
      <c r="C656" s="20"/>
      <c r="D656" s="2"/>
      <c r="E656" s="2"/>
      <c r="F656" s="2"/>
      <c r="G656" s="2"/>
      <c r="H656" s="2"/>
    </row>
    <row r="657" spans="3:8" ht="17.25" customHeight="1" x14ac:dyDescent="0.2">
      <c r="C657" s="20"/>
      <c r="D657" s="2"/>
      <c r="E657" s="2"/>
      <c r="F657" s="2"/>
      <c r="G657" s="2"/>
      <c r="H657" s="2"/>
    </row>
    <row r="658" spans="3:8" ht="17.25" customHeight="1" x14ac:dyDescent="0.2">
      <c r="C658" s="20"/>
      <c r="D658" s="2"/>
      <c r="E658" s="2"/>
      <c r="F658" s="2"/>
      <c r="G658" s="2"/>
      <c r="H658" s="2"/>
    </row>
    <row r="659" spans="3:8" ht="17.25" customHeight="1" x14ac:dyDescent="0.2">
      <c r="C659" s="20"/>
      <c r="D659" s="2"/>
      <c r="E659" s="2"/>
      <c r="F659" s="2"/>
      <c r="G659" s="2"/>
      <c r="H659" s="2"/>
    </row>
    <row r="660" spans="3:8" ht="17.25" customHeight="1" x14ac:dyDescent="0.2">
      <c r="C660" s="20"/>
      <c r="D660" s="2"/>
      <c r="E660" s="2"/>
      <c r="F660" s="2"/>
      <c r="G660" s="2"/>
      <c r="H660" s="2"/>
    </row>
    <row r="661" spans="3:8" ht="17.25" customHeight="1" x14ac:dyDescent="0.2">
      <c r="C661" s="20"/>
      <c r="D661" s="2"/>
      <c r="E661" s="2"/>
      <c r="F661" s="2"/>
      <c r="G661" s="2"/>
      <c r="H661" s="2"/>
    </row>
    <row r="662" spans="3:8" ht="17.25" customHeight="1" x14ac:dyDescent="0.2">
      <c r="C662" s="20"/>
      <c r="D662" s="2"/>
      <c r="E662" s="2"/>
      <c r="F662" s="2"/>
      <c r="G662" s="2"/>
      <c r="H662" s="2"/>
    </row>
    <row r="663" spans="3:8" ht="17.25" customHeight="1" x14ac:dyDescent="0.2">
      <c r="C663" s="20"/>
      <c r="D663" s="2"/>
      <c r="E663" s="2"/>
      <c r="F663" s="2"/>
      <c r="G663" s="2"/>
      <c r="H663" s="2"/>
    </row>
    <row r="664" spans="3:8" ht="17.25" customHeight="1" x14ac:dyDescent="0.2">
      <c r="C664" s="20"/>
      <c r="D664" s="2"/>
      <c r="E664" s="2"/>
      <c r="F664" s="2"/>
      <c r="G664" s="2"/>
      <c r="H664" s="2"/>
    </row>
    <row r="665" spans="3:8" ht="17.25" customHeight="1" x14ac:dyDescent="0.2">
      <c r="C665" s="20"/>
      <c r="D665" s="2"/>
      <c r="E665" s="2"/>
      <c r="F665" s="2"/>
      <c r="G665" s="2"/>
      <c r="H665" s="2"/>
    </row>
    <row r="666" spans="3:8" ht="17.25" customHeight="1" x14ac:dyDescent="0.2">
      <c r="C666" s="20"/>
      <c r="D666" s="2"/>
      <c r="E666" s="2"/>
      <c r="F666" s="2"/>
      <c r="G666" s="2"/>
      <c r="H666" s="2"/>
    </row>
    <row r="667" spans="3:8" ht="17.25" customHeight="1" x14ac:dyDescent="0.2">
      <c r="C667" s="20"/>
      <c r="D667" s="2"/>
      <c r="E667" s="2"/>
      <c r="F667" s="2"/>
      <c r="G667" s="2"/>
      <c r="H667" s="2"/>
    </row>
    <row r="668" spans="3:8" ht="17.25" customHeight="1" x14ac:dyDescent="0.2">
      <c r="C668" s="20"/>
      <c r="D668" s="2"/>
      <c r="E668" s="2"/>
      <c r="F668" s="2"/>
      <c r="G668" s="2"/>
      <c r="H668" s="2"/>
    </row>
    <row r="669" spans="3:8" ht="17.25" customHeight="1" x14ac:dyDescent="0.2">
      <c r="C669" s="20"/>
      <c r="D669" s="2"/>
      <c r="E669" s="2"/>
      <c r="F669" s="2"/>
      <c r="G669" s="2"/>
      <c r="H669" s="2"/>
    </row>
    <row r="670" spans="3:8" ht="17.25" customHeight="1" x14ac:dyDescent="0.2">
      <c r="C670" s="20"/>
      <c r="D670" s="2"/>
      <c r="E670" s="2"/>
      <c r="F670" s="2"/>
      <c r="G670" s="2"/>
      <c r="H670" s="2"/>
    </row>
    <row r="671" spans="3:8" ht="17.25" customHeight="1" x14ac:dyDescent="0.2">
      <c r="C671" s="20"/>
      <c r="D671" s="2"/>
      <c r="E671" s="2"/>
      <c r="F671" s="2"/>
      <c r="G671" s="2"/>
      <c r="H671" s="2"/>
    </row>
    <row r="672" spans="3:8" ht="17.25" customHeight="1" x14ac:dyDescent="0.2">
      <c r="C672" s="20"/>
      <c r="D672" s="2"/>
      <c r="E672" s="2"/>
      <c r="F672" s="2"/>
      <c r="G672" s="2"/>
      <c r="H672" s="2"/>
    </row>
    <row r="673" spans="3:8" ht="17.25" customHeight="1" x14ac:dyDescent="0.2">
      <c r="C673" s="20"/>
      <c r="D673" s="2"/>
      <c r="E673" s="2"/>
      <c r="F673" s="2"/>
      <c r="G673" s="2"/>
      <c r="H673" s="2"/>
    </row>
    <row r="674" spans="3:8" ht="17.25" customHeight="1" x14ac:dyDescent="0.2">
      <c r="C674" s="20"/>
      <c r="D674" s="2"/>
      <c r="E674" s="2"/>
      <c r="F674" s="2"/>
      <c r="G674" s="2"/>
      <c r="H674" s="2"/>
    </row>
    <row r="675" spans="3:8" ht="17.25" customHeight="1" x14ac:dyDescent="0.2">
      <c r="C675" s="20"/>
      <c r="D675" s="2"/>
      <c r="E675" s="2"/>
      <c r="F675" s="2"/>
      <c r="G675" s="2"/>
      <c r="H675" s="2"/>
    </row>
    <row r="676" spans="3:8" ht="17.25" customHeight="1" x14ac:dyDescent="0.2">
      <c r="C676" s="20"/>
      <c r="D676" s="2"/>
      <c r="E676" s="2"/>
      <c r="F676" s="2"/>
      <c r="G676" s="2"/>
      <c r="H676" s="2"/>
    </row>
    <row r="677" spans="3:8" ht="17.25" customHeight="1" x14ac:dyDescent="0.2">
      <c r="C677" s="20"/>
      <c r="D677" s="2"/>
      <c r="E677" s="2"/>
      <c r="F677" s="2"/>
      <c r="G677" s="2"/>
      <c r="H677" s="2"/>
    </row>
    <row r="678" spans="3:8" ht="17.25" customHeight="1" x14ac:dyDescent="0.2">
      <c r="C678" s="20"/>
      <c r="D678" s="2"/>
      <c r="E678" s="2"/>
      <c r="F678" s="2"/>
      <c r="G678" s="2"/>
      <c r="H678" s="2"/>
    </row>
    <row r="679" spans="3:8" ht="17.25" customHeight="1" x14ac:dyDescent="0.2">
      <c r="C679" s="20"/>
      <c r="D679" s="2"/>
      <c r="E679" s="2"/>
      <c r="F679" s="2"/>
      <c r="G679" s="2"/>
      <c r="H679" s="2"/>
    </row>
    <row r="680" spans="3:8" ht="17.25" customHeight="1" x14ac:dyDescent="0.2">
      <c r="C680" s="20"/>
      <c r="D680" s="2"/>
      <c r="E680" s="2"/>
      <c r="F680" s="2"/>
      <c r="G680" s="2"/>
      <c r="H680" s="2"/>
    </row>
    <row r="681" spans="3:8" ht="17.25" customHeight="1" x14ac:dyDescent="0.2">
      <c r="C681" s="20"/>
      <c r="D681" s="2"/>
      <c r="E681" s="2"/>
      <c r="F681" s="2"/>
      <c r="G681" s="2"/>
      <c r="H681" s="2"/>
    </row>
    <row r="682" spans="3:8" ht="17.25" customHeight="1" x14ac:dyDescent="0.2">
      <c r="C682" s="20"/>
      <c r="D682" s="2"/>
      <c r="E682" s="2"/>
      <c r="F682" s="2"/>
      <c r="G682" s="2"/>
      <c r="H682" s="2"/>
    </row>
    <row r="683" spans="3:8" ht="17.25" customHeight="1" x14ac:dyDescent="0.2">
      <c r="C683" s="20"/>
      <c r="D683" s="2"/>
      <c r="E683" s="2"/>
      <c r="F683" s="2"/>
      <c r="G683" s="2"/>
      <c r="H683" s="2"/>
    </row>
    <row r="684" spans="3:8" ht="17.25" customHeight="1" x14ac:dyDescent="0.2">
      <c r="C684" s="20"/>
      <c r="D684" s="2"/>
      <c r="E684" s="2"/>
      <c r="F684" s="2"/>
      <c r="G684" s="2"/>
      <c r="H684" s="2"/>
    </row>
    <row r="685" spans="3:8" ht="17.25" customHeight="1" x14ac:dyDescent="0.2">
      <c r="C685" s="20"/>
      <c r="D685" s="2"/>
      <c r="E685" s="2"/>
      <c r="F685" s="2"/>
      <c r="G685" s="2"/>
      <c r="H685" s="2"/>
    </row>
    <row r="686" spans="3:8" ht="17.25" customHeight="1" x14ac:dyDescent="0.2">
      <c r="C686" s="20"/>
      <c r="D686" s="2"/>
      <c r="E686" s="2"/>
      <c r="F686" s="2"/>
      <c r="G686" s="2"/>
      <c r="H686" s="2"/>
    </row>
    <row r="687" spans="3:8" ht="17.25" customHeight="1" x14ac:dyDescent="0.2">
      <c r="C687" s="20"/>
      <c r="D687" s="2"/>
      <c r="E687" s="2"/>
      <c r="F687" s="2"/>
      <c r="G687" s="2"/>
      <c r="H687" s="2"/>
    </row>
    <row r="688" spans="3:8" ht="17.25" customHeight="1" x14ac:dyDescent="0.2">
      <c r="C688" s="20"/>
      <c r="D688" s="2"/>
      <c r="E688" s="2"/>
      <c r="F688" s="2"/>
      <c r="G688" s="2"/>
      <c r="H688" s="2"/>
    </row>
    <row r="689" spans="3:8" ht="17.25" customHeight="1" x14ac:dyDescent="0.2">
      <c r="C689" s="20"/>
      <c r="D689" s="2"/>
      <c r="E689" s="2"/>
      <c r="F689" s="2"/>
      <c r="G689" s="2"/>
      <c r="H689" s="2"/>
    </row>
    <row r="690" spans="3:8" ht="17.25" customHeight="1" x14ac:dyDescent="0.2">
      <c r="C690" s="20"/>
      <c r="D690" s="2"/>
      <c r="E690" s="2"/>
      <c r="F690" s="2"/>
      <c r="G690" s="2"/>
      <c r="H690" s="2"/>
    </row>
    <row r="691" spans="3:8" ht="17.25" customHeight="1" x14ac:dyDescent="0.2">
      <c r="C691" s="20"/>
      <c r="D691" s="2"/>
      <c r="E691" s="2"/>
      <c r="F691" s="2"/>
      <c r="G691" s="2"/>
      <c r="H691" s="2"/>
    </row>
    <row r="692" spans="3:8" ht="17.25" customHeight="1" x14ac:dyDescent="0.2">
      <c r="C692" s="20"/>
      <c r="D692" s="2"/>
      <c r="E692" s="2"/>
      <c r="F692" s="2"/>
      <c r="G692" s="2"/>
      <c r="H692" s="2"/>
    </row>
    <row r="693" spans="3:8" ht="17.25" customHeight="1" x14ac:dyDescent="0.2">
      <c r="C693" s="20"/>
      <c r="D693" s="2"/>
      <c r="E693" s="2"/>
      <c r="F693" s="2"/>
      <c r="G693" s="2"/>
      <c r="H693" s="2"/>
    </row>
    <row r="694" spans="3:8" ht="17.25" customHeight="1" x14ac:dyDescent="0.2">
      <c r="C694" s="20"/>
      <c r="D694" s="2"/>
      <c r="E694" s="2"/>
      <c r="F694" s="2"/>
      <c r="G694" s="2"/>
      <c r="H694" s="2"/>
    </row>
    <row r="695" spans="3:8" ht="17.25" customHeight="1" x14ac:dyDescent="0.2">
      <c r="C695" s="20"/>
      <c r="D695" s="2"/>
      <c r="E695" s="2"/>
      <c r="F695" s="2"/>
      <c r="G695" s="2"/>
      <c r="H695" s="2"/>
    </row>
    <row r="696" spans="3:8" ht="17.25" customHeight="1" x14ac:dyDescent="0.2">
      <c r="C696" s="20"/>
      <c r="D696" s="2"/>
      <c r="E696" s="2"/>
      <c r="F696" s="2"/>
      <c r="G696" s="2"/>
      <c r="H696" s="2"/>
    </row>
    <row r="697" spans="3:8" ht="17.25" customHeight="1" x14ac:dyDescent="0.2">
      <c r="C697" s="20"/>
      <c r="D697" s="2"/>
      <c r="E697" s="2"/>
      <c r="F697" s="2"/>
      <c r="G697" s="2"/>
      <c r="H697" s="2"/>
    </row>
    <row r="698" spans="3:8" ht="17.25" customHeight="1" x14ac:dyDescent="0.2">
      <c r="C698" s="20"/>
      <c r="D698" s="2"/>
      <c r="E698" s="2"/>
      <c r="F698" s="2"/>
      <c r="G698" s="2"/>
      <c r="H698" s="2"/>
    </row>
    <row r="699" spans="3:8" ht="17.25" customHeight="1" x14ac:dyDescent="0.2">
      <c r="C699" s="20"/>
      <c r="D699" s="2"/>
      <c r="E699" s="2"/>
      <c r="F699" s="2"/>
      <c r="G699" s="2"/>
      <c r="H699" s="2"/>
    </row>
    <row r="700" spans="3:8" ht="17.25" customHeight="1" x14ac:dyDescent="0.2">
      <c r="C700" s="20"/>
      <c r="D700" s="2"/>
      <c r="E700" s="2"/>
      <c r="F700" s="2"/>
      <c r="G700" s="2"/>
      <c r="H700" s="2"/>
    </row>
    <row r="701" spans="3:8" ht="17.25" customHeight="1" x14ac:dyDescent="0.2">
      <c r="C701" s="20"/>
      <c r="D701" s="2"/>
      <c r="E701" s="2"/>
      <c r="F701" s="2"/>
      <c r="G701" s="2"/>
      <c r="H701" s="2"/>
    </row>
    <row r="702" spans="3:8" ht="17.25" customHeight="1" x14ac:dyDescent="0.2">
      <c r="C702" s="20"/>
      <c r="D702" s="2"/>
      <c r="E702" s="2"/>
      <c r="F702" s="2"/>
      <c r="G702" s="2"/>
      <c r="H702" s="2"/>
    </row>
    <row r="703" spans="3:8" ht="17.25" customHeight="1" x14ac:dyDescent="0.2">
      <c r="C703" s="20"/>
      <c r="D703" s="2"/>
      <c r="E703" s="2"/>
      <c r="F703" s="2"/>
      <c r="G703" s="2"/>
      <c r="H703" s="2"/>
    </row>
    <row r="704" spans="3:8" ht="17.25" customHeight="1" x14ac:dyDescent="0.2">
      <c r="C704" s="20"/>
      <c r="D704" s="2"/>
      <c r="E704" s="2"/>
      <c r="F704" s="2"/>
      <c r="G704" s="2"/>
      <c r="H704" s="2"/>
    </row>
    <row r="705" spans="3:8" ht="17.25" customHeight="1" x14ac:dyDescent="0.2">
      <c r="C705" s="20"/>
      <c r="D705" s="2"/>
      <c r="E705" s="2"/>
      <c r="F705" s="2"/>
      <c r="G705" s="2"/>
      <c r="H705" s="2"/>
    </row>
    <row r="706" spans="3:8" ht="17.25" customHeight="1" x14ac:dyDescent="0.2">
      <c r="C706" s="20"/>
      <c r="D706" s="2"/>
      <c r="E706" s="2"/>
      <c r="F706" s="2"/>
      <c r="G706" s="2"/>
      <c r="H706" s="2"/>
    </row>
    <row r="707" spans="3:8" ht="17.25" customHeight="1" x14ac:dyDescent="0.2">
      <c r="C707" s="20"/>
      <c r="D707" s="2"/>
      <c r="E707" s="2"/>
      <c r="F707" s="2"/>
      <c r="G707" s="2"/>
      <c r="H707" s="2"/>
    </row>
    <row r="708" spans="3:8" ht="17.25" customHeight="1" x14ac:dyDescent="0.2">
      <c r="C708" s="20"/>
      <c r="D708" s="2"/>
      <c r="E708" s="2"/>
      <c r="F708" s="2"/>
      <c r="G708" s="2"/>
      <c r="H708" s="2"/>
    </row>
    <row r="709" spans="3:8" ht="17.25" customHeight="1" x14ac:dyDescent="0.2">
      <c r="C709" s="20"/>
      <c r="D709" s="2"/>
      <c r="E709" s="2"/>
      <c r="F709" s="2"/>
      <c r="G709" s="2"/>
      <c r="H709" s="2"/>
    </row>
    <row r="710" spans="3:8" ht="17.25" customHeight="1" x14ac:dyDescent="0.2">
      <c r="C710" s="20"/>
      <c r="D710" s="2"/>
      <c r="E710" s="2"/>
      <c r="F710" s="2"/>
      <c r="G710" s="2"/>
      <c r="H710" s="2"/>
    </row>
    <row r="711" spans="3:8" ht="17.25" customHeight="1" x14ac:dyDescent="0.2">
      <c r="C711" s="20"/>
      <c r="D711" s="2"/>
      <c r="E711" s="2"/>
      <c r="F711" s="2"/>
      <c r="G711" s="2"/>
      <c r="H711" s="2"/>
    </row>
    <row r="712" spans="3:8" ht="17.25" customHeight="1" x14ac:dyDescent="0.2">
      <c r="C712" s="20"/>
      <c r="D712" s="2"/>
      <c r="E712" s="2"/>
      <c r="F712" s="2"/>
      <c r="G712" s="2"/>
      <c r="H712" s="2"/>
    </row>
    <row r="713" spans="3:8" ht="17.25" customHeight="1" x14ac:dyDescent="0.2">
      <c r="C713" s="20"/>
      <c r="D713" s="2"/>
      <c r="E713" s="2"/>
      <c r="F713" s="2"/>
      <c r="G713" s="2"/>
      <c r="H713" s="2"/>
    </row>
    <row r="714" spans="3:8" ht="17.25" customHeight="1" x14ac:dyDescent="0.2">
      <c r="C714" s="20"/>
      <c r="D714" s="2"/>
      <c r="E714" s="2"/>
      <c r="F714" s="2"/>
      <c r="G714" s="2"/>
      <c r="H714" s="2"/>
    </row>
    <row r="715" spans="3:8" ht="17.25" customHeight="1" x14ac:dyDescent="0.2">
      <c r="C715" s="20"/>
      <c r="D715" s="2"/>
      <c r="E715" s="2"/>
      <c r="F715" s="2"/>
      <c r="G715" s="2"/>
      <c r="H715" s="2"/>
    </row>
    <row r="716" spans="3:8" ht="17.25" customHeight="1" x14ac:dyDescent="0.2">
      <c r="C716" s="20"/>
      <c r="D716" s="2"/>
      <c r="E716" s="2"/>
      <c r="F716" s="2"/>
      <c r="G716" s="2"/>
      <c r="H716" s="2"/>
    </row>
    <row r="717" spans="3:8" ht="17.25" customHeight="1" x14ac:dyDescent="0.2">
      <c r="C717" s="20"/>
      <c r="D717" s="2"/>
      <c r="E717" s="2"/>
      <c r="F717" s="2"/>
      <c r="G717" s="2"/>
      <c r="H717" s="2"/>
    </row>
    <row r="718" spans="3:8" ht="17.25" customHeight="1" x14ac:dyDescent="0.2">
      <c r="C718" s="20"/>
      <c r="D718" s="2"/>
      <c r="E718" s="2"/>
      <c r="F718" s="2"/>
      <c r="G718" s="2"/>
      <c r="H718" s="2"/>
    </row>
    <row r="719" spans="3:8" ht="17.25" customHeight="1" x14ac:dyDescent="0.2">
      <c r="C719" s="20"/>
      <c r="D719" s="2"/>
      <c r="E719" s="2"/>
      <c r="F719" s="2"/>
      <c r="G719" s="2"/>
      <c r="H719" s="2"/>
    </row>
    <row r="720" spans="3:8" ht="17.25" customHeight="1" x14ac:dyDescent="0.2">
      <c r="C720" s="20"/>
      <c r="D720" s="2"/>
      <c r="E720" s="2"/>
      <c r="F720" s="2"/>
      <c r="G720" s="2"/>
      <c r="H720" s="2"/>
    </row>
    <row r="721" spans="3:8" ht="17.25" customHeight="1" x14ac:dyDescent="0.2">
      <c r="C721" s="20"/>
      <c r="D721" s="2"/>
      <c r="E721" s="2"/>
      <c r="F721" s="2"/>
      <c r="G721" s="2"/>
      <c r="H721" s="2"/>
    </row>
    <row r="722" spans="3:8" ht="17.25" customHeight="1" x14ac:dyDescent="0.2">
      <c r="C722" s="20"/>
      <c r="D722" s="2"/>
      <c r="E722" s="2"/>
      <c r="F722" s="2"/>
      <c r="G722" s="2"/>
      <c r="H722" s="2"/>
    </row>
    <row r="723" spans="3:8" ht="17.25" customHeight="1" x14ac:dyDescent="0.2">
      <c r="C723" s="20"/>
      <c r="D723" s="2"/>
      <c r="E723" s="2"/>
      <c r="F723" s="2"/>
      <c r="G723" s="2"/>
      <c r="H723" s="2"/>
    </row>
    <row r="724" spans="3:8" ht="17.25" customHeight="1" x14ac:dyDescent="0.2">
      <c r="C724" s="20"/>
      <c r="D724" s="2"/>
      <c r="E724" s="2"/>
      <c r="F724" s="2"/>
      <c r="G724" s="2"/>
      <c r="H724" s="2"/>
    </row>
    <row r="725" spans="3:8" ht="17.25" customHeight="1" x14ac:dyDescent="0.2">
      <c r="C725" s="20"/>
      <c r="D725" s="2"/>
      <c r="E725" s="2"/>
      <c r="F725" s="2"/>
      <c r="G725" s="2"/>
      <c r="H725" s="2"/>
    </row>
    <row r="726" spans="3:8" ht="17.25" customHeight="1" x14ac:dyDescent="0.2">
      <c r="C726" s="20"/>
      <c r="D726" s="2"/>
      <c r="E726" s="2"/>
      <c r="F726" s="2"/>
      <c r="G726" s="2"/>
      <c r="H726" s="2"/>
    </row>
    <row r="727" spans="3:8" ht="17.25" customHeight="1" x14ac:dyDescent="0.2">
      <c r="C727" s="20"/>
      <c r="D727" s="2"/>
      <c r="E727" s="2"/>
      <c r="F727" s="2"/>
      <c r="G727" s="2"/>
      <c r="H727" s="2"/>
    </row>
    <row r="728" spans="3:8" ht="17.25" customHeight="1" x14ac:dyDescent="0.2">
      <c r="C728" s="20"/>
      <c r="D728" s="2"/>
      <c r="E728" s="2"/>
      <c r="F728" s="2"/>
      <c r="G728" s="2"/>
      <c r="H728" s="2"/>
    </row>
    <row r="729" spans="3:8" ht="17.25" customHeight="1" x14ac:dyDescent="0.2">
      <c r="C729" s="20"/>
      <c r="D729" s="2"/>
      <c r="E729" s="2"/>
      <c r="F729" s="2"/>
      <c r="G729" s="2"/>
      <c r="H729" s="2"/>
    </row>
    <row r="730" spans="3:8" ht="17.25" customHeight="1" x14ac:dyDescent="0.2">
      <c r="C730" s="20"/>
      <c r="D730" s="2"/>
      <c r="E730" s="2"/>
      <c r="F730" s="2"/>
      <c r="G730" s="2"/>
      <c r="H730" s="2"/>
    </row>
    <row r="731" spans="3:8" ht="17.25" customHeight="1" x14ac:dyDescent="0.2">
      <c r="C731" s="20"/>
      <c r="D731" s="2"/>
      <c r="E731" s="2"/>
      <c r="F731" s="2"/>
      <c r="G731" s="2"/>
      <c r="H731" s="2"/>
    </row>
    <row r="732" spans="3:8" ht="17.25" customHeight="1" x14ac:dyDescent="0.2">
      <c r="C732" s="20"/>
      <c r="D732" s="2"/>
      <c r="E732" s="2"/>
      <c r="F732" s="2"/>
      <c r="G732" s="2"/>
      <c r="H732" s="2"/>
    </row>
    <row r="733" spans="3:8" ht="17.25" customHeight="1" x14ac:dyDescent="0.2">
      <c r="C733" s="20"/>
      <c r="D733" s="2"/>
      <c r="E733" s="2"/>
      <c r="F733" s="2"/>
      <c r="G733" s="2"/>
      <c r="H733" s="2"/>
    </row>
    <row r="734" spans="3:8" ht="17.25" customHeight="1" x14ac:dyDescent="0.2">
      <c r="C734" s="20"/>
      <c r="D734" s="2"/>
      <c r="E734" s="2"/>
      <c r="F734" s="2"/>
      <c r="G734" s="2"/>
      <c r="H734" s="2"/>
    </row>
    <row r="735" spans="3:8" ht="17.25" customHeight="1" x14ac:dyDescent="0.2">
      <c r="C735" s="20"/>
      <c r="D735" s="2"/>
      <c r="E735" s="2"/>
      <c r="F735" s="2"/>
      <c r="G735" s="2"/>
      <c r="H735" s="2"/>
    </row>
    <row r="736" spans="3:8" ht="17.25" customHeight="1" x14ac:dyDescent="0.2">
      <c r="C736" s="20"/>
      <c r="D736" s="2"/>
      <c r="E736" s="2"/>
      <c r="F736" s="2"/>
      <c r="G736" s="2"/>
      <c r="H736" s="2"/>
    </row>
    <row r="737" spans="3:8" ht="17.25" customHeight="1" x14ac:dyDescent="0.2">
      <c r="C737" s="20"/>
      <c r="D737" s="2"/>
      <c r="E737" s="2"/>
      <c r="F737" s="2"/>
      <c r="G737" s="2"/>
      <c r="H737" s="2"/>
    </row>
    <row r="738" spans="3:8" ht="17.25" customHeight="1" x14ac:dyDescent="0.2">
      <c r="C738" s="20"/>
      <c r="D738" s="2"/>
      <c r="E738" s="2"/>
      <c r="F738" s="2"/>
      <c r="G738" s="2"/>
      <c r="H738" s="2"/>
    </row>
    <row r="739" spans="3:8" ht="17.25" customHeight="1" x14ac:dyDescent="0.2">
      <c r="C739" s="20"/>
      <c r="D739" s="2"/>
      <c r="E739" s="2"/>
      <c r="F739" s="2"/>
      <c r="G739" s="2"/>
      <c r="H739" s="2"/>
    </row>
    <row r="740" spans="3:8" ht="17.25" customHeight="1" x14ac:dyDescent="0.2">
      <c r="C740" s="20"/>
      <c r="D740" s="2"/>
      <c r="E740" s="2"/>
      <c r="F740" s="2"/>
      <c r="G740" s="2"/>
      <c r="H740" s="2"/>
    </row>
    <row r="741" spans="3:8" ht="17.25" customHeight="1" x14ac:dyDescent="0.2">
      <c r="C741" s="20"/>
      <c r="D741" s="2"/>
      <c r="E741" s="2"/>
      <c r="F741" s="2"/>
      <c r="G741" s="2"/>
      <c r="H741" s="2"/>
    </row>
    <row r="742" spans="3:8" ht="17.25" customHeight="1" x14ac:dyDescent="0.2">
      <c r="C742" s="20"/>
      <c r="D742" s="2"/>
      <c r="E742" s="2"/>
      <c r="F742" s="2"/>
      <c r="G742" s="2"/>
      <c r="H742" s="2"/>
    </row>
    <row r="743" spans="3:8" ht="17.25" customHeight="1" x14ac:dyDescent="0.2">
      <c r="C743" s="20"/>
      <c r="D743" s="2"/>
      <c r="E743" s="2"/>
      <c r="F743" s="2"/>
      <c r="G743" s="2"/>
      <c r="H743" s="2"/>
    </row>
    <row r="744" spans="3:8" ht="17.25" customHeight="1" x14ac:dyDescent="0.2">
      <c r="C744" s="20"/>
      <c r="D744" s="2"/>
      <c r="E744" s="2"/>
      <c r="F744" s="2"/>
      <c r="G744" s="2"/>
      <c r="H744" s="2"/>
    </row>
    <row r="745" spans="3:8" ht="17.25" customHeight="1" x14ac:dyDescent="0.2">
      <c r="C745" s="20"/>
      <c r="D745" s="2"/>
      <c r="E745" s="2"/>
      <c r="F745" s="2"/>
      <c r="G745" s="2"/>
      <c r="H745" s="2"/>
    </row>
    <row r="746" spans="3:8" ht="17.25" customHeight="1" x14ac:dyDescent="0.2">
      <c r="C746" s="20"/>
      <c r="D746" s="2"/>
      <c r="E746" s="2"/>
      <c r="F746" s="2"/>
      <c r="G746" s="2"/>
      <c r="H746" s="2"/>
    </row>
    <row r="747" spans="3:8" ht="17.25" customHeight="1" x14ac:dyDescent="0.2">
      <c r="C747" s="20"/>
      <c r="D747" s="2"/>
      <c r="E747" s="2"/>
      <c r="F747" s="2"/>
      <c r="G747" s="2"/>
      <c r="H747" s="2"/>
    </row>
    <row r="748" spans="3:8" ht="17.25" customHeight="1" x14ac:dyDescent="0.2">
      <c r="C748" s="20"/>
      <c r="D748" s="2"/>
      <c r="E748" s="2"/>
      <c r="F748" s="2"/>
      <c r="G748" s="2"/>
      <c r="H748" s="2"/>
    </row>
    <row r="749" spans="3:8" ht="17.25" customHeight="1" x14ac:dyDescent="0.2">
      <c r="C749" s="20"/>
      <c r="D749" s="2"/>
      <c r="E749" s="2"/>
      <c r="F749" s="2"/>
      <c r="G749" s="2"/>
      <c r="H749" s="2"/>
    </row>
    <row r="750" spans="3:8" ht="17.25" customHeight="1" x14ac:dyDescent="0.2">
      <c r="C750" s="20"/>
      <c r="D750" s="2"/>
      <c r="E750" s="2"/>
      <c r="F750" s="2"/>
      <c r="G750" s="2"/>
      <c r="H750" s="2"/>
    </row>
    <row r="751" spans="3:8" ht="17.25" customHeight="1" x14ac:dyDescent="0.2">
      <c r="C751" s="20"/>
      <c r="D751" s="2"/>
      <c r="E751" s="2"/>
      <c r="F751" s="2"/>
      <c r="G751" s="2"/>
      <c r="H751" s="2"/>
    </row>
    <row r="752" spans="3:8" ht="17.25" customHeight="1" x14ac:dyDescent="0.2">
      <c r="C752" s="20"/>
      <c r="D752" s="2"/>
      <c r="E752" s="2"/>
      <c r="F752" s="2"/>
      <c r="G752" s="2"/>
      <c r="H752" s="2"/>
    </row>
    <row r="753" spans="3:8" ht="17.25" customHeight="1" x14ac:dyDescent="0.2">
      <c r="C753" s="20"/>
      <c r="D753" s="2"/>
      <c r="E753" s="2"/>
      <c r="F753" s="2"/>
      <c r="G753" s="2"/>
      <c r="H753" s="2"/>
    </row>
    <row r="754" spans="3:8" ht="17.25" customHeight="1" x14ac:dyDescent="0.2">
      <c r="C754" s="20"/>
      <c r="D754" s="2"/>
      <c r="E754" s="2"/>
      <c r="F754" s="2"/>
      <c r="G754" s="2"/>
      <c r="H754" s="2"/>
    </row>
    <row r="755" spans="3:8" ht="17.25" customHeight="1" x14ac:dyDescent="0.2">
      <c r="C755" s="20"/>
      <c r="D755" s="2"/>
      <c r="E755" s="2"/>
      <c r="F755" s="2"/>
      <c r="G755" s="2"/>
      <c r="H755" s="2"/>
    </row>
    <row r="756" spans="3:8" ht="17.25" customHeight="1" x14ac:dyDescent="0.2">
      <c r="C756" s="20"/>
      <c r="D756" s="2"/>
      <c r="E756" s="2"/>
      <c r="F756" s="2"/>
      <c r="G756" s="2"/>
      <c r="H756" s="2"/>
    </row>
    <row r="757" spans="3:8" ht="17.25" customHeight="1" x14ac:dyDescent="0.2">
      <c r="C757" s="20"/>
      <c r="D757" s="2"/>
      <c r="E757" s="2"/>
      <c r="F757" s="2"/>
      <c r="G757" s="2"/>
      <c r="H757" s="2"/>
    </row>
    <row r="758" spans="3:8" ht="17.25" customHeight="1" x14ac:dyDescent="0.2">
      <c r="C758" s="20"/>
      <c r="D758" s="2"/>
      <c r="E758" s="2"/>
      <c r="F758" s="2"/>
      <c r="G758" s="2"/>
      <c r="H758" s="2"/>
    </row>
    <row r="759" spans="3:8" ht="17.25" customHeight="1" x14ac:dyDescent="0.2">
      <c r="C759" s="20"/>
      <c r="D759" s="2"/>
      <c r="E759" s="2"/>
      <c r="F759" s="2"/>
      <c r="G759" s="2"/>
      <c r="H759" s="2"/>
    </row>
    <row r="760" spans="3:8" ht="17.25" customHeight="1" x14ac:dyDescent="0.2">
      <c r="C760" s="20"/>
      <c r="D760" s="2"/>
      <c r="E760" s="2"/>
      <c r="F760" s="2"/>
      <c r="G760" s="2"/>
      <c r="H760" s="2"/>
    </row>
    <row r="761" spans="3:8" ht="17.25" customHeight="1" x14ac:dyDescent="0.2">
      <c r="C761" s="20"/>
      <c r="D761" s="2"/>
      <c r="E761" s="2"/>
      <c r="F761" s="2"/>
      <c r="G761" s="2"/>
      <c r="H761" s="2"/>
    </row>
    <row r="762" spans="3:8" ht="17.25" customHeight="1" x14ac:dyDescent="0.2">
      <c r="C762" s="20"/>
      <c r="D762" s="2"/>
      <c r="E762" s="2"/>
      <c r="F762" s="2"/>
      <c r="G762" s="2"/>
      <c r="H762" s="2"/>
    </row>
    <row r="763" spans="3:8" ht="17.25" customHeight="1" x14ac:dyDescent="0.2">
      <c r="C763" s="20"/>
      <c r="D763" s="2"/>
      <c r="E763" s="2"/>
      <c r="F763" s="2"/>
      <c r="G763" s="2"/>
      <c r="H763" s="2"/>
    </row>
    <row r="764" spans="3:8" ht="17.25" customHeight="1" x14ac:dyDescent="0.2">
      <c r="C764" s="20"/>
      <c r="D764" s="2"/>
      <c r="E764" s="2"/>
      <c r="F764" s="2"/>
      <c r="G764" s="2"/>
      <c r="H764" s="2"/>
    </row>
    <row r="765" spans="3:8" ht="17.25" customHeight="1" x14ac:dyDescent="0.2">
      <c r="C765" s="20"/>
      <c r="D765" s="2"/>
      <c r="E765" s="2"/>
      <c r="F765" s="2"/>
      <c r="G765" s="2"/>
      <c r="H765" s="2"/>
    </row>
    <row r="766" spans="3:8" ht="17.25" customHeight="1" x14ac:dyDescent="0.2">
      <c r="C766" s="20"/>
      <c r="D766" s="2"/>
      <c r="E766" s="2"/>
      <c r="F766" s="2"/>
      <c r="G766" s="2"/>
      <c r="H766" s="2"/>
    </row>
    <row r="767" spans="3:8" ht="17.25" customHeight="1" x14ac:dyDescent="0.2">
      <c r="C767" s="20"/>
      <c r="D767" s="2"/>
      <c r="E767" s="2"/>
      <c r="F767" s="2"/>
      <c r="G767" s="2"/>
      <c r="H767" s="2"/>
    </row>
    <row r="768" spans="3:8" ht="17.25" customHeight="1" x14ac:dyDescent="0.2">
      <c r="C768" s="20"/>
      <c r="D768" s="2"/>
      <c r="E768" s="2"/>
      <c r="F768" s="2"/>
      <c r="G768" s="2"/>
      <c r="H768" s="2"/>
    </row>
    <row r="769" spans="3:8" ht="17.25" customHeight="1" x14ac:dyDescent="0.2">
      <c r="C769" s="20"/>
      <c r="D769" s="2"/>
      <c r="E769" s="2"/>
      <c r="F769" s="2"/>
      <c r="G769" s="2"/>
      <c r="H769" s="2"/>
    </row>
    <row r="770" spans="3:8" ht="17.25" customHeight="1" x14ac:dyDescent="0.2">
      <c r="C770" s="20"/>
      <c r="D770" s="2"/>
      <c r="E770" s="2"/>
      <c r="F770" s="2"/>
      <c r="G770" s="2"/>
      <c r="H770" s="2"/>
    </row>
    <row r="771" spans="3:8" ht="17.25" customHeight="1" x14ac:dyDescent="0.2">
      <c r="C771" s="20"/>
      <c r="D771" s="2"/>
      <c r="E771" s="2"/>
      <c r="F771" s="2"/>
      <c r="G771" s="2"/>
      <c r="H771" s="2"/>
    </row>
    <row r="772" spans="3:8" ht="17.25" customHeight="1" x14ac:dyDescent="0.2">
      <c r="C772" s="20"/>
      <c r="D772" s="2"/>
      <c r="E772" s="2"/>
      <c r="F772" s="2"/>
      <c r="G772" s="2"/>
      <c r="H772" s="2"/>
    </row>
    <row r="773" spans="3:8" ht="17.25" customHeight="1" x14ac:dyDescent="0.2">
      <c r="C773" s="20"/>
      <c r="D773" s="2"/>
      <c r="E773" s="2"/>
      <c r="F773" s="2"/>
      <c r="G773" s="2"/>
      <c r="H773" s="2"/>
    </row>
    <row r="774" spans="3:8" ht="17.25" customHeight="1" x14ac:dyDescent="0.2">
      <c r="C774" s="20"/>
      <c r="D774" s="2"/>
      <c r="E774" s="2"/>
      <c r="F774" s="2"/>
      <c r="G774" s="2"/>
      <c r="H774" s="2"/>
    </row>
    <row r="775" spans="3:8" ht="17.25" customHeight="1" x14ac:dyDescent="0.2">
      <c r="C775" s="20"/>
      <c r="D775" s="2"/>
      <c r="E775" s="2"/>
      <c r="F775" s="2"/>
      <c r="G775" s="2"/>
      <c r="H775" s="2"/>
    </row>
    <row r="776" spans="3:8" ht="17.25" customHeight="1" x14ac:dyDescent="0.2">
      <c r="C776" s="20"/>
      <c r="D776" s="2"/>
      <c r="E776" s="2"/>
      <c r="F776" s="2"/>
      <c r="G776" s="2"/>
      <c r="H776" s="2"/>
    </row>
    <row r="777" spans="3:8" ht="17.25" customHeight="1" x14ac:dyDescent="0.2">
      <c r="C777" s="20"/>
      <c r="D777" s="2"/>
      <c r="E777" s="2"/>
      <c r="F777" s="2"/>
      <c r="G777" s="2"/>
      <c r="H777" s="2"/>
    </row>
    <row r="778" spans="3:8" ht="17.25" customHeight="1" x14ac:dyDescent="0.2">
      <c r="C778" s="20"/>
      <c r="D778" s="2"/>
      <c r="E778" s="2"/>
      <c r="F778" s="2"/>
      <c r="G778" s="2"/>
      <c r="H778" s="2"/>
    </row>
    <row r="779" spans="3:8" ht="17.25" customHeight="1" x14ac:dyDescent="0.2">
      <c r="C779" s="20"/>
      <c r="D779" s="2"/>
      <c r="E779" s="2"/>
      <c r="F779" s="2"/>
      <c r="G779" s="2"/>
      <c r="H779" s="2"/>
    </row>
    <row r="780" spans="3:8" ht="17.25" customHeight="1" x14ac:dyDescent="0.2">
      <c r="C780" s="20"/>
      <c r="D780" s="2"/>
      <c r="E780" s="2"/>
      <c r="F780" s="2"/>
      <c r="G780" s="2"/>
      <c r="H780" s="2"/>
    </row>
    <row r="781" spans="3:8" ht="17.25" customHeight="1" x14ac:dyDescent="0.2">
      <c r="C781" s="20"/>
      <c r="D781" s="2"/>
      <c r="E781" s="2"/>
      <c r="F781" s="2"/>
      <c r="G781" s="2"/>
      <c r="H781" s="2"/>
    </row>
    <row r="782" spans="3:8" ht="17.25" customHeight="1" x14ac:dyDescent="0.2">
      <c r="C782" s="20"/>
      <c r="D782" s="2"/>
      <c r="E782" s="2"/>
      <c r="F782" s="2"/>
      <c r="G782" s="2"/>
      <c r="H782" s="2"/>
    </row>
    <row r="783" spans="3:8" ht="17.25" customHeight="1" x14ac:dyDescent="0.2">
      <c r="C783" s="20"/>
      <c r="D783" s="2"/>
      <c r="E783" s="2"/>
      <c r="F783" s="2"/>
      <c r="G783" s="2"/>
      <c r="H783" s="2"/>
    </row>
    <row r="784" spans="3:8" ht="17.25" customHeight="1" x14ac:dyDescent="0.2">
      <c r="C784" s="20"/>
      <c r="D784" s="2"/>
      <c r="E784" s="2"/>
      <c r="F784" s="2"/>
      <c r="G784" s="2"/>
      <c r="H784" s="2"/>
    </row>
    <row r="785" spans="3:8" ht="17.25" customHeight="1" x14ac:dyDescent="0.2">
      <c r="C785" s="20"/>
      <c r="D785" s="2"/>
      <c r="E785" s="2"/>
      <c r="F785" s="2"/>
      <c r="G785" s="2"/>
      <c r="H785" s="2"/>
    </row>
    <row r="786" spans="3:8" ht="17.25" customHeight="1" x14ac:dyDescent="0.2">
      <c r="C786" s="20"/>
      <c r="D786" s="2"/>
      <c r="E786" s="2"/>
      <c r="F786" s="2"/>
      <c r="G786" s="2"/>
      <c r="H786" s="2"/>
    </row>
    <row r="787" spans="3:8" ht="17.25" customHeight="1" x14ac:dyDescent="0.2">
      <c r="C787" s="20"/>
      <c r="D787" s="2"/>
      <c r="E787" s="2"/>
      <c r="F787" s="2"/>
      <c r="G787" s="2"/>
      <c r="H787" s="2"/>
    </row>
    <row r="788" spans="3:8" ht="17.25" customHeight="1" x14ac:dyDescent="0.2">
      <c r="C788" s="20"/>
      <c r="D788" s="2"/>
      <c r="E788" s="2"/>
      <c r="F788" s="2"/>
      <c r="G788" s="2"/>
      <c r="H788" s="2"/>
    </row>
    <row r="789" spans="3:8" ht="17.25" customHeight="1" x14ac:dyDescent="0.2">
      <c r="C789" s="20"/>
      <c r="D789" s="2"/>
      <c r="E789" s="2"/>
      <c r="F789" s="2"/>
      <c r="G789" s="2"/>
      <c r="H789" s="2"/>
    </row>
    <row r="790" spans="3:8" ht="17.25" customHeight="1" x14ac:dyDescent="0.2">
      <c r="C790" s="20"/>
      <c r="D790" s="2"/>
      <c r="E790" s="2"/>
      <c r="F790" s="2"/>
      <c r="G790" s="2"/>
      <c r="H790" s="2"/>
    </row>
    <row r="791" spans="3:8" ht="17.25" customHeight="1" x14ac:dyDescent="0.2">
      <c r="C791" s="20"/>
      <c r="D791" s="2"/>
      <c r="E791" s="2"/>
      <c r="F791" s="2"/>
      <c r="G791" s="2"/>
      <c r="H791" s="2"/>
    </row>
    <row r="792" spans="3:8" ht="17.25" customHeight="1" x14ac:dyDescent="0.2">
      <c r="C792" s="20"/>
      <c r="D792" s="2"/>
      <c r="E792" s="2"/>
      <c r="F792" s="2"/>
      <c r="G792" s="2"/>
      <c r="H792" s="2"/>
    </row>
    <row r="793" spans="3:8" ht="17.25" customHeight="1" x14ac:dyDescent="0.2">
      <c r="C793" s="20"/>
      <c r="D793" s="2"/>
      <c r="E793" s="2"/>
      <c r="F793" s="2"/>
      <c r="G793" s="2"/>
      <c r="H793" s="2"/>
    </row>
    <row r="794" spans="3:8" ht="17.25" customHeight="1" x14ac:dyDescent="0.2">
      <c r="C794" s="20"/>
      <c r="D794" s="2"/>
      <c r="E794" s="2"/>
      <c r="F794" s="2"/>
      <c r="G794" s="2"/>
      <c r="H794" s="2"/>
    </row>
    <row r="795" spans="3:8" ht="17.25" customHeight="1" x14ac:dyDescent="0.2">
      <c r="C795" s="20"/>
      <c r="D795" s="2"/>
      <c r="E795" s="2"/>
      <c r="F795" s="2"/>
      <c r="G795" s="2"/>
      <c r="H795" s="2"/>
    </row>
    <row r="796" spans="3:8" ht="17.25" customHeight="1" x14ac:dyDescent="0.2">
      <c r="C796" s="20"/>
      <c r="D796" s="2"/>
      <c r="E796" s="2"/>
      <c r="F796" s="2"/>
      <c r="G796" s="2"/>
      <c r="H796" s="2"/>
    </row>
    <row r="797" spans="3:8" ht="17.25" customHeight="1" x14ac:dyDescent="0.2">
      <c r="C797" s="20"/>
      <c r="D797" s="2"/>
      <c r="E797" s="2"/>
      <c r="F797" s="2"/>
      <c r="G797" s="2"/>
      <c r="H797" s="2"/>
    </row>
    <row r="798" spans="3:8" ht="17.25" customHeight="1" x14ac:dyDescent="0.2">
      <c r="C798" s="20"/>
      <c r="D798" s="2"/>
      <c r="E798" s="2"/>
      <c r="F798" s="2"/>
      <c r="G798" s="2"/>
      <c r="H798" s="2"/>
    </row>
    <row r="799" spans="3:8" ht="17.25" customHeight="1" x14ac:dyDescent="0.2">
      <c r="C799" s="20"/>
      <c r="D799" s="2"/>
      <c r="E799" s="2"/>
      <c r="F799" s="2"/>
      <c r="G799" s="2"/>
      <c r="H799" s="2"/>
    </row>
    <row r="800" spans="3:8" ht="17.25" customHeight="1" x14ac:dyDescent="0.2">
      <c r="C800" s="20"/>
      <c r="D800" s="2"/>
      <c r="E800" s="2"/>
      <c r="F800" s="2"/>
      <c r="G800" s="2"/>
      <c r="H800" s="2"/>
    </row>
    <row r="801" spans="3:8" ht="17.25" customHeight="1" x14ac:dyDescent="0.2">
      <c r="C801" s="20"/>
      <c r="D801" s="2"/>
      <c r="E801" s="2"/>
      <c r="F801" s="2"/>
      <c r="G801" s="2"/>
      <c r="H801" s="2"/>
    </row>
    <row r="802" spans="3:8" ht="17.25" customHeight="1" x14ac:dyDescent="0.2">
      <c r="C802" s="20"/>
      <c r="D802" s="2"/>
      <c r="E802" s="2"/>
      <c r="F802" s="2"/>
      <c r="G802" s="2"/>
      <c r="H802" s="2"/>
    </row>
    <row r="803" spans="3:8" ht="17.25" customHeight="1" x14ac:dyDescent="0.2">
      <c r="C803" s="20"/>
      <c r="D803" s="2"/>
      <c r="E803" s="2"/>
      <c r="F803" s="2"/>
      <c r="G803" s="2"/>
      <c r="H803" s="2"/>
    </row>
    <row r="804" spans="3:8" ht="17.25" customHeight="1" x14ac:dyDescent="0.2">
      <c r="C804" s="20"/>
      <c r="D804" s="2"/>
      <c r="E804" s="2"/>
      <c r="F804" s="2"/>
      <c r="G804" s="2"/>
      <c r="H804" s="2"/>
    </row>
    <row r="805" spans="3:8" ht="17.25" customHeight="1" x14ac:dyDescent="0.2">
      <c r="C805" s="20"/>
      <c r="D805" s="2"/>
      <c r="E805" s="2"/>
      <c r="F805" s="2"/>
      <c r="G805" s="2"/>
      <c r="H805" s="2"/>
    </row>
    <row r="806" spans="3:8" ht="17.25" customHeight="1" x14ac:dyDescent="0.2">
      <c r="C806" s="20"/>
      <c r="D806" s="2"/>
      <c r="E806" s="2"/>
      <c r="F806" s="2"/>
      <c r="G806" s="2"/>
      <c r="H806" s="2"/>
    </row>
    <row r="807" spans="3:8" ht="17.25" customHeight="1" x14ac:dyDescent="0.2">
      <c r="C807" s="20"/>
      <c r="D807" s="2"/>
      <c r="E807" s="2"/>
      <c r="F807" s="2"/>
      <c r="G807" s="2"/>
      <c r="H807" s="2"/>
    </row>
    <row r="808" spans="3:8" ht="17.25" customHeight="1" x14ac:dyDescent="0.2">
      <c r="C808" s="20"/>
      <c r="D808" s="2"/>
      <c r="E808" s="2"/>
      <c r="F808" s="2"/>
      <c r="G808" s="2"/>
      <c r="H808" s="2"/>
    </row>
    <row r="809" spans="3:8" ht="17.25" customHeight="1" x14ac:dyDescent="0.2">
      <c r="C809" s="20"/>
      <c r="D809" s="2"/>
      <c r="E809" s="2"/>
      <c r="F809" s="2"/>
      <c r="G809" s="2"/>
      <c r="H809" s="2"/>
    </row>
    <row r="810" spans="3:8" ht="17.25" customHeight="1" x14ac:dyDescent="0.2">
      <c r="C810" s="20"/>
      <c r="D810" s="2"/>
      <c r="E810" s="2"/>
      <c r="F810" s="2"/>
      <c r="G810" s="2"/>
      <c r="H810" s="2"/>
    </row>
    <row r="811" spans="3:8" ht="17.25" customHeight="1" x14ac:dyDescent="0.2">
      <c r="C811" s="20"/>
      <c r="D811" s="2"/>
      <c r="E811" s="2"/>
      <c r="F811" s="2"/>
      <c r="G811" s="2"/>
      <c r="H811" s="2"/>
    </row>
    <row r="812" spans="3:8" ht="17.25" customHeight="1" x14ac:dyDescent="0.2">
      <c r="C812" s="20"/>
      <c r="D812" s="2"/>
      <c r="E812" s="2"/>
      <c r="F812" s="2"/>
      <c r="G812" s="2"/>
      <c r="H812" s="2"/>
    </row>
    <row r="813" spans="3:8" ht="17.25" customHeight="1" x14ac:dyDescent="0.2">
      <c r="C813" s="20"/>
      <c r="D813" s="2"/>
      <c r="E813" s="2"/>
      <c r="F813" s="2"/>
      <c r="G813" s="2"/>
      <c r="H813" s="2"/>
    </row>
    <row r="814" spans="3:8" ht="17.25" customHeight="1" x14ac:dyDescent="0.2">
      <c r="C814" s="20"/>
      <c r="D814" s="2"/>
      <c r="E814" s="2"/>
      <c r="F814" s="2"/>
      <c r="G814" s="2"/>
      <c r="H814" s="2"/>
    </row>
    <row r="815" spans="3:8" ht="17.25" customHeight="1" x14ac:dyDescent="0.2">
      <c r="C815" s="20"/>
      <c r="D815" s="2"/>
      <c r="E815" s="2"/>
      <c r="F815" s="2"/>
      <c r="G815" s="2"/>
      <c r="H815" s="2"/>
    </row>
    <row r="816" spans="3:8" ht="17.25" customHeight="1" x14ac:dyDescent="0.2">
      <c r="C816" s="20"/>
      <c r="D816" s="2"/>
      <c r="E816" s="2"/>
      <c r="F816" s="2"/>
      <c r="G816" s="2"/>
      <c r="H816" s="2"/>
    </row>
    <row r="817" spans="3:8" ht="17.25" customHeight="1" x14ac:dyDescent="0.2">
      <c r="C817" s="20"/>
      <c r="D817" s="2"/>
      <c r="E817" s="2"/>
      <c r="F817" s="2"/>
      <c r="G817" s="2"/>
      <c r="H817" s="2"/>
    </row>
    <row r="818" spans="3:8" ht="17.25" customHeight="1" x14ac:dyDescent="0.2">
      <c r="C818" s="20"/>
      <c r="D818" s="2"/>
      <c r="E818" s="2"/>
      <c r="F818" s="2"/>
      <c r="G818" s="2"/>
      <c r="H818" s="2"/>
    </row>
    <row r="819" spans="3:8" ht="17.25" customHeight="1" x14ac:dyDescent="0.2">
      <c r="C819" s="20"/>
      <c r="D819" s="2"/>
      <c r="E819" s="2"/>
      <c r="F819" s="2"/>
      <c r="G819" s="2"/>
      <c r="H819" s="2"/>
    </row>
    <row r="820" spans="3:8" ht="17.25" customHeight="1" x14ac:dyDescent="0.2">
      <c r="C820" s="20"/>
      <c r="D820" s="2"/>
      <c r="E820" s="2"/>
      <c r="F820" s="2"/>
      <c r="G820" s="2"/>
      <c r="H820" s="2"/>
    </row>
    <row r="821" spans="3:8" ht="17.25" customHeight="1" x14ac:dyDescent="0.2">
      <c r="C821" s="20"/>
      <c r="D821" s="2"/>
      <c r="E821" s="2"/>
      <c r="F821" s="2"/>
      <c r="G821" s="2"/>
      <c r="H821" s="2"/>
    </row>
    <row r="822" spans="3:8" ht="17.25" customHeight="1" x14ac:dyDescent="0.2">
      <c r="C822" s="20"/>
      <c r="D822" s="2"/>
      <c r="E822" s="2"/>
      <c r="F822" s="2"/>
      <c r="G822" s="2"/>
      <c r="H822" s="2"/>
    </row>
    <row r="823" spans="3:8" ht="17.25" customHeight="1" x14ac:dyDescent="0.2">
      <c r="C823" s="20"/>
      <c r="D823" s="2"/>
      <c r="E823" s="2"/>
      <c r="F823" s="2"/>
      <c r="G823" s="2"/>
      <c r="H823" s="2"/>
    </row>
    <row r="824" spans="3:8" ht="17.25" customHeight="1" x14ac:dyDescent="0.2">
      <c r="C824" s="20"/>
      <c r="D824" s="2"/>
      <c r="E824" s="2"/>
      <c r="F824" s="2"/>
      <c r="G824" s="2"/>
      <c r="H824" s="2"/>
    </row>
    <row r="825" spans="3:8" ht="17.25" customHeight="1" x14ac:dyDescent="0.2">
      <c r="C825" s="20"/>
      <c r="D825" s="2"/>
      <c r="E825" s="2"/>
      <c r="F825" s="2"/>
      <c r="G825" s="2"/>
      <c r="H825" s="2"/>
    </row>
    <row r="826" spans="3:8" ht="17.25" customHeight="1" x14ac:dyDescent="0.2">
      <c r="C826" s="20"/>
      <c r="D826" s="2"/>
      <c r="E826" s="2"/>
      <c r="F826" s="2"/>
      <c r="G826" s="2"/>
      <c r="H826" s="2"/>
    </row>
    <row r="827" spans="3:8" ht="17.25" customHeight="1" x14ac:dyDescent="0.2">
      <c r="C827" s="20"/>
      <c r="D827" s="2"/>
      <c r="E827" s="2"/>
      <c r="F827" s="2"/>
      <c r="G827" s="2"/>
      <c r="H827" s="2"/>
    </row>
    <row r="828" spans="3:8" ht="17.25" customHeight="1" x14ac:dyDescent="0.2">
      <c r="C828" s="20"/>
      <c r="D828" s="2"/>
      <c r="E828" s="2"/>
      <c r="F828" s="2"/>
      <c r="G828" s="2"/>
      <c r="H828" s="2"/>
    </row>
    <row r="829" spans="3:8" ht="17.25" customHeight="1" x14ac:dyDescent="0.2">
      <c r="C829" s="20"/>
      <c r="D829" s="2"/>
      <c r="E829" s="2"/>
      <c r="F829" s="2"/>
      <c r="G829" s="2"/>
      <c r="H829" s="2"/>
    </row>
    <row r="830" spans="3:8" ht="17.25" customHeight="1" x14ac:dyDescent="0.2">
      <c r="C830" s="20"/>
      <c r="D830" s="2"/>
      <c r="E830" s="2"/>
      <c r="F830" s="2"/>
      <c r="G830" s="2"/>
      <c r="H830" s="2"/>
    </row>
    <row r="831" spans="3:8" ht="17.25" customHeight="1" x14ac:dyDescent="0.2">
      <c r="C831" s="20"/>
      <c r="D831" s="2"/>
      <c r="E831" s="2"/>
      <c r="F831" s="2"/>
      <c r="G831" s="2"/>
      <c r="H831" s="2"/>
    </row>
    <row r="832" spans="3:8" ht="17.25" customHeight="1" x14ac:dyDescent="0.2">
      <c r="C832" s="20"/>
      <c r="D832" s="2"/>
      <c r="E832" s="2"/>
      <c r="F832" s="2"/>
      <c r="G832" s="2"/>
      <c r="H832" s="2"/>
    </row>
    <row r="833" spans="3:8" ht="17.25" customHeight="1" x14ac:dyDescent="0.2">
      <c r="C833" s="20"/>
      <c r="D833" s="2"/>
      <c r="E833" s="2"/>
      <c r="F833" s="2"/>
      <c r="G833" s="2"/>
      <c r="H833" s="2"/>
    </row>
    <row r="834" spans="3:8" ht="17.25" customHeight="1" x14ac:dyDescent="0.2">
      <c r="C834" s="20"/>
      <c r="D834" s="2"/>
      <c r="E834" s="2"/>
      <c r="F834" s="2"/>
      <c r="G834" s="2"/>
      <c r="H834" s="2"/>
    </row>
    <row r="835" spans="3:8" ht="17.25" customHeight="1" x14ac:dyDescent="0.2">
      <c r="C835" s="20"/>
      <c r="D835" s="2"/>
      <c r="E835" s="2"/>
      <c r="F835" s="2"/>
      <c r="G835" s="2"/>
      <c r="H835" s="2"/>
    </row>
    <row r="836" spans="3:8" ht="17.25" customHeight="1" x14ac:dyDescent="0.2">
      <c r="C836" s="20"/>
      <c r="D836" s="2"/>
      <c r="E836" s="2"/>
      <c r="F836" s="2"/>
      <c r="G836" s="2"/>
      <c r="H836" s="2"/>
    </row>
    <row r="837" spans="3:8" ht="17.25" customHeight="1" x14ac:dyDescent="0.2">
      <c r="C837" s="20"/>
      <c r="D837" s="2"/>
      <c r="E837" s="2"/>
      <c r="F837" s="2"/>
      <c r="G837" s="2"/>
      <c r="H837" s="2"/>
    </row>
    <row r="838" spans="3:8" ht="17.25" customHeight="1" x14ac:dyDescent="0.2">
      <c r="C838" s="20"/>
      <c r="D838" s="2"/>
      <c r="E838" s="2"/>
      <c r="F838" s="2"/>
      <c r="G838" s="2"/>
      <c r="H838" s="2"/>
    </row>
    <row r="839" spans="3:8" ht="17.25" customHeight="1" x14ac:dyDescent="0.2">
      <c r="C839" s="20"/>
      <c r="D839" s="2"/>
      <c r="E839" s="2"/>
      <c r="F839" s="2"/>
      <c r="G839" s="2"/>
      <c r="H839" s="2"/>
    </row>
    <row r="840" spans="3:8" ht="17.25" customHeight="1" x14ac:dyDescent="0.2">
      <c r="C840" s="20"/>
      <c r="D840" s="2"/>
      <c r="E840" s="2"/>
      <c r="F840" s="2"/>
      <c r="G840" s="2"/>
      <c r="H840" s="2"/>
    </row>
    <row r="841" spans="3:8" ht="17.25" customHeight="1" x14ac:dyDescent="0.2">
      <c r="C841" s="20"/>
      <c r="D841" s="2"/>
      <c r="E841" s="2"/>
      <c r="F841" s="2"/>
      <c r="G841" s="2"/>
      <c r="H841" s="2"/>
    </row>
    <row r="842" spans="3:8" ht="17.25" customHeight="1" x14ac:dyDescent="0.2">
      <c r="C842" s="20"/>
      <c r="D842" s="2"/>
      <c r="E842" s="2"/>
      <c r="F842" s="2"/>
      <c r="G842" s="2"/>
      <c r="H842" s="2"/>
    </row>
    <row r="843" spans="3:8" ht="17.25" customHeight="1" x14ac:dyDescent="0.2">
      <c r="C843" s="20"/>
      <c r="D843" s="2"/>
      <c r="E843" s="2"/>
      <c r="F843" s="2"/>
      <c r="G843" s="2"/>
      <c r="H843" s="2"/>
    </row>
    <row r="844" spans="3:8" ht="17.25" customHeight="1" x14ac:dyDescent="0.2">
      <c r="C844" s="20"/>
      <c r="D844" s="2"/>
      <c r="E844" s="2"/>
      <c r="F844" s="2"/>
      <c r="G844" s="2"/>
      <c r="H844" s="2"/>
    </row>
    <row r="845" spans="3:8" ht="17.25" customHeight="1" x14ac:dyDescent="0.2">
      <c r="C845" s="20"/>
      <c r="D845" s="2"/>
      <c r="E845" s="2"/>
      <c r="F845" s="2"/>
      <c r="G845" s="2"/>
      <c r="H845" s="2"/>
    </row>
    <row r="846" spans="3:8" ht="17.25" customHeight="1" x14ac:dyDescent="0.2">
      <c r="C846" s="20"/>
      <c r="D846" s="2"/>
      <c r="E846" s="2"/>
      <c r="F846" s="2"/>
      <c r="G846" s="2"/>
      <c r="H846" s="2"/>
    </row>
    <row r="847" spans="3:8" ht="17.25" customHeight="1" x14ac:dyDescent="0.2">
      <c r="C847" s="20"/>
      <c r="D847" s="2"/>
      <c r="E847" s="2"/>
      <c r="F847" s="2"/>
      <c r="G847" s="2"/>
      <c r="H847" s="2"/>
    </row>
    <row r="848" spans="3:8" ht="17.25" customHeight="1" x14ac:dyDescent="0.2">
      <c r="C848" s="20"/>
      <c r="D848" s="2"/>
      <c r="E848" s="2"/>
      <c r="F848" s="2"/>
      <c r="G848" s="2"/>
      <c r="H848" s="2"/>
    </row>
    <row r="849" spans="3:8" ht="17.25" customHeight="1" x14ac:dyDescent="0.2">
      <c r="C849" s="20"/>
      <c r="D849" s="2"/>
      <c r="E849" s="2"/>
      <c r="F849" s="2"/>
      <c r="G849" s="2"/>
      <c r="H849" s="2"/>
    </row>
    <row r="850" spans="3:8" ht="17.25" customHeight="1" x14ac:dyDescent="0.2">
      <c r="C850" s="20"/>
      <c r="D850" s="2"/>
      <c r="E850" s="2"/>
      <c r="F850" s="2"/>
      <c r="G850" s="2"/>
      <c r="H850" s="2"/>
    </row>
    <row r="851" spans="3:8" ht="17.25" customHeight="1" x14ac:dyDescent="0.2">
      <c r="C851" s="20"/>
      <c r="D851" s="2"/>
      <c r="E851" s="2"/>
      <c r="F851" s="2"/>
      <c r="G851" s="2"/>
      <c r="H851" s="2"/>
    </row>
    <row r="852" spans="3:8" ht="17.25" customHeight="1" x14ac:dyDescent="0.2">
      <c r="C852" s="20"/>
      <c r="D852" s="2"/>
      <c r="E852" s="2"/>
      <c r="F852" s="2"/>
      <c r="G852" s="2"/>
      <c r="H852" s="2"/>
    </row>
    <row r="853" spans="3:8" ht="17.25" customHeight="1" x14ac:dyDescent="0.2">
      <c r="C853" s="20"/>
      <c r="D853" s="2"/>
      <c r="E853" s="2"/>
      <c r="F853" s="2"/>
      <c r="G853" s="2"/>
      <c r="H853" s="2"/>
    </row>
    <row r="854" spans="3:8" ht="17.25" customHeight="1" x14ac:dyDescent="0.2">
      <c r="C854" s="20"/>
      <c r="D854" s="2"/>
      <c r="E854" s="2"/>
      <c r="F854" s="2"/>
      <c r="G854" s="2"/>
      <c r="H854" s="2"/>
    </row>
    <row r="855" spans="3:8" ht="17.25" customHeight="1" x14ac:dyDescent="0.2">
      <c r="C855" s="20"/>
      <c r="D855" s="2"/>
      <c r="E855" s="2"/>
      <c r="F855" s="2"/>
      <c r="G855" s="2"/>
      <c r="H855" s="2"/>
    </row>
    <row r="856" spans="3:8" ht="17.25" customHeight="1" x14ac:dyDescent="0.2">
      <c r="C856" s="20"/>
      <c r="D856" s="2"/>
      <c r="E856" s="2"/>
      <c r="F856" s="2"/>
      <c r="G856" s="2"/>
      <c r="H856" s="2"/>
    </row>
    <row r="857" spans="3:8" ht="17.25" customHeight="1" x14ac:dyDescent="0.2">
      <c r="C857" s="20"/>
      <c r="D857" s="2"/>
      <c r="E857" s="2"/>
      <c r="F857" s="2"/>
      <c r="G857" s="2"/>
      <c r="H857" s="2"/>
    </row>
    <row r="858" spans="3:8" ht="17.25" customHeight="1" x14ac:dyDescent="0.2">
      <c r="C858" s="20"/>
      <c r="D858" s="2"/>
      <c r="E858" s="2"/>
      <c r="F858" s="2"/>
      <c r="G858" s="2"/>
      <c r="H858" s="2"/>
    </row>
    <row r="859" spans="3:8" ht="17.25" customHeight="1" x14ac:dyDescent="0.2">
      <c r="C859" s="20"/>
      <c r="D859" s="2"/>
      <c r="E859" s="2"/>
      <c r="F859" s="2"/>
      <c r="G859" s="2"/>
      <c r="H859" s="2"/>
    </row>
    <row r="860" spans="3:8" ht="17.25" customHeight="1" x14ac:dyDescent="0.2">
      <c r="C860" s="20"/>
      <c r="D860" s="2"/>
      <c r="E860" s="2"/>
      <c r="F860" s="2"/>
      <c r="G860" s="2"/>
      <c r="H860" s="2"/>
    </row>
    <row r="861" spans="3:8" ht="17.25" customHeight="1" x14ac:dyDescent="0.2">
      <c r="C861" s="20"/>
      <c r="D861" s="2"/>
      <c r="E861" s="2"/>
      <c r="F861" s="2"/>
      <c r="G861" s="2"/>
      <c r="H861" s="2"/>
    </row>
    <row r="862" spans="3:8" ht="17.25" customHeight="1" x14ac:dyDescent="0.2">
      <c r="C862" s="20"/>
      <c r="D862" s="2"/>
      <c r="E862" s="2"/>
      <c r="F862" s="2"/>
      <c r="G862" s="2"/>
      <c r="H862" s="2"/>
    </row>
    <row r="863" spans="3:8" ht="17.25" customHeight="1" x14ac:dyDescent="0.2">
      <c r="C863" s="20"/>
      <c r="D863" s="2"/>
      <c r="E863" s="2"/>
      <c r="F863" s="2"/>
      <c r="G863" s="2"/>
      <c r="H863" s="2"/>
    </row>
    <row r="864" spans="3:8" ht="17.25" customHeight="1" x14ac:dyDescent="0.2">
      <c r="C864" s="20"/>
      <c r="D864" s="2"/>
      <c r="E864" s="2"/>
      <c r="F864" s="2"/>
      <c r="G864" s="2"/>
      <c r="H864" s="2"/>
    </row>
    <row r="865" spans="3:8" ht="17.25" customHeight="1" x14ac:dyDescent="0.2">
      <c r="C865" s="20"/>
      <c r="D865" s="2"/>
      <c r="E865" s="2"/>
      <c r="F865" s="2"/>
      <c r="G865" s="2"/>
      <c r="H865" s="2"/>
    </row>
    <row r="866" spans="3:8" ht="17.25" customHeight="1" x14ac:dyDescent="0.2">
      <c r="C866" s="20"/>
      <c r="D866" s="2"/>
      <c r="E866" s="2"/>
      <c r="F866" s="2"/>
      <c r="G866" s="2"/>
      <c r="H866" s="2"/>
    </row>
    <row r="867" spans="3:8" ht="17.25" customHeight="1" x14ac:dyDescent="0.2">
      <c r="C867" s="20"/>
      <c r="D867" s="2"/>
      <c r="E867" s="2"/>
      <c r="F867" s="2"/>
      <c r="G867" s="2"/>
      <c r="H867" s="2"/>
    </row>
    <row r="868" spans="3:8" ht="17.25" customHeight="1" x14ac:dyDescent="0.2">
      <c r="C868" s="20"/>
      <c r="D868" s="2"/>
      <c r="E868" s="2"/>
      <c r="F868" s="2"/>
      <c r="G868" s="2"/>
      <c r="H868" s="2"/>
    </row>
    <row r="869" spans="3:8" ht="17.25" customHeight="1" x14ac:dyDescent="0.2">
      <c r="C869" s="20"/>
      <c r="D869" s="2"/>
      <c r="E869" s="2"/>
      <c r="F869" s="2"/>
      <c r="G869" s="2"/>
      <c r="H869" s="2"/>
    </row>
    <row r="870" spans="3:8" ht="17.25" customHeight="1" x14ac:dyDescent="0.2">
      <c r="C870" s="20"/>
      <c r="D870" s="2"/>
      <c r="E870" s="2"/>
      <c r="F870" s="2"/>
      <c r="G870" s="2"/>
      <c r="H870" s="2"/>
    </row>
    <row r="871" spans="3:8" ht="17.25" customHeight="1" x14ac:dyDescent="0.2">
      <c r="C871" s="20"/>
      <c r="D871" s="2"/>
      <c r="E871" s="2"/>
      <c r="F871" s="2"/>
      <c r="G871" s="2"/>
      <c r="H871" s="2"/>
    </row>
    <row r="872" spans="3:8" ht="17.25" customHeight="1" x14ac:dyDescent="0.2">
      <c r="C872" s="20"/>
      <c r="D872" s="2"/>
      <c r="E872" s="2"/>
      <c r="F872" s="2"/>
      <c r="G872" s="2"/>
      <c r="H872" s="2"/>
    </row>
    <row r="873" spans="3:8" ht="17.25" customHeight="1" x14ac:dyDescent="0.2">
      <c r="C873" s="20"/>
      <c r="D873" s="2"/>
      <c r="E873" s="2"/>
      <c r="F873" s="2"/>
      <c r="G873" s="2"/>
      <c r="H873" s="2"/>
    </row>
    <row r="874" spans="3:8" ht="17.25" customHeight="1" x14ac:dyDescent="0.2">
      <c r="C874" s="20"/>
      <c r="D874" s="2"/>
      <c r="E874" s="2"/>
      <c r="F874" s="2"/>
      <c r="G874" s="2"/>
      <c r="H874" s="2"/>
    </row>
    <row r="875" spans="3:8" ht="17.25" customHeight="1" x14ac:dyDescent="0.2">
      <c r="C875" s="20"/>
      <c r="D875" s="2"/>
      <c r="E875" s="2"/>
      <c r="F875" s="2"/>
      <c r="G875" s="2"/>
      <c r="H875" s="2"/>
    </row>
    <row r="876" spans="3:8" ht="17.25" customHeight="1" x14ac:dyDescent="0.2">
      <c r="C876" s="20"/>
      <c r="D876" s="2"/>
      <c r="E876" s="2"/>
      <c r="F876" s="2"/>
      <c r="G876" s="2"/>
      <c r="H876" s="2"/>
    </row>
    <row r="877" spans="3:8" ht="17.25" customHeight="1" x14ac:dyDescent="0.2">
      <c r="C877" s="20"/>
      <c r="D877" s="2"/>
      <c r="E877" s="2"/>
      <c r="F877" s="2"/>
      <c r="G877" s="2"/>
      <c r="H877" s="2"/>
    </row>
    <row r="878" spans="3:8" ht="17.25" customHeight="1" x14ac:dyDescent="0.2">
      <c r="C878" s="20"/>
      <c r="D878" s="2"/>
      <c r="E878" s="2"/>
      <c r="F878" s="2"/>
      <c r="G878" s="2"/>
      <c r="H878" s="2"/>
    </row>
    <row r="879" spans="3:8" ht="17.25" customHeight="1" x14ac:dyDescent="0.2">
      <c r="C879" s="20"/>
      <c r="D879" s="2"/>
      <c r="E879" s="2"/>
      <c r="F879" s="2"/>
      <c r="G879" s="2"/>
      <c r="H879" s="2"/>
    </row>
    <row r="880" spans="3:8" ht="17.25" customHeight="1" x14ac:dyDescent="0.2">
      <c r="C880" s="20"/>
      <c r="D880" s="2"/>
      <c r="E880" s="2"/>
      <c r="F880" s="2"/>
      <c r="G880" s="2"/>
      <c r="H880" s="2"/>
    </row>
    <row r="881" spans="3:8" ht="17.25" customHeight="1" x14ac:dyDescent="0.2">
      <c r="C881" s="20"/>
      <c r="D881" s="2"/>
      <c r="E881" s="2"/>
      <c r="F881" s="2"/>
      <c r="G881" s="2"/>
      <c r="H881" s="2"/>
    </row>
    <row r="882" spans="3:8" ht="17.25" customHeight="1" x14ac:dyDescent="0.2">
      <c r="C882" s="20"/>
      <c r="D882" s="2"/>
      <c r="E882" s="2"/>
      <c r="F882" s="2"/>
      <c r="G882" s="2"/>
      <c r="H882" s="2"/>
    </row>
    <row r="883" spans="3:8" ht="17.25" customHeight="1" x14ac:dyDescent="0.2">
      <c r="C883" s="20"/>
      <c r="D883" s="2"/>
      <c r="E883" s="2"/>
      <c r="F883" s="2"/>
      <c r="G883" s="2"/>
      <c r="H883" s="2"/>
    </row>
    <row r="884" spans="3:8" ht="17.25" customHeight="1" x14ac:dyDescent="0.2">
      <c r="C884" s="20"/>
      <c r="D884" s="2"/>
      <c r="E884" s="2"/>
      <c r="F884" s="2"/>
      <c r="G884" s="2"/>
      <c r="H884" s="2"/>
    </row>
    <row r="885" spans="3:8" ht="17.25" customHeight="1" x14ac:dyDescent="0.2">
      <c r="C885" s="20"/>
      <c r="D885" s="2"/>
      <c r="E885" s="2"/>
      <c r="F885" s="2"/>
      <c r="G885" s="2"/>
      <c r="H885" s="2"/>
    </row>
    <row r="886" spans="3:8" ht="17.25" customHeight="1" x14ac:dyDescent="0.2">
      <c r="C886" s="20"/>
      <c r="D886" s="2"/>
      <c r="E886" s="2"/>
      <c r="F886" s="2"/>
      <c r="G886" s="2"/>
      <c r="H886" s="2"/>
    </row>
    <row r="887" spans="3:8" ht="17.25" customHeight="1" x14ac:dyDescent="0.2">
      <c r="C887" s="20"/>
      <c r="D887" s="2"/>
      <c r="E887" s="2"/>
      <c r="F887" s="2"/>
      <c r="G887" s="2"/>
      <c r="H887" s="2"/>
    </row>
    <row r="888" spans="3:8" ht="17.25" customHeight="1" x14ac:dyDescent="0.2">
      <c r="C888" s="20"/>
      <c r="D888" s="2"/>
      <c r="E888" s="2"/>
      <c r="F888" s="2"/>
      <c r="G888" s="2"/>
      <c r="H888" s="2"/>
    </row>
    <row r="889" spans="3:8" ht="17.25" customHeight="1" x14ac:dyDescent="0.2">
      <c r="C889" s="20"/>
      <c r="D889" s="2"/>
      <c r="E889" s="2"/>
      <c r="F889" s="2"/>
      <c r="G889" s="2"/>
      <c r="H889" s="2"/>
    </row>
    <row r="890" spans="3:8" ht="17.25" customHeight="1" x14ac:dyDescent="0.2">
      <c r="C890" s="20"/>
      <c r="D890" s="2"/>
      <c r="E890" s="2"/>
      <c r="F890" s="2"/>
      <c r="G890" s="2"/>
      <c r="H890" s="2"/>
    </row>
    <row r="891" spans="3:8" ht="17.25" customHeight="1" x14ac:dyDescent="0.2">
      <c r="C891" s="20"/>
      <c r="D891" s="2"/>
      <c r="E891" s="2"/>
      <c r="F891" s="2"/>
      <c r="G891" s="2"/>
      <c r="H891" s="2"/>
    </row>
    <row r="892" spans="3:8" ht="17.25" customHeight="1" x14ac:dyDescent="0.2">
      <c r="C892" s="20"/>
      <c r="D892" s="2"/>
      <c r="E892" s="2"/>
      <c r="F892" s="2"/>
      <c r="G892" s="2"/>
      <c r="H892" s="2"/>
    </row>
    <row r="893" spans="3:8" ht="17.25" customHeight="1" x14ac:dyDescent="0.2">
      <c r="C893" s="20"/>
      <c r="D893" s="2"/>
      <c r="E893" s="2"/>
      <c r="F893" s="2"/>
      <c r="G893" s="2"/>
      <c r="H893" s="2"/>
    </row>
    <row r="894" spans="3:8" ht="17.25" customHeight="1" x14ac:dyDescent="0.2">
      <c r="C894" s="20"/>
      <c r="D894" s="2"/>
      <c r="E894" s="2"/>
      <c r="F894" s="2"/>
      <c r="G894" s="2"/>
      <c r="H894" s="2"/>
    </row>
    <row r="895" spans="3:8" ht="17.25" customHeight="1" x14ac:dyDescent="0.2">
      <c r="C895" s="20"/>
      <c r="D895" s="2"/>
      <c r="E895" s="2"/>
      <c r="F895" s="2"/>
      <c r="G895" s="2"/>
      <c r="H895" s="2"/>
    </row>
    <row r="896" spans="3:8" ht="17.25" customHeight="1" x14ac:dyDescent="0.2">
      <c r="C896" s="20"/>
      <c r="D896" s="2"/>
      <c r="E896" s="2"/>
      <c r="F896" s="2"/>
      <c r="G896" s="2"/>
      <c r="H896" s="2"/>
    </row>
    <row r="897" spans="3:8" ht="17.25" customHeight="1" x14ac:dyDescent="0.2">
      <c r="C897" s="20"/>
      <c r="D897" s="2"/>
      <c r="E897" s="2"/>
      <c r="F897" s="2"/>
      <c r="G897" s="2"/>
      <c r="H897" s="2"/>
    </row>
    <row r="898" spans="3:8" ht="17.25" customHeight="1" x14ac:dyDescent="0.2">
      <c r="C898" s="20"/>
      <c r="D898" s="2"/>
      <c r="E898" s="2"/>
      <c r="F898" s="2"/>
      <c r="G898" s="2"/>
      <c r="H898" s="2"/>
    </row>
    <row r="899" spans="3:8" ht="17.25" customHeight="1" x14ac:dyDescent="0.2">
      <c r="C899" s="20"/>
      <c r="D899" s="2"/>
      <c r="E899" s="2"/>
      <c r="F899" s="2"/>
      <c r="G899" s="2"/>
      <c r="H899" s="2"/>
    </row>
    <row r="900" spans="3:8" ht="17.25" customHeight="1" x14ac:dyDescent="0.2">
      <c r="C900" s="20"/>
      <c r="D900" s="2"/>
      <c r="E900" s="2"/>
      <c r="F900" s="2"/>
      <c r="G900" s="2"/>
      <c r="H900" s="2"/>
    </row>
    <row r="901" spans="3:8" ht="17.25" customHeight="1" x14ac:dyDescent="0.2">
      <c r="C901" s="20"/>
      <c r="D901" s="2"/>
      <c r="E901" s="2"/>
      <c r="F901" s="2"/>
      <c r="G901" s="2"/>
      <c r="H901" s="2"/>
    </row>
    <row r="902" spans="3:8" ht="17.25" customHeight="1" x14ac:dyDescent="0.2">
      <c r="C902" s="20"/>
      <c r="D902" s="2"/>
      <c r="E902" s="2"/>
      <c r="F902" s="2"/>
      <c r="G902" s="2"/>
      <c r="H902" s="2"/>
    </row>
    <row r="903" spans="3:8" ht="17.25" customHeight="1" x14ac:dyDescent="0.2">
      <c r="C903" s="20"/>
      <c r="D903" s="2"/>
      <c r="E903" s="2"/>
      <c r="F903" s="2"/>
      <c r="G903" s="2"/>
      <c r="H903" s="2"/>
    </row>
    <row r="904" spans="3:8" ht="17.25" customHeight="1" x14ac:dyDescent="0.2">
      <c r="C904" s="20"/>
      <c r="D904" s="2"/>
      <c r="E904" s="2"/>
      <c r="F904" s="2"/>
      <c r="G904" s="2"/>
      <c r="H904" s="2"/>
    </row>
    <row r="905" spans="3:8" ht="17.25" customHeight="1" x14ac:dyDescent="0.2">
      <c r="C905" s="20"/>
      <c r="D905" s="2"/>
      <c r="E905" s="2"/>
      <c r="F905" s="2"/>
      <c r="G905" s="2"/>
      <c r="H905" s="2"/>
    </row>
    <row r="906" spans="3:8" ht="17.25" customHeight="1" x14ac:dyDescent="0.2">
      <c r="C906" s="20"/>
      <c r="D906" s="2"/>
      <c r="E906" s="2"/>
      <c r="F906" s="2"/>
      <c r="G906" s="2"/>
      <c r="H906" s="2"/>
    </row>
    <row r="907" spans="3:8" ht="17.25" customHeight="1" x14ac:dyDescent="0.2">
      <c r="C907" s="20"/>
      <c r="D907" s="2"/>
      <c r="E907" s="2"/>
      <c r="F907" s="2"/>
      <c r="G907" s="2"/>
      <c r="H907" s="2"/>
    </row>
    <row r="908" spans="3:8" ht="17.25" customHeight="1" x14ac:dyDescent="0.2">
      <c r="C908" s="20"/>
      <c r="D908" s="2"/>
      <c r="E908" s="2"/>
      <c r="F908" s="2"/>
      <c r="G908" s="2"/>
      <c r="H908" s="2"/>
    </row>
    <row r="909" spans="3:8" ht="17.25" customHeight="1" x14ac:dyDescent="0.2">
      <c r="C909" s="20"/>
      <c r="D909" s="2"/>
      <c r="E909" s="2"/>
      <c r="F909" s="2"/>
      <c r="G909" s="2"/>
      <c r="H909" s="2"/>
    </row>
    <row r="910" spans="3:8" ht="17.25" customHeight="1" x14ac:dyDescent="0.2">
      <c r="C910" s="20"/>
      <c r="D910" s="2"/>
      <c r="E910" s="2"/>
      <c r="F910" s="2"/>
      <c r="G910" s="2"/>
      <c r="H910" s="2"/>
    </row>
    <row r="911" spans="3:8" ht="17.25" customHeight="1" x14ac:dyDescent="0.2">
      <c r="C911" s="20"/>
      <c r="D911" s="2"/>
      <c r="E911" s="2"/>
      <c r="F911" s="2"/>
      <c r="G911" s="2"/>
      <c r="H911" s="2"/>
    </row>
    <row r="912" spans="3:8" ht="17.25" customHeight="1" x14ac:dyDescent="0.2">
      <c r="C912" s="20"/>
      <c r="D912" s="2"/>
      <c r="E912" s="2"/>
      <c r="F912" s="2"/>
      <c r="G912" s="2"/>
      <c r="H912" s="2"/>
    </row>
    <row r="913" spans="3:8" ht="17.25" customHeight="1" x14ac:dyDescent="0.2">
      <c r="C913" s="20"/>
      <c r="D913" s="2"/>
      <c r="E913" s="2"/>
      <c r="F913" s="2"/>
      <c r="G913" s="2"/>
      <c r="H913" s="2"/>
    </row>
    <row r="914" spans="3:8" ht="17.25" customHeight="1" x14ac:dyDescent="0.2">
      <c r="C914" s="20"/>
      <c r="D914" s="2"/>
      <c r="E914" s="2"/>
      <c r="F914" s="2"/>
      <c r="G914" s="2"/>
      <c r="H914" s="2"/>
    </row>
    <row r="915" spans="3:8" ht="17.25" customHeight="1" x14ac:dyDescent="0.2">
      <c r="C915" s="20"/>
      <c r="D915" s="2"/>
      <c r="E915" s="2"/>
      <c r="F915" s="2"/>
      <c r="G915" s="2"/>
      <c r="H915" s="2"/>
    </row>
    <row r="916" spans="3:8" ht="17.25" customHeight="1" x14ac:dyDescent="0.2">
      <c r="C916" s="20"/>
      <c r="D916" s="2"/>
      <c r="E916" s="2"/>
      <c r="F916" s="2"/>
      <c r="G916" s="2"/>
      <c r="H916" s="2"/>
    </row>
    <row r="917" spans="3:8" ht="17.25" customHeight="1" x14ac:dyDescent="0.2">
      <c r="C917" s="20"/>
      <c r="D917" s="2"/>
      <c r="E917" s="2"/>
      <c r="F917" s="2"/>
      <c r="G917" s="2"/>
      <c r="H917" s="2"/>
    </row>
    <row r="918" spans="3:8" ht="17.25" customHeight="1" x14ac:dyDescent="0.2">
      <c r="C918" s="20"/>
      <c r="D918" s="2"/>
      <c r="E918" s="2"/>
      <c r="F918" s="2"/>
      <c r="G918" s="2"/>
      <c r="H918" s="2"/>
    </row>
    <row r="919" spans="3:8" ht="17.25" customHeight="1" x14ac:dyDescent="0.2">
      <c r="C919" s="20"/>
      <c r="D919" s="2"/>
      <c r="E919" s="2"/>
      <c r="F919" s="2"/>
      <c r="G919" s="2"/>
      <c r="H919" s="2"/>
    </row>
    <row r="920" spans="3:8" ht="17.25" customHeight="1" x14ac:dyDescent="0.2">
      <c r="C920" s="20"/>
      <c r="D920" s="2"/>
      <c r="E920" s="2"/>
      <c r="F920" s="2"/>
      <c r="G920" s="2"/>
      <c r="H920" s="2"/>
    </row>
    <row r="921" spans="3:8" ht="17.25" customHeight="1" x14ac:dyDescent="0.2">
      <c r="C921" s="20"/>
      <c r="D921" s="2"/>
      <c r="E921" s="2"/>
      <c r="F921" s="2"/>
      <c r="G921" s="2"/>
      <c r="H921" s="2"/>
    </row>
    <row r="922" spans="3:8" ht="17.25" customHeight="1" x14ac:dyDescent="0.2">
      <c r="C922" s="20"/>
      <c r="D922" s="2"/>
      <c r="E922" s="2"/>
      <c r="F922" s="2"/>
      <c r="G922" s="2"/>
      <c r="H922" s="2"/>
    </row>
    <row r="923" spans="3:8" ht="17.25" customHeight="1" x14ac:dyDescent="0.2">
      <c r="C923" s="20"/>
      <c r="D923" s="2"/>
      <c r="E923" s="2"/>
      <c r="F923" s="2"/>
      <c r="G923" s="2"/>
      <c r="H923" s="2"/>
    </row>
    <row r="924" spans="3:8" ht="17.25" customHeight="1" x14ac:dyDescent="0.2">
      <c r="C924" s="20"/>
      <c r="D924" s="2"/>
      <c r="E924" s="2"/>
      <c r="F924" s="2"/>
      <c r="G924" s="2"/>
      <c r="H924" s="2"/>
    </row>
    <row r="925" spans="3:8" ht="17.25" customHeight="1" x14ac:dyDescent="0.2">
      <c r="C925" s="20"/>
      <c r="D925" s="2"/>
      <c r="E925" s="2"/>
      <c r="F925" s="2"/>
      <c r="G925" s="2"/>
      <c r="H925" s="2"/>
    </row>
    <row r="926" spans="3:8" ht="17.25" customHeight="1" x14ac:dyDescent="0.2">
      <c r="C926" s="20"/>
      <c r="D926" s="2"/>
      <c r="E926" s="2"/>
      <c r="F926" s="2"/>
      <c r="G926" s="2"/>
      <c r="H926" s="2"/>
    </row>
    <row r="927" spans="3:8" ht="17.25" customHeight="1" x14ac:dyDescent="0.2">
      <c r="C927" s="20"/>
      <c r="D927" s="2"/>
      <c r="E927" s="2"/>
      <c r="F927" s="2"/>
      <c r="G927" s="2"/>
      <c r="H927" s="2"/>
    </row>
    <row r="928" spans="3:8" ht="17.25" customHeight="1" x14ac:dyDescent="0.2">
      <c r="C928" s="20"/>
      <c r="D928" s="2"/>
      <c r="E928" s="2"/>
      <c r="F928" s="2"/>
      <c r="G928" s="2"/>
      <c r="H928" s="2"/>
    </row>
    <row r="929" spans="3:8" ht="17.25" customHeight="1" x14ac:dyDescent="0.2">
      <c r="C929" s="20"/>
      <c r="D929" s="2"/>
      <c r="E929" s="2"/>
      <c r="F929" s="2"/>
      <c r="G929" s="2"/>
      <c r="H929" s="2"/>
    </row>
    <row r="930" spans="3:8" ht="17.25" customHeight="1" x14ac:dyDescent="0.2">
      <c r="C930" s="20"/>
      <c r="D930" s="2"/>
      <c r="E930" s="2"/>
      <c r="F930" s="2"/>
      <c r="G930" s="2"/>
      <c r="H930" s="2"/>
    </row>
    <row r="931" spans="3:8" ht="17.25" customHeight="1" x14ac:dyDescent="0.2">
      <c r="C931" s="20"/>
      <c r="D931" s="2"/>
      <c r="E931" s="2"/>
      <c r="F931" s="2"/>
      <c r="G931" s="2"/>
      <c r="H931" s="2"/>
    </row>
    <row r="932" spans="3:8" ht="17.25" customHeight="1" x14ac:dyDescent="0.2">
      <c r="C932" s="20"/>
      <c r="D932" s="2"/>
      <c r="E932" s="2"/>
      <c r="F932" s="2"/>
      <c r="G932" s="2"/>
      <c r="H932" s="2"/>
    </row>
    <row r="933" spans="3:8" ht="17.25" customHeight="1" x14ac:dyDescent="0.2">
      <c r="C933" s="20"/>
      <c r="D933" s="2"/>
      <c r="E933" s="2"/>
      <c r="F933" s="2"/>
      <c r="G933" s="2"/>
      <c r="H933" s="2"/>
    </row>
    <row r="934" spans="3:8" ht="17.25" customHeight="1" x14ac:dyDescent="0.2">
      <c r="C934" s="20"/>
      <c r="D934" s="2"/>
      <c r="E934" s="2"/>
      <c r="F934" s="2"/>
      <c r="G934" s="2"/>
      <c r="H934" s="2"/>
    </row>
    <row r="935" spans="3:8" ht="17.25" customHeight="1" x14ac:dyDescent="0.2">
      <c r="C935" s="20"/>
      <c r="D935" s="2"/>
      <c r="E935" s="2"/>
      <c r="F935" s="2"/>
      <c r="G935" s="2"/>
      <c r="H935" s="2"/>
    </row>
    <row r="936" spans="3:8" ht="17.25" customHeight="1" x14ac:dyDescent="0.2">
      <c r="C936" s="20"/>
      <c r="D936" s="2"/>
      <c r="E936" s="2"/>
      <c r="F936" s="2"/>
      <c r="G936" s="2"/>
      <c r="H936" s="2"/>
    </row>
    <row r="937" spans="3:8" ht="17.25" customHeight="1" x14ac:dyDescent="0.2">
      <c r="C937" s="20"/>
      <c r="D937" s="2"/>
      <c r="E937" s="2"/>
      <c r="F937" s="2"/>
      <c r="G937" s="2"/>
      <c r="H937" s="2"/>
    </row>
    <row r="938" spans="3:8" ht="17.25" customHeight="1" x14ac:dyDescent="0.2">
      <c r="C938" s="20"/>
      <c r="D938" s="2"/>
      <c r="E938" s="2"/>
      <c r="F938" s="2"/>
      <c r="G938" s="2"/>
      <c r="H938" s="2"/>
    </row>
    <row r="939" spans="3:8" ht="17.25" customHeight="1" x14ac:dyDescent="0.2">
      <c r="C939" s="20"/>
      <c r="D939" s="2"/>
      <c r="E939" s="2"/>
      <c r="F939" s="2"/>
      <c r="G939" s="2"/>
      <c r="H939" s="2"/>
    </row>
    <row r="940" spans="3:8" ht="17.25" customHeight="1" x14ac:dyDescent="0.2">
      <c r="C940" s="20"/>
      <c r="D940" s="2"/>
      <c r="E940" s="2"/>
      <c r="F940" s="2"/>
      <c r="G940" s="2"/>
      <c r="H940" s="2"/>
    </row>
    <row r="941" spans="3:8" ht="17.25" customHeight="1" x14ac:dyDescent="0.2">
      <c r="C941" s="20"/>
      <c r="D941" s="2"/>
      <c r="E941" s="2"/>
      <c r="F941" s="2"/>
      <c r="G941" s="2"/>
      <c r="H941" s="2"/>
    </row>
    <row r="942" spans="3:8" ht="17.25" customHeight="1" x14ac:dyDescent="0.2">
      <c r="C942" s="20"/>
      <c r="D942" s="2"/>
      <c r="E942" s="2"/>
      <c r="F942" s="2"/>
      <c r="G942" s="2"/>
      <c r="H942" s="2"/>
    </row>
    <row r="943" spans="3:8" ht="17.25" customHeight="1" x14ac:dyDescent="0.2">
      <c r="C943" s="20"/>
      <c r="D943" s="2"/>
      <c r="E943" s="2"/>
      <c r="F943" s="2"/>
      <c r="G943" s="2"/>
      <c r="H943" s="2"/>
    </row>
    <row r="944" spans="3:8" ht="17.25" customHeight="1" x14ac:dyDescent="0.2">
      <c r="C944" s="20"/>
      <c r="D944" s="2"/>
      <c r="E944" s="2"/>
      <c r="F944" s="2"/>
      <c r="G944" s="2"/>
      <c r="H944" s="2"/>
    </row>
    <row r="945" spans="3:8" ht="17.25" customHeight="1" x14ac:dyDescent="0.2">
      <c r="C945" s="20"/>
      <c r="D945" s="2"/>
      <c r="E945" s="2"/>
      <c r="F945" s="2"/>
      <c r="G945" s="2"/>
      <c r="H945" s="2"/>
    </row>
    <row r="946" spans="3:8" ht="17.25" customHeight="1" x14ac:dyDescent="0.2">
      <c r="C946" s="20"/>
      <c r="D946" s="2"/>
      <c r="E946" s="2"/>
      <c r="F946" s="2"/>
      <c r="G946" s="2"/>
      <c r="H946" s="2"/>
    </row>
    <row r="947" spans="3:8" ht="17.25" customHeight="1" x14ac:dyDescent="0.2">
      <c r="C947" s="20"/>
      <c r="D947" s="2"/>
      <c r="E947" s="2"/>
      <c r="F947" s="2"/>
      <c r="G947" s="2"/>
      <c r="H947" s="2"/>
    </row>
    <row r="948" spans="3:8" ht="17.25" customHeight="1" x14ac:dyDescent="0.2">
      <c r="C948" s="20"/>
      <c r="D948" s="2"/>
      <c r="E948" s="2"/>
      <c r="F948" s="2"/>
      <c r="G948" s="2"/>
      <c r="H948" s="2"/>
    </row>
    <row r="949" spans="3:8" ht="17.25" customHeight="1" x14ac:dyDescent="0.2">
      <c r="C949" s="20"/>
      <c r="D949" s="2"/>
      <c r="E949" s="2"/>
      <c r="F949" s="2"/>
      <c r="G949" s="2"/>
      <c r="H949" s="2"/>
    </row>
    <row r="950" spans="3:8" ht="17.25" customHeight="1" x14ac:dyDescent="0.2">
      <c r="C950" s="20"/>
      <c r="D950" s="2"/>
      <c r="E950" s="2"/>
      <c r="F950" s="2"/>
      <c r="G950" s="2"/>
      <c r="H950" s="2"/>
    </row>
    <row r="951" spans="3:8" ht="17.25" customHeight="1" x14ac:dyDescent="0.2">
      <c r="C951" s="20"/>
      <c r="D951" s="2"/>
      <c r="E951" s="2"/>
      <c r="F951" s="2"/>
      <c r="G951" s="2"/>
      <c r="H951" s="2"/>
    </row>
    <row r="952" spans="3:8" ht="17.25" customHeight="1" x14ac:dyDescent="0.2">
      <c r="C952" s="20"/>
      <c r="D952" s="2"/>
      <c r="E952" s="2"/>
      <c r="F952" s="2"/>
      <c r="G952" s="2"/>
      <c r="H952" s="2"/>
    </row>
    <row r="953" spans="3:8" ht="17.25" customHeight="1" x14ac:dyDescent="0.2">
      <c r="C953" s="20"/>
      <c r="D953" s="2"/>
      <c r="E953" s="2"/>
      <c r="F953" s="2"/>
      <c r="G953" s="2"/>
      <c r="H953" s="2"/>
    </row>
    <row r="954" spans="3:8" ht="17.25" customHeight="1" x14ac:dyDescent="0.2">
      <c r="C954" s="20"/>
      <c r="D954" s="2"/>
      <c r="E954" s="2"/>
      <c r="F954" s="2"/>
      <c r="G954" s="2"/>
      <c r="H954" s="2"/>
    </row>
    <row r="955" spans="3:8" ht="17.25" customHeight="1" x14ac:dyDescent="0.2">
      <c r="C955" s="20"/>
      <c r="D955" s="2"/>
      <c r="E955" s="2"/>
      <c r="F955" s="2"/>
      <c r="G955" s="2"/>
      <c r="H955" s="2"/>
    </row>
    <row r="956" spans="3:8" ht="17.25" customHeight="1" x14ac:dyDescent="0.2">
      <c r="C956" s="20"/>
      <c r="D956" s="2"/>
      <c r="E956" s="2"/>
      <c r="F956" s="2"/>
      <c r="G956" s="2"/>
      <c r="H956" s="2"/>
    </row>
    <row r="957" spans="3:8" ht="17.25" customHeight="1" x14ac:dyDescent="0.2">
      <c r="C957" s="20"/>
      <c r="D957" s="2"/>
      <c r="E957" s="2"/>
      <c r="F957" s="2"/>
      <c r="G957" s="2"/>
      <c r="H957" s="2"/>
    </row>
    <row r="958" spans="3:8" ht="17.25" customHeight="1" x14ac:dyDescent="0.2">
      <c r="C958" s="20"/>
      <c r="D958" s="2"/>
      <c r="E958" s="2"/>
      <c r="F958" s="2"/>
      <c r="G958" s="2"/>
      <c r="H958" s="2"/>
    </row>
    <row r="959" spans="3:8" ht="17.25" customHeight="1" x14ac:dyDescent="0.2">
      <c r="C959" s="20"/>
      <c r="D959" s="2"/>
      <c r="E959" s="2"/>
      <c r="F959" s="2"/>
      <c r="G959" s="2"/>
      <c r="H959" s="2"/>
    </row>
    <row r="960" spans="3:8" ht="17.25" customHeight="1" x14ac:dyDescent="0.2">
      <c r="C960" s="20"/>
      <c r="D960" s="2"/>
      <c r="E960" s="2"/>
      <c r="F960" s="2"/>
      <c r="G960" s="2"/>
      <c r="H960" s="2"/>
    </row>
    <row r="961" spans="3:8" ht="17.25" customHeight="1" x14ac:dyDescent="0.2">
      <c r="C961" s="20"/>
      <c r="D961" s="2"/>
      <c r="E961" s="2"/>
      <c r="F961" s="2"/>
      <c r="G961" s="2"/>
      <c r="H961" s="2"/>
    </row>
    <row r="962" spans="3:8" ht="17.25" customHeight="1" x14ac:dyDescent="0.2">
      <c r="C962" s="20"/>
      <c r="D962" s="2"/>
      <c r="E962" s="2"/>
      <c r="F962" s="2"/>
      <c r="G962" s="2"/>
      <c r="H962" s="2"/>
    </row>
    <row r="963" spans="3:8" ht="17.25" customHeight="1" x14ac:dyDescent="0.2">
      <c r="C963" s="20"/>
      <c r="D963" s="2"/>
      <c r="E963" s="2"/>
      <c r="F963" s="2"/>
      <c r="G963" s="2"/>
      <c r="H963" s="2"/>
    </row>
    <row r="964" spans="3:8" ht="17.25" customHeight="1" x14ac:dyDescent="0.2">
      <c r="C964" s="20"/>
      <c r="D964" s="2"/>
      <c r="E964" s="2"/>
      <c r="F964" s="2"/>
      <c r="G964" s="2"/>
      <c r="H964" s="2"/>
    </row>
    <row r="965" spans="3:8" ht="17.25" customHeight="1" x14ac:dyDescent="0.2">
      <c r="C965" s="20"/>
      <c r="D965" s="2"/>
      <c r="E965" s="2"/>
      <c r="F965" s="2"/>
      <c r="G965" s="2"/>
      <c r="H965" s="2"/>
    </row>
    <row r="966" spans="3:8" ht="17.25" customHeight="1" x14ac:dyDescent="0.2">
      <c r="C966" s="20"/>
      <c r="D966" s="2"/>
      <c r="E966" s="2"/>
      <c r="F966" s="2"/>
      <c r="G966" s="2"/>
      <c r="H966" s="2"/>
    </row>
    <row r="967" spans="3:8" ht="17.25" customHeight="1" x14ac:dyDescent="0.2">
      <c r="C967" s="20"/>
      <c r="D967" s="2"/>
      <c r="E967" s="2"/>
      <c r="F967" s="2"/>
      <c r="G967" s="2"/>
      <c r="H967" s="2"/>
    </row>
    <row r="968" spans="3:8" ht="17.25" customHeight="1" x14ac:dyDescent="0.2">
      <c r="C968" s="20"/>
      <c r="D968" s="2"/>
      <c r="E968" s="2"/>
      <c r="F968" s="2"/>
      <c r="G968" s="2"/>
      <c r="H968" s="2"/>
    </row>
    <row r="969" spans="3:8" ht="17.25" customHeight="1" x14ac:dyDescent="0.2">
      <c r="C969" s="20"/>
      <c r="D969" s="2"/>
      <c r="E969" s="2"/>
      <c r="F969" s="2"/>
      <c r="G969" s="2"/>
      <c r="H969" s="2"/>
    </row>
    <row r="970" spans="3:8" ht="17.25" customHeight="1" x14ac:dyDescent="0.2">
      <c r="C970" s="20"/>
      <c r="D970" s="2"/>
      <c r="E970" s="2"/>
      <c r="F970" s="2"/>
      <c r="G970" s="2"/>
      <c r="H970" s="2"/>
    </row>
    <row r="971" spans="3:8" ht="17.25" customHeight="1" x14ac:dyDescent="0.2">
      <c r="C971" s="20"/>
      <c r="D971" s="2"/>
      <c r="E971" s="2"/>
      <c r="F971" s="2"/>
      <c r="G971" s="2"/>
      <c r="H971" s="2"/>
    </row>
    <row r="972" spans="3:8" ht="17.25" customHeight="1" x14ac:dyDescent="0.2">
      <c r="C972" s="20"/>
      <c r="D972" s="2"/>
      <c r="E972" s="2"/>
      <c r="F972" s="2"/>
      <c r="G972" s="2"/>
      <c r="H972" s="2"/>
    </row>
    <row r="973" spans="3:8" ht="17.25" customHeight="1" x14ac:dyDescent="0.2">
      <c r="C973" s="20"/>
      <c r="D973" s="2"/>
      <c r="E973" s="2"/>
      <c r="F973" s="2"/>
      <c r="G973" s="2"/>
      <c r="H973" s="2"/>
    </row>
    <row r="974" spans="3:8" ht="17.25" customHeight="1" x14ac:dyDescent="0.2">
      <c r="C974" s="20"/>
      <c r="D974" s="2"/>
      <c r="E974" s="2"/>
      <c r="F974" s="2"/>
      <c r="G974" s="2"/>
      <c r="H974" s="2"/>
    </row>
    <row r="975" spans="3:8" ht="17.25" customHeight="1" x14ac:dyDescent="0.2">
      <c r="C975" s="20"/>
      <c r="D975" s="2"/>
      <c r="E975" s="2"/>
      <c r="F975" s="2"/>
      <c r="G975" s="2"/>
      <c r="H975" s="2"/>
    </row>
    <row r="976" spans="3:8" ht="17.25" customHeight="1" x14ac:dyDescent="0.2">
      <c r="C976" s="20"/>
      <c r="D976" s="2"/>
      <c r="E976" s="2"/>
      <c r="F976" s="2"/>
      <c r="G976" s="2"/>
      <c r="H976" s="2"/>
    </row>
    <row r="977" spans="3:8" ht="17.25" customHeight="1" x14ac:dyDescent="0.2">
      <c r="C977" s="20"/>
      <c r="D977" s="2"/>
      <c r="E977" s="2"/>
      <c r="F977" s="2"/>
      <c r="G977" s="2"/>
      <c r="H977" s="2"/>
    </row>
    <row r="978" spans="3:8" ht="17.25" customHeight="1" x14ac:dyDescent="0.2">
      <c r="C978" s="20"/>
      <c r="D978" s="2"/>
      <c r="E978" s="2"/>
      <c r="F978" s="2"/>
      <c r="G978" s="2"/>
      <c r="H978" s="2"/>
    </row>
    <row r="979" spans="3:8" ht="17.25" customHeight="1" x14ac:dyDescent="0.2">
      <c r="C979" s="20"/>
      <c r="D979" s="2"/>
      <c r="E979" s="2"/>
      <c r="F979" s="2"/>
      <c r="G979" s="2"/>
      <c r="H979" s="2"/>
    </row>
    <row r="980" spans="3:8" ht="17.25" customHeight="1" x14ac:dyDescent="0.2">
      <c r="C980" s="20"/>
      <c r="D980" s="2"/>
      <c r="E980" s="2"/>
      <c r="F980" s="2"/>
      <c r="G980" s="2"/>
      <c r="H980" s="2"/>
    </row>
    <row r="981" spans="3:8" ht="17.25" customHeight="1" x14ac:dyDescent="0.2">
      <c r="C981" s="20"/>
      <c r="D981" s="2"/>
      <c r="E981" s="2"/>
      <c r="F981" s="2"/>
      <c r="G981" s="2"/>
      <c r="H981" s="2"/>
    </row>
    <row r="982" spans="3:8" ht="17.25" customHeight="1" x14ac:dyDescent="0.2">
      <c r="C982" s="20"/>
      <c r="D982" s="2"/>
      <c r="E982" s="2"/>
      <c r="F982" s="2"/>
      <c r="G982" s="2"/>
      <c r="H982" s="2"/>
    </row>
    <row r="983" spans="3:8" ht="17.25" customHeight="1" x14ac:dyDescent="0.2">
      <c r="C983" s="20"/>
      <c r="D983" s="2"/>
      <c r="E983" s="2"/>
      <c r="F983" s="2"/>
      <c r="G983" s="2"/>
      <c r="H983" s="2"/>
    </row>
    <row r="984" spans="3:8" ht="17.25" customHeight="1" x14ac:dyDescent="0.2">
      <c r="C984" s="20"/>
      <c r="D984" s="2"/>
      <c r="E984" s="2"/>
      <c r="F984" s="2"/>
      <c r="G984" s="2"/>
      <c r="H984" s="2"/>
    </row>
    <row r="985" spans="3:8" ht="17.25" customHeight="1" x14ac:dyDescent="0.2">
      <c r="C985" s="20"/>
      <c r="D985" s="2"/>
      <c r="E985" s="2"/>
      <c r="F985" s="2"/>
      <c r="G985" s="2"/>
      <c r="H985" s="2"/>
    </row>
    <row r="986" spans="3:8" ht="17.25" customHeight="1" x14ac:dyDescent="0.2">
      <c r="C986" s="20"/>
      <c r="D986" s="2"/>
      <c r="E986" s="2"/>
      <c r="F986" s="2"/>
      <c r="G986" s="2"/>
      <c r="H986" s="2"/>
    </row>
    <row r="987" spans="3:8" ht="17.25" customHeight="1" x14ac:dyDescent="0.2">
      <c r="C987" s="20"/>
      <c r="D987" s="2"/>
      <c r="E987" s="2"/>
      <c r="F987" s="2"/>
      <c r="G987" s="2"/>
      <c r="H987" s="2"/>
    </row>
    <row r="988" spans="3:8" ht="17.25" customHeight="1" x14ac:dyDescent="0.2">
      <c r="C988" s="20"/>
      <c r="D988" s="2"/>
      <c r="E988" s="2"/>
      <c r="F988" s="2"/>
      <c r="G988" s="2"/>
      <c r="H988" s="2"/>
    </row>
    <row r="989" spans="3:8" ht="17.25" customHeight="1" x14ac:dyDescent="0.2">
      <c r="C989" s="20"/>
      <c r="D989" s="2"/>
      <c r="E989" s="2"/>
      <c r="F989" s="2"/>
      <c r="G989" s="2"/>
      <c r="H989" s="2"/>
    </row>
    <row r="990" spans="3:8" ht="17.25" customHeight="1" x14ac:dyDescent="0.2">
      <c r="C990" s="20"/>
      <c r="D990" s="2"/>
      <c r="E990" s="2"/>
      <c r="F990" s="2"/>
      <c r="G990" s="2"/>
      <c r="H990" s="2"/>
    </row>
    <row r="991" spans="3:8" ht="17.25" customHeight="1" x14ac:dyDescent="0.2">
      <c r="C991" s="20"/>
      <c r="D991" s="2"/>
      <c r="E991" s="2"/>
      <c r="F991" s="2"/>
      <c r="G991" s="2"/>
      <c r="H991" s="2"/>
    </row>
    <row r="992" spans="3:8" ht="17.25" customHeight="1" x14ac:dyDescent="0.2">
      <c r="C992" s="20"/>
      <c r="D992" s="2"/>
      <c r="E992" s="2"/>
      <c r="F992" s="2"/>
      <c r="G992" s="2"/>
      <c r="H992" s="2"/>
    </row>
    <row r="993" spans="3:8" ht="17.25" customHeight="1" x14ac:dyDescent="0.2">
      <c r="C993" s="20"/>
      <c r="D993" s="2"/>
      <c r="E993" s="2"/>
      <c r="F993" s="2"/>
      <c r="G993" s="2"/>
      <c r="H993" s="2"/>
    </row>
    <row r="994" spans="3:8" ht="17.25" customHeight="1" x14ac:dyDescent="0.2">
      <c r="C994" s="20"/>
      <c r="D994" s="2"/>
      <c r="E994" s="2"/>
      <c r="F994" s="2"/>
      <c r="G994" s="2"/>
      <c r="H994" s="2"/>
    </row>
    <row r="995" spans="3:8" ht="17.25" customHeight="1" x14ac:dyDescent="0.2">
      <c r="C995" s="20"/>
      <c r="D995" s="2"/>
      <c r="E995" s="2"/>
      <c r="F995" s="2"/>
      <c r="G995" s="2"/>
      <c r="H995" s="2"/>
    </row>
    <row r="996" spans="3:8" ht="17.25" customHeight="1" x14ac:dyDescent="0.2">
      <c r="C996" s="20"/>
      <c r="D996" s="2"/>
      <c r="E996" s="2"/>
      <c r="F996" s="2"/>
      <c r="G996" s="2"/>
      <c r="H996" s="2"/>
    </row>
    <row r="997" spans="3:8" ht="17.25" customHeight="1" x14ac:dyDescent="0.2">
      <c r="C997" s="20"/>
      <c r="D997" s="2"/>
      <c r="E997" s="2"/>
      <c r="F997" s="2"/>
      <c r="G997" s="2"/>
      <c r="H997" s="2"/>
    </row>
    <row r="998" spans="3:8" ht="17.25" customHeight="1" x14ac:dyDescent="0.2">
      <c r="C998" s="20"/>
      <c r="D998" s="2"/>
      <c r="E998" s="2"/>
      <c r="F998" s="2"/>
      <c r="G998" s="2"/>
      <c r="H998" s="2"/>
    </row>
    <row r="999" spans="3:8" ht="17.25" customHeight="1" x14ac:dyDescent="0.2">
      <c r="C999" s="20"/>
      <c r="D999" s="2"/>
      <c r="E999" s="2"/>
      <c r="F999" s="2"/>
      <c r="G999" s="2"/>
      <c r="H999" s="2"/>
    </row>
    <row r="1000" spans="3:8" ht="17.25" customHeight="1" x14ac:dyDescent="0.2">
      <c r="C1000" s="20"/>
      <c r="D1000" s="2"/>
      <c r="E1000" s="2"/>
      <c r="F1000" s="2"/>
      <c r="G1000" s="2"/>
      <c r="H1000" s="2"/>
    </row>
    <row r="1001" spans="3:8" ht="17.25" customHeight="1" x14ac:dyDescent="0.2">
      <c r="C1001" s="20"/>
      <c r="D1001" s="2"/>
      <c r="E1001" s="2"/>
      <c r="F1001" s="2"/>
      <c r="G1001" s="2"/>
      <c r="H1001" s="2"/>
    </row>
    <row r="1002" spans="3:8" ht="17.25" customHeight="1" x14ac:dyDescent="0.2">
      <c r="C1002" s="20"/>
      <c r="D1002" s="2"/>
      <c r="E1002" s="2"/>
      <c r="F1002" s="2"/>
      <c r="G1002" s="2"/>
      <c r="H1002" s="2"/>
    </row>
    <row r="1003" spans="3:8" ht="17.25" customHeight="1" x14ac:dyDescent="0.2">
      <c r="C1003" s="20"/>
      <c r="D1003" s="2"/>
      <c r="E1003" s="2"/>
      <c r="F1003" s="2"/>
      <c r="G1003" s="2"/>
      <c r="H1003" s="2"/>
    </row>
    <row r="1004" spans="3:8" ht="17.25" customHeight="1" x14ac:dyDescent="0.2">
      <c r="C1004" s="20"/>
      <c r="D1004" s="2"/>
      <c r="E1004" s="2"/>
      <c r="F1004" s="2"/>
      <c r="G1004" s="2"/>
      <c r="H1004"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002"/>
  <sheetViews>
    <sheetView workbookViewId="0"/>
  </sheetViews>
  <sheetFormatPr baseColWidth="10" defaultColWidth="8.83203125" defaultRowHeight="15" x14ac:dyDescent="0.2"/>
  <cols>
    <col min="1" max="1" width="11.83203125" style="18" bestFit="1" customWidth="1"/>
    <col min="2" max="2" width="10.83203125" style="19" bestFit="1" customWidth="1"/>
    <col min="3" max="3" width="11.83203125" style="14" bestFit="1" customWidth="1"/>
    <col min="4" max="8" width="7.5" style="3" bestFit="1" customWidth="1"/>
  </cols>
  <sheetData>
    <row r="1" spans="1:8" ht="17.25" customHeight="1" x14ac:dyDescent="0.2">
      <c r="A1" s="16" t="s">
        <v>34</v>
      </c>
      <c r="B1" s="17" t="s">
        <v>35</v>
      </c>
      <c r="D1" s="2"/>
      <c r="E1" s="2"/>
      <c r="F1" s="2"/>
      <c r="G1" s="2"/>
      <c r="H1" s="2"/>
    </row>
    <row r="2" spans="1:8" ht="17.25" customHeight="1" x14ac:dyDescent="0.2">
      <c r="C2" s="20"/>
      <c r="D2" s="2"/>
      <c r="E2" s="2"/>
      <c r="F2" s="2"/>
      <c r="G2" s="2"/>
      <c r="H2" s="2"/>
    </row>
    <row r="3" spans="1:8" ht="17.25" customHeight="1" x14ac:dyDescent="0.2">
      <c r="A3" s="15">
        <v>212.7</v>
      </c>
      <c r="B3" s="21">
        <f>A3*20/19</f>
        <v>223.89473684210526</v>
      </c>
      <c r="C3" s="20"/>
      <c r="D3" s="2"/>
      <c r="E3" s="2"/>
      <c r="F3" s="2"/>
      <c r="G3" s="2"/>
      <c r="H3" s="2"/>
    </row>
    <row r="4" spans="1:8" ht="17.25" customHeight="1" x14ac:dyDescent="0.2">
      <c r="A4" s="15">
        <v>225.2</v>
      </c>
      <c r="B4" s="21">
        <f>A4*20/19</f>
        <v>237.05263157894737</v>
      </c>
      <c r="C4" s="20"/>
      <c r="D4" s="2"/>
      <c r="E4" s="2"/>
      <c r="F4" s="2"/>
      <c r="G4" s="2"/>
      <c r="H4" s="2"/>
    </row>
    <row r="5" spans="1:8" ht="17.25" customHeight="1" x14ac:dyDescent="0.2">
      <c r="A5" s="15">
        <v>323.89999999999998</v>
      </c>
      <c r="B5" s="21">
        <f>A5*20/19</f>
        <v>340.94736842105266</v>
      </c>
      <c r="C5" s="20"/>
      <c r="D5" s="2"/>
      <c r="E5" s="2"/>
      <c r="F5" s="2"/>
      <c r="G5" s="2"/>
      <c r="H5" s="2"/>
    </row>
    <row r="6" spans="1:8" ht="17.25" customHeight="1" x14ac:dyDescent="0.2">
      <c r="B6" s="17"/>
      <c r="C6" s="20"/>
      <c r="D6" s="2"/>
      <c r="E6" s="2"/>
      <c r="F6" s="2"/>
      <c r="G6" s="2"/>
      <c r="H6" s="2"/>
    </row>
    <row r="7" spans="1:8" ht="17.25" customHeight="1" x14ac:dyDescent="0.2">
      <c r="C7" s="20"/>
      <c r="D7" s="2"/>
      <c r="E7" s="2"/>
      <c r="F7" s="2"/>
      <c r="G7" s="2"/>
      <c r="H7" s="2"/>
    </row>
    <row r="8" spans="1:8" ht="17.25" customHeight="1" x14ac:dyDescent="0.2">
      <c r="B8" s="17"/>
      <c r="C8" s="20"/>
      <c r="D8" s="2"/>
      <c r="E8" s="2"/>
      <c r="F8" s="2"/>
      <c r="G8" s="2"/>
      <c r="H8" s="2"/>
    </row>
    <row r="9" spans="1:8" ht="17.25" customHeight="1" x14ac:dyDescent="0.2">
      <c r="B9" s="17"/>
      <c r="C9" s="20"/>
      <c r="D9" s="2"/>
      <c r="E9" s="2"/>
      <c r="F9" s="2"/>
      <c r="G9" s="2"/>
      <c r="H9" s="2"/>
    </row>
    <row r="10" spans="1:8" ht="17.25" customHeight="1" x14ac:dyDescent="0.2">
      <c r="B10" s="17"/>
      <c r="C10" s="20"/>
      <c r="D10" s="2"/>
      <c r="E10" s="2"/>
      <c r="F10" s="2"/>
      <c r="G10" s="2"/>
      <c r="H10" s="2"/>
    </row>
    <row r="11" spans="1:8" ht="17.25" customHeight="1" x14ac:dyDescent="0.2">
      <c r="C11" s="20"/>
      <c r="D11" s="2"/>
      <c r="E11" s="2"/>
      <c r="F11" s="2"/>
      <c r="G11" s="2"/>
      <c r="H11" s="2"/>
    </row>
    <row r="12" spans="1:8" ht="17.25" customHeight="1" x14ac:dyDescent="0.2">
      <c r="A12" s="16"/>
      <c r="B12" s="17"/>
      <c r="C12" s="20"/>
      <c r="D12" s="2"/>
      <c r="E12" s="2"/>
      <c r="F12" s="2"/>
      <c r="G12" s="2"/>
      <c r="H12" s="2"/>
    </row>
    <row r="13" spans="1:8" ht="17.25" customHeight="1" x14ac:dyDescent="0.2">
      <c r="B13" s="17"/>
      <c r="C13" s="20"/>
      <c r="D13" s="2"/>
      <c r="E13" s="2"/>
      <c r="F13" s="2"/>
      <c r="G13" s="2"/>
      <c r="H13" s="2"/>
    </row>
    <row r="14" spans="1:8" ht="17.25" customHeight="1" x14ac:dyDescent="0.2">
      <c r="C14" s="20"/>
      <c r="D14" s="2"/>
      <c r="E14" s="2"/>
      <c r="F14" s="2"/>
      <c r="G14" s="2"/>
      <c r="H14" s="2"/>
    </row>
    <row r="15" spans="1:8" ht="17.25" customHeight="1" x14ac:dyDescent="0.2">
      <c r="B15" s="17"/>
      <c r="C15" s="20"/>
      <c r="D15" s="2"/>
      <c r="E15" s="2"/>
      <c r="F15" s="2"/>
      <c r="G15" s="2"/>
      <c r="H15" s="2"/>
    </row>
    <row r="16" spans="1:8" ht="17.25" customHeight="1" x14ac:dyDescent="0.2">
      <c r="B16" s="17"/>
      <c r="C16" s="20"/>
      <c r="D16" s="2"/>
      <c r="E16" s="2"/>
      <c r="F16" s="2"/>
      <c r="G16" s="2"/>
      <c r="H16" s="2"/>
    </row>
    <row r="17" spans="1:8" ht="17.25" customHeight="1" x14ac:dyDescent="0.2">
      <c r="C17" s="20"/>
      <c r="D17" s="2"/>
      <c r="E17" s="2"/>
      <c r="F17" s="2"/>
      <c r="G17" s="2"/>
      <c r="H17" s="2"/>
    </row>
    <row r="18" spans="1:8" ht="17.25" customHeight="1" x14ac:dyDescent="0.2">
      <c r="A18" s="16"/>
      <c r="B18" s="17"/>
      <c r="C18" s="7"/>
      <c r="D18" s="9"/>
      <c r="E18" s="9"/>
      <c r="F18" s="9"/>
      <c r="G18" s="9"/>
      <c r="H18" s="9"/>
    </row>
    <row r="19" spans="1:8" ht="17.25" customHeight="1" x14ac:dyDescent="0.2">
      <c r="B19" s="17"/>
      <c r="C19" s="20"/>
      <c r="D19" s="20"/>
      <c r="E19" s="20"/>
      <c r="F19" s="20"/>
      <c r="G19" s="20"/>
      <c r="H19" s="20"/>
    </row>
    <row r="20" spans="1:8" ht="17.25" customHeight="1" x14ac:dyDescent="0.2">
      <c r="C20" s="20"/>
      <c r="D20" s="2"/>
      <c r="E20" s="2"/>
      <c r="F20" s="2"/>
      <c r="G20" s="2"/>
      <c r="H20" s="2"/>
    </row>
    <row r="21" spans="1:8" ht="17.25" customHeight="1" x14ac:dyDescent="0.2">
      <c r="C21" s="20"/>
      <c r="D21" s="2"/>
      <c r="E21" s="2"/>
      <c r="F21" s="2"/>
      <c r="G21" s="2"/>
      <c r="H21" s="2"/>
    </row>
    <row r="22" spans="1:8" ht="17.25" customHeight="1" x14ac:dyDescent="0.2">
      <c r="C22" s="20"/>
      <c r="D22" s="2"/>
      <c r="E22" s="2"/>
      <c r="F22" s="2"/>
      <c r="G22" s="2"/>
      <c r="H22" s="2"/>
    </row>
    <row r="23" spans="1:8" ht="17.25" customHeight="1" x14ac:dyDescent="0.2">
      <c r="C23" s="20"/>
      <c r="D23" s="2"/>
      <c r="E23" s="2"/>
      <c r="F23" s="2"/>
      <c r="G23" s="2"/>
      <c r="H23" s="2"/>
    </row>
    <row r="24" spans="1:8" ht="17.25" customHeight="1" x14ac:dyDescent="0.2">
      <c r="C24" s="20"/>
      <c r="D24" s="2"/>
      <c r="E24" s="2"/>
      <c r="F24" s="2"/>
      <c r="G24" s="2"/>
      <c r="H24" s="2"/>
    </row>
    <row r="25" spans="1:8" ht="17.25" customHeight="1" x14ac:dyDescent="0.2">
      <c r="C25" s="20"/>
      <c r="D25" s="2"/>
      <c r="E25" s="2"/>
      <c r="F25" s="2"/>
      <c r="G25" s="2"/>
      <c r="H25" s="2"/>
    </row>
    <row r="26" spans="1:8" ht="17.25" customHeight="1" x14ac:dyDescent="0.2">
      <c r="C26" s="20"/>
      <c r="D26" s="2"/>
      <c r="E26" s="2"/>
      <c r="F26" s="2"/>
      <c r="G26" s="2"/>
      <c r="H26" s="2"/>
    </row>
    <row r="27" spans="1:8" ht="17.25" customHeight="1" x14ac:dyDescent="0.2">
      <c r="C27" s="20"/>
      <c r="D27" s="2"/>
      <c r="E27" s="2"/>
      <c r="F27" s="2"/>
      <c r="G27" s="2"/>
      <c r="H27" s="2"/>
    </row>
    <row r="28" spans="1:8" ht="17.25" customHeight="1" x14ac:dyDescent="0.2">
      <c r="C28" s="20"/>
      <c r="D28" s="2"/>
      <c r="E28" s="2"/>
      <c r="F28" s="2"/>
      <c r="G28" s="2"/>
      <c r="H28" s="2"/>
    </row>
    <row r="29" spans="1:8" ht="17.25" customHeight="1" x14ac:dyDescent="0.2">
      <c r="C29" s="20"/>
      <c r="D29" s="2"/>
      <c r="E29" s="2"/>
      <c r="F29" s="2"/>
      <c r="G29" s="2"/>
      <c r="H29" s="2"/>
    </row>
    <row r="30" spans="1:8" ht="17.25" customHeight="1" x14ac:dyDescent="0.2">
      <c r="C30" s="20"/>
      <c r="D30" s="2"/>
      <c r="E30" s="2"/>
      <c r="F30" s="2"/>
      <c r="G30" s="2"/>
      <c r="H30" s="2"/>
    </row>
    <row r="31" spans="1:8" ht="17.25" customHeight="1" x14ac:dyDescent="0.2">
      <c r="C31" s="20"/>
      <c r="D31" s="2"/>
      <c r="E31" s="2"/>
      <c r="F31" s="2"/>
      <c r="G31" s="2"/>
      <c r="H31" s="2"/>
    </row>
    <row r="32" spans="1:8" ht="17.25" customHeight="1" x14ac:dyDescent="0.2">
      <c r="C32" s="20"/>
      <c r="D32" s="2"/>
      <c r="E32" s="2"/>
      <c r="F32" s="2"/>
      <c r="G32" s="2"/>
      <c r="H32" s="2"/>
    </row>
    <row r="33" spans="3:8" ht="17.25" customHeight="1" x14ac:dyDescent="0.2">
      <c r="C33" s="20"/>
      <c r="D33" s="2"/>
      <c r="E33" s="2"/>
      <c r="F33" s="2"/>
      <c r="G33" s="2"/>
      <c r="H33" s="2"/>
    </row>
    <row r="34" spans="3:8" ht="17.25" customHeight="1" x14ac:dyDescent="0.2">
      <c r="C34" s="20"/>
      <c r="D34" s="2"/>
      <c r="E34" s="2"/>
      <c r="F34" s="2"/>
      <c r="G34" s="2"/>
      <c r="H34" s="2"/>
    </row>
    <row r="35" spans="3:8" ht="17.25" customHeight="1" x14ac:dyDescent="0.2">
      <c r="C35" s="20"/>
      <c r="D35" s="2"/>
      <c r="E35" s="2"/>
      <c r="F35" s="2"/>
      <c r="G35" s="2"/>
      <c r="H35" s="2"/>
    </row>
    <row r="36" spans="3:8" ht="17.25" customHeight="1" x14ac:dyDescent="0.2">
      <c r="C36" s="20"/>
      <c r="D36" s="2"/>
      <c r="E36" s="2"/>
      <c r="F36" s="2"/>
      <c r="G36" s="2"/>
      <c r="H36" s="2"/>
    </row>
    <row r="37" spans="3:8" ht="17.25" customHeight="1" x14ac:dyDescent="0.2">
      <c r="C37" s="20"/>
      <c r="D37" s="2"/>
      <c r="E37" s="2"/>
      <c r="F37" s="2"/>
      <c r="G37" s="2"/>
      <c r="H37" s="2"/>
    </row>
    <row r="38" spans="3:8" ht="17.25" customHeight="1" x14ac:dyDescent="0.2">
      <c r="C38" s="20"/>
      <c r="D38" s="2"/>
      <c r="E38" s="2"/>
      <c r="F38" s="2"/>
      <c r="G38" s="2"/>
      <c r="H38" s="2"/>
    </row>
    <row r="39" spans="3:8" ht="17.25" customHeight="1" x14ac:dyDescent="0.2">
      <c r="C39" s="20"/>
      <c r="D39" s="2"/>
      <c r="E39" s="2"/>
      <c r="F39" s="2"/>
      <c r="G39" s="2"/>
      <c r="H39" s="2"/>
    </row>
    <row r="40" spans="3:8" ht="17.25" customHeight="1" x14ac:dyDescent="0.2">
      <c r="C40" s="20"/>
      <c r="D40" s="2"/>
      <c r="E40" s="2"/>
      <c r="F40" s="2"/>
      <c r="G40" s="2"/>
      <c r="H40" s="2"/>
    </row>
    <row r="41" spans="3:8" ht="17.25" customHeight="1" x14ac:dyDescent="0.2">
      <c r="C41" s="20"/>
      <c r="D41" s="2"/>
      <c r="E41" s="2"/>
      <c r="F41" s="2"/>
      <c r="G41" s="2"/>
      <c r="H41" s="2"/>
    </row>
    <row r="42" spans="3:8" ht="17.25" customHeight="1" x14ac:dyDescent="0.2">
      <c r="C42" s="20"/>
      <c r="D42" s="2"/>
      <c r="E42" s="2"/>
      <c r="F42" s="2"/>
      <c r="G42" s="2"/>
      <c r="H42" s="2"/>
    </row>
    <row r="43" spans="3:8" ht="17.25" customHeight="1" x14ac:dyDescent="0.2">
      <c r="C43" s="20"/>
      <c r="D43" s="2"/>
      <c r="E43" s="2"/>
      <c r="F43" s="2"/>
      <c r="G43" s="2"/>
      <c r="H43" s="2"/>
    </row>
    <row r="44" spans="3:8" ht="17.25" customHeight="1" x14ac:dyDescent="0.2">
      <c r="C44" s="20"/>
      <c r="D44" s="2"/>
      <c r="E44" s="2"/>
      <c r="F44" s="2"/>
      <c r="G44" s="2"/>
      <c r="H44" s="2"/>
    </row>
    <row r="45" spans="3:8" ht="17.25" customHeight="1" x14ac:dyDescent="0.2">
      <c r="C45" s="20"/>
      <c r="D45" s="2"/>
      <c r="E45" s="2"/>
      <c r="F45" s="2"/>
      <c r="G45" s="2"/>
      <c r="H45" s="2"/>
    </row>
    <row r="46" spans="3:8" ht="17.25" customHeight="1" x14ac:dyDescent="0.2">
      <c r="C46" s="20"/>
      <c r="D46" s="2"/>
      <c r="E46" s="2"/>
      <c r="F46" s="2"/>
      <c r="G46" s="2"/>
      <c r="H46" s="2"/>
    </row>
    <row r="47" spans="3:8" ht="17.25" customHeight="1" x14ac:dyDescent="0.2">
      <c r="C47" s="20"/>
      <c r="D47" s="2"/>
      <c r="E47" s="2"/>
      <c r="F47" s="2"/>
      <c r="G47" s="2"/>
      <c r="H47" s="2"/>
    </row>
    <row r="48" spans="3:8" ht="17.25" customHeight="1" x14ac:dyDescent="0.2">
      <c r="C48" s="20"/>
      <c r="D48" s="2"/>
      <c r="E48" s="2"/>
      <c r="F48" s="2"/>
      <c r="G48" s="2"/>
      <c r="H48" s="2"/>
    </row>
    <row r="49" spans="3:8" ht="17.25" customHeight="1" x14ac:dyDescent="0.2">
      <c r="C49" s="20"/>
      <c r="D49" s="2"/>
      <c r="E49" s="2"/>
      <c r="F49" s="2"/>
      <c r="G49" s="2"/>
      <c r="H49" s="2"/>
    </row>
    <row r="50" spans="3:8" ht="17.25" customHeight="1" x14ac:dyDescent="0.2">
      <c r="C50" s="20"/>
      <c r="D50" s="2"/>
      <c r="E50" s="2"/>
      <c r="F50" s="2"/>
      <c r="G50" s="2"/>
      <c r="H50" s="2"/>
    </row>
    <row r="51" spans="3:8" ht="17.25" customHeight="1" x14ac:dyDescent="0.2">
      <c r="C51" s="20"/>
      <c r="D51" s="2"/>
      <c r="E51" s="2"/>
      <c r="F51" s="2"/>
      <c r="G51" s="2"/>
      <c r="H51" s="2"/>
    </row>
    <row r="52" spans="3:8" ht="17.25" customHeight="1" x14ac:dyDescent="0.2">
      <c r="C52" s="20"/>
      <c r="D52" s="2"/>
      <c r="E52" s="2"/>
      <c r="F52" s="2"/>
      <c r="G52" s="2"/>
      <c r="H52" s="2"/>
    </row>
    <row r="53" spans="3:8" ht="17.25" customHeight="1" x14ac:dyDescent="0.2">
      <c r="C53" s="20"/>
      <c r="D53" s="2"/>
      <c r="E53" s="2"/>
      <c r="F53" s="2"/>
      <c r="G53" s="2"/>
      <c r="H53" s="2"/>
    </row>
    <row r="54" spans="3:8" ht="17.25" customHeight="1" x14ac:dyDescent="0.2">
      <c r="C54" s="20"/>
      <c r="D54" s="2"/>
      <c r="E54" s="2"/>
      <c r="F54" s="2"/>
      <c r="G54" s="2"/>
      <c r="H54" s="2"/>
    </row>
    <row r="55" spans="3:8" ht="17.25" customHeight="1" x14ac:dyDescent="0.2">
      <c r="C55" s="20"/>
      <c r="D55" s="2"/>
      <c r="E55" s="2"/>
      <c r="F55" s="2"/>
      <c r="G55" s="2"/>
      <c r="H55" s="2"/>
    </row>
    <row r="56" spans="3:8" ht="17.25" customHeight="1" x14ac:dyDescent="0.2">
      <c r="C56" s="20"/>
      <c r="D56" s="2"/>
      <c r="E56" s="2"/>
      <c r="F56" s="2"/>
      <c r="G56" s="2"/>
      <c r="H56" s="2"/>
    </row>
    <row r="57" spans="3:8" ht="17.25" customHeight="1" x14ac:dyDescent="0.2">
      <c r="C57" s="20"/>
      <c r="D57" s="2"/>
      <c r="E57" s="2"/>
      <c r="F57" s="2"/>
      <c r="G57" s="2"/>
      <c r="H57" s="2"/>
    </row>
    <row r="58" spans="3:8" ht="17.25" customHeight="1" x14ac:dyDescent="0.2">
      <c r="C58" s="20"/>
      <c r="D58" s="2"/>
      <c r="E58" s="2"/>
      <c r="F58" s="2"/>
      <c r="G58" s="2"/>
      <c r="H58" s="2"/>
    </row>
    <row r="59" spans="3:8" ht="17.25" customHeight="1" x14ac:dyDescent="0.2">
      <c r="C59" s="20"/>
      <c r="D59" s="2"/>
      <c r="E59" s="2"/>
      <c r="F59" s="2"/>
      <c r="G59" s="2"/>
      <c r="H59" s="2"/>
    </row>
    <row r="60" spans="3:8" ht="17.25" customHeight="1" x14ac:dyDescent="0.2">
      <c r="C60" s="20"/>
      <c r="D60" s="2"/>
      <c r="E60" s="2"/>
      <c r="F60" s="2"/>
      <c r="G60" s="2"/>
      <c r="H60" s="2"/>
    </row>
    <row r="61" spans="3:8" ht="17.25" customHeight="1" x14ac:dyDescent="0.2">
      <c r="C61" s="20"/>
      <c r="D61" s="2"/>
      <c r="E61" s="2"/>
      <c r="F61" s="2"/>
      <c r="G61" s="2"/>
      <c r="H61" s="2"/>
    </row>
    <row r="62" spans="3:8" ht="17.25" customHeight="1" x14ac:dyDescent="0.2">
      <c r="C62" s="20"/>
      <c r="D62" s="2"/>
      <c r="E62" s="2"/>
      <c r="F62" s="2"/>
      <c r="G62" s="2"/>
      <c r="H62" s="2"/>
    </row>
    <row r="63" spans="3:8" ht="17.25" customHeight="1" x14ac:dyDescent="0.2">
      <c r="C63" s="20"/>
      <c r="D63" s="2"/>
      <c r="E63" s="2"/>
      <c r="F63" s="2"/>
      <c r="G63" s="2"/>
      <c r="H63" s="2"/>
    </row>
    <row r="64" spans="3:8" ht="17.25" customHeight="1" x14ac:dyDescent="0.2">
      <c r="C64" s="20"/>
      <c r="D64" s="2"/>
      <c r="E64" s="2"/>
      <c r="F64" s="2"/>
      <c r="G64" s="2"/>
      <c r="H64" s="2"/>
    </row>
    <row r="65" spans="3:8" ht="17.25" customHeight="1" x14ac:dyDescent="0.2">
      <c r="C65" s="20"/>
      <c r="D65" s="2"/>
      <c r="E65" s="2"/>
      <c r="F65" s="2"/>
      <c r="G65" s="2"/>
      <c r="H65" s="2"/>
    </row>
    <row r="66" spans="3:8" ht="17.25" customHeight="1" x14ac:dyDescent="0.2">
      <c r="C66" s="20"/>
      <c r="D66" s="2"/>
      <c r="E66" s="2"/>
      <c r="F66" s="2"/>
      <c r="G66" s="2"/>
      <c r="H66" s="2"/>
    </row>
    <row r="67" spans="3:8" ht="17.25" customHeight="1" x14ac:dyDescent="0.2">
      <c r="C67" s="20"/>
      <c r="D67" s="2"/>
      <c r="E67" s="2"/>
      <c r="F67" s="2"/>
      <c r="G67" s="2"/>
      <c r="H67" s="2"/>
    </row>
    <row r="68" spans="3:8" ht="17.25" customHeight="1" x14ac:dyDescent="0.2">
      <c r="C68" s="20"/>
      <c r="D68" s="2"/>
      <c r="E68" s="2"/>
      <c r="F68" s="2"/>
      <c r="G68" s="2"/>
      <c r="H68" s="2"/>
    </row>
    <row r="69" spans="3:8" ht="17.25" customHeight="1" x14ac:dyDescent="0.2">
      <c r="C69" s="20"/>
      <c r="D69" s="2"/>
      <c r="E69" s="2"/>
      <c r="F69" s="2"/>
      <c r="G69" s="2"/>
      <c r="H69" s="2"/>
    </row>
    <row r="70" spans="3:8" ht="17.25" customHeight="1" x14ac:dyDescent="0.2">
      <c r="C70" s="20"/>
      <c r="D70" s="2"/>
      <c r="E70" s="2"/>
      <c r="F70" s="2"/>
      <c r="G70" s="2"/>
      <c r="H70" s="2"/>
    </row>
    <row r="71" spans="3:8" ht="17.25" customHeight="1" x14ac:dyDescent="0.2">
      <c r="C71" s="20"/>
      <c r="D71" s="2"/>
      <c r="E71" s="2"/>
      <c r="F71" s="2"/>
      <c r="G71" s="2"/>
      <c r="H71" s="2"/>
    </row>
    <row r="72" spans="3:8" ht="17.25" customHeight="1" x14ac:dyDescent="0.2">
      <c r="C72" s="20"/>
      <c r="D72" s="2"/>
      <c r="E72" s="2"/>
      <c r="F72" s="2"/>
      <c r="G72" s="2"/>
      <c r="H72" s="2"/>
    </row>
    <row r="73" spans="3:8" ht="17.25" customHeight="1" x14ac:dyDescent="0.2">
      <c r="C73" s="20"/>
      <c r="D73" s="2"/>
      <c r="E73" s="2"/>
      <c r="F73" s="2"/>
      <c r="G73" s="2"/>
      <c r="H73" s="2"/>
    </row>
    <row r="74" spans="3:8" ht="17.25" customHeight="1" x14ac:dyDescent="0.2">
      <c r="C74" s="20"/>
      <c r="D74" s="2"/>
      <c r="E74" s="2"/>
      <c r="F74" s="2"/>
      <c r="G74" s="2"/>
      <c r="H74" s="2"/>
    </row>
    <row r="75" spans="3:8" ht="17.25" customHeight="1" x14ac:dyDescent="0.2">
      <c r="C75" s="20"/>
      <c r="D75" s="2"/>
      <c r="E75" s="2"/>
      <c r="F75" s="2"/>
      <c r="G75" s="2"/>
      <c r="H75" s="2"/>
    </row>
    <row r="76" spans="3:8" ht="17.25" customHeight="1" x14ac:dyDescent="0.2">
      <c r="C76" s="20"/>
      <c r="D76" s="2"/>
      <c r="E76" s="2"/>
      <c r="F76" s="2"/>
      <c r="G76" s="2"/>
      <c r="H76" s="2"/>
    </row>
    <row r="77" spans="3:8" ht="17.25" customHeight="1" x14ac:dyDescent="0.2">
      <c r="C77" s="20"/>
      <c r="D77" s="2"/>
      <c r="E77" s="2"/>
      <c r="F77" s="2"/>
      <c r="G77" s="2"/>
      <c r="H77" s="2"/>
    </row>
    <row r="78" spans="3:8" ht="17.25" customHeight="1" x14ac:dyDescent="0.2">
      <c r="C78" s="20"/>
      <c r="D78" s="2"/>
      <c r="E78" s="2"/>
      <c r="F78" s="2"/>
      <c r="G78" s="2"/>
      <c r="H78" s="2"/>
    </row>
    <row r="79" spans="3:8" ht="17.25" customHeight="1" x14ac:dyDescent="0.2">
      <c r="C79" s="20"/>
      <c r="D79" s="2"/>
      <c r="E79" s="2"/>
      <c r="F79" s="2"/>
      <c r="G79" s="2"/>
      <c r="H79" s="2"/>
    </row>
    <row r="80" spans="3:8" ht="17.25" customHeight="1" x14ac:dyDescent="0.2">
      <c r="C80" s="20"/>
      <c r="D80" s="2"/>
      <c r="E80" s="2"/>
      <c r="F80" s="2"/>
      <c r="G80" s="2"/>
      <c r="H80" s="2"/>
    </row>
    <row r="81" spans="3:8" ht="17.25" customHeight="1" x14ac:dyDescent="0.2">
      <c r="C81" s="20"/>
      <c r="D81" s="2"/>
      <c r="E81" s="2"/>
      <c r="F81" s="2"/>
      <c r="G81" s="2"/>
      <c r="H81" s="2"/>
    </row>
    <row r="82" spans="3:8" ht="17.25" customHeight="1" x14ac:dyDescent="0.2">
      <c r="C82" s="20"/>
      <c r="D82" s="2"/>
      <c r="E82" s="2"/>
      <c r="F82" s="2"/>
      <c r="G82" s="2"/>
      <c r="H82" s="2"/>
    </row>
    <row r="83" spans="3:8" ht="17.25" customHeight="1" x14ac:dyDescent="0.2">
      <c r="C83" s="20"/>
      <c r="D83" s="2"/>
      <c r="E83" s="2"/>
      <c r="F83" s="2"/>
      <c r="G83" s="2"/>
      <c r="H83" s="2"/>
    </row>
    <row r="84" spans="3:8" ht="17.25" customHeight="1" x14ac:dyDescent="0.2">
      <c r="C84" s="20"/>
      <c r="D84" s="2"/>
      <c r="E84" s="2"/>
      <c r="F84" s="2"/>
      <c r="G84" s="2"/>
      <c r="H84" s="2"/>
    </row>
    <row r="85" spans="3:8" ht="17.25" customHeight="1" x14ac:dyDescent="0.2">
      <c r="C85" s="20"/>
      <c r="D85" s="2"/>
      <c r="E85" s="2"/>
      <c r="F85" s="2"/>
      <c r="G85" s="2"/>
      <c r="H85" s="2"/>
    </row>
    <row r="86" spans="3:8" ht="17.25" customHeight="1" x14ac:dyDescent="0.2">
      <c r="C86" s="20"/>
      <c r="D86" s="2"/>
      <c r="E86" s="2"/>
      <c r="F86" s="2"/>
      <c r="G86" s="2"/>
      <c r="H86" s="2"/>
    </row>
    <row r="87" spans="3:8" ht="17.25" customHeight="1" x14ac:dyDescent="0.2">
      <c r="C87" s="20"/>
      <c r="D87" s="2"/>
      <c r="E87" s="2"/>
      <c r="F87" s="2"/>
      <c r="G87" s="2"/>
      <c r="H87" s="2"/>
    </row>
    <row r="88" spans="3:8" ht="17.25" customHeight="1" x14ac:dyDescent="0.2">
      <c r="C88" s="20"/>
      <c r="D88" s="2"/>
      <c r="E88" s="2"/>
      <c r="F88" s="2"/>
      <c r="G88" s="2"/>
      <c r="H88" s="2"/>
    </row>
    <row r="89" spans="3:8" ht="17.25" customHeight="1" x14ac:dyDescent="0.2">
      <c r="C89" s="20"/>
      <c r="D89" s="2"/>
      <c r="E89" s="2"/>
      <c r="F89" s="2"/>
      <c r="G89" s="2"/>
      <c r="H89" s="2"/>
    </row>
    <row r="90" spans="3:8" ht="17.25" customHeight="1" x14ac:dyDescent="0.2">
      <c r="C90" s="20"/>
      <c r="D90" s="2"/>
      <c r="E90" s="2"/>
      <c r="F90" s="2"/>
      <c r="G90" s="2"/>
      <c r="H90" s="2"/>
    </row>
    <row r="91" spans="3:8" ht="17.25" customHeight="1" x14ac:dyDescent="0.2">
      <c r="C91" s="20"/>
      <c r="D91" s="2"/>
      <c r="E91" s="2"/>
      <c r="F91" s="2"/>
      <c r="G91" s="2"/>
      <c r="H91" s="2"/>
    </row>
    <row r="92" spans="3:8" ht="17.25" customHeight="1" x14ac:dyDescent="0.2">
      <c r="C92" s="20"/>
      <c r="D92" s="2"/>
      <c r="E92" s="2"/>
      <c r="F92" s="2"/>
      <c r="G92" s="2"/>
      <c r="H92" s="2"/>
    </row>
    <row r="93" spans="3:8" ht="17.25" customHeight="1" x14ac:dyDescent="0.2">
      <c r="C93" s="20"/>
      <c r="D93" s="2"/>
      <c r="E93" s="2"/>
      <c r="F93" s="2"/>
      <c r="G93" s="2"/>
      <c r="H93" s="2"/>
    </row>
    <row r="94" spans="3:8" ht="17.25" customHeight="1" x14ac:dyDescent="0.2">
      <c r="C94" s="20"/>
      <c r="D94" s="2"/>
      <c r="E94" s="2"/>
      <c r="F94" s="2"/>
      <c r="G94" s="2"/>
      <c r="H94" s="2"/>
    </row>
    <row r="95" spans="3:8" ht="17.25" customHeight="1" x14ac:dyDescent="0.2">
      <c r="C95" s="20"/>
      <c r="D95" s="2"/>
      <c r="E95" s="2"/>
      <c r="F95" s="2"/>
      <c r="G95" s="2"/>
      <c r="H95" s="2"/>
    </row>
    <row r="96" spans="3:8" ht="17.25" customHeight="1" x14ac:dyDescent="0.2">
      <c r="C96" s="20"/>
      <c r="D96" s="2"/>
      <c r="E96" s="2"/>
      <c r="F96" s="2"/>
      <c r="G96" s="2"/>
      <c r="H96" s="2"/>
    </row>
    <row r="97" spans="3:8" ht="17.25" customHeight="1" x14ac:dyDescent="0.2">
      <c r="C97" s="20"/>
      <c r="D97" s="2"/>
      <c r="E97" s="2"/>
      <c r="F97" s="2"/>
      <c r="G97" s="2"/>
      <c r="H97" s="2"/>
    </row>
    <row r="98" spans="3:8" ht="17.25" customHeight="1" x14ac:dyDescent="0.2">
      <c r="C98" s="20"/>
      <c r="D98" s="2"/>
      <c r="E98" s="2"/>
      <c r="F98" s="2"/>
      <c r="G98" s="2"/>
      <c r="H98" s="2"/>
    </row>
    <row r="99" spans="3:8" ht="17.25" customHeight="1" x14ac:dyDescent="0.2">
      <c r="C99" s="20"/>
      <c r="D99" s="2"/>
      <c r="E99" s="2"/>
      <c r="F99" s="2"/>
      <c r="G99" s="2"/>
      <c r="H99" s="2"/>
    </row>
    <row r="100" spans="3:8" ht="17.25" customHeight="1" x14ac:dyDescent="0.2">
      <c r="C100" s="20"/>
      <c r="D100" s="2"/>
      <c r="E100" s="2"/>
      <c r="F100" s="2"/>
      <c r="G100" s="2"/>
      <c r="H100" s="2"/>
    </row>
    <row r="101" spans="3:8" ht="17.25" customHeight="1" x14ac:dyDescent="0.2">
      <c r="C101" s="20"/>
      <c r="D101" s="2"/>
      <c r="E101" s="2"/>
      <c r="F101" s="2"/>
      <c r="G101" s="2"/>
      <c r="H101" s="2"/>
    </row>
    <row r="102" spans="3:8" ht="17.25" customHeight="1" x14ac:dyDescent="0.2">
      <c r="C102" s="20"/>
      <c r="D102" s="2"/>
      <c r="E102" s="2"/>
      <c r="F102" s="2"/>
      <c r="G102" s="2"/>
      <c r="H102" s="2"/>
    </row>
    <row r="103" spans="3:8" ht="17.25" customHeight="1" x14ac:dyDescent="0.2">
      <c r="C103" s="20"/>
      <c r="D103" s="2"/>
      <c r="E103" s="2"/>
      <c r="F103" s="2"/>
      <c r="G103" s="2"/>
      <c r="H103" s="2"/>
    </row>
    <row r="104" spans="3:8" ht="17.25" customHeight="1" x14ac:dyDescent="0.2">
      <c r="C104" s="20"/>
      <c r="D104" s="2"/>
      <c r="E104" s="2"/>
      <c r="F104" s="2"/>
      <c r="G104" s="2"/>
      <c r="H104" s="2"/>
    </row>
    <row r="105" spans="3:8" ht="17.25" customHeight="1" x14ac:dyDescent="0.2">
      <c r="C105" s="20"/>
      <c r="D105" s="2"/>
      <c r="E105" s="2"/>
      <c r="F105" s="2"/>
      <c r="G105" s="2"/>
      <c r="H105" s="2"/>
    </row>
    <row r="106" spans="3:8" ht="17.25" customHeight="1" x14ac:dyDescent="0.2">
      <c r="C106" s="20"/>
      <c r="D106" s="2"/>
      <c r="E106" s="2"/>
      <c r="F106" s="2"/>
      <c r="G106" s="2"/>
      <c r="H106" s="2"/>
    </row>
    <row r="107" spans="3:8" ht="17.25" customHeight="1" x14ac:dyDescent="0.2">
      <c r="C107" s="20"/>
      <c r="D107" s="2"/>
      <c r="E107" s="2"/>
      <c r="F107" s="2"/>
      <c r="G107" s="2"/>
      <c r="H107" s="2"/>
    </row>
    <row r="108" spans="3:8" ht="17.25" customHeight="1" x14ac:dyDescent="0.2">
      <c r="C108" s="20"/>
      <c r="D108" s="2"/>
      <c r="E108" s="2"/>
      <c r="F108" s="2"/>
      <c r="G108" s="2"/>
      <c r="H108" s="2"/>
    </row>
    <row r="109" spans="3:8" ht="17.25" customHeight="1" x14ac:dyDescent="0.2">
      <c r="C109" s="20"/>
      <c r="D109" s="2"/>
      <c r="E109" s="2"/>
      <c r="F109" s="2"/>
      <c r="G109" s="2"/>
      <c r="H109" s="2"/>
    </row>
    <row r="110" spans="3:8" ht="17.25" customHeight="1" x14ac:dyDescent="0.2">
      <c r="C110" s="20"/>
      <c r="D110" s="2"/>
      <c r="E110" s="2"/>
      <c r="F110" s="2"/>
      <c r="G110" s="2"/>
      <c r="H110" s="2"/>
    </row>
    <row r="111" spans="3:8" ht="17.25" customHeight="1" x14ac:dyDescent="0.2">
      <c r="C111" s="20"/>
      <c r="D111" s="2"/>
      <c r="E111" s="2"/>
      <c r="F111" s="2"/>
      <c r="G111" s="2"/>
      <c r="H111" s="2"/>
    </row>
    <row r="112" spans="3:8" ht="17.25" customHeight="1" x14ac:dyDescent="0.2">
      <c r="C112" s="20"/>
      <c r="D112" s="2"/>
      <c r="E112" s="2"/>
      <c r="F112" s="2"/>
      <c r="G112" s="2"/>
      <c r="H112" s="2"/>
    </row>
    <row r="113" spans="3:8" ht="17.25" customHeight="1" x14ac:dyDescent="0.2">
      <c r="C113" s="20"/>
      <c r="D113" s="2"/>
      <c r="E113" s="2"/>
      <c r="F113" s="2"/>
      <c r="G113" s="2"/>
      <c r="H113" s="2"/>
    </row>
    <row r="114" spans="3:8" ht="17.25" customHeight="1" x14ac:dyDescent="0.2">
      <c r="C114" s="20"/>
      <c r="D114" s="2"/>
      <c r="E114" s="2"/>
      <c r="F114" s="2"/>
      <c r="G114" s="2"/>
      <c r="H114" s="2"/>
    </row>
    <row r="115" spans="3:8" ht="17.25" customHeight="1" x14ac:dyDescent="0.2">
      <c r="C115" s="20"/>
      <c r="D115" s="2"/>
      <c r="E115" s="2"/>
      <c r="F115" s="2"/>
      <c r="G115" s="2"/>
      <c r="H115" s="2"/>
    </row>
    <row r="116" spans="3:8" ht="17.25" customHeight="1" x14ac:dyDescent="0.2">
      <c r="C116" s="20"/>
      <c r="D116" s="2"/>
      <c r="E116" s="2"/>
      <c r="F116" s="2"/>
      <c r="G116" s="2"/>
      <c r="H116" s="2"/>
    </row>
    <row r="117" spans="3:8" ht="17.25" customHeight="1" x14ac:dyDescent="0.2">
      <c r="C117" s="20"/>
      <c r="D117" s="2"/>
      <c r="E117" s="2"/>
      <c r="F117" s="2"/>
      <c r="G117" s="2"/>
      <c r="H117" s="2"/>
    </row>
    <row r="118" spans="3:8" ht="17.25" customHeight="1" x14ac:dyDescent="0.2">
      <c r="C118" s="20"/>
      <c r="D118" s="2"/>
      <c r="E118" s="2"/>
      <c r="F118" s="2"/>
      <c r="G118" s="2"/>
      <c r="H118" s="2"/>
    </row>
    <row r="119" spans="3:8" ht="17.25" customHeight="1" x14ac:dyDescent="0.2">
      <c r="C119" s="20"/>
      <c r="D119" s="2"/>
      <c r="E119" s="2"/>
      <c r="F119" s="2"/>
      <c r="G119" s="2"/>
      <c r="H119" s="2"/>
    </row>
    <row r="120" spans="3:8" ht="17.25" customHeight="1" x14ac:dyDescent="0.2">
      <c r="C120" s="20"/>
      <c r="D120" s="2"/>
      <c r="E120" s="2"/>
      <c r="F120" s="2"/>
      <c r="G120" s="2"/>
      <c r="H120" s="2"/>
    </row>
    <row r="121" spans="3:8" ht="17.25" customHeight="1" x14ac:dyDescent="0.2">
      <c r="C121" s="20"/>
      <c r="D121" s="2"/>
      <c r="E121" s="2"/>
      <c r="F121" s="2"/>
      <c r="G121" s="2"/>
      <c r="H121" s="2"/>
    </row>
    <row r="122" spans="3:8" ht="17.25" customHeight="1" x14ac:dyDescent="0.2">
      <c r="C122" s="20"/>
      <c r="D122" s="2"/>
      <c r="E122" s="2"/>
      <c r="F122" s="2"/>
      <c r="G122" s="2"/>
      <c r="H122" s="2"/>
    </row>
    <row r="123" spans="3:8" ht="17.25" customHeight="1" x14ac:dyDescent="0.2">
      <c r="C123" s="20"/>
      <c r="D123" s="2"/>
      <c r="E123" s="2"/>
      <c r="F123" s="2"/>
      <c r="G123" s="2"/>
      <c r="H123" s="2"/>
    </row>
    <row r="124" spans="3:8" ht="17.25" customHeight="1" x14ac:dyDescent="0.2">
      <c r="C124" s="20"/>
      <c r="D124" s="2"/>
      <c r="E124" s="2"/>
      <c r="F124" s="2"/>
      <c r="G124" s="2"/>
      <c r="H124" s="2"/>
    </row>
    <row r="125" spans="3:8" ht="17.25" customHeight="1" x14ac:dyDescent="0.2">
      <c r="C125" s="20"/>
      <c r="D125" s="2"/>
      <c r="E125" s="2"/>
      <c r="F125" s="2"/>
      <c r="G125" s="2"/>
      <c r="H125" s="2"/>
    </row>
    <row r="126" spans="3:8" ht="17.25" customHeight="1" x14ac:dyDescent="0.2">
      <c r="C126" s="20"/>
      <c r="D126" s="2"/>
      <c r="E126" s="2"/>
      <c r="F126" s="2"/>
      <c r="G126" s="2"/>
      <c r="H126" s="2"/>
    </row>
    <row r="127" spans="3:8" ht="17.25" customHeight="1" x14ac:dyDescent="0.2">
      <c r="C127" s="20"/>
      <c r="D127" s="2"/>
      <c r="E127" s="2"/>
      <c r="F127" s="2"/>
      <c r="G127" s="2"/>
      <c r="H127" s="2"/>
    </row>
    <row r="128" spans="3:8" ht="17.25" customHeight="1" x14ac:dyDescent="0.2">
      <c r="C128" s="20"/>
      <c r="D128" s="2"/>
      <c r="E128" s="2"/>
      <c r="F128" s="2"/>
      <c r="G128" s="2"/>
      <c r="H128" s="2"/>
    </row>
    <row r="129" spans="3:8" ht="17.25" customHeight="1" x14ac:dyDescent="0.2">
      <c r="C129" s="20"/>
      <c r="D129" s="2"/>
      <c r="E129" s="2"/>
      <c r="F129" s="2"/>
      <c r="G129" s="2"/>
      <c r="H129" s="2"/>
    </row>
    <row r="130" spans="3:8" ht="17.25" customHeight="1" x14ac:dyDescent="0.2">
      <c r="C130" s="20"/>
      <c r="D130" s="2"/>
      <c r="E130" s="2"/>
      <c r="F130" s="2"/>
      <c r="G130" s="2"/>
      <c r="H130" s="2"/>
    </row>
    <row r="131" spans="3:8" ht="17.25" customHeight="1" x14ac:dyDescent="0.2">
      <c r="C131" s="20"/>
      <c r="D131" s="2"/>
      <c r="E131" s="2"/>
      <c r="F131" s="2"/>
      <c r="G131" s="2"/>
      <c r="H131" s="2"/>
    </row>
    <row r="132" spans="3:8" ht="17.25" customHeight="1" x14ac:dyDescent="0.2">
      <c r="C132" s="20"/>
      <c r="D132" s="2"/>
      <c r="E132" s="2"/>
      <c r="F132" s="2"/>
      <c r="G132" s="2"/>
      <c r="H132" s="2"/>
    </row>
    <row r="133" spans="3:8" ht="17.25" customHeight="1" x14ac:dyDescent="0.2">
      <c r="C133" s="20"/>
      <c r="D133" s="2"/>
      <c r="E133" s="2"/>
      <c r="F133" s="2"/>
      <c r="G133" s="2"/>
      <c r="H133" s="2"/>
    </row>
    <row r="134" spans="3:8" ht="17.25" customHeight="1" x14ac:dyDescent="0.2">
      <c r="C134" s="20"/>
      <c r="D134" s="2"/>
      <c r="E134" s="2"/>
      <c r="F134" s="2"/>
      <c r="G134" s="2"/>
      <c r="H134" s="2"/>
    </row>
    <row r="135" spans="3:8" ht="17.25" customHeight="1" x14ac:dyDescent="0.2">
      <c r="C135" s="20"/>
      <c r="D135" s="2"/>
      <c r="E135" s="2"/>
      <c r="F135" s="2"/>
      <c r="G135" s="2"/>
      <c r="H135" s="2"/>
    </row>
    <row r="136" spans="3:8" ht="17.25" customHeight="1" x14ac:dyDescent="0.2">
      <c r="C136" s="20"/>
      <c r="D136" s="2"/>
      <c r="E136" s="2"/>
      <c r="F136" s="2"/>
      <c r="G136" s="2"/>
      <c r="H136" s="2"/>
    </row>
    <row r="137" spans="3:8" ht="17.25" customHeight="1" x14ac:dyDescent="0.2">
      <c r="C137" s="20"/>
      <c r="D137" s="2"/>
      <c r="E137" s="2"/>
      <c r="F137" s="2"/>
      <c r="G137" s="2"/>
      <c r="H137" s="2"/>
    </row>
    <row r="138" spans="3:8" ht="17.25" customHeight="1" x14ac:dyDescent="0.2">
      <c r="C138" s="20"/>
      <c r="D138" s="2"/>
      <c r="E138" s="2"/>
      <c r="F138" s="2"/>
      <c r="G138" s="2"/>
      <c r="H138" s="2"/>
    </row>
    <row r="139" spans="3:8" ht="17.25" customHeight="1" x14ac:dyDescent="0.2">
      <c r="C139" s="20"/>
      <c r="D139" s="2"/>
      <c r="E139" s="2"/>
      <c r="F139" s="2"/>
      <c r="G139" s="2"/>
      <c r="H139" s="2"/>
    </row>
    <row r="140" spans="3:8" ht="17.25" customHeight="1" x14ac:dyDescent="0.2">
      <c r="C140" s="20"/>
      <c r="D140" s="2"/>
      <c r="E140" s="2"/>
      <c r="F140" s="2"/>
      <c r="G140" s="2"/>
      <c r="H140" s="2"/>
    </row>
    <row r="141" spans="3:8" ht="17.25" customHeight="1" x14ac:dyDescent="0.2">
      <c r="C141" s="20"/>
      <c r="D141" s="2"/>
      <c r="E141" s="2"/>
      <c r="F141" s="2"/>
      <c r="G141" s="2"/>
      <c r="H141" s="2"/>
    </row>
    <row r="142" spans="3:8" ht="17.25" customHeight="1" x14ac:dyDescent="0.2">
      <c r="C142" s="20"/>
      <c r="D142" s="2"/>
      <c r="E142" s="2"/>
      <c r="F142" s="2"/>
      <c r="G142" s="2"/>
      <c r="H142" s="2"/>
    </row>
    <row r="143" spans="3:8" ht="17.25" customHeight="1" x14ac:dyDescent="0.2">
      <c r="C143" s="20"/>
      <c r="D143" s="2"/>
      <c r="E143" s="2"/>
      <c r="F143" s="2"/>
      <c r="G143" s="2"/>
      <c r="H143" s="2"/>
    </row>
    <row r="144" spans="3:8" ht="17.25" customHeight="1" x14ac:dyDescent="0.2">
      <c r="C144" s="20"/>
      <c r="D144" s="2"/>
      <c r="E144" s="2"/>
      <c r="F144" s="2"/>
      <c r="G144" s="2"/>
      <c r="H144" s="2"/>
    </row>
    <row r="145" spans="3:8" ht="17.25" customHeight="1" x14ac:dyDescent="0.2">
      <c r="C145" s="20"/>
      <c r="D145" s="2"/>
      <c r="E145" s="2"/>
      <c r="F145" s="2"/>
      <c r="G145" s="2"/>
      <c r="H145" s="2"/>
    </row>
    <row r="146" spans="3:8" ht="17.25" customHeight="1" x14ac:dyDescent="0.2">
      <c r="C146" s="20"/>
      <c r="D146" s="2"/>
      <c r="E146" s="2"/>
      <c r="F146" s="2"/>
      <c r="G146" s="2"/>
      <c r="H146" s="2"/>
    </row>
    <row r="147" spans="3:8" ht="17.25" customHeight="1" x14ac:dyDescent="0.2">
      <c r="C147" s="20"/>
      <c r="D147" s="2"/>
      <c r="E147" s="2"/>
      <c r="F147" s="2"/>
      <c r="G147" s="2"/>
      <c r="H147" s="2"/>
    </row>
    <row r="148" spans="3:8" ht="17.25" customHeight="1" x14ac:dyDescent="0.2">
      <c r="C148" s="20"/>
      <c r="D148" s="2"/>
      <c r="E148" s="2"/>
      <c r="F148" s="2"/>
      <c r="G148" s="2"/>
      <c r="H148" s="2"/>
    </row>
    <row r="149" spans="3:8" ht="17.25" customHeight="1" x14ac:dyDescent="0.2">
      <c r="C149" s="20"/>
      <c r="D149" s="2"/>
      <c r="E149" s="2"/>
      <c r="F149" s="2"/>
      <c r="G149" s="2"/>
      <c r="H149" s="2"/>
    </row>
    <row r="150" spans="3:8" ht="17.25" customHeight="1" x14ac:dyDescent="0.2">
      <c r="C150" s="20"/>
      <c r="D150" s="2"/>
      <c r="E150" s="2"/>
      <c r="F150" s="2"/>
      <c r="G150" s="2"/>
      <c r="H150" s="2"/>
    </row>
    <row r="151" spans="3:8" ht="17.25" customHeight="1" x14ac:dyDescent="0.2">
      <c r="C151" s="20"/>
      <c r="D151" s="2"/>
      <c r="E151" s="2"/>
      <c r="F151" s="2"/>
      <c r="G151" s="2"/>
      <c r="H151" s="2"/>
    </row>
    <row r="152" spans="3:8" ht="17.25" customHeight="1" x14ac:dyDescent="0.2">
      <c r="C152" s="20"/>
      <c r="D152" s="2"/>
      <c r="E152" s="2"/>
      <c r="F152" s="2"/>
      <c r="G152" s="2"/>
      <c r="H152" s="2"/>
    </row>
    <row r="153" spans="3:8" ht="17.25" customHeight="1" x14ac:dyDescent="0.2">
      <c r="C153" s="20"/>
      <c r="D153" s="2"/>
      <c r="E153" s="2"/>
      <c r="F153" s="2"/>
      <c r="G153" s="2"/>
      <c r="H153" s="2"/>
    </row>
    <row r="154" spans="3:8" ht="17.25" customHeight="1" x14ac:dyDescent="0.2">
      <c r="C154" s="20"/>
      <c r="D154" s="2"/>
      <c r="E154" s="2"/>
      <c r="F154" s="2"/>
      <c r="G154" s="2"/>
      <c r="H154" s="2"/>
    </row>
    <row r="155" spans="3:8" ht="17.25" customHeight="1" x14ac:dyDescent="0.2">
      <c r="C155" s="20"/>
      <c r="D155" s="2"/>
      <c r="E155" s="2"/>
      <c r="F155" s="2"/>
      <c r="G155" s="2"/>
      <c r="H155" s="2"/>
    </row>
    <row r="156" spans="3:8" ht="17.25" customHeight="1" x14ac:dyDescent="0.2">
      <c r="C156" s="20"/>
      <c r="D156" s="2"/>
      <c r="E156" s="2"/>
      <c r="F156" s="2"/>
      <c r="G156" s="2"/>
      <c r="H156" s="2"/>
    </row>
    <row r="157" spans="3:8" ht="17.25" customHeight="1" x14ac:dyDescent="0.2">
      <c r="C157" s="20"/>
      <c r="D157" s="2"/>
      <c r="E157" s="2"/>
      <c r="F157" s="2"/>
      <c r="G157" s="2"/>
      <c r="H157" s="2"/>
    </row>
    <row r="158" spans="3:8" ht="17.25" customHeight="1" x14ac:dyDescent="0.2">
      <c r="C158" s="20"/>
      <c r="D158" s="2"/>
      <c r="E158" s="2"/>
      <c r="F158" s="2"/>
      <c r="G158" s="2"/>
      <c r="H158" s="2"/>
    </row>
    <row r="159" spans="3:8" ht="17.25" customHeight="1" x14ac:dyDescent="0.2">
      <c r="C159" s="20"/>
      <c r="D159" s="2"/>
      <c r="E159" s="2"/>
      <c r="F159" s="2"/>
      <c r="G159" s="2"/>
      <c r="H159" s="2"/>
    </row>
    <row r="160" spans="3:8" ht="17.25" customHeight="1" x14ac:dyDescent="0.2">
      <c r="C160" s="20"/>
      <c r="D160" s="2"/>
      <c r="E160" s="2"/>
      <c r="F160" s="2"/>
      <c r="G160" s="2"/>
      <c r="H160" s="2"/>
    </row>
    <row r="161" spans="3:8" ht="17.25" customHeight="1" x14ac:dyDescent="0.2">
      <c r="C161" s="20"/>
      <c r="D161" s="2"/>
      <c r="E161" s="2"/>
      <c r="F161" s="2"/>
      <c r="G161" s="2"/>
      <c r="H161" s="2"/>
    </row>
    <row r="162" spans="3:8" ht="17.25" customHeight="1" x14ac:dyDescent="0.2">
      <c r="C162" s="20"/>
      <c r="D162" s="2"/>
      <c r="E162" s="2"/>
      <c r="F162" s="2"/>
      <c r="G162" s="2"/>
      <c r="H162" s="2"/>
    </row>
    <row r="163" spans="3:8" ht="17.25" customHeight="1" x14ac:dyDescent="0.2">
      <c r="C163" s="20"/>
      <c r="D163" s="2"/>
      <c r="E163" s="2"/>
      <c r="F163" s="2"/>
      <c r="G163" s="2"/>
      <c r="H163" s="2"/>
    </row>
    <row r="164" spans="3:8" ht="17.25" customHeight="1" x14ac:dyDescent="0.2">
      <c r="C164" s="20"/>
      <c r="D164" s="2"/>
      <c r="E164" s="2"/>
      <c r="F164" s="2"/>
      <c r="G164" s="2"/>
      <c r="H164" s="2"/>
    </row>
    <row r="165" spans="3:8" ht="17.25" customHeight="1" x14ac:dyDescent="0.2">
      <c r="C165" s="20"/>
      <c r="D165" s="2"/>
      <c r="E165" s="2"/>
      <c r="F165" s="2"/>
      <c r="G165" s="2"/>
      <c r="H165" s="2"/>
    </row>
    <row r="166" spans="3:8" ht="17.25" customHeight="1" x14ac:dyDescent="0.2">
      <c r="C166" s="20"/>
      <c r="D166" s="2"/>
      <c r="E166" s="2"/>
      <c r="F166" s="2"/>
      <c r="G166" s="2"/>
      <c r="H166" s="2"/>
    </row>
    <row r="167" spans="3:8" ht="17.25" customHeight="1" x14ac:dyDescent="0.2">
      <c r="C167" s="20"/>
      <c r="D167" s="2"/>
      <c r="E167" s="2"/>
      <c r="F167" s="2"/>
      <c r="G167" s="2"/>
      <c r="H167" s="2"/>
    </row>
    <row r="168" spans="3:8" ht="17.25" customHeight="1" x14ac:dyDescent="0.2">
      <c r="C168" s="20"/>
      <c r="D168" s="2"/>
      <c r="E168" s="2"/>
      <c r="F168" s="2"/>
      <c r="G168" s="2"/>
      <c r="H168" s="2"/>
    </row>
    <row r="169" spans="3:8" ht="17.25" customHeight="1" x14ac:dyDescent="0.2">
      <c r="C169" s="20"/>
      <c r="D169" s="2"/>
      <c r="E169" s="2"/>
      <c r="F169" s="2"/>
      <c r="G169" s="2"/>
      <c r="H169" s="2"/>
    </row>
    <row r="170" spans="3:8" ht="17.25" customHeight="1" x14ac:dyDescent="0.2">
      <c r="C170" s="20"/>
      <c r="D170" s="2"/>
      <c r="E170" s="2"/>
      <c r="F170" s="2"/>
      <c r="G170" s="2"/>
      <c r="H170" s="2"/>
    </row>
    <row r="171" spans="3:8" ht="17.25" customHeight="1" x14ac:dyDescent="0.2">
      <c r="C171" s="20"/>
      <c r="D171" s="2"/>
      <c r="E171" s="2"/>
      <c r="F171" s="2"/>
      <c r="G171" s="2"/>
      <c r="H171" s="2"/>
    </row>
    <row r="172" spans="3:8" ht="17.25" customHeight="1" x14ac:dyDescent="0.2">
      <c r="C172" s="20"/>
      <c r="D172" s="2"/>
      <c r="E172" s="2"/>
      <c r="F172" s="2"/>
      <c r="G172" s="2"/>
      <c r="H172" s="2"/>
    </row>
    <row r="173" spans="3:8" ht="17.25" customHeight="1" x14ac:dyDescent="0.2">
      <c r="C173" s="20"/>
      <c r="D173" s="2"/>
      <c r="E173" s="2"/>
      <c r="F173" s="2"/>
      <c r="G173" s="2"/>
      <c r="H173" s="2"/>
    </row>
    <row r="174" spans="3:8" ht="17.25" customHeight="1" x14ac:dyDescent="0.2">
      <c r="C174" s="20"/>
      <c r="D174" s="2"/>
      <c r="E174" s="2"/>
      <c r="F174" s="2"/>
      <c r="G174" s="2"/>
      <c r="H174" s="2"/>
    </row>
    <row r="175" spans="3:8" ht="17.25" customHeight="1" x14ac:dyDescent="0.2">
      <c r="C175" s="20"/>
      <c r="D175" s="2"/>
      <c r="E175" s="2"/>
      <c r="F175" s="2"/>
      <c r="G175" s="2"/>
      <c r="H175" s="2"/>
    </row>
    <row r="176" spans="3:8" ht="17.25" customHeight="1" x14ac:dyDescent="0.2">
      <c r="C176" s="20"/>
      <c r="D176" s="2"/>
      <c r="E176" s="2"/>
      <c r="F176" s="2"/>
      <c r="G176" s="2"/>
      <c r="H176" s="2"/>
    </row>
    <row r="177" spans="3:8" ht="17.25" customHeight="1" x14ac:dyDescent="0.2">
      <c r="C177" s="20"/>
      <c r="D177" s="2"/>
      <c r="E177" s="2"/>
      <c r="F177" s="2"/>
      <c r="G177" s="2"/>
      <c r="H177" s="2"/>
    </row>
    <row r="178" spans="3:8" ht="17.25" customHeight="1" x14ac:dyDescent="0.2">
      <c r="C178" s="20"/>
      <c r="D178" s="2"/>
      <c r="E178" s="2"/>
      <c r="F178" s="2"/>
      <c r="G178" s="2"/>
      <c r="H178" s="2"/>
    </row>
    <row r="179" spans="3:8" ht="17.25" customHeight="1" x14ac:dyDescent="0.2">
      <c r="C179" s="20"/>
      <c r="D179" s="2"/>
      <c r="E179" s="2"/>
      <c r="F179" s="2"/>
      <c r="G179" s="2"/>
      <c r="H179" s="2"/>
    </row>
    <row r="180" spans="3:8" ht="17.25" customHeight="1" x14ac:dyDescent="0.2">
      <c r="C180" s="20"/>
      <c r="D180" s="2"/>
      <c r="E180" s="2"/>
      <c r="F180" s="2"/>
      <c r="G180" s="2"/>
      <c r="H180" s="2"/>
    </row>
    <row r="181" spans="3:8" ht="17.25" customHeight="1" x14ac:dyDescent="0.2">
      <c r="C181" s="20"/>
      <c r="D181" s="2"/>
      <c r="E181" s="2"/>
      <c r="F181" s="2"/>
      <c r="G181" s="2"/>
      <c r="H181" s="2"/>
    </row>
    <row r="182" spans="3:8" ht="17.25" customHeight="1" x14ac:dyDescent="0.2">
      <c r="C182" s="20"/>
      <c r="D182" s="2"/>
      <c r="E182" s="2"/>
      <c r="F182" s="2"/>
      <c r="G182" s="2"/>
      <c r="H182" s="2"/>
    </row>
    <row r="183" spans="3:8" ht="17.25" customHeight="1" x14ac:dyDescent="0.2">
      <c r="C183" s="20"/>
      <c r="D183" s="2"/>
      <c r="E183" s="2"/>
      <c r="F183" s="2"/>
      <c r="G183" s="2"/>
      <c r="H183" s="2"/>
    </row>
    <row r="184" spans="3:8" ht="17.25" customHeight="1" x14ac:dyDescent="0.2">
      <c r="C184" s="20"/>
      <c r="D184" s="2"/>
      <c r="E184" s="2"/>
      <c r="F184" s="2"/>
      <c r="G184" s="2"/>
      <c r="H184" s="2"/>
    </row>
    <row r="185" spans="3:8" ht="17.25" customHeight="1" x14ac:dyDescent="0.2">
      <c r="C185" s="20"/>
      <c r="D185" s="2"/>
      <c r="E185" s="2"/>
      <c r="F185" s="2"/>
      <c r="G185" s="2"/>
      <c r="H185" s="2"/>
    </row>
    <row r="186" spans="3:8" ht="17.25" customHeight="1" x14ac:dyDescent="0.2">
      <c r="C186" s="20"/>
      <c r="D186" s="2"/>
      <c r="E186" s="2"/>
      <c r="F186" s="2"/>
      <c r="G186" s="2"/>
      <c r="H186" s="2"/>
    </row>
    <row r="187" spans="3:8" ht="17.25" customHeight="1" x14ac:dyDescent="0.2">
      <c r="C187" s="20"/>
      <c r="D187" s="2"/>
      <c r="E187" s="2"/>
      <c r="F187" s="2"/>
      <c r="G187" s="2"/>
      <c r="H187" s="2"/>
    </row>
    <row r="188" spans="3:8" ht="17.25" customHeight="1" x14ac:dyDescent="0.2">
      <c r="C188" s="20"/>
      <c r="D188" s="2"/>
      <c r="E188" s="2"/>
      <c r="F188" s="2"/>
      <c r="G188" s="2"/>
      <c r="H188" s="2"/>
    </row>
    <row r="189" spans="3:8" ht="17.25" customHeight="1" x14ac:dyDescent="0.2">
      <c r="C189" s="20"/>
      <c r="D189" s="2"/>
      <c r="E189" s="2"/>
      <c r="F189" s="2"/>
      <c r="G189" s="2"/>
      <c r="H189" s="2"/>
    </row>
    <row r="190" spans="3:8" ht="17.25" customHeight="1" x14ac:dyDescent="0.2">
      <c r="C190" s="20"/>
      <c r="D190" s="2"/>
      <c r="E190" s="2"/>
      <c r="F190" s="2"/>
      <c r="G190" s="2"/>
      <c r="H190" s="2"/>
    </row>
    <row r="191" spans="3:8" ht="17.25" customHeight="1" x14ac:dyDescent="0.2">
      <c r="C191" s="20"/>
      <c r="D191" s="2"/>
      <c r="E191" s="2"/>
      <c r="F191" s="2"/>
      <c r="G191" s="2"/>
      <c r="H191" s="2"/>
    </row>
    <row r="192" spans="3:8" ht="17.25" customHeight="1" x14ac:dyDescent="0.2">
      <c r="C192" s="20"/>
      <c r="D192" s="2"/>
      <c r="E192" s="2"/>
      <c r="F192" s="2"/>
      <c r="G192" s="2"/>
      <c r="H192" s="2"/>
    </row>
    <row r="193" spans="3:8" ht="17.25" customHeight="1" x14ac:dyDescent="0.2">
      <c r="C193" s="20"/>
      <c r="D193" s="2"/>
      <c r="E193" s="2"/>
      <c r="F193" s="2"/>
      <c r="G193" s="2"/>
      <c r="H193" s="2"/>
    </row>
    <row r="194" spans="3:8" ht="17.25" customHeight="1" x14ac:dyDescent="0.2">
      <c r="C194" s="20"/>
      <c r="D194" s="2"/>
      <c r="E194" s="2"/>
      <c r="F194" s="2"/>
      <c r="G194" s="2"/>
      <c r="H194" s="2"/>
    </row>
    <row r="195" spans="3:8" ht="17.25" customHeight="1" x14ac:dyDescent="0.2">
      <c r="C195" s="20"/>
      <c r="D195" s="2"/>
      <c r="E195" s="2"/>
      <c r="F195" s="2"/>
      <c r="G195" s="2"/>
      <c r="H195" s="2"/>
    </row>
    <row r="196" spans="3:8" ht="17.25" customHeight="1" x14ac:dyDescent="0.2">
      <c r="C196" s="20"/>
      <c r="D196" s="2"/>
      <c r="E196" s="2"/>
      <c r="F196" s="2"/>
      <c r="G196" s="2"/>
      <c r="H196" s="2"/>
    </row>
    <row r="197" spans="3:8" ht="17.25" customHeight="1" x14ac:dyDescent="0.2">
      <c r="C197" s="20"/>
      <c r="D197" s="2"/>
      <c r="E197" s="2"/>
      <c r="F197" s="2"/>
      <c r="G197" s="2"/>
      <c r="H197" s="2"/>
    </row>
    <row r="198" spans="3:8" ht="17.25" customHeight="1" x14ac:dyDescent="0.2">
      <c r="C198" s="20"/>
      <c r="D198" s="2"/>
      <c r="E198" s="2"/>
      <c r="F198" s="2"/>
      <c r="G198" s="2"/>
      <c r="H198" s="2"/>
    </row>
    <row r="199" spans="3:8" ht="17.25" customHeight="1" x14ac:dyDescent="0.2">
      <c r="C199" s="20"/>
      <c r="D199" s="2"/>
      <c r="E199" s="2"/>
      <c r="F199" s="2"/>
      <c r="G199" s="2"/>
      <c r="H199" s="2"/>
    </row>
    <row r="200" spans="3:8" ht="17.25" customHeight="1" x14ac:dyDescent="0.2">
      <c r="C200" s="20"/>
      <c r="D200" s="2"/>
      <c r="E200" s="2"/>
      <c r="F200" s="2"/>
      <c r="G200" s="2"/>
      <c r="H200" s="2"/>
    </row>
    <row r="201" spans="3:8" ht="17.25" customHeight="1" x14ac:dyDescent="0.2">
      <c r="C201" s="20"/>
      <c r="D201" s="2"/>
      <c r="E201" s="2"/>
      <c r="F201" s="2"/>
      <c r="G201" s="2"/>
      <c r="H201" s="2"/>
    </row>
    <row r="202" spans="3:8" ht="17.25" customHeight="1" x14ac:dyDescent="0.2">
      <c r="C202" s="20"/>
      <c r="D202" s="2"/>
      <c r="E202" s="2"/>
      <c r="F202" s="2"/>
      <c r="G202" s="2"/>
      <c r="H202" s="2"/>
    </row>
    <row r="203" spans="3:8" ht="17.25" customHeight="1" x14ac:dyDescent="0.2">
      <c r="C203" s="20"/>
      <c r="D203" s="2"/>
      <c r="E203" s="2"/>
      <c r="F203" s="2"/>
      <c r="G203" s="2"/>
      <c r="H203" s="2"/>
    </row>
    <row r="204" spans="3:8" ht="17.25" customHeight="1" x14ac:dyDescent="0.2">
      <c r="C204" s="20"/>
      <c r="D204" s="2"/>
      <c r="E204" s="2"/>
      <c r="F204" s="2"/>
      <c r="G204" s="2"/>
      <c r="H204" s="2"/>
    </row>
    <row r="205" spans="3:8" ht="17.25" customHeight="1" x14ac:dyDescent="0.2">
      <c r="C205" s="20"/>
      <c r="D205" s="2"/>
      <c r="E205" s="2"/>
      <c r="F205" s="2"/>
      <c r="G205" s="2"/>
      <c r="H205" s="2"/>
    </row>
    <row r="206" spans="3:8" ht="17.25" customHeight="1" x14ac:dyDescent="0.2">
      <c r="C206" s="20"/>
      <c r="D206" s="2"/>
      <c r="E206" s="2"/>
      <c r="F206" s="2"/>
      <c r="G206" s="2"/>
      <c r="H206" s="2"/>
    </row>
    <row r="207" spans="3:8" ht="17.25" customHeight="1" x14ac:dyDescent="0.2">
      <c r="C207" s="20"/>
      <c r="D207" s="2"/>
      <c r="E207" s="2"/>
      <c r="F207" s="2"/>
      <c r="G207" s="2"/>
      <c r="H207" s="2"/>
    </row>
    <row r="208" spans="3:8" ht="17.25" customHeight="1" x14ac:dyDescent="0.2">
      <c r="C208" s="20"/>
      <c r="D208" s="2"/>
      <c r="E208" s="2"/>
      <c r="F208" s="2"/>
      <c r="G208" s="2"/>
      <c r="H208" s="2"/>
    </row>
    <row r="209" spans="3:8" ht="17.25" customHeight="1" x14ac:dyDescent="0.2">
      <c r="C209" s="20"/>
      <c r="D209" s="2"/>
      <c r="E209" s="2"/>
      <c r="F209" s="2"/>
      <c r="G209" s="2"/>
      <c r="H209" s="2"/>
    </row>
    <row r="210" spans="3:8" ht="17.25" customHeight="1" x14ac:dyDescent="0.2">
      <c r="C210" s="20"/>
      <c r="D210" s="2"/>
      <c r="E210" s="2"/>
      <c r="F210" s="2"/>
      <c r="G210" s="2"/>
      <c r="H210" s="2"/>
    </row>
    <row r="211" spans="3:8" ht="17.25" customHeight="1" x14ac:dyDescent="0.2">
      <c r="C211" s="20"/>
      <c r="D211" s="2"/>
      <c r="E211" s="2"/>
      <c r="F211" s="2"/>
      <c r="G211" s="2"/>
      <c r="H211" s="2"/>
    </row>
    <row r="212" spans="3:8" ht="17.25" customHeight="1" x14ac:dyDescent="0.2">
      <c r="C212" s="20"/>
      <c r="D212" s="2"/>
      <c r="E212" s="2"/>
      <c r="F212" s="2"/>
      <c r="G212" s="2"/>
      <c r="H212" s="2"/>
    </row>
    <row r="213" spans="3:8" ht="17.25" customHeight="1" x14ac:dyDescent="0.2">
      <c r="C213" s="20"/>
      <c r="D213" s="2"/>
      <c r="E213" s="2"/>
      <c r="F213" s="2"/>
      <c r="G213" s="2"/>
      <c r="H213" s="2"/>
    </row>
    <row r="214" spans="3:8" ht="17.25" customHeight="1" x14ac:dyDescent="0.2">
      <c r="C214" s="20"/>
      <c r="D214" s="2"/>
      <c r="E214" s="2"/>
      <c r="F214" s="2"/>
      <c r="G214" s="2"/>
      <c r="H214" s="2"/>
    </row>
    <row r="215" spans="3:8" ht="17.25" customHeight="1" x14ac:dyDescent="0.2">
      <c r="C215" s="20"/>
      <c r="D215" s="2"/>
      <c r="E215" s="2"/>
      <c r="F215" s="2"/>
      <c r="G215" s="2"/>
      <c r="H215" s="2"/>
    </row>
    <row r="216" spans="3:8" ht="17.25" customHeight="1" x14ac:dyDescent="0.2">
      <c r="C216" s="20"/>
      <c r="D216" s="2"/>
      <c r="E216" s="2"/>
      <c r="F216" s="2"/>
      <c r="G216" s="2"/>
      <c r="H216" s="2"/>
    </row>
    <row r="217" spans="3:8" ht="17.25" customHeight="1" x14ac:dyDescent="0.2">
      <c r="C217" s="20"/>
      <c r="D217" s="2"/>
      <c r="E217" s="2"/>
      <c r="F217" s="2"/>
      <c r="G217" s="2"/>
      <c r="H217" s="2"/>
    </row>
    <row r="218" spans="3:8" ht="17.25" customHeight="1" x14ac:dyDescent="0.2">
      <c r="C218" s="20"/>
      <c r="D218" s="2"/>
      <c r="E218" s="2"/>
      <c r="F218" s="2"/>
      <c r="G218" s="2"/>
      <c r="H218" s="2"/>
    </row>
    <row r="219" spans="3:8" ht="17.25" customHeight="1" x14ac:dyDescent="0.2">
      <c r="C219" s="20"/>
      <c r="D219" s="2"/>
      <c r="E219" s="2"/>
      <c r="F219" s="2"/>
      <c r="G219" s="2"/>
      <c r="H219" s="2"/>
    </row>
    <row r="220" spans="3:8" ht="17.25" customHeight="1" x14ac:dyDescent="0.2">
      <c r="C220" s="20"/>
      <c r="D220" s="2"/>
      <c r="E220" s="2"/>
      <c r="F220" s="2"/>
      <c r="G220" s="2"/>
      <c r="H220" s="2"/>
    </row>
    <row r="221" spans="3:8" ht="17.25" customHeight="1" x14ac:dyDescent="0.2">
      <c r="C221" s="20"/>
      <c r="D221" s="2"/>
      <c r="E221" s="2"/>
      <c r="F221" s="2"/>
      <c r="G221" s="2"/>
      <c r="H221" s="2"/>
    </row>
    <row r="222" spans="3:8" ht="17.25" customHeight="1" x14ac:dyDescent="0.2">
      <c r="C222" s="20"/>
      <c r="D222" s="2"/>
      <c r="E222" s="2"/>
      <c r="F222" s="2"/>
      <c r="G222" s="2"/>
      <c r="H222" s="2"/>
    </row>
    <row r="223" spans="3:8" ht="17.25" customHeight="1" x14ac:dyDescent="0.2">
      <c r="C223" s="20"/>
      <c r="D223" s="2"/>
      <c r="E223" s="2"/>
      <c r="F223" s="2"/>
      <c r="G223" s="2"/>
      <c r="H223" s="2"/>
    </row>
    <row r="224" spans="3:8" ht="17.25" customHeight="1" x14ac:dyDescent="0.2">
      <c r="C224" s="20"/>
      <c r="D224" s="2"/>
      <c r="E224" s="2"/>
      <c r="F224" s="2"/>
      <c r="G224" s="2"/>
      <c r="H224" s="2"/>
    </row>
    <row r="225" spans="3:8" ht="17.25" customHeight="1" x14ac:dyDescent="0.2">
      <c r="C225" s="20"/>
      <c r="D225" s="2"/>
      <c r="E225" s="2"/>
      <c r="F225" s="2"/>
      <c r="G225" s="2"/>
      <c r="H225" s="2"/>
    </row>
    <row r="226" spans="3:8" ht="17.25" customHeight="1" x14ac:dyDescent="0.2">
      <c r="C226" s="20"/>
      <c r="D226" s="2"/>
      <c r="E226" s="2"/>
      <c r="F226" s="2"/>
      <c r="G226" s="2"/>
      <c r="H226" s="2"/>
    </row>
    <row r="227" spans="3:8" ht="17.25" customHeight="1" x14ac:dyDescent="0.2">
      <c r="C227" s="20"/>
      <c r="D227" s="2"/>
      <c r="E227" s="2"/>
      <c r="F227" s="2"/>
      <c r="G227" s="2"/>
      <c r="H227" s="2"/>
    </row>
    <row r="228" spans="3:8" ht="17.25" customHeight="1" x14ac:dyDescent="0.2">
      <c r="C228" s="20"/>
      <c r="D228" s="2"/>
      <c r="E228" s="2"/>
      <c r="F228" s="2"/>
      <c r="G228" s="2"/>
      <c r="H228" s="2"/>
    </row>
    <row r="229" spans="3:8" ht="17.25" customHeight="1" x14ac:dyDescent="0.2">
      <c r="C229" s="20"/>
      <c r="D229" s="2"/>
      <c r="E229" s="2"/>
      <c r="F229" s="2"/>
      <c r="G229" s="2"/>
      <c r="H229" s="2"/>
    </row>
    <row r="230" spans="3:8" ht="17.25" customHeight="1" x14ac:dyDescent="0.2">
      <c r="C230" s="20"/>
      <c r="D230" s="2"/>
      <c r="E230" s="2"/>
      <c r="F230" s="2"/>
      <c r="G230" s="2"/>
      <c r="H230" s="2"/>
    </row>
    <row r="231" spans="3:8" ht="17.25" customHeight="1" x14ac:dyDescent="0.2">
      <c r="C231" s="20"/>
      <c r="D231" s="2"/>
      <c r="E231" s="2"/>
      <c r="F231" s="2"/>
      <c r="G231" s="2"/>
      <c r="H231" s="2"/>
    </row>
    <row r="232" spans="3:8" ht="17.25" customHeight="1" x14ac:dyDescent="0.2">
      <c r="C232" s="20"/>
      <c r="D232" s="2"/>
      <c r="E232" s="2"/>
      <c r="F232" s="2"/>
      <c r="G232" s="2"/>
      <c r="H232" s="2"/>
    </row>
    <row r="233" spans="3:8" ht="17.25" customHeight="1" x14ac:dyDescent="0.2">
      <c r="C233" s="20"/>
      <c r="D233" s="2"/>
      <c r="E233" s="2"/>
      <c r="F233" s="2"/>
      <c r="G233" s="2"/>
      <c r="H233" s="2"/>
    </row>
    <row r="234" spans="3:8" ht="17.25" customHeight="1" x14ac:dyDescent="0.2">
      <c r="C234" s="20"/>
      <c r="D234" s="2"/>
      <c r="E234" s="2"/>
      <c r="F234" s="2"/>
      <c r="G234" s="2"/>
      <c r="H234" s="2"/>
    </row>
    <row r="235" spans="3:8" ht="17.25" customHeight="1" x14ac:dyDescent="0.2">
      <c r="C235" s="20"/>
      <c r="D235" s="2"/>
      <c r="E235" s="2"/>
      <c r="F235" s="2"/>
      <c r="G235" s="2"/>
      <c r="H235" s="2"/>
    </row>
    <row r="236" spans="3:8" ht="17.25" customHeight="1" x14ac:dyDescent="0.2">
      <c r="C236" s="20"/>
      <c r="D236" s="2"/>
      <c r="E236" s="2"/>
      <c r="F236" s="2"/>
      <c r="G236" s="2"/>
      <c r="H236" s="2"/>
    </row>
    <row r="237" spans="3:8" ht="17.25" customHeight="1" x14ac:dyDescent="0.2">
      <c r="C237" s="20"/>
      <c r="D237" s="2"/>
      <c r="E237" s="2"/>
      <c r="F237" s="2"/>
      <c r="G237" s="2"/>
      <c r="H237" s="2"/>
    </row>
    <row r="238" spans="3:8" ht="17.25" customHeight="1" x14ac:dyDescent="0.2">
      <c r="C238" s="20"/>
      <c r="D238" s="2"/>
      <c r="E238" s="2"/>
      <c r="F238" s="2"/>
      <c r="G238" s="2"/>
      <c r="H238" s="2"/>
    </row>
    <row r="239" spans="3:8" ht="17.25" customHeight="1" x14ac:dyDescent="0.2">
      <c r="C239" s="20"/>
      <c r="D239" s="2"/>
      <c r="E239" s="2"/>
      <c r="F239" s="2"/>
      <c r="G239" s="2"/>
      <c r="H239" s="2"/>
    </row>
    <row r="240" spans="3:8" ht="17.25" customHeight="1" x14ac:dyDescent="0.2">
      <c r="C240" s="20"/>
      <c r="D240" s="2"/>
      <c r="E240" s="2"/>
      <c r="F240" s="2"/>
      <c r="G240" s="2"/>
      <c r="H240" s="2"/>
    </row>
    <row r="241" spans="3:8" ht="17.25" customHeight="1" x14ac:dyDescent="0.2">
      <c r="C241" s="20"/>
      <c r="D241" s="2"/>
      <c r="E241" s="2"/>
      <c r="F241" s="2"/>
      <c r="G241" s="2"/>
      <c r="H241" s="2"/>
    </row>
    <row r="242" spans="3:8" ht="17.25" customHeight="1" x14ac:dyDescent="0.2">
      <c r="C242" s="20"/>
      <c r="D242" s="2"/>
      <c r="E242" s="2"/>
      <c r="F242" s="2"/>
      <c r="G242" s="2"/>
      <c r="H242" s="2"/>
    </row>
    <row r="243" spans="3:8" ht="17.25" customHeight="1" x14ac:dyDescent="0.2">
      <c r="C243" s="20"/>
      <c r="D243" s="2"/>
      <c r="E243" s="2"/>
      <c r="F243" s="2"/>
      <c r="G243" s="2"/>
      <c r="H243" s="2"/>
    </row>
    <row r="244" spans="3:8" ht="17.25" customHeight="1" x14ac:dyDescent="0.2">
      <c r="C244" s="20"/>
      <c r="D244" s="2"/>
      <c r="E244" s="2"/>
      <c r="F244" s="2"/>
      <c r="G244" s="2"/>
      <c r="H244" s="2"/>
    </row>
    <row r="245" spans="3:8" ht="17.25" customHeight="1" x14ac:dyDescent="0.2">
      <c r="C245" s="20"/>
      <c r="D245" s="2"/>
      <c r="E245" s="2"/>
      <c r="F245" s="2"/>
      <c r="G245" s="2"/>
      <c r="H245" s="2"/>
    </row>
    <row r="246" spans="3:8" ht="17.25" customHeight="1" x14ac:dyDescent="0.2">
      <c r="C246" s="20"/>
      <c r="D246" s="2"/>
      <c r="E246" s="2"/>
      <c r="F246" s="2"/>
      <c r="G246" s="2"/>
      <c r="H246" s="2"/>
    </row>
    <row r="247" spans="3:8" ht="17.25" customHeight="1" x14ac:dyDescent="0.2">
      <c r="C247" s="20"/>
      <c r="D247" s="2"/>
      <c r="E247" s="2"/>
      <c r="F247" s="2"/>
      <c r="G247" s="2"/>
      <c r="H247" s="2"/>
    </row>
    <row r="248" spans="3:8" ht="17.25" customHeight="1" x14ac:dyDescent="0.2">
      <c r="C248" s="20"/>
      <c r="D248" s="2"/>
      <c r="E248" s="2"/>
      <c r="F248" s="2"/>
      <c r="G248" s="2"/>
      <c r="H248" s="2"/>
    </row>
    <row r="249" spans="3:8" ht="17.25" customHeight="1" x14ac:dyDescent="0.2">
      <c r="C249" s="20"/>
      <c r="D249" s="2"/>
      <c r="E249" s="2"/>
      <c r="F249" s="2"/>
      <c r="G249" s="2"/>
      <c r="H249" s="2"/>
    </row>
    <row r="250" spans="3:8" ht="17.25" customHeight="1" x14ac:dyDescent="0.2">
      <c r="C250" s="20"/>
      <c r="D250" s="2"/>
      <c r="E250" s="2"/>
      <c r="F250" s="2"/>
      <c r="G250" s="2"/>
      <c r="H250" s="2"/>
    </row>
    <row r="251" spans="3:8" ht="17.25" customHeight="1" x14ac:dyDescent="0.2">
      <c r="C251" s="20"/>
      <c r="D251" s="2"/>
      <c r="E251" s="2"/>
      <c r="F251" s="2"/>
      <c r="G251" s="2"/>
      <c r="H251" s="2"/>
    </row>
    <row r="252" spans="3:8" ht="17.25" customHeight="1" x14ac:dyDescent="0.2">
      <c r="C252" s="20"/>
      <c r="D252" s="2"/>
      <c r="E252" s="2"/>
      <c r="F252" s="2"/>
      <c r="G252" s="2"/>
      <c r="H252" s="2"/>
    </row>
    <row r="253" spans="3:8" ht="17.25" customHeight="1" x14ac:dyDescent="0.2">
      <c r="C253" s="20"/>
      <c r="D253" s="2"/>
      <c r="E253" s="2"/>
      <c r="F253" s="2"/>
      <c r="G253" s="2"/>
      <c r="H253" s="2"/>
    </row>
    <row r="254" spans="3:8" ht="17.25" customHeight="1" x14ac:dyDescent="0.2">
      <c r="C254" s="20"/>
      <c r="D254" s="2"/>
      <c r="E254" s="2"/>
      <c r="F254" s="2"/>
      <c r="G254" s="2"/>
      <c r="H254" s="2"/>
    </row>
    <row r="255" spans="3:8" ht="17.25" customHeight="1" x14ac:dyDescent="0.2">
      <c r="C255" s="20"/>
      <c r="D255" s="2"/>
      <c r="E255" s="2"/>
      <c r="F255" s="2"/>
      <c r="G255" s="2"/>
      <c r="H255" s="2"/>
    </row>
    <row r="256" spans="3:8" ht="17.25" customHeight="1" x14ac:dyDescent="0.2">
      <c r="C256" s="20"/>
      <c r="D256" s="2"/>
      <c r="E256" s="2"/>
      <c r="F256" s="2"/>
      <c r="G256" s="2"/>
      <c r="H256" s="2"/>
    </row>
    <row r="257" spans="3:8" ht="17.25" customHeight="1" x14ac:dyDescent="0.2">
      <c r="C257" s="20"/>
      <c r="D257" s="2"/>
      <c r="E257" s="2"/>
      <c r="F257" s="2"/>
      <c r="G257" s="2"/>
      <c r="H257" s="2"/>
    </row>
    <row r="258" spans="3:8" ht="17.25" customHeight="1" x14ac:dyDescent="0.2">
      <c r="C258" s="20"/>
      <c r="D258" s="2"/>
      <c r="E258" s="2"/>
      <c r="F258" s="2"/>
      <c r="G258" s="2"/>
      <c r="H258" s="2"/>
    </row>
    <row r="259" spans="3:8" ht="17.25" customHeight="1" x14ac:dyDescent="0.2">
      <c r="C259" s="20"/>
      <c r="D259" s="2"/>
      <c r="E259" s="2"/>
      <c r="F259" s="2"/>
      <c r="G259" s="2"/>
      <c r="H259" s="2"/>
    </row>
    <row r="260" spans="3:8" ht="17.25" customHeight="1" x14ac:dyDescent="0.2">
      <c r="C260" s="20"/>
      <c r="D260" s="2"/>
      <c r="E260" s="2"/>
      <c r="F260" s="2"/>
      <c r="G260" s="2"/>
      <c r="H260" s="2"/>
    </row>
    <row r="261" spans="3:8" ht="17.25" customHeight="1" x14ac:dyDescent="0.2">
      <c r="C261" s="20"/>
      <c r="D261" s="2"/>
      <c r="E261" s="2"/>
      <c r="F261" s="2"/>
      <c r="G261" s="2"/>
      <c r="H261" s="2"/>
    </row>
    <row r="262" spans="3:8" ht="17.25" customHeight="1" x14ac:dyDescent="0.2">
      <c r="C262" s="20"/>
      <c r="D262" s="2"/>
      <c r="E262" s="2"/>
      <c r="F262" s="2"/>
      <c r="G262" s="2"/>
      <c r="H262" s="2"/>
    </row>
    <row r="263" spans="3:8" ht="17.25" customHeight="1" x14ac:dyDescent="0.2">
      <c r="C263" s="20"/>
      <c r="D263" s="2"/>
      <c r="E263" s="2"/>
      <c r="F263" s="2"/>
      <c r="G263" s="2"/>
      <c r="H263" s="2"/>
    </row>
    <row r="264" spans="3:8" ht="17.25" customHeight="1" x14ac:dyDescent="0.2">
      <c r="C264" s="20"/>
      <c r="D264" s="2"/>
      <c r="E264" s="2"/>
      <c r="F264" s="2"/>
      <c r="G264" s="2"/>
      <c r="H264" s="2"/>
    </row>
    <row r="265" spans="3:8" ht="17.25" customHeight="1" x14ac:dyDescent="0.2">
      <c r="C265" s="20"/>
      <c r="D265" s="2"/>
      <c r="E265" s="2"/>
      <c r="F265" s="2"/>
      <c r="G265" s="2"/>
      <c r="H265" s="2"/>
    </row>
    <row r="266" spans="3:8" ht="17.25" customHeight="1" x14ac:dyDescent="0.2">
      <c r="C266" s="20"/>
      <c r="D266" s="2"/>
      <c r="E266" s="2"/>
      <c r="F266" s="2"/>
      <c r="G266" s="2"/>
      <c r="H266" s="2"/>
    </row>
    <row r="267" spans="3:8" ht="17.25" customHeight="1" x14ac:dyDescent="0.2">
      <c r="C267" s="20"/>
      <c r="D267" s="2"/>
      <c r="E267" s="2"/>
      <c r="F267" s="2"/>
      <c r="G267" s="2"/>
      <c r="H267" s="2"/>
    </row>
    <row r="268" spans="3:8" ht="17.25" customHeight="1" x14ac:dyDescent="0.2">
      <c r="C268" s="20"/>
      <c r="D268" s="2"/>
      <c r="E268" s="2"/>
      <c r="F268" s="2"/>
      <c r="G268" s="2"/>
      <c r="H268" s="2"/>
    </row>
    <row r="269" spans="3:8" ht="17.25" customHeight="1" x14ac:dyDescent="0.2">
      <c r="C269" s="20"/>
      <c r="D269" s="2"/>
      <c r="E269" s="2"/>
      <c r="F269" s="2"/>
      <c r="G269" s="2"/>
      <c r="H269" s="2"/>
    </row>
    <row r="270" spans="3:8" ht="17.25" customHeight="1" x14ac:dyDescent="0.2">
      <c r="C270" s="20"/>
      <c r="D270" s="2"/>
      <c r="E270" s="2"/>
      <c r="F270" s="2"/>
      <c r="G270" s="2"/>
      <c r="H270" s="2"/>
    </row>
    <row r="271" spans="3:8" ht="17.25" customHeight="1" x14ac:dyDescent="0.2">
      <c r="C271" s="20"/>
      <c r="D271" s="2"/>
      <c r="E271" s="2"/>
      <c r="F271" s="2"/>
      <c r="G271" s="2"/>
      <c r="H271" s="2"/>
    </row>
    <row r="272" spans="3:8" ht="17.25" customHeight="1" x14ac:dyDescent="0.2">
      <c r="C272" s="20"/>
      <c r="D272" s="2"/>
      <c r="E272" s="2"/>
      <c r="F272" s="2"/>
      <c r="G272" s="2"/>
      <c r="H272" s="2"/>
    </row>
    <row r="273" spans="3:8" ht="17.25" customHeight="1" x14ac:dyDescent="0.2">
      <c r="C273" s="20"/>
      <c r="D273" s="2"/>
      <c r="E273" s="2"/>
      <c r="F273" s="2"/>
      <c r="G273" s="2"/>
      <c r="H273" s="2"/>
    </row>
    <row r="274" spans="3:8" ht="17.25" customHeight="1" x14ac:dyDescent="0.2">
      <c r="C274" s="20"/>
      <c r="D274" s="2"/>
      <c r="E274" s="2"/>
      <c r="F274" s="2"/>
      <c r="G274" s="2"/>
      <c r="H274" s="2"/>
    </row>
    <row r="275" spans="3:8" ht="17.25" customHeight="1" x14ac:dyDescent="0.2">
      <c r="C275" s="20"/>
      <c r="D275" s="2"/>
      <c r="E275" s="2"/>
      <c r="F275" s="2"/>
      <c r="G275" s="2"/>
      <c r="H275" s="2"/>
    </row>
    <row r="276" spans="3:8" ht="17.25" customHeight="1" x14ac:dyDescent="0.2">
      <c r="C276" s="20"/>
      <c r="D276" s="2"/>
      <c r="E276" s="2"/>
      <c r="F276" s="2"/>
      <c r="G276" s="2"/>
      <c r="H276" s="2"/>
    </row>
    <row r="277" spans="3:8" ht="17.25" customHeight="1" x14ac:dyDescent="0.2">
      <c r="C277" s="20"/>
      <c r="D277" s="2"/>
      <c r="E277" s="2"/>
      <c r="F277" s="2"/>
      <c r="G277" s="2"/>
      <c r="H277" s="2"/>
    </row>
    <row r="278" spans="3:8" ht="17.25" customHeight="1" x14ac:dyDescent="0.2">
      <c r="C278" s="20"/>
      <c r="D278" s="2"/>
      <c r="E278" s="2"/>
      <c r="F278" s="2"/>
      <c r="G278" s="2"/>
      <c r="H278" s="2"/>
    </row>
    <row r="279" spans="3:8" ht="17.25" customHeight="1" x14ac:dyDescent="0.2">
      <c r="C279" s="20"/>
      <c r="D279" s="2"/>
      <c r="E279" s="2"/>
      <c r="F279" s="2"/>
      <c r="G279" s="2"/>
      <c r="H279" s="2"/>
    </row>
    <row r="280" spans="3:8" ht="17.25" customHeight="1" x14ac:dyDescent="0.2">
      <c r="C280" s="20"/>
      <c r="D280" s="2"/>
      <c r="E280" s="2"/>
      <c r="F280" s="2"/>
      <c r="G280" s="2"/>
      <c r="H280" s="2"/>
    </row>
    <row r="281" spans="3:8" ht="17.25" customHeight="1" x14ac:dyDescent="0.2">
      <c r="C281" s="20"/>
      <c r="D281" s="2"/>
      <c r="E281" s="2"/>
      <c r="F281" s="2"/>
      <c r="G281" s="2"/>
      <c r="H281" s="2"/>
    </row>
    <row r="282" spans="3:8" ht="17.25" customHeight="1" x14ac:dyDescent="0.2">
      <c r="C282" s="20"/>
      <c r="D282" s="2"/>
      <c r="E282" s="2"/>
      <c r="F282" s="2"/>
      <c r="G282" s="2"/>
      <c r="H282" s="2"/>
    </row>
    <row r="283" spans="3:8" ht="17.25" customHeight="1" x14ac:dyDescent="0.2">
      <c r="C283" s="20"/>
      <c r="D283" s="2"/>
      <c r="E283" s="2"/>
      <c r="F283" s="2"/>
      <c r="G283" s="2"/>
      <c r="H283" s="2"/>
    </row>
    <row r="284" spans="3:8" ht="17.25" customHeight="1" x14ac:dyDescent="0.2">
      <c r="C284" s="20"/>
      <c r="D284" s="2"/>
      <c r="E284" s="2"/>
      <c r="F284" s="2"/>
      <c r="G284" s="2"/>
      <c r="H284" s="2"/>
    </row>
    <row r="285" spans="3:8" ht="17.25" customHeight="1" x14ac:dyDescent="0.2">
      <c r="C285" s="20"/>
      <c r="D285" s="2"/>
      <c r="E285" s="2"/>
      <c r="F285" s="2"/>
      <c r="G285" s="2"/>
      <c r="H285" s="2"/>
    </row>
    <row r="286" spans="3:8" ht="17.25" customHeight="1" x14ac:dyDescent="0.2">
      <c r="C286" s="20"/>
      <c r="D286" s="2"/>
      <c r="E286" s="2"/>
      <c r="F286" s="2"/>
      <c r="G286" s="2"/>
      <c r="H286" s="2"/>
    </row>
    <row r="287" spans="3:8" ht="17.25" customHeight="1" x14ac:dyDescent="0.2">
      <c r="C287" s="20"/>
      <c r="D287" s="2"/>
      <c r="E287" s="2"/>
      <c r="F287" s="2"/>
      <c r="G287" s="2"/>
      <c r="H287" s="2"/>
    </row>
    <row r="288" spans="3:8" ht="17.25" customHeight="1" x14ac:dyDescent="0.2">
      <c r="C288" s="20"/>
      <c r="D288" s="2"/>
      <c r="E288" s="2"/>
      <c r="F288" s="2"/>
      <c r="G288" s="2"/>
      <c r="H288" s="2"/>
    </row>
    <row r="289" spans="3:8" ht="17.25" customHeight="1" x14ac:dyDescent="0.2">
      <c r="C289" s="20"/>
      <c r="D289" s="2"/>
      <c r="E289" s="2"/>
      <c r="F289" s="2"/>
      <c r="G289" s="2"/>
      <c r="H289" s="2"/>
    </row>
    <row r="290" spans="3:8" ht="17.25" customHeight="1" x14ac:dyDescent="0.2">
      <c r="C290" s="20"/>
      <c r="D290" s="2"/>
      <c r="E290" s="2"/>
      <c r="F290" s="2"/>
      <c r="G290" s="2"/>
      <c r="H290" s="2"/>
    </row>
    <row r="291" spans="3:8" ht="17.25" customHeight="1" x14ac:dyDescent="0.2">
      <c r="C291" s="20"/>
      <c r="D291" s="2"/>
      <c r="E291" s="2"/>
      <c r="F291" s="2"/>
      <c r="G291" s="2"/>
      <c r="H291" s="2"/>
    </row>
    <row r="292" spans="3:8" ht="17.25" customHeight="1" x14ac:dyDescent="0.2">
      <c r="C292" s="20"/>
      <c r="D292" s="2"/>
      <c r="E292" s="2"/>
      <c r="F292" s="2"/>
      <c r="G292" s="2"/>
      <c r="H292" s="2"/>
    </row>
    <row r="293" spans="3:8" ht="17.25" customHeight="1" x14ac:dyDescent="0.2">
      <c r="C293" s="20"/>
      <c r="D293" s="2"/>
      <c r="E293" s="2"/>
      <c r="F293" s="2"/>
      <c r="G293" s="2"/>
      <c r="H293" s="2"/>
    </row>
    <row r="294" spans="3:8" ht="17.25" customHeight="1" x14ac:dyDescent="0.2">
      <c r="C294" s="20"/>
      <c r="D294" s="2"/>
      <c r="E294" s="2"/>
      <c r="F294" s="2"/>
      <c r="G294" s="2"/>
      <c r="H294" s="2"/>
    </row>
    <row r="295" spans="3:8" ht="17.25" customHeight="1" x14ac:dyDescent="0.2">
      <c r="C295" s="20"/>
      <c r="D295" s="2"/>
      <c r="E295" s="2"/>
      <c r="F295" s="2"/>
      <c r="G295" s="2"/>
      <c r="H295" s="2"/>
    </row>
    <row r="296" spans="3:8" ht="17.25" customHeight="1" x14ac:dyDescent="0.2">
      <c r="C296" s="20"/>
      <c r="D296" s="2"/>
      <c r="E296" s="2"/>
      <c r="F296" s="2"/>
      <c r="G296" s="2"/>
      <c r="H296" s="2"/>
    </row>
    <row r="297" spans="3:8" ht="17.25" customHeight="1" x14ac:dyDescent="0.2">
      <c r="C297" s="20"/>
      <c r="D297" s="2"/>
      <c r="E297" s="2"/>
      <c r="F297" s="2"/>
      <c r="G297" s="2"/>
      <c r="H297" s="2"/>
    </row>
    <row r="298" spans="3:8" ht="17.25" customHeight="1" x14ac:dyDescent="0.2">
      <c r="C298" s="20"/>
      <c r="D298" s="2"/>
      <c r="E298" s="2"/>
      <c r="F298" s="2"/>
      <c r="G298" s="2"/>
      <c r="H298" s="2"/>
    </row>
    <row r="299" spans="3:8" ht="17.25" customHeight="1" x14ac:dyDescent="0.2">
      <c r="C299" s="20"/>
      <c r="D299" s="2"/>
      <c r="E299" s="2"/>
      <c r="F299" s="2"/>
      <c r="G299" s="2"/>
      <c r="H299" s="2"/>
    </row>
    <row r="300" spans="3:8" ht="17.25" customHeight="1" x14ac:dyDescent="0.2">
      <c r="C300" s="20"/>
      <c r="D300" s="2"/>
      <c r="E300" s="2"/>
      <c r="F300" s="2"/>
      <c r="G300" s="2"/>
      <c r="H300" s="2"/>
    </row>
    <row r="301" spans="3:8" ht="17.25" customHeight="1" x14ac:dyDescent="0.2">
      <c r="C301" s="20"/>
      <c r="D301" s="2"/>
      <c r="E301" s="2"/>
      <c r="F301" s="2"/>
      <c r="G301" s="2"/>
      <c r="H301" s="2"/>
    </row>
    <row r="302" spans="3:8" ht="17.25" customHeight="1" x14ac:dyDescent="0.2">
      <c r="C302" s="20"/>
      <c r="D302" s="2"/>
      <c r="E302" s="2"/>
      <c r="F302" s="2"/>
      <c r="G302" s="2"/>
      <c r="H302" s="2"/>
    </row>
    <row r="303" spans="3:8" ht="17.25" customHeight="1" x14ac:dyDescent="0.2">
      <c r="C303" s="20"/>
      <c r="D303" s="2"/>
      <c r="E303" s="2"/>
      <c r="F303" s="2"/>
      <c r="G303" s="2"/>
      <c r="H303" s="2"/>
    </row>
    <row r="304" spans="3:8" ht="17.25" customHeight="1" x14ac:dyDescent="0.2">
      <c r="C304" s="20"/>
      <c r="D304" s="2"/>
      <c r="E304" s="2"/>
      <c r="F304" s="2"/>
      <c r="G304" s="2"/>
      <c r="H304" s="2"/>
    </row>
    <row r="305" spans="3:8" ht="17.25" customHeight="1" x14ac:dyDescent="0.2">
      <c r="C305" s="20"/>
      <c r="D305" s="2"/>
      <c r="E305" s="2"/>
      <c r="F305" s="2"/>
      <c r="G305" s="2"/>
      <c r="H305" s="2"/>
    </row>
    <row r="306" spans="3:8" ht="17.25" customHeight="1" x14ac:dyDescent="0.2">
      <c r="C306" s="20"/>
      <c r="D306" s="2"/>
      <c r="E306" s="2"/>
      <c r="F306" s="2"/>
      <c r="G306" s="2"/>
      <c r="H306" s="2"/>
    </row>
    <row r="307" spans="3:8" ht="17.25" customHeight="1" x14ac:dyDescent="0.2">
      <c r="C307" s="20"/>
      <c r="D307" s="2"/>
      <c r="E307" s="2"/>
      <c r="F307" s="2"/>
      <c r="G307" s="2"/>
      <c r="H307" s="2"/>
    </row>
    <row r="308" spans="3:8" ht="17.25" customHeight="1" x14ac:dyDescent="0.2">
      <c r="C308" s="20"/>
      <c r="D308" s="2"/>
      <c r="E308" s="2"/>
      <c r="F308" s="2"/>
      <c r="G308" s="2"/>
      <c r="H308" s="2"/>
    </row>
    <row r="309" spans="3:8" ht="17.25" customHeight="1" x14ac:dyDescent="0.2">
      <c r="C309" s="20"/>
      <c r="D309" s="2"/>
      <c r="E309" s="2"/>
      <c r="F309" s="2"/>
      <c r="G309" s="2"/>
      <c r="H309" s="2"/>
    </row>
    <row r="310" spans="3:8" ht="17.25" customHeight="1" x14ac:dyDescent="0.2">
      <c r="C310" s="20"/>
      <c r="D310" s="2"/>
      <c r="E310" s="2"/>
      <c r="F310" s="2"/>
      <c r="G310" s="2"/>
      <c r="H310" s="2"/>
    </row>
    <row r="311" spans="3:8" ht="17.25" customHeight="1" x14ac:dyDescent="0.2">
      <c r="C311" s="20"/>
      <c r="D311" s="2"/>
      <c r="E311" s="2"/>
      <c r="F311" s="2"/>
      <c r="G311" s="2"/>
      <c r="H311" s="2"/>
    </row>
    <row r="312" spans="3:8" ht="17.25" customHeight="1" x14ac:dyDescent="0.2">
      <c r="C312" s="20"/>
      <c r="D312" s="2"/>
      <c r="E312" s="2"/>
      <c r="F312" s="2"/>
      <c r="G312" s="2"/>
      <c r="H312" s="2"/>
    </row>
    <row r="313" spans="3:8" ht="17.25" customHeight="1" x14ac:dyDescent="0.2">
      <c r="C313" s="20"/>
      <c r="D313" s="2"/>
      <c r="E313" s="2"/>
      <c r="F313" s="2"/>
      <c r="G313" s="2"/>
      <c r="H313" s="2"/>
    </row>
    <row r="314" spans="3:8" ht="17.25" customHeight="1" x14ac:dyDescent="0.2">
      <c r="C314" s="20"/>
      <c r="D314" s="2"/>
      <c r="E314" s="2"/>
      <c r="F314" s="2"/>
      <c r="G314" s="2"/>
      <c r="H314" s="2"/>
    </row>
    <row r="315" spans="3:8" ht="17.25" customHeight="1" x14ac:dyDescent="0.2">
      <c r="C315" s="20"/>
      <c r="D315" s="2"/>
      <c r="E315" s="2"/>
      <c r="F315" s="2"/>
      <c r="G315" s="2"/>
      <c r="H315" s="2"/>
    </row>
    <row r="316" spans="3:8" ht="17.25" customHeight="1" x14ac:dyDescent="0.2">
      <c r="C316" s="20"/>
      <c r="D316" s="2"/>
      <c r="E316" s="2"/>
      <c r="F316" s="2"/>
      <c r="G316" s="2"/>
      <c r="H316" s="2"/>
    </row>
    <row r="317" spans="3:8" ht="17.25" customHeight="1" x14ac:dyDescent="0.2">
      <c r="C317" s="20"/>
      <c r="D317" s="2"/>
      <c r="E317" s="2"/>
      <c r="F317" s="2"/>
      <c r="G317" s="2"/>
      <c r="H317" s="2"/>
    </row>
    <row r="318" spans="3:8" ht="17.25" customHeight="1" x14ac:dyDescent="0.2">
      <c r="C318" s="20"/>
      <c r="D318" s="2"/>
      <c r="E318" s="2"/>
      <c r="F318" s="2"/>
      <c r="G318" s="2"/>
      <c r="H318" s="2"/>
    </row>
    <row r="319" spans="3:8" ht="17.25" customHeight="1" x14ac:dyDescent="0.2">
      <c r="C319" s="20"/>
      <c r="D319" s="2"/>
      <c r="E319" s="2"/>
      <c r="F319" s="2"/>
      <c r="G319" s="2"/>
      <c r="H319" s="2"/>
    </row>
    <row r="320" spans="3:8" ht="17.25" customHeight="1" x14ac:dyDescent="0.2">
      <c r="C320" s="20"/>
      <c r="D320" s="2"/>
      <c r="E320" s="2"/>
      <c r="F320" s="2"/>
      <c r="G320" s="2"/>
      <c r="H320" s="2"/>
    </row>
    <row r="321" spans="3:8" ht="17.25" customHeight="1" x14ac:dyDescent="0.2">
      <c r="C321" s="20"/>
      <c r="D321" s="2"/>
      <c r="E321" s="2"/>
      <c r="F321" s="2"/>
      <c r="G321" s="2"/>
      <c r="H321" s="2"/>
    </row>
    <row r="322" spans="3:8" ht="17.25" customHeight="1" x14ac:dyDescent="0.2">
      <c r="C322" s="20"/>
      <c r="D322" s="2"/>
      <c r="E322" s="2"/>
      <c r="F322" s="2"/>
      <c r="G322" s="2"/>
      <c r="H322" s="2"/>
    </row>
    <row r="323" spans="3:8" ht="17.25" customHeight="1" x14ac:dyDescent="0.2">
      <c r="C323" s="20"/>
      <c r="D323" s="2"/>
      <c r="E323" s="2"/>
      <c r="F323" s="2"/>
      <c r="G323" s="2"/>
      <c r="H323" s="2"/>
    </row>
    <row r="324" spans="3:8" ht="17.25" customHeight="1" x14ac:dyDescent="0.2">
      <c r="C324" s="20"/>
      <c r="D324" s="2"/>
      <c r="E324" s="2"/>
      <c r="F324" s="2"/>
      <c r="G324" s="2"/>
      <c r="H324" s="2"/>
    </row>
    <row r="325" spans="3:8" ht="17.25" customHeight="1" x14ac:dyDescent="0.2">
      <c r="C325" s="20"/>
      <c r="D325" s="2"/>
      <c r="E325" s="2"/>
      <c r="F325" s="2"/>
      <c r="G325" s="2"/>
      <c r="H325" s="2"/>
    </row>
    <row r="326" spans="3:8" ht="17.25" customHeight="1" x14ac:dyDescent="0.2">
      <c r="C326" s="20"/>
      <c r="D326" s="2"/>
      <c r="E326" s="2"/>
      <c r="F326" s="2"/>
      <c r="G326" s="2"/>
      <c r="H326" s="2"/>
    </row>
    <row r="327" spans="3:8" ht="17.25" customHeight="1" x14ac:dyDescent="0.2">
      <c r="C327" s="20"/>
      <c r="D327" s="2"/>
      <c r="E327" s="2"/>
      <c r="F327" s="2"/>
      <c r="G327" s="2"/>
      <c r="H327" s="2"/>
    </row>
    <row r="328" spans="3:8" ht="17.25" customHeight="1" x14ac:dyDescent="0.2">
      <c r="C328" s="20"/>
      <c r="D328" s="2"/>
      <c r="E328" s="2"/>
      <c r="F328" s="2"/>
      <c r="G328" s="2"/>
      <c r="H328" s="2"/>
    </row>
    <row r="329" spans="3:8" ht="17.25" customHeight="1" x14ac:dyDescent="0.2">
      <c r="C329" s="20"/>
      <c r="D329" s="2"/>
      <c r="E329" s="2"/>
      <c r="F329" s="2"/>
      <c r="G329" s="2"/>
      <c r="H329" s="2"/>
    </row>
    <row r="330" spans="3:8" ht="17.25" customHeight="1" x14ac:dyDescent="0.2">
      <c r="C330" s="20"/>
      <c r="D330" s="2"/>
      <c r="E330" s="2"/>
      <c r="F330" s="2"/>
      <c r="G330" s="2"/>
      <c r="H330" s="2"/>
    </row>
    <row r="331" spans="3:8" ht="17.25" customHeight="1" x14ac:dyDescent="0.2">
      <c r="C331" s="20"/>
      <c r="D331" s="2"/>
      <c r="E331" s="2"/>
      <c r="F331" s="2"/>
      <c r="G331" s="2"/>
      <c r="H331" s="2"/>
    </row>
    <row r="332" spans="3:8" ht="17.25" customHeight="1" x14ac:dyDescent="0.2">
      <c r="C332" s="20"/>
      <c r="D332" s="2"/>
      <c r="E332" s="2"/>
      <c r="F332" s="2"/>
      <c r="G332" s="2"/>
      <c r="H332" s="2"/>
    </row>
    <row r="333" spans="3:8" ht="17.25" customHeight="1" x14ac:dyDescent="0.2">
      <c r="C333" s="20"/>
      <c r="D333" s="2"/>
      <c r="E333" s="2"/>
      <c r="F333" s="2"/>
      <c r="G333" s="2"/>
      <c r="H333" s="2"/>
    </row>
    <row r="334" spans="3:8" ht="17.25" customHeight="1" x14ac:dyDescent="0.2">
      <c r="C334" s="20"/>
      <c r="D334" s="2"/>
      <c r="E334" s="2"/>
      <c r="F334" s="2"/>
      <c r="G334" s="2"/>
      <c r="H334" s="2"/>
    </row>
    <row r="335" spans="3:8" ht="17.25" customHeight="1" x14ac:dyDescent="0.2">
      <c r="C335" s="20"/>
      <c r="D335" s="2"/>
      <c r="E335" s="2"/>
      <c r="F335" s="2"/>
      <c r="G335" s="2"/>
      <c r="H335" s="2"/>
    </row>
    <row r="336" spans="3:8" ht="17.25" customHeight="1" x14ac:dyDescent="0.2">
      <c r="C336" s="20"/>
      <c r="D336" s="2"/>
      <c r="E336" s="2"/>
      <c r="F336" s="2"/>
      <c r="G336" s="2"/>
      <c r="H336" s="2"/>
    </row>
    <row r="337" spans="3:8" ht="17.25" customHeight="1" x14ac:dyDescent="0.2">
      <c r="C337" s="20"/>
      <c r="D337" s="2"/>
      <c r="E337" s="2"/>
      <c r="F337" s="2"/>
      <c r="G337" s="2"/>
      <c r="H337" s="2"/>
    </row>
    <row r="338" spans="3:8" ht="17.25" customHeight="1" x14ac:dyDescent="0.2">
      <c r="C338" s="20"/>
      <c r="D338" s="2"/>
      <c r="E338" s="2"/>
      <c r="F338" s="2"/>
      <c r="G338" s="2"/>
      <c r="H338" s="2"/>
    </row>
    <row r="339" spans="3:8" ht="17.25" customHeight="1" x14ac:dyDescent="0.2">
      <c r="C339" s="20"/>
      <c r="D339" s="2"/>
      <c r="E339" s="2"/>
      <c r="F339" s="2"/>
      <c r="G339" s="2"/>
      <c r="H339" s="2"/>
    </row>
    <row r="340" spans="3:8" ht="17.25" customHeight="1" x14ac:dyDescent="0.2">
      <c r="C340" s="20"/>
      <c r="D340" s="2"/>
      <c r="E340" s="2"/>
      <c r="F340" s="2"/>
      <c r="G340" s="2"/>
      <c r="H340" s="2"/>
    </row>
    <row r="341" spans="3:8" ht="17.25" customHeight="1" x14ac:dyDescent="0.2">
      <c r="C341" s="20"/>
      <c r="D341" s="2"/>
      <c r="E341" s="2"/>
      <c r="F341" s="2"/>
      <c r="G341" s="2"/>
      <c r="H341" s="2"/>
    </row>
    <row r="342" spans="3:8" ht="17.25" customHeight="1" x14ac:dyDescent="0.2">
      <c r="C342" s="20"/>
      <c r="D342" s="2"/>
      <c r="E342" s="2"/>
      <c r="F342" s="2"/>
      <c r="G342" s="2"/>
      <c r="H342" s="2"/>
    </row>
    <row r="343" spans="3:8" ht="17.25" customHeight="1" x14ac:dyDescent="0.2">
      <c r="C343" s="20"/>
      <c r="D343" s="2"/>
      <c r="E343" s="2"/>
      <c r="F343" s="2"/>
      <c r="G343" s="2"/>
      <c r="H343" s="2"/>
    </row>
    <row r="344" spans="3:8" ht="17.25" customHeight="1" x14ac:dyDescent="0.2">
      <c r="C344" s="20"/>
      <c r="D344" s="2"/>
      <c r="E344" s="2"/>
      <c r="F344" s="2"/>
      <c r="G344" s="2"/>
      <c r="H344" s="2"/>
    </row>
    <row r="345" spans="3:8" ht="17.25" customHeight="1" x14ac:dyDescent="0.2">
      <c r="C345" s="20"/>
      <c r="D345" s="2"/>
      <c r="E345" s="2"/>
      <c r="F345" s="2"/>
      <c r="G345" s="2"/>
      <c r="H345" s="2"/>
    </row>
    <row r="346" spans="3:8" ht="17.25" customHeight="1" x14ac:dyDescent="0.2">
      <c r="C346" s="20"/>
      <c r="D346" s="2"/>
      <c r="E346" s="2"/>
      <c r="F346" s="2"/>
      <c r="G346" s="2"/>
      <c r="H346" s="2"/>
    </row>
    <row r="347" spans="3:8" ht="17.25" customHeight="1" x14ac:dyDescent="0.2">
      <c r="C347" s="20"/>
      <c r="D347" s="2"/>
      <c r="E347" s="2"/>
      <c r="F347" s="2"/>
      <c r="G347" s="2"/>
      <c r="H347" s="2"/>
    </row>
    <row r="348" spans="3:8" ht="17.25" customHeight="1" x14ac:dyDescent="0.2">
      <c r="C348" s="20"/>
      <c r="D348" s="2"/>
      <c r="E348" s="2"/>
      <c r="F348" s="2"/>
      <c r="G348" s="2"/>
      <c r="H348" s="2"/>
    </row>
    <row r="349" spans="3:8" ht="17.25" customHeight="1" x14ac:dyDescent="0.2">
      <c r="C349" s="20"/>
      <c r="D349" s="2"/>
      <c r="E349" s="2"/>
      <c r="F349" s="2"/>
      <c r="G349" s="2"/>
      <c r="H349" s="2"/>
    </row>
    <row r="350" spans="3:8" ht="17.25" customHeight="1" x14ac:dyDescent="0.2">
      <c r="C350" s="20"/>
      <c r="D350" s="2"/>
      <c r="E350" s="2"/>
      <c r="F350" s="2"/>
      <c r="G350" s="2"/>
      <c r="H350" s="2"/>
    </row>
    <row r="351" spans="3:8" ht="17.25" customHeight="1" x14ac:dyDescent="0.2">
      <c r="C351" s="20"/>
      <c r="D351" s="2"/>
      <c r="E351" s="2"/>
      <c r="F351" s="2"/>
      <c r="G351" s="2"/>
      <c r="H351" s="2"/>
    </row>
    <row r="352" spans="3:8" ht="17.25" customHeight="1" x14ac:dyDescent="0.2">
      <c r="C352" s="20"/>
      <c r="D352" s="2"/>
      <c r="E352" s="2"/>
      <c r="F352" s="2"/>
      <c r="G352" s="2"/>
      <c r="H352" s="2"/>
    </row>
    <row r="353" spans="3:8" ht="17.25" customHeight="1" x14ac:dyDescent="0.2">
      <c r="C353" s="20"/>
      <c r="D353" s="2"/>
      <c r="E353" s="2"/>
      <c r="F353" s="2"/>
      <c r="G353" s="2"/>
      <c r="H353" s="2"/>
    </row>
    <row r="354" spans="3:8" ht="17.25" customHeight="1" x14ac:dyDescent="0.2">
      <c r="C354" s="20"/>
      <c r="D354" s="2"/>
      <c r="E354" s="2"/>
      <c r="F354" s="2"/>
      <c r="G354" s="2"/>
      <c r="H354" s="2"/>
    </row>
    <row r="355" spans="3:8" ht="17.25" customHeight="1" x14ac:dyDescent="0.2">
      <c r="C355" s="20"/>
      <c r="D355" s="2"/>
      <c r="E355" s="2"/>
      <c r="F355" s="2"/>
      <c r="G355" s="2"/>
      <c r="H355" s="2"/>
    </row>
    <row r="356" spans="3:8" ht="17.25" customHeight="1" x14ac:dyDescent="0.2">
      <c r="C356" s="20"/>
      <c r="D356" s="2"/>
      <c r="E356" s="2"/>
      <c r="F356" s="2"/>
      <c r="G356" s="2"/>
      <c r="H356" s="2"/>
    </row>
    <row r="357" spans="3:8" ht="17.25" customHeight="1" x14ac:dyDescent="0.2">
      <c r="C357" s="20"/>
      <c r="D357" s="2"/>
      <c r="E357" s="2"/>
      <c r="F357" s="2"/>
      <c r="G357" s="2"/>
      <c r="H357" s="2"/>
    </row>
    <row r="358" spans="3:8" ht="17.25" customHeight="1" x14ac:dyDescent="0.2">
      <c r="C358" s="20"/>
      <c r="D358" s="2"/>
      <c r="E358" s="2"/>
      <c r="F358" s="2"/>
      <c r="G358" s="2"/>
      <c r="H358" s="2"/>
    </row>
    <row r="359" spans="3:8" ht="17.25" customHeight="1" x14ac:dyDescent="0.2">
      <c r="C359" s="20"/>
      <c r="D359" s="2"/>
      <c r="E359" s="2"/>
      <c r="F359" s="2"/>
      <c r="G359" s="2"/>
      <c r="H359" s="2"/>
    </row>
    <row r="360" spans="3:8" ht="17.25" customHeight="1" x14ac:dyDescent="0.2">
      <c r="C360" s="20"/>
      <c r="D360" s="2"/>
      <c r="E360" s="2"/>
      <c r="F360" s="2"/>
      <c r="G360" s="2"/>
      <c r="H360" s="2"/>
    </row>
    <row r="361" spans="3:8" ht="17.25" customHeight="1" x14ac:dyDescent="0.2">
      <c r="C361" s="20"/>
      <c r="D361" s="2"/>
      <c r="E361" s="2"/>
      <c r="F361" s="2"/>
      <c r="G361" s="2"/>
      <c r="H361" s="2"/>
    </row>
    <row r="362" spans="3:8" ht="17.25" customHeight="1" x14ac:dyDescent="0.2">
      <c r="C362" s="20"/>
      <c r="D362" s="2"/>
      <c r="E362" s="2"/>
      <c r="F362" s="2"/>
      <c r="G362" s="2"/>
      <c r="H362" s="2"/>
    </row>
    <row r="363" spans="3:8" ht="17.25" customHeight="1" x14ac:dyDescent="0.2">
      <c r="C363" s="20"/>
      <c r="D363" s="2"/>
      <c r="E363" s="2"/>
      <c r="F363" s="2"/>
      <c r="G363" s="2"/>
      <c r="H363" s="2"/>
    </row>
    <row r="364" spans="3:8" ht="17.25" customHeight="1" x14ac:dyDescent="0.2">
      <c r="C364" s="20"/>
      <c r="D364" s="2"/>
      <c r="E364" s="2"/>
      <c r="F364" s="2"/>
      <c r="G364" s="2"/>
      <c r="H364" s="2"/>
    </row>
    <row r="365" spans="3:8" ht="17.25" customHeight="1" x14ac:dyDescent="0.2">
      <c r="C365" s="20"/>
      <c r="D365" s="2"/>
      <c r="E365" s="2"/>
      <c r="F365" s="2"/>
      <c r="G365" s="2"/>
      <c r="H365" s="2"/>
    </row>
    <row r="366" spans="3:8" ht="17.25" customHeight="1" x14ac:dyDescent="0.2">
      <c r="C366" s="20"/>
      <c r="D366" s="2"/>
      <c r="E366" s="2"/>
      <c r="F366" s="2"/>
      <c r="G366" s="2"/>
      <c r="H366" s="2"/>
    </row>
    <row r="367" spans="3:8" ht="17.25" customHeight="1" x14ac:dyDescent="0.2">
      <c r="C367" s="20"/>
      <c r="D367" s="2"/>
      <c r="E367" s="2"/>
      <c r="F367" s="2"/>
      <c r="G367" s="2"/>
      <c r="H367" s="2"/>
    </row>
    <row r="368" spans="3:8" ht="17.25" customHeight="1" x14ac:dyDescent="0.2">
      <c r="C368" s="20"/>
      <c r="D368" s="2"/>
      <c r="E368" s="2"/>
      <c r="F368" s="2"/>
      <c r="G368" s="2"/>
      <c r="H368" s="2"/>
    </row>
    <row r="369" spans="3:8" ht="17.25" customHeight="1" x14ac:dyDescent="0.2">
      <c r="C369" s="20"/>
      <c r="D369" s="2"/>
      <c r="E369" s="2"/>
      <c r="F369" s="2"/>
      <c r="G369" s="2"/>
      <c r="H369" s="2"/>
    </row>
    <row r="370" spans="3:8" ht="17.25" customHeight="1" x14ac:dyDescent="0.2">
      <c r="C370" s="20"/>
      <c r="D370" s="2"/>
      <c r="E370" s="2"/>
      <c r="F370" s="2"/>
      <c r="G370" s="2"/>
      <c r="H370" s="2"/>
    </row>
    <row r="371" spans="3:8" ht="17.25" customHeight="1" x14ac:dyDescent="0.2">
      <c r="C371" s="20"/>
      <c r="D371" s="2"/>
      <c r="E371" s="2"/>
      <c r="F371" s="2"/>
      <c r="G371" s="2"/>
      <c r="H371" s="2"/>
    </row>
    <row r="372" spans="3:8" ht="17.25" customHeight="1" x14ac:dyDescent="0.2">
      <c r="C372" s="20"/>
      <c r="D372" s="2"/>
      <c r="E372" s="2"/>
      <c r="F372" s="2"/>
      <c r="G372" s="2"/>
      <c r="H372" s="2"/>
    </row>
    <row r="373" spans="3:8" ht="17.25" customHeight="1" x14ac:dyDescent="0.2">
      <c r="C373" s="20"/>
      <c r="D373" s="2"/>
      <c r="E373" s="2"/>
      <c r="F373" s="2"/>
      <c r="G373" s="2"/>
      <c r="H373" s="2"/>
    </row>
    <row r="374" spans="3:8" ht="17.25" customHeight="1" x14ac:dyDescent="0.2">
      <c r="C374" s="20"/>
      <c r="D374" s="2"/>
      <c r="E374" s="2"/>
      <c r="F374" s="2"/>
      <c r="G374" s="2"/>
      <c r="H374" s="2"/>
    </row>
    <row r="375" spans="3:8" ht="17.25" customHeight="1" x14ac:dyDescent="0.2">
      <c r="C375" s="20"/>
      <c r="D375" s="2"/>
      <c r="E375" s="2"/>
      <c r="F375" s="2"/>
      <c r="G375" s="2"/>
      <c r="H375" s="2"/>
    </row>
    <row r="376" spans="3:8" ht="17.25" customHeight="1" x14ac:dyDescent="0.2">
      <c r="C376" s="20"/>
      <c r="D376" s="2"/>
      <c r="E376" s="2"/>
      <c r="F376" s="2"/>
      <c r="G376" s="2"/>
      <c r="H376" s="2"/>
    </row>
    <row r="377" spans="3:8" ht="17.25" customHeight="1" x14ac:dyDescent="0.2">
      <c r="C377" s="20"/>
      <c r="D377" s="2"/>
      <c r="E377" s="2"/>
      <c r="F377" s="2"/>
      <c r="G377" s="2"/>
      <c r="H377" s="2"/>
    </row>
    <row r="378" spans="3:8" ht="17.25" customHeight="1" x14ac:dyDescent="0.2">
      <c r="C378" s="20"/>
      <c r="D378" s="2"/>
      <c r="E378" s="2"/>
      <c r="F378" s="2"/>
      <c r="G378" s="2"/>
      <c r="H378" s="2"/>
    </row>
    <row r="379" spans="3:8" ht="17.25" customHeight="1" x14ac:dyDescent="0.2">
      <c r="C379" s="20"/>
      <c r="D379" s="2"/>
      <c r="E379" s="2"/>
      <c r="F379" s="2"/>
      <c r="G379" s="2"/>
      <c r="H379" s="2"/>
    </row>
    <row r="380" spans="3:8" ht="17.25" customHeight="1" x14ac:dyDescent="0.2">
      <c r="C380" s="20"/>
      <c r="D380" s="2"/>
      <c r="E380" s="2"/>
      <c r="F380" s="2"/>
      <c r="G380" s="2"/>
      <c r="H380" s="2"/>
    </row>
    <row r="381" spans="3:8" ht="17.25" customHeight="1" x14ac:dyDescent="0.2">
      <c r="C381" s="20"/>
      <c r="D381" s="2"/>
      <c r="E381" s="2"/>
      <c r="F381" s="2"/>
      <c r="G381" s="2"/>
      <c r="H381" s="2"/>
    </row>
    <row r="382" spans="3:8" ht="17.25" customHeight="1" x14ac:dyDescent="0.2">
      <c r="C382" s="20"/>
      <c r="D382" s="2"/>
      <c r="E382" s="2"/>
      <c r="F382" s="2"/>
      <c r="G382" s="2"/>
      <c r="H382" s="2"/>
    </row>
    <row r="383" spans="3:8" ht="17.25" customHeight="1" x14ac:dyDescent="0.2">
      <c r="C383" s="20"/>
      <c r="D383" s="2"/>
      <c r="E383" s="2"/>
      <c r="F383" s="2"/>
      <c r="G383" s="2"/>
      <c r="H383" s="2"/>
    </row>
    <row r="384" spans="3:8" ht="17.25" customHeight="1" x14ac:dyDescent="0.2">
      <c r="C384" s="20"/>
      <c r="D384" s="2"/>
      <c r="E384" s="2"/>
      <c r="F384" s="2"/>
      <c r="G384" s="2"/>
      <c r="H384" s="2"/>
    </row>
    <row r="385" spans="3:8" ht="17.25" customHeight="1" x14ac:dyDescent="0.2">
      <c r="C385" s="20"/>
      <c r="D385" s="2"/>
      <c r="E385" s="2"/>
      <c r="F385" s="2"/>
      <c r="G385" s="2"/>
      <c r="H385" s="2"/>
    </row>
    <row r="386" spans="3:8" ht="17.25" customHeight="1" x14ac:dyDescent="0.2">
      <c r="C386" s="20"/>
      <c r="D386" s="2"/>
      <c r="E386" s="2"/>
      <c r="F386" s="2"/>
      <c r="G386" s="2"/>
      <c r="H386" s="2"/>
    </row>
    <row r="387" spans="3:8" ht="17.25" customHeight="1" x14ac:dyDescent="0.2">
      <c r="C387" s="20"/>
      <c r="D387" s="2"/>
      <c r="E387" s="2"/>
      <c r="F387" s="2"/>
      <c r="G387" s="2"/>
      <c r="H387" s="2"/>
    </row>
    <row r="388" spans="3:8" ht="17.25" customHeight="1" x14ac:dyDescent="0.2">
      <c r="C388" s="20"/>
      <c r="D388" s="2"/>
      <c r="E388" s="2"/>
      <c r="F388" s="2"/>
      <c r="G388" s="2"/>
      <c r="H388" s="2"/>
    </row>
    <row r="389" spans="3:8" ht="17.25" customHeight="1" x14ac:dyDescent="0.2">
      <c r="C389" s="20"/>
      <c r="D389" s="2"/>
      <c r="E389" s="2"/>
      <c r="F389" s="2"/>
      <c r="G389" s="2"/>
      <c r="H389" s="2"/>
    </row>
    <row r="390" spans="3:8" ht="17.25" customHeight="1" x14ac:dyDescent="0.2">
      <c r="C390" s="20"/>
      <c r="D390" s="2"/>
      <c r="E390" s="2"/>
      <c r="F390" s="2"/>
      <c r="G390" s="2"/>
      <c r="H390" s="2"/>
    </row>
    <row r="391" spans="3:8" ht="17.25" customHeight="1" x14ac:dyDescent="0.2">
      <c r="C391" s="20"/>
      <c r="D391" s="2"/>
      <c r="E391" s="2"/>
      <c r="F391" s="2"/>
      <c r="G391" s="2"/>
      <c r="H391" s="2"/>
    </row>
    <row r="392" spans="3:8" ht="17.25" customHeight="1" x14ac:dyDescent="0.2">
      <c r="C392" s="20"/>
      <c r="D392" s="2"/>
      <c r="E392" s="2"/>
      <c r="F392" s="2"/>
      <c r="G392" s="2"/>
      <c r="H392" s="2"/>
    </row>
    <row r="393" spans="3:8" ht="17.25" customHeight="1" x14ac:dyDescent="0.2">
      <c r="C393" s="20"/>
      <c r="D393" s="2"/>
      <c r="E393" s="2"/>
      <c r="F393" s="2"/>
      <c r="G393" s="2"/>
      <c r="H393" s="2"/>
    </row>
    <row r="394" spans="3:8" ht="17.25" customHeight="1" x14ac:dyDescent="0.2">
      <c r="C394" s="20"/>
      <c r="D394" s="2"/>
      <c r="E394" s="2"/>
      <c r="F394" s="2"/>
      <c r="G394" s="2"/>
      <c r="H394" s="2"/>
    </row>
    <row r="395" spans="3:8" ht="17.25" customHeight="1" x14ac:dyDescent="0.2">
      <c r="C395" s="20"/>
      <c r="D395" s="2"/>
      <c r="E395" s="2"/>
      <c r="F395" s="2"/>
      <c r="G395" s="2"/>
      <c r="H395" s="2"/>
    </row>
    <row r="396" spans="3:8" ht="17.25" customHeight="1" x14ac:dyDescent="0.2">
      <c r="C396" s="20"/>
      <c r="D396" s="2"/>
      <c r="E396" s="2"/>
      <c r="F396" s="2"/>
      <c r="G396" s="2"/>
      <c r="H396" s="2"/>
    </row>
    <row r="397" spans="3:8" ht="17.25" customHeight="1" x14ac:dyDescent="0.2">
      <c r="C397" s="20"/>
      <c r="D397" s="2"/>
      <c r="E397" s="2"/>
      <c r="F397" s="2"/>
      <c r="G397" s="2"/>
      <c r="H397" s="2"/>
    </row>
    <row r="398" spans="3:8" ht="17.25" customHeight="1" x14ac:dyDescent="0.2">
      <c r="C398" s="20"/>
      <c r="D398" s="2"/>
      <c r="E398" s="2"/>
      <c r="F398" s="2"/>
      <c r="G398" s="2"/>
      <c r="H398" s="2"/>
    </row>
    <row r="399" spans="3:8" ht="17.25" customHeight="1" x14ac:dyDescent="0.2">
      <c r="C399" s="20"/>
      <c r="D399" s="2"/>
      <c r="E399" s="2"/>
      <c r="F399" s="2"/>
      <c r="G399" s="2"/>
      <c r="H399" s="2"/>
    </row>
    <row r="400" spans="3:8" ht="17.25" customHeight="1" x14ac:dyDescent="0.2">
      <c r="C400" s="20"/>
      <c r="D400" s="2"/>
      <c r="E400" s="2"/>
      <c r="F400" s="2"/>
      <c r="G400" s="2"/>
      <c r="H400" s="2"/>
    </row>
    <row r="401" spans="3:8" ht="17.25" customHeight="1" x14ac:dyDescent="0.2">
      <c r="C401" s="20"/>
      <c r="D401" s="2"/>
      <c r="E401" s="2"/>
      <c r="F401" s="2"/>
      <c r="G401" s="2"/>
      <c r="H401" s="2"/>
    </row>
    <row r="402" spans="3:8" ht="17.25" customHeight="1" x14ac:dyDescent="0.2">
      <c r="C402" s="20"/>
      <c r="D402" s="2"/>
      <c r="E402" s="2"/>
      <c r="F402" s="2"/>
      <c r="G402" s="2"/>
      <c r="H402" s="2"/>
    </row>
    <row r="403" spans="3:8" ht="17.25" customHeight="1" x14ac:dyDescent="0.2">
      <c r="C403" s="20"/>
      <c r="D403" s="2"/>
      <c r="E403" s="2"/>
      <c r="F403" s="2"/>
      <c r="G403" s="2"/>
      <c r="H403" s="2"/>
    </row>
    <row r="404" spans="3:8" ht="17.25" customHeight="1" x14ac:dyDescent="0.2">
      <c r="C404" s="20"/>
      <c r="D404" s="2"/>
      <c r="E404" s="2"/>
      <c r="F404" s="2"/>
      <c r="G404" s="2"/>
      <c r="H404" s="2"/>
    </row>
    <row r="405" spans="3:8" ht="17.25" customHeight="1" x14ac:dyDescent="0.2">
      <c r="C405" s="20"/>
      <c r="D405" s="2"/>
      <c r="E405" s="2"/>
      <c r="F405" s="2"/>
      <c r="G405" s="2"/>
      <c r="H405" s="2"/>
    </row>
    <row r="406" spans="3:8" ht="17.25" customHeight="1" x14ac:dyDescent="0.2">
      <c r="C406" s="20"/>
      <c r="D406" s="2"/>
      <c r="E406" s="2"/>
      <c r="F406" s="2"/>
      <c r="G406" s="2"/>
      <c r="H406" s="2"/>
    </row>
    <row r="407" spans="3:8" ht="17.25" customHeight="1" x14ac:dyDescent="0.2">
      <c r="C407" s="20"/>
      <c r="D407" s="2"/>
      <c r="E407" s="2"/>
      <c r="F407" s="2"/>
      <c r="G407" s="2"/>
      <c r="H407" s="2"/>
    </row>
    <row r="408" spans="3:8" ht="17.25" customHeight="1" x14ac:dyDescent="0.2">
      <c r="C408" s="20"/>
      <c r="D408" s="2"/>
      <c r="E408" s="2"/>
      <c r="F408" s="2"/>
      <c r="G408" s="2"/>
      <c r="H408" s="2"/>
    </row>
    <row r="409" spans="3:8" ht="17.25" customHeight="1" x14ac:dyDescent="0.2">
      <c r="C409" s="20"/>
      <c r="D409" s="2"/>
      <c r="E409" s="2"/>
      <c r="F409" s="2"/>
      <c r="G409" s="2"/>
      <c r="H409" s="2"/>
    </row>
    <row r="410" spans="3:8" ht="17.25" customHeight="1" x14ac:dyDescent="0.2">
      <c r="C410" s="20"/>
      <c r="D410" s="2"/>
      <c r="E410" s="2"/>
      <c r="F410" s="2"/>
      <c r="G410" s="2"/>
      <c r="H410" s="2"/>
    </row>
    <row r="411" spans="3:8" ht="17.25" customHeight="1" x14ac:dyDescent="0.2">
      <c r="C411" s="20"/>
      <c r="D411" s="2"/>
      <c r="E411" s="2"/>
      <c r="F411" s="2"/>
      <c r="G411" s="2"/>
      <c r="H411" s="2"/>
    </row>
    <row r="412" spans="3:8" ht="17.25" customHeight="1" x14ac:dyDescent="0.2">
      <c r="C412" s="20"/>
      <c r="D412" s="2"/>
      <c r="E412" s="2"/>
      <c r="F412" s="2"/>
      <c r="G412" s="2"/>
      <c r="H412" s="2"/>
    </row>
    <row r="413" spans="3:8" ht="17.25" customHeight="1" x14ac:dyDescent="0.2">
      <c r="C413" s="20"/>
      <c r="D413" s="2"/>
      <c r="E413" s="2"/>
      <c r="F413" s="2"/>
      <c r="G413" s="2"/>
      <c r="H413" s="2"/>
    </row>
    <row r="414" spans="3:8" ht="17.25" customHeight="1" x14ac:dyDescent="0.2">
      <c r="C414" s="20"/>
      <c r="D414" s="2"/>
      <c r="E414" s="2"/>
      <c r="F414" s="2"/>
      <c r="G414" s="2"/>
      <c r="H414" s="2"/>
    </row>
    <row r="415" spans="3:8" ht="17.25" customHeight="1" x14ac:dyDescent="0.2">
      <c r="C415" s="20"/>
      <c r="D415" s="2"/>
      <c r="E415" s="2"/>
      <c r="F415" s="2"/>
      <c r="G415" s="2"/>
      <c r="H415" s="2"/>
    </row>
    <row r="416" spans="3:8" ht="17.25" customHeight="1" x14ac:dyDescent="0.2">
      <c r="C416" s="20"/>
      <c r="D416" s="2"/>
      <c r="E416" s="2"/>
      <c r="F416" s="2"/>
      <c r="G416" s="2"/>
      <c r="H416" s="2"/>
    </row>
    <row r="417" spans="3:8" ht="17.25" customHeight="1" x14ac:dyDescent="0.2">
      <c r="C417" s="20"/>
      <c r="D417" s="2"/>
      <c r="E417" s="2"/>
      <c r="F417" s="2"/>
      <c r="G417" s="2"/>
      <c r="H417" s="2"/>
    </row>
    <row r="418" spans="3:8" ht="17.25" customHeight="1" x14ac:dyDescent="0.2">
      <c r="C418" s="20"/>
      <c r="D418" s="2"/>
      <c r="E418" s="2"/>
      <c r="F418" s="2"/>
      <c r="G418" s="2"/>
      <c r="H418" s="2"/>
    </row>
    <row r="419" spans="3:8" ht="17.25" customHeight="1" x14ac:dyDescent="0.2">
      <c r="C419" s="20"/>
      <c r="D419" s="2"/>
      <c r="E419" s="2"/>
      <c r="F419" s="2"/>
      <c r="G419" s="2"/>
      <c r="H419" s="2"/>
    </row>
    <row r="420" spans="3:8" ht="17.25" customHeight="1" x14ac:dyDescent="0.2">
      <c r="C420" s="20"/>
      <c r="D420" s="2"/>
      <c r="E420" s="2"/>
      <c r="F420" s="2"/>
      <c r="G420" s="2"/>
      <c r="H420" s="2"/>
    </row>
    <row r="421" spans="3:8" ht="17.25" customHeight="1" x14ac:dyDescent="0.2">
      <c r="C421" s="20"/>
      <c r="D421" s="2"/>
      <c r="E421" s="2"/>
      <c r="F421" s="2"/>
      <c r="G421" s="2"/>
      <c r="H421" s="2"/>
    </row>
    <row r="422" spans="3:8" ht="17.25" customHeight="1" x14ac:dyDescent="0.2">
      <c r="C422" s="20"/>
      <c r="D422" s="2"/>
      <c r="E422" s="2"/>
      <c r="F422" s="2"/>
      <c r="G422" s="2"/>
      <c r="H422" s="2"/>
    </row>
    <row r="423" spans="3:8" ht="17.25" customHeight="1" x14ac:dyDescent="0.2">
      <c r="C423" s="20"/>
      <c r="D423" s="2"/>
      <c r="E423" s="2"/>
      <c r="F423" s="2"/>
      <c r="G423" s="2"/>
      <c r="H423" s="2"/>
    </row>
    <row r="424" spans="3:8" ht="17.25" customHeight="1" x14ac:dyDescent="0.2">
      <c r="C424" s="20"/>
      <c r="D424" s="2"/>
      <c r="E424" s="2"/>
      <c r="F424" s="2"/>
      <c r="G424" s="2"/>
      <c r="H424" s="2"/>
    </row>
    <row r="425" spans="3:8" ht="17.25" customHeight="1" x14ac:dyDescent="0.2">
      <c r="C425" s="20"/>
      <c r="D425" s="2"/>
      <c r="E425" s="2"/>
      <c r="F425" s="2"/>
      <c r="G425" s="2"/>
      <c r="H425" s="2"/>
    </row>
    <row r="426" spans="3:8" ht="17.25" customHeight="1" x14ac:dyDescent="0.2">
      <c r="C426" s="20"/>
      <c r="D426" s="2"/>
      <c r="E426" s="2"/>
      <c r="F426" s="2"/>
      <c r="G426" s="2"/>
      <c r="H426" s="2"/>
    </row>
    <row r="427" spans="3:8" ht="17.25" customHeight="1" x14ac:dyDescent="0.2">
      <c r="C427" s="20"/>
      <c r="D427" s="2"/>
      <c r="E427" s="2"/>
      <c r="F427" s="2"/>
      <c r="G427" s="2"/>
      <c r="H427" s="2"/>
    </row>
    <row r="428" spans="3:8" ht="17.25" customHeight="1" x14ac:dyDescent="0.2">
      <c r="C428" s="20"/>
      <c r="D428" s="2"/>
      <c r="E428" s="2"/>
      <c r="F428" s="2"/>
      <c r="G428" s="2"/>
      <c r="H428" s="2"/>
    </row>
    <row r="429" spans="3:8" ht="17.25" customHeight="1" x14ac:dyDescent="0.2">
      <c r="C429" s="20"/>
      <c r="D429" s="2"/>
      <c r="E429" s="2"/>
      <c r="F429" s="2"/>
      <c r="G429" s="2"/>
      <c r="H429" s="2"/>
    </row>
    <row r="430" spans="3:8" ht="17.25" customHeight="1" x14ac:dyDescent="0.2">
      <c r="C430" s="20"/>
      <c r="D430" s="2"/>
      <c r="E430" s="2"/>
      <c r="F430" s="2"/>
      <c r="G430" s="2"/>
      <c r="H430" s="2"/>
    </row>
    <row r="431" spans="3:8" ht="17.25" customHeight="1" x14ac:dyDescent="0.2">
      <c r="C431" s="20"/>
      <c r="D431" s="2"/>
      <c r="E431" s="2"/>
      <c r="F431" s="2"/>
      <c r="G431" s="2"/>
      <c r="H431" s="2"/>
    </row>
    <row r="432" spans="3:8" ht="17.25" customHeight="1" x14ac:dyDescent="0.2">
      <c r="C432" s="20"/>
      <c r="D432" s="2"/>
      <c r="E432" s="2"/>
      <c r="F432" s="2"/>
      <c r="G432" s="2"/>
      <c r="H432" s="2"/>
    </row>
    <row r="433" spans="3:8" ht="17.25" customHeight="1" x14ac:dyDescent="0.2">
      <c r="C433" s="20"/>
      <c r="D433" s="2"/>
      <c r="E433" s="2"/>
      <c r="F433" s="2"/>
      <c r="G433" s="2"/>
      <c r="H433" s="2"/>
    </row>
    <row r="434" spans="3:8" ht="17.25" customHeight="1" x14ac:dyDescent="0.2">
      <c r="C434" s="20"/>
      <c r="D434" s="2"/>
      <c r="E434" s="2"/>
      <c r="F434" s="2"/>
      <c r="G434" s="2"/>
      <c r="H434" s="2"/>
    </row>
    <row r="435" spans="3:8" ht="17.25" customHeight="1" x14ac:dyDescent="0.2">
      <c r="C435" s="20"/>
      <c r="D435" s="2"/>
      <c r="E435" s="2"/>
      <c r="F435" s="2"/>
      <c r="G435" s="2"/>
      <c r="H435" s="2"/>
    </row>
    <row r="436" spans="3:8" ht="17.25" customHeight="1" x14ac:dyDescent="0.2">
      <c r="C436" s="20"/>
      <c r="D436" s="2"/>
      <c r="E436" s="2"/>
      <c r="F436" s="2"/>
      <c r="G436" s="2"/>
      <c r="H436" s="2"/>
    </row>
    <row r="437" spans="3:8" ht="17.25" customHeight="1" x14ac:dyDescent="0.2">
      <c r="C437" s="20"/>
      <c r="D437" s="2"/>
      <c r="E437" s="2"/>
      <c r="F437" s="2"/>
      <c r="G437" s="2"/>
      <c r="H437" s="2"/>
    </row>
    <row r="438" spans="3:8" ht="17.25" customHeight="1" x14ac:dyDescent="0.2">
      <c r="C438" s="20"/>
      <c r="D438" s="2"/>
      <c r="E438" s="2"/>
      <c r="F438" s="2"/>
      <c r="G438" s="2"/>
      <c r="H438" s="2"/>
    </row>
    <row r="439" spans="3:8" ht="17.25" customHeight="1" x14ac:dyDescent="0.2">
      <c r="C439" s="20"/>
      <c r="D439" s="2"/>
      <c r="E439" s="2"/>
      <c r="F439" s="2"/>
      <c r="G439" s="2"/>
      <c r="H439" s="2"/>
    </row>
    <row r="440" spans="3:8" ht="17.25" customHeight="1" x14ac:dyDescent="0.2">
      <c r="C440" s="20"/>
      <c r="D440" s="2"/>
      <c r="E440" s="2"/>
      <c r="F440" s="2"/>
      <c r="G440" s="2"/>
      <c r="H440" s="2"/>
    </row>
    <row r="441" spans="3:8" ht="17.25" customHeight="1" x14ac:dyDescent="0.2">
      <c r="C441" s="20"/>
      <c r="D441" s="2"/>
      <c r="E441" s="2"/>
      <c r="F441" s="2"/>
      <c r="G441" s="2"/>
      <c r="H441" s="2"/>
    </row>
    <row r="442" spans="3:8" ht="17.25" customHeight="1" x14ac:dyDescent="0.2">
      <c r="C442" s="20"/>
      <c r="D442" s="2"/>
      <c r="E442" s="2"/>
      <c r="F442" s="2"/>
      <c r="G442" s="2"/>
      <c r="H442" s="2"/>
    </row>
    <row r="443" spans="3:8" ht="17.25" customHeight="1" x14ac:dyDescent="0.2">
      <c r="C443" s="20"/>
      <c r="D443" s="2"/>
      <c r="E443" s="2"/>
      <c r="F443" s="2"/>
      <c r="G443" s="2"/>
      <c r="H443" s="2"/>
    </row>
    <row r="444" spans="3:8" ht="17.25" customHeight="1" x14ac:dyDescent="0.2">
      <c r="C444" s="20"/>
      <c r="D444" s="2"/>
      <c r="E444" s="2"/>
      <c r="F444" s="2"/>
      <c r="G444" s="2"/>
      <c r="H444" s="2"/>
    </row>
    <row r="445" spans="3:8" ht="17.25" customHeight="1" x14ac:dyDescent="0.2">
      <c r="C445" s="20"/>
      <c r="D445" s="2"/>
      <c r="E445" s="2"/>
      <c r="F445" s="2"/>
      <c r="G445" s="2"/>
      <c r="H445" s="2"/>
    </row>
    <row r="446" spans="3:8" ht="17.25" customHeight="1" x14ac:dyDescent="0.2">
      <c r="C446" s="20"/>
      <c r="D446" s="2"/>
      <c r="E446" s="2"/>
      <c r="F446" s="2"/>
      <c r="G446" s="2"/>
      <c r="H446" s="2"/>
    </row>
    <row r="447" spans="3:8" ht="17.25" customHeight="1" x14ac:dyDescent="0.2">
      <c r="C447" s="20"/>
      <c r="D447" s="2"/>
      <c r="E447" s="2"/>
      <c r="F447" s="2"/>
      <c r="G447" s="2"/>
      <c r="H447" s="2"/>
    </row>
    <row r="448" spans="3:8" ht="17.25" customHeight="1" x14ac:dyDescent="0.2">
      <c r="C448" s="20"/>
      <c r="D448" s="2"/>
      <c r="E448" s="2"/>
      <c r="F448" s="2"/>
      <c r="G448" s="2"/>
      <c r="H448" s="2"/>
    </row>
    <row r="449" spans="3:8" ht="17.25" customHeight="1" x14ac:dyDescent="0.2">
      <c r="C449" s="20"/>
      <c r="D449" s="2"/>
      <c r="E449" s="2"/>
      <c r="F449" s="2"/>
      <c r="G449" s="2"/>
      <c r="H449" s="2"/>
    </row>
    <row r="450" spans="3:8" ht="17.25" customHeight="1" x14ac:dyDescent="0.2">
      <c r="C450" s="20"/>
      <c r="D450" s="2"/>
      <c r="E450" s="2"/>
      <c r="F450" s="2"/>
      <c r="G450" s="2"/>
      <c r="H450" s="2"/>
    </row>
    <row r="451" spans="3:8" ht="17.25" customHeight="1" x14ac:dyDescent="0.2">
      <c r="C451" s="20"/>
      <c r="D451" s="2"/>
      <c r="E451" s="2"/>
      <c r="F451" s="2"/>
      <c r="G451" s="2"/>
      <c r="H451" s="2"/>
    </row>
    <row r="452" spans="3:8" ht="17.25" customHeight="1" x14ac:dyDescent="0.2">
      <c r="C452" s="20"/>
      <c r="D452" s="2"/>
      <c r="E452" s="2"/>
      <c r="F452" s="2"/>
      <c r="G452" s="2"/>
      <c r="H452" s="2"/>
    </row>
    <row r="453" spans="3:8" ht="17.25" customHeight="1" x14ac:dyDescent="0.2">
      <c r="C453" s="20"/>
      <c r="D453" s="2"/>
      <c r="E453" s="2"/>
      <c r="F453" s="2"/>
      <c r="G453" s="2"/>
      <c r="H453" s="2"/>
    </row>
    <row r="454" spans="3:8" ht="17.25" customHeight="1" x14ac:dyDescent="0.2">
      <c r="C454" s="20"/>
      <c r="D454" s="2"/>
      <c r="E454" s="2"/>
      <c r="F454" s="2"/>
      <c r="G454" s="2"/>
      <c r="H454" s="2"/>
    </row>
    <row r="455" spans="3:8" ht="17.25" customHeight="1" x14ac:dyDescent="0.2">
      <c r="C455" s="20"/>
      <c r="D455" s="2"/>
      <c r="E455" s="2"/>
      <c r="F455" s="2"/>
      <c r="G455" s="2"/>
      <c r="H455" s="2"/>
    </row>
    <row r="456" spans="3:8" ht="17.25" customHeight="1" x14ac:dyDescent="0.2">
      <c r="C456" s="20"/>
      <c r="D456" s="2"/>
      <c r="E456" s="2"/>
      <c r="F456" s="2"/>
      <c r="G456" s="2"/>
      <c r="H456" s="2"/>
    </row>
    <row r="457" spans="3:8" ht="17.25" customHeight="1" x14ac:dyDescent="0.2">
      <c r="C457" s="20"/>
      <c r="D457" s="2"/>
      <c r="E457" s="2"/>
      <c r="F457" s="2"/>
      <c r="G457" s="2"/>
      <c r="H457" s="2"/>
    </row>
    <row r="458" spans="3:8" ht="17.25" customHeight="1" x14ac:dyDescent="0.2">
      <c r="C458" s="20"/>
      <c r="D458" s="2"/>
      <c r="E458" s="2"/>
      <c r="F458" s="2"/>
      <c r="G458" s="2"/>
      <c r="H458" s="2"/>
    </row>
    <row r="459" spans="3:8" ht="17.25" customHeight="1" x14ac:dyDescent="0.2">
      <c r="C459" s="20"/>
      <c r="D459" s="2"/>
      <c r="E459" s="2"/>
      <c r="F459" s="2"/>
      <c r="G459" s="2"/>
      <c r="H459" s="2"/>
    </row>
    <row r="460" spans="3:8" ht="17.25" customHeight="1" x14ac:dyDescent="0.2">
      <c r="C460" s="20"/>
      <c r="D460" s="2"/>
      <c r="E460" s="2"/>
      <c r="F460" s="2"/>
      <c r="G460" s="2"/>
      <c r="H460" s="2"/>
    </row>
    <row r="461" spans="3:8" ht="17.25" customHeight="1" x14ac:dyDescent="0.2">
      <c r="C461" s="20"/>
      <c r="D461" s="2"/>
      <c r="E461" s="2"/>
      <c r="F461" s="2"/>
      <c r="G461" s="2"/>
      <c r="H461" s="2"/>
    </row>
    <row r="462" spans="3:8" ht="17.25" customHeight="1" x14ac:dyDescent="0.2">
      <c r="C462" s="20"/>
      <c r="D462" s="2"/>
      <c r="E462" s="2"/>
      <c r="F462" s="2"/>
      <c r="G462" s="2"/>
      <c r="H462" s="2"/>
    </row>
    <row r="463" spans="3:8" ht="17.25" customHeight="1" x14ac:dyDescent="0.2">
      <c r="C463" s="20"/>
      <c r="D463" s="2"/>
      <c r="E463" s="2"/>
      <c r="F463" s="2"/>
      <c r="G463" s="2"/>
      <c r="H463" s="2"/>
    </row>
    <row r="464" spans="3:8" ht="17.25" customHeight="1" x14ac:dyDescent="0.2">
      <c r="C464" s="20"/>
      <c r="D464" s="2"/>
      <c r="E464" s="2"/>
      <c r="F464" s="2"/>
      <c r="G464" s="2"/>
      <c r="H464" s="2"/>
    </row>
    <row r="465" spans="3:8" ht="17.25" customHeight="1" x14ac:dyDescent="0.2">
      <c r="C465" s="20"/>
      <c r="D465" s="2"/>
      <c r="E465" s="2"/>
      <c r="F465" s="2"/>
      <c r="G465" s="2"/>
      <c r="H465" s="2"/>
    </row>
    <row r="466" spans="3:8" ht="17.25" customHeight="1" x14ac:dyDescent="0.2">
      <c r="C466" s="20"/>
      <c r="D466" s="2"/>
      <c r="E466" s="2"/>
      <c r="F466" s="2"/>
      <c r="G466" s="2"/>
      <c r="H466" s="2"/>
    </row>
    <row r="467" spans="3:8" ht="17.25" customHeight="1" x14ac:dyDescent="0.2">
      <c r="C467" s="20"/>
      <c r="D467" s="2"/>
      <c r="E467" s="2"/>
      <c r="F467" s="2"/>
      <c r="G467" s="2"/>
      <c r="H467" s="2"/>
    </row>
    <row r="468" spans="3:8" ht="17.25" customHeight="1" x14ac:dyDescent="0.2">
      <c r="C468" s="20"/>
      <c r="D468" s="2"/>
      <c r="E468" s="2"/>
      <c r="F468" s="2"/>
      <c r="G468" s="2"/>
      <c r="H468" s="2"/>
    </row>
    <row r="469" spans="3:8" ht="17.25" customHeight="1" x14ac:dyDescent="0.2">
      <c r="C469" s="20"/>
      <c r="D469" s="2"/>
      <c r="E469" s="2"/>
      <c r="F469" s="2"/>
      <c r="G469" s="2"/>
      <c r="H469" s="2"/>
    </row>
    <row r="470" spans="3:8" ht="17.25" customHeight="1" x14ac:dyDescent="0.2">
      <c r="C470" s="20"/>
      <c r="D470" s="2"/>
      <c r="E470" s="2"/>
      <c r="F470" s="2"/>
      <c r="G470" s="2"/>
      <c r="H470" s="2"/>
    </row>
    <row r="471" spans="3:8" ht="17.25" customHeight="1" x14ac:dyDescent="0.2">
      <c r="C471" s="20"/>
      <c r="D471" s="2"/>
      <c r="E471" s="2"/>
      <c r="F471" s="2"/>
      <c r="G471" s="2"/>
      <c r="H471" s="2"/>
    </row>
    <row r="472" spans="3:8" ht="17.25" customHeight="1" x14ac:dyDescent="0.2">
      <c r="C472" s="20"/>
      <c r="D472" s="2"/>
      <c r="E472" s="2"/>
      <c r="F472" s="2"/>
      <c r="G472" s="2"/>
      <c r="H472" s="2"/>
    </row>
    <row r="473" spans="3:8" ht="17.25" customHeight="1" x14ac:dyDescent="0.2">
      <c r="C473" s="20"/>
      <c r="D473" s="2"/>
      <c r="E473" s="2"/>
      <c r="F473" s="2"/>
      <c r="G473" s="2"/>
      <c r="H473" s="2"/>
    </row>
    <row r="474" spans="3:8" ht="17.25" customHeight="1" x14ac:dyDescent="0.2">
      <c r="C474" s="20"/>
      <c r="D474" s="2"/>
      <c r="E474" s="2"/>
      <c r="F474" s="2"/>
      <c r="G474" s="2"/>
      <c r="H474" s="2"/>
    </row>
    <row r="475" spans="3:8" ht="17.25" customHeight="1" x14ac:dyDescent="0.2">
      <c r="C475" s="20"/>
      <c r="D475" s="2"/>
      <c r="E475" s="2"/>
      <c r="F475" s="2"/>
      <c r="G475" s="2"/>
      <c r="H475" s="2"/>
    </row>
    <row r="476" spans="3:8" ht="17.25" customHeight="1" x14ac:dyDescent="0.2">
      <c r="C476" s="20"/>
      <c r="D476" s="2"/>
      <c r="E476" s="2"/>
      <c r="F476" s="2"/>
      <c r="G476" s="2"/>
      <c r="H476" s="2"/>
    </row>
    <row r="477" spans="3:8" ht="17.25" customHeight="1" x14ac:dyDescent="0.2">
      <c r="C477" s="20"/>
      <c r="D477" s="2"/>
      <c r="E477" s="2"/>
      <c r="F477" s="2"/>
      <c r="G477" s="2"/>
      <c r="H477" s="2"/>
    </row>
    <row r="478" spans="3:8" ht="17.25" customHeight="1" x14ac:dyDescent="0.2">
      <c r="C478" s="20"/>
      <c r="D478" s="2"/>
      <c r="E478" s="2"/>
      <c r="F478" s="2"/>
      <c r="G478" s="2"/>
      <c r="H478" s="2"/>
    </row>
    <row r="479" spans="3:8" ht="17.25" customHeight="1" x14ac:dyDescent="0.2">
      <c r="C479" s="20"/>
      <c r="D479" s="2"/>
      <c r="E479" s="2"/>
      <c r="F479" s="2"/>
      <c r="G479" s="2"/>
      <c r="H479" s="2"/>
    </row>
    <row r="480" spans="3:8" ht="17.25" customHeight="1" x14ac:dyDescent="0.2">
      <c r="C480" s="20"/>
      <c r="D480" s="2"/>
      <c r="E480" s="2"/>
      <c r="F480" s="2"/>
      <c r="G480" s="2"/>
      <c r="H480" s="2"/>
    </row>
    <row r="481" spans="3:8" ht="17.25" customHeight="1" x14ac:dyDescent="0.2">
      <c r="C481" s="20"/>
      <c r="D481" s="2"/>
      <c r="E481" s="2"/>
      <c r="F481" s="2"/>
      <c r="G481" s="2"/>
      <c r="H481" s="2"/>
    </row>
    <row r="482" spans="3:8" ht="17.25" customHeight="1" x14ac:dyDescent="0.2">
      <c r="C482" s="20"/>
      <c r="D482" s="2"/>
      <c r="E482" s="2"/>
      <c r="F482" s="2"/>
      <c r="G482" s="2"/>
      <c r="H482" s="2"/>
    </row>
    <row r="483" spans="3:8" ht="17.25" customHeight="1" x14ac:dyDescent="0.2">
      <c r="C483" s="20"/>
      <c r="D483" s="2"/>
      <c r="E483" s="2"/>
      <c r="F483" s="2"/>
      <c r="G483" s="2"/>
      <c r="H483" s="2"/>
    </row>
    <row r="484" spans="3:8" ht="17.25" customHeight="1" x14ac:dyDescent="0.2">
      <c r="C484" s="20"/>
      <c r="D484" s="2"/>
      <c r="E484" s="2"/>
      <c r="F484" s="2"/>
      <c r="G484" s="2"/>
      <c r="H484" s="2"/>
    </row>
    <row r="485" spans="3:8" ht="17.25" customHeight="1" x14ac:dyDescent="0.2">
      <c r="C485" s="20"/>
      <c r="D485" s="2"/>
      <c r="E485" s="2"/>
      <c r="F485" s="2"/>
      <c r="G485" s="2"/>
      <c r="H485" s="2"/>
    </row>
    <row r="486" spans="3:8" ht="17.25" customHeight="1" x14ac:dyDescent="0.2">
      <c r="C486" s="20"/>
      <c r="D486" s="2"/>
      <c r="E486" s="2"/>
      <c r="F486" s="2"/>
      <c r="G486" s="2"/>
      <c r="H486" s="2"/>
    </row>
    <row r="487" spans="3:8" ht="17.25" customHeight="1" x14ac:dyDescent="0.2">
      <c r="C487" s="20"/>
      <c r="D487" s="2"/>
      <c r="E487" s="2"/>
      <c r="F487" s="2"/>
      <c r="G487" s="2"/>
      <c r="H487" s="2"/>
    </row>
    <row r="488" spans="3:8" ht="17.25" customHeight="1" x14ac:dyDescent="0.2">
      <c r="C488" s="20"/>
      <c r="D488" s="2"/>
      <c r="E488" s="2"/>
      <c r="F488" s="2"/>
      <c r="G488" s="2"/>
      <c r="H488" s="2"/>
    </row>
    <row r="489" spans="3:8" ht="17.25" customHeight="1" x14ac:dyDescent="0.2">
      <c r="C489" s="20"/>
      <c r="D489" s="2"/>
      <c r="E489" s="2"/>
      <c r="F489" s="2"/>
      <c r="G489" s="2"/>
      <c r="H489" s="2"/>
    </row>
    <row r="490" spans="3:8" ht="17.25" customHeight="1" x14ac:dyDescent="0.2">
      <c r="C490" s="20"/>
      <c r="D490" s="2"/>
      <c r="E490" s="2"/>
      <c r="F490" s="2"/>
      <c r="G490" s="2"/>
      <c r="H490" s="2"/>
    </row>
    <row r="491" spans="3:8" ht="17.25" customHeight="1" x14ac:dyDescent="0.2">
      <c r="C491" s="20"/>
      <c r="D491" s="2"/>
      <c r="E491" s="2"/>
      <c r="F491" s="2"/>
      <c r="G491" s="2"/>
      <c r="H491" s="2"/>
    </row>
    <row r="492" spans="3:8" ht="17.25" customHeight="1" x14ac:dyDescent="0.2">
      <c r="C492" s="20"/>
      <c r="D492" s="2"/>
      <c r="E492" s="2"/>
      <c r="F492" s="2"/>
      <c r="G492" s="2"/>
      <c r="H492" s="2"/>
    </row>
    <row r="493" spans="3:8" ht="17.25" customHeight="1" x14ac:dyDescent="0.2">
      <c r="C493" s="20"/>
      <c r="D493" s="2"/>
      <c r="E493" s="2"/>
      <c r="F493" s="2"/>
      <c r="G493" s="2"/>
      <c r="H493" s="2"/>
    </row>
    <row r="494" spans="3:8" ht="17.25" customHeight="1" x14ac:dyDescent="0.2">
      <c r="C494" s="20"/>
      <c r="D494" s="2"/>
      <c r="E494" s="2"/>
      <c r="F494" s="2"/>
      <c r="G494" s="2"/>
      <c r="H494" s="2"/>
    </row>
    <row r="495" spans="3:8" ht="17.25" customHeight="1" x14ac:dyDescent="0.2">
      <c r="C495" s="20"/>
      <c r="D495" s="2"/>
      <c r="E495" s="2"/>
      <c r="F495" s="2"/>
      <c r="G495" s="2"/>
      <c r="H495" s="2"/>
    </row>
    <row r="496" spans="3:8" ht="17.25" customHeight="1" x14ac:dyDescent="0.2">
      <c r="C496" s="20"/>
      <c r="D496" s="2"/>
      <c r="E496" s="2"/>
      <c r="F496" s="2"/>
      <c r="G496" s="2"/>
      <c r="H496" s="2"/>
    </row>
    <row r="497" spans="3:8" ht="17.25" customHeight="1" x14ac:dyDescent="0.2">
      <c r="C497" s="20"/>
      <c r="D497" s="2"/>
      <c r="E497" s="2"/>
      <c r="F497" s="2"/>
      <c r="G497" s="2"/>
      <c r="H497" s="2"/>
    </row>
    <row r="498" spans="3:8" ht="17.25" customHeight="1" x14ac:dyDescent="0.2">
      <c r="C498" s="20"/>
      <c r="D498" s="2"/>
      <c r="E498" s="2"/>
      <c r="F498" s="2"/>
      <c r="G498" s="2"/>
      <c r="H498" s="2"/>
    </row>
    <row r="499" spans="3:8" ht="17.25" customHeight="1" x14ac:dyDescent="0.2">
      <c r="C499" s="20"/>
      <c r="D499" s="2"/>
      <c r="E499" s="2"/>
      <c r="F499" s="2"/>
      <c r="G499" s="2"/>
      <c r="H499" s="2"/>
    </row>
    <row r="500" spans="3:8" ht="17.25" customHeight="1" x14ac:dyDescent="0.2">
      <c r="C500" s="20"/>
      <c r="D500" s="2"/>
      <c r="E500" s="2"/>
      <c r="F500" s="2"/>
      <c r="G500" s="2"/>
      <c r="H500" s="2"/>
    </row>
    <row r="501" spans="3:8" ht="17.25" customHeight="1" x14ac:dyDescent="0.2">
      <c r="C501" s="20"/>
      <c r="D501" s="2"/>
      <c r="E501" s="2"/>
      <c r="F501" s="2"/>
      <c r="G501" s="2"/>
      <c r="H501" s="2"/>
    </row>
    <row r="502" spans="3:8" ht="17.25" customHeight="1" x14ac:dyDescent="0.2">
      <c r="C502" s="20"/>
      <c r="D502" s="2"/>
      <c r="E502" s="2"/>
      <c r="F502" s="2"/>
      <c r="G502" s="2"/>
      <c r="H502" s="2"/>
    </row>
    <row r="503" spans="3:8" ht="17.25" customHeight="1" x14ac:dyDescent="0.2">
      <c r="C503" s="20"/>
      <c r="D503" s="2"/>
      <c r="E503" s="2"/>
      <c r="F503" s="2"/>
      <c r="G503" s="2"/>
      <c r="H503" s="2"/>
    </row>
    <row r="504" spans="3:8" ht="17.25" customHeight="1" x14ac:dyDescent="0.2">
      <c r="C504" s="20"/>
      <c r="D504" s="2"/>
      <c r="E504" s="2"/>
      <c r="F504" s="2"/>
      <c r="G504" s="2"/>
      <c r="H504" s="2"/>
    </row>
    <row r="505" spans="3:8" ht="17.25" customHeight="1" x14ac:dyDescent="0.2">
      <c r="C505" s="20"/>
      <c r="D505" s="2"/>
      <c r="E505" s="2"/>
      <c r="F505" s="2"/>
      <c r="G505" s="2"/>
      <c r="H505" s="2"/>
    </row>
    <row r="506" spans="3:8" ht="17.25" customHeight="1" x14ac:dyDescent="0.2">
      <c r="C506" s="20"/>
      <c r="D506" s="2"/>
      <c r="E506" s="2"/>
      <c r="F506" s="2"/>
      <c r="G506" s="2"/>
      <c r="H506" s="2"/>
    </row>
    <row r="507" spans="3:8" ht="17.25" customHeight="1" x14ac:dyDescent="0.2">
      <c r="C507" s="20"/>
      <c r="D507" s="2"/>
      <c r="E507" s="2"/>
      <c r="F507" s="2"/>
      <c r="G507" s="2"/>
      <c r="H507" s="2"/>
    </row>
    <row r="508" spans="3:8" ht="17.25" customHeight="1" x14ac:dyDescent="0.2">
      <c r="C508" s="20"/>
      <c r="D508" s="2"/>
      <c r="E508" s="2"/>
      <c r="F508" s="2"/>
      <c r="G508" s="2"/>
      <c r="H508" s="2"/>
    </row>
    <row r="509" spans="3:8" ht="17.25" customHeight="1" x14ac:dyDescent="0.2">
      <c r="C509" s="20"/>
      <c r="D509" s="2"/>
      <c r="E509" s="2"/>
      <c r="F509" s="2"/>
      <c r="G509" s="2"/>
      <c r="H509" s="2"/>
    </row>
    <row r="510" spans="3:8" ht="17.25" customHeight="1" x14ac:dyDescent="0.2">
      <c r="C510" s="20"/>
      <c r="D510" s="2"/>
      <c r="E510" s="2"/>
      <c r="F510" s="2"/>
      <c r="G510" s="2"/>
      <c r="H510" s="2"/>
    </row>
    <row r="511" spans="3:8" ht="17.25" customHeight="1" x14ac:dyDescent="0.2">
      <c r="C511" s="20"/>
      <c r="D511" s="2"/>
      <c r="E511" s="2"/>
      <c r="F511" s="2"/>
      <c r="G511" s="2"/>
      <c r="H511" s="2"/>
    </row>
    <row r="512" spans="3:8" ht="17.25" customHeight="1" x14ac:dyDescent="0.2">
      <c r="C512" s="20"/>
      <c r="D512" s="2"/>
      <c r="E512" s="2"/>
      <c r="F512" s="2"/>
      <c r="G512" s="2"/>
      <c r="H512" s="2"/>
    </row>
    <row r="513" spans="3:8" ht="17.25" customHeight="1" x14ac:dyDescent="0.2">
      <c r="C513" s="20"/>
      <c r="D513" s="2"/>
      <c r="E513" s="2"/>
      <c r="F513" s="2"/>
      <c r="G513" s="2"/>
      <c r="H513" s="2"/>
    </row>
    <row r="514" spans="3:8" ht="17.25" customHeight="1" x14ac:dyDescent="0.2">
      <c r="C514" s="20"/>
      <c r="D514" s="2"/>
      <c r="E514" s="2"/>
      <c r="F514" s="2"/>
      <c r="G514" s="2"/>
      <c r="H514" s="2"/>
    </row>
    <row r="515" spans="3:8" ht="17.25" customHeight="1" x14ac:dyDescent="0.2">
      <c r="C515" s="20"/>
      <c r="D515" s="2"/>
      <c r="E515" s="2"/>
      <c r="F515" s="2"/>
      <c r="G515" s="2"/>
      <c r="H515" s="2"/>
    </row>
    <row r="516" spans="3:8" ht="17.25" customHeight="1" x14ac:dyDescent="0.2">
      <c r="C516" s="20"/>
      <c r="D516" s="2"/>
      <c r="E516" s="2"/>
      <c r="F516" s="2"/>
      <c r="G516" s="2"/>
      <c r="H516" s="2"/>
    </row>
    <row r="517" spans="3:8" ht="17.25" customHeight="1" x14ac:dyDescent="0.2">
      <c r="C517" s="20"/>
      <c r="D517" s="2"/>
      <c r="E517" s="2"/>
      <c r="F517" s="2"/>
      <c r="G517" s="2"/>
      <c r="H517" s="2"/>
    </row>
    <row r="518" spans="3:8" ht="17.25" customHeight="1" x14ac:dyDescent="0.2">
      <c r="C518" s="20"/>
      <c r="D518" s="2"/>
      <c r="E518" s="2"/>
      <c r="F518" s="2"/>
      <c r="G518" s="2"/>
      <c r="H518" s="2"/>
    </row>
    <row r="519" spans="3:8" ht="17.25" customHeight="1" x14ac:dyDescent="0.2">
      <c r="C519" s="20"/>
      <c r="D519" s="2"/>
      <c r="E519" s="2"/>
      <c r="F519" s="2"/>
      <c r="G519" s="2"/>
      <c r="H519" s="2"/>
    </row>
    <row r="520" spans="3:8" ht="17.25" customHeight="1" x14ac:dyDescent="0.2">
      <c r="C520" s="20"/>
      <c r="D520" s="2"/>
      <c r="E520" s="2"/>
      <c r="F520" s="2"/>
      <c r="G520" s="2"/>
      <c r="H520" s="2"/>
    </row>
    <row r="521" spans="3:8" ht="17.25" customHeight="1" x14ac:dyDescent="0.2">
      <c r="C521" s="20"/>
      <c r="D521" s="2"/>
      <c r="E521" s="2"/>
      <c r="F521" s="2"/>
      <c r="G521" s="2"/>
      <c r="H521" s="2"/>
    </row>
    <row r="522" spans="3:8" ht="17.25" customHeight="1" x14ac:dyDescent="0.2">
      <c r="C522" s="20"/>
      <c r="D522" s="2"/>
      <c r="E522" s="2"/>
      <c r="F522" s="2"/>
      <c r="G522" s="2"/>
      <c r="H522" s="2"/>
    </row>
    <row r="523" spans="3:8" ht="17.25" customHeight="1" x14ac:dyDescent="0.2">
      <c r="C523" s="20"/>
      <c r="D523" s="2"/>
      <c r="E523" s="2"/>
      <c r="F523" s="2"/>
      <c r="G523" s="2"/>
      <c r="H523" s="2"/>
    </row>
    <row r="524" spans="3:8" ht="17.25" customHeight="1" x14ac:dyDescent="0.2">
      <c r="C524" s="20"/>
      <c r="D524" s="2"/>
      <c r="E524" s="2"/>
      <c r="F524" s="2"/>
      <c r="G524" s="2"/>
      <c r="H524" s="2"/>
    </row>
    <row r="525" spans="3:8" ht="17.25" customHeight="1" x14ac:dyDescent="0.2">
      <c r="C525" s="20"/>
      <c r="D525" s="2"/>
      <c r="E525" s="2"/>
      <c r="F525" s="2"/>
      <c r="G525" s="2"/>
      <c r="H525" s="2"/>
    </row>
    <row r="526" spans="3:8" ht="17.25" customHeight="1" x14ac:dyDescent="0.2">
      <c r="C526" s="20"/>
      <c r="D526" s="2"/>
      <c r="E526" s="2"/>
      <c r="F526" s="2"/>
      <c r="G526" s="2"/>
      <c r="H526" s="2"/>
    </row>
    <row r="527" spans="3:8" ht="17.25" customHeight="1" x14ac:dyDescent="0.2">
      <c r="C527" s="20"/>
      <c r="D527" s="2"/>
      <c r="E527" s="2"/>
      <c r="F527" s="2"/>
      <c r="G527" s="2"/>
      <c r="H527" s="2"/>
    </row>
    <row r="528" spans="3:8" ht="17.25" customHeight="1" x14ac:dyDescent="0.2">
      <c r="C528" s="20"/>
      <c r="D528" s="2"/>
      <c r="E528" s="2"/>
      <c r="F528" s="2"/>
      <c r="G528" s="2"/>
      <c r="H528" s="2"/>
    </row>
    <row r="529" spans="3:8" ht="17.25" customHeight="1" x14ac:dyDescent="0.2">
      <c r="C529" s="20"/>
      <c r="D529" s="2"/>
      <c r="E529" s="2"/>
      <c r="F529" s="2"/>
      <c r="G529" s="2"/>
      <c r="H529" s="2"/>
    </row>
    <row r="530" spans="3:8" ht="17.25" customHeight="1" x14ac:dyDescent="0.2">
      <c r="C530" s="20"/>
      <c r="D530" s="2"/>
      <c r="E530" s="2"/>
      <c r="F530" s="2"/>
      <c r="G530" s="2"/>
      <c r="H530" s="2"/>
    </row>
    <row r="531" spans="3:8" ht="17.25" customHeight="1" x14ac:dyDescent="0.2">
      <c r="C531" s="20"/>
      <c r="D531" s="2"/>
      <c r="E531" s="2"/>
      <c r="F531" s="2"/>
      <c r="G531" s="2"/>
      <c r="H531" s="2"/>
    </row>
    <row r="532" spans="3:8" ht="17.25" customHeight="1" x14ac:dyDescent="0.2">
      <c r="C532" s="20"/>
      <c r="D532" s="2"/>
      <c r="E532" s="2"/>
      <c r="F532" s="2"/>
      <c r="G532" s="2"/>
      <c r="H532" s="2"/>
    </row>
    <row r="533" spans="3:8" ht="17.25" customHeight="1" x14ac:dyDescent="0.2">
      <c r="C533" s="20"/>
      <c r="D533" s="2"/>
      <c r="E533" s="2"/>
      <c r="F533" s="2"/>
      <c r="G533" s="2"/>
      <c r="H533" s="2"/>
    </row>
    <row r="534" spans="3:8" ht="17.25" customHeight="1" x14ac:dyDescent="0.2">
      <c r="C534" s="20"/>
      <c r="D534" s="2"/>
      <c r="E534" s="2"/>
      <c r="F534" s="2"/>
      <c r="G534" s="2"/>
      <c r="H534" s="2"/>
    </row>
    <row r="535" spans="3:8" ht="17.25" customHeight="1" x14ac:dyDescent="0.2">
      <c r="C535" s="20"/>
      <c r="D535" s="2"/>
      <c r="E535" s="2"/>
      <c r="F535" s="2"/>
      <c r="G535" s="2"/>
      <c r="H535" s="2"/>
    </row>
    <row r="536" spans="3:8" ht="17.25" customHeight="1" x14ac:dyDescent="0.2">
      <c r="C536" s="20"/>
      <c r="D536" s="2"/>
      <c r="E536" s="2"/>
      <c r="F536" s="2"/>
      <c r="G536" s="2"/>
      <c r="H536" s="2"/>
    </row>
    <row r="537" spans="3:8" ht="17.25" customHeight="1" x14ac:dyDescent="0.2">
      <c r="C537" s="20"/>
      <c r="D537" s="2"/>
      <c r="E537" s="2"/>
      <c r="F537" s="2"/>
      <c r="G537" s="2"/>
      <c r="H537" s="2"/>
    </row>
    <row r="538" spans="3:8" ht="17.25" customHeight="1" x14ac:dyDescent="0.2">
      <c r="C538" s="20"/>
      <c r="D538" s="2"/>
      <c r="E538" s="2"/>
      <c r="F538" s="2"/>
      <c r="G538" s="2"/>
      <c r="H538" s="2"/>
    </row>
    <row r="539" spans="3:8" ht="17.25" customHeight="1" x14ac:dyDescent="0.2">
      <c r="C539" s="20"/>
      <c r="D539" s="2"/>
      <c r="E539" s="2"/>
      <c r="F539" s="2"/>
      <c r="G539" s="2"/>
      <c r="H539" s="2"/>
    </row>
    <row r="540" spans="3:8" ht="17.25" customHeight="1" x14ac:dyDescent="0.2">
      <c r="C540" s="20"/>
      <c r="D540" s="2"/>
      <c r="E540" s="2"/>
      <c r="F540" s="2"/>
      <c r="G540" s="2"/>
      <c r="H540" s="2"/>
    </row>
    <row r="541" spans="3:8" ht="17.25" customHeight="1" x14ac:dyDescent="0.2">
      <c r="C541" s="20"/>
      <c r="D541" s="2"/>
      <c r="E541" s="2"/>
      <c r="F541" s="2"/>
      <c r="G541" s="2"/>
      <c r="H541" s="2"/>
    </row>
    <row r="542" spans="3:8" ht="17.25" customHeight="1" x14ac:dyDescent="0.2">
      <c r="C542" s="20"/>
      <c r="D542" s="2"/>
      <c r="E542" s="2"/>
      <c r="F542" s="2"/>
      <c r="G542" s="2"/>
      <c r="H542" s="2"/>
    </row>
    <row r="543" spans="3:8" ht="17.25" customHeight="1" x14ac:dyDescent="0.2">
      <c r="C543" s="20"/>
      <c r="D543" s="2"/>
      <c r="E543" s="2"/>
      <c r="F543" s="2"/>
      <c r="G543" s="2"/>
      <c r="H543" s="2"/>
    </row>
    <row r="544" spans="3:8" ht="17.25" customHeight="1" x14ac:dyDescent="0.2">
      <c r="C544" s="20"/>
      <c r="D544" s="2"/>
      <c r="E544" s="2"/>
      <c r="F544" s="2"/>
      <c r="G544" s="2"/>
      <c r="H544" s="2"/>
    </row>
    <row r="545" spans="3:8" ht="17.25" customHeight="1" x14ac:dyDescent="0.2">
      <c r="C545" s="20"/>
      <c r="D545" s="2"/>
      <c r="E545" s="2"/>
      <c r="F545" s="2"/>
      <c r="G545" s="2"/>
      <c r="H545" s="2"/>
    </row>
    <row r="546" spans="3:8" ht="17.25" customHeight="1" x14ac:dyDescent="0.2">
      <c r="C546" s="20"/>
      <c r="D546" s="2"/>
      <c r="E546" s="2"/>
      <c r="F546" s="2"/>
      <c r="G546" s="2"/>
      <c r="H546" s="2"/>
    </row>
    <row r="547" spans="3:8" ht="17.25" customHeight="1" x14ac:dyDescent="0.2">
      <c r="C547" s="20"/>
      <c r="D547" s="2"/>
      <c r="E547" s="2"/>
      <c r="F547" s="2"/>
      <c r="G547" s="2"/>
      <c r="H547" s="2"/>
    </row>
    <row r="548" spans="3:8" ht="17.25" customHeight="1" x14ac:dyDescent="0.2">
      <c r="C548" s="20"/>
      <c r="D548" s="2"/>
      <c r="E548" s="2"/>
      <c r="F548" s="2"/>
      <c r="G548" s="2"/>
      <c r="H548" s="2"/>
    </row>
    <row r="549" spans="3:8" ht="17.25" customHeight="1" x14ac:dyDescent="0.2">
      <c r="C549" s="20"/>
      <c r="D549" s="2"/>
      <c r="E549" s="2"/>
      <c r="F549" s="2"/>
      <c r="G549" s="2"/>
      <c r="H549" s="2"/>
    </row>
    <row r="550" spans="3:8" ht="17.25" customHeight="1" x14ac:dyDescent="0.2">
      <c r="C550" s="20"/>
      <c r="D550" s="2"/>
      <c r="E550" s="2"/>
      <c r="F550" s="2"/>
      <c r="G550" s="2"/>
      <c r="H550" s="2"/>
    </row>
    <row r="551" spans="3:8" ht="17.25" customHeight="1" x14ac:dyDescent="0.2">
      <c r="C551" s="20"/>
      <c r="D551" s="2"/>
      <c r="E551" s="2"/>
      <c r="F551" s="2"/>
      <c r="G551" s="2"/>
      <c r="H551" s="2"/>
    </row>
    <row r="552" spans="3:8" ht="17.25" customHeight="1" x14ac:dyDescent="0.2">
      <c r="C552" s="20"/>
      <c r="D552" s="2"/>
      <c r="E552" s="2"/>
      <c r="F552" s="2"/>
      <c r="G552" s="2"/>
      <c r="H552" s="2"/>
    </row>
    <row r="553" spans="3:8" ht="17.25" customHeight="1" x14ac:dyDescent="0.2">
      <c r="C553" s="20"/>
      <c r="D553" s="2"/>
      <c r="E553" s="2"/>
      <c r="F553" s="2"/>
      <c r="G553" s="2"/>
      <c r="H553" s="2"/>
    </row>
    <row r="554" spans="3:8" ht="17.25" customHeight="1" x14ac:dyDescent="0.2">
      <c r="C554" s="20"/>
      <c r="D554" s="2"/>
      <c r="E554" s="2"/>
      <c r="F554" s="2"/>
      <c r="G554" s="2"/>
      <c r="H554" s="2"/>
    </row>
    <row r="555" spans="3:8" ht="17.25" customHeight="1" x14ac:dyDescent="0.2">
      <c r="C555" s="20"/>
      <c r="D555" s="2"/>
      <c r="E555" s="2"/>
      <c r="F555" s="2"/>
      <c r="G555" s="2"/>
      <c r="H555" s="2"/>
    </row>
    <row r="556" spans="3:8" ht="17.25" customHeight="1" x14ac:dyDescent="0.2">
      <c r="C556" s="20"/>
      <c r="D556" s="2"/>
      <c r="E556" s="2"/>
      <c r="F556" s="2"/>
      <c r="G556" s="2"/>
      <c r="H556" s="2"/>
    </row>
    <row r="557" spans="3:8" ht="17.25" customHeight="1" x14ac:dyDescent="0.2">
      <c r="C557" s="20"/>
      <c r="D557" s="2"/>
      <c r="E557" s="2"/>
      <c r="F557" s="2"/>
      <c r="G557" s="2"/>
      <c r="H557" s="2"/>
    </row>
    <row r="558" spans="3:8" ht="17.25" customHeight="1" x14ac:dyDescent="0.2">
      <c r="C558" s="20"/>
      <c r="D558" s="2"/>
      <c r="E558" s="2"/>
      <c r="F558" s="2"/>
      <c r="G558" s="2"/>
      <c r="H558" s="2"/>
    </row>
    <row r="559" spans="3:8" ht="17.25" customHeight="1" x14ac:dyDescent="0.2">
      <c r="C559" s="20"/>
      <c r="D559" s="2"/>
      <c r="E559" s="2"/>
      <c r="F559" s="2"/>
      <c r="G559" s="2"/>
      <c r="H559" s="2"/>
    </row>
    <row r="560" spans="3:8" ht="17.25" customHeight="1" x14ac:dyDescent="0.2">
      <c r="C560" s="20"/>
      <c r="D560" s="2"/>
      <c r="E560" s="2"/>
      <c r="F560" s="2"/>
      <c r="G560" s="2"/>
      <c r="H560" s="2"/>
    </row>
    <row r="561" spans="3:8" ht="17.25" customHeight="1" x14ac:dyDescent="0.2">
      <c r="C561" s="20"/>
      <c r="D561" s="2"/>
      <c r="E561" s="2"/>
      <c r="F561" s="2"/>
      <c r="G561" s="2"/>
      <c r="H561" s="2"/>
    </row>
    <row r="562" spans="3:8" ht="17.25" customHeight="1" x14ac:dyDescent="0.2">
      <c r="C562" s="20"/>
      <c r="D562" s="2"/>
      <c r="E562" s="2"/>
      <c r="F562" s="2"/>
      <c r="G562" s="2"/>
      <c r="H562" s="2"/>
    </row>
    <row r="563" spans="3:8" ht="17.25" customHeight="1" x14ac:dyDescent="0.2">
      <c r="C563" s="20"/>
      <c r="D563" s="2"/>
      <c r="E563" s="2"/>
      <c r="F563" s="2"/>
      <c r="G563" s="2"/>
      <c r="H563" s="2"/>
    </row>
    <row r="564" spans="3:8" ht="17.25" customHeight="1" x14ac:dyDescent="0.2">
      <c r="C564" s="20"/>
      <c r="D564" s="2"/>
      <c r="E564" s="2"/>
      <c r="F564" s="2"/>
      <c r="G564" s="2"/>
      <c r="H564" s="2"/>
    </row>
    <row r="565" spans="3:8" ht="17.25" customHeight="1" x14ac:dyDescent="0.2">
      <c r="C565" s="20"/>
      <c r="D565" s="2"/>
      <c r="E565" s="2"/>
      <c r="F565" s="2"/>
      <c r="G565" s="2"/>
      <c r="H565" s="2"/>
    </row>
    <row r="566" spans="3:8" ht="17.25" customHeight="1" x14ac:dyDescent="0.2">
      <c r="C566" s="20"/>
      <c r="D566" s="2"/>
      <c r="E566" s="2"/>
      <c r="F566" s="2"/>
      <c r="G566" s="2"/>
      <c r="H566" s="2"/>
    </row>
    <row r="567" spans="3:8" ht="17.25" customHeight="1" x14ac:dyDescent="0.2">
      <c r="C567" s="20"/>
      <c r="D567" s="2"/>
      <c r="E567" s="2"/>
      <c r="F567" s="2"/>
      <c r="G567" s="2"/>
      <c r="H567" s="2"/>
    </row>
    <row r="568" spans="3:8" ht="17.25" customHeight="1" x14ac:dyDescent="0.2">
      <c r="C568" s="20"/>
      <c r="D568" s="2"/>
      <c r="E568" s="2"/>
      <c r="F568" s="2"/>
      <c r="G568" s="2"/>
      <c r="H568" s="2"/>
    </row>
    <row r="569" spans="3:8" ht="17.25" customHeight="1" x14ac:dyDescent="0.2">
      <c r="C569" s="20"/>
      <c r="D569" s="2"/>
      <c r="E569" s="2"/>
      <c r="F569" s="2"/>
      <c r="G569" s="2"/>
      <c r="H569" s="2"/>
    </row>
    <row r="570" spans="3:8" ht="17.25" customHeight="1" x14ac:dyDescent="0.2">
      <c r="C570" s="20"/>
      <c r="D570" s="2"/>
      <c r="E570" s="2"/>
      <c r="F570" s="2"/>
      <c r="G570" s="2"/>
      <c r="H570" s="2"/>
    </row>
    <row r="571" spans="3:8" ht="17.25" customHeight="1" x14ac:dyDescent="0.2">
      <c r="C571" s="20"/>
      <c r="D571" s="2"/>
      <c r="E571" s="2"/>
      <c r="F571" s="2"/>
      <c r="G571" s="2"/>
      <c r="H571" s="2"/>
    </row>
    <row r="572" spans="3:8" ht="17.25" customHeight="1" x14ac:dyDescent="0.2">
      <c r="C572" s="20"/>
      <c r="D572" s="2"/>
      <c r="E572" s="2"/>
      <c r="F572" s="2"/>
      <c r="G572" s="2"/>
      <c r="H572" s="2"/>
    </row>
    <row r="573" spans="3:8" ht="17.25" customHeight="1" x14ac:dyDescent="0.2">
      <c r="C573" s="20"/>
      <c r="D573" s="2"/>
      <c r="E573" s="2"/>
      <c r="F573" s="2"/>
      <c r="G573" s="2"/>
      <c r="H573" s="2"/>
    </row>
    <row r="574" spans="3:8" ht="17.25" customHeight="1" x14ac:dyDescent="0.2">
      <c r="C574" s="20"/>
      <c r="D574" s="2"/>
      <c r="E574" s="2"/>
      <c r="F574" s="2"/>
      <c r="G574" s="2"/>
      <c r="H574" s="2"/>
    </row>
    <row r="575" spans="3:8" ht="17.25" customHeight="1" x14ac:dyDescent="0.2">
      <c r="C575" s="20"/>
      <c r="D575" s="2"/>
      <c r="E575" s="2"/>
      <c r="F575" s="2"/>
      <c r="G575" s="2"/>
      <c r="H575" s="2"/>
    </row>
    <row r="576" spans="3:8" ht="17.25" customHeight="1" x14ac:dyDescent="0.2">
      <c r="C576" s="20"/>
      <c r="D576" s="2"/>
      <c r="E576" s="2"/>
      <c r="F576" s="2"/>
      <c r="G576" s="2"/>
      <c r="H576" s="2"/>
    </row>
    <row r="577" spans="3:8" ht="17.25" customHeight="1" x14ac:dyDescent="0.2">
      <c r="C577" s="20"/>
      <c r="D577" s="2"/>
      <c r="E577" s="2"/>
      <c r="F577" s="2"/>
      <c r="G577" s="2"/>
      <c r="H577" s="2"/>
    </row>
    <row r="578" spans="3:8" ht="17.25" customHeight="1" x14ac:dyDescent="0.2">
      <c r="C578" s="20"/>
      <c r="D578" s="2"/>
      <c r="E578" s="2"/>
      <c r="F578" s="2"/>
      <c r="G578" s="2"/>
      <c r="H578" s="2"/>
    </row>
    <row r="579" spans="3:8" ht="17.25" customHeight="1" x14ac:dyDescent="0.2">
      <c r="C579" s="20"/>
      <c r="D579" s="2"/>
      <c r="E579" s="2"/>
      <c r="F579" s="2"/>
      <c r="G579" s="2"/>
      <c r="H579" s="2"/>
    </row>
    <row r="580" spans="3:8" ht="17.25" customHeight="1" x14ac:dyDescent="0.2">
      <c r="C580" s="20"/>
      <c r="D580" s="2"/>
      <c r="E580" s="2"/>
      <c r="F580" s="2"/>
      <c r="G580" s="2"/>
      <c r="H580" s="2"/>
    </row>
    <row r="581" spans="3:8" ht="17.25" customHeight="1" x14ac:dyDescent="0.2">
      <c r="C581" s="20"/>
      <c r="D581" s="2"/>
      <c r="E581" s="2"/>
      <c r="F581" s="2"/>
      <c r="G581" s="2"/>
      <c r="H581" s="2"/>
    </row>
    <row r="582" spans="3:8" ht="17.25" customHeight="1" x14ac:dyDescent="0.2">
      <c r="C582" s="20"/>
      <c r="D582" s="2"/>
      <c r="E582" s="2"/>
      <c r="F582" s="2"/>
      <c r="G582" s="2"/>
      <c r="H582" s="2"/>
    </row>
    <row r="583" spans="3:8" ht="17.25" customHeight="1" x14ac:dyDescent="0.2">
      <c r="C583" s="20"/>
      <c r="D583" s="2"/>
      <c r="E583" s="2"/>
      <c r="F583" s="2"/>
      <c r="G583" s="2"/>
      <c r="H583" s="2"/>
    </row>
    <row r="584" spans="3:8" ht="17.25" customHeight="1" x14ac:dyDescent="0.2">
      <c r="C584" s="20"/>
      <c r="D584" s="2"/>
      <c r="E584" s="2"/>
      <c r="F584" s="2"/>
      <c r="G584" s="2"/>
      <c r="H584" s="2"/>
    </row>
    <row r="585" spans="3:8" ht="17.25" customHeight="1" x14ac:dyDescent="0.2">
      <c r="C585" s="20"/>
      <c r="D585" s="2"/>
      <c r="E585" s="2"/>
      <c r="F585" s="2"/>
      <c r="G585" s="2"/>
      <c r="H585" s="2"/>
    </row>
    <row r="586" spans="3:8" ht="17.25" customHeight="1" x14ac:dyDescent="0.2">
      <c r="C586" s="20"/>
      <c r="D586" s="2"/>
      <c r="E586" s="2"/>
      <c r="F586" s="2"/>
      <c r="G586" s="2"/>
      <c r="H586" s="2"/>
    </row>
    <row r="587" spans="3:8" ht="17.25" customHeight="1" x14ac:dyDescent="0.2">
      <c r="C587" s="20"/>
      <c r="D587" s="2"/>
      <c r="E587" s="2"/>
      <c r="F587" s="2"/>
      <c r="G587" s="2"/>
      <c r="H587" s="2"/>
    </row>
    <row r="588" spans="3:8" ht="17.25" customHeight="1" x14ac:dyDescent="0.2">
      <c r="C588" s="20"/>
      <c r="D588" s="2"/>
      <c r="E588" s="2"/>
      <c r="F588" s="2"/>
      <c r="G588" s="2"/>
      <c r="H588" s="2"/>
    </row>
    <row r="589" spans="3:8" ht="17.25" customHeight="1" x14ac:dyDescent="0.2">
      <c r="C589" s="20"/>
      <c r="D589" s="2"/>
      <c r="E589" s="2"/>
      <c r="F589" s="2"/>
      <c r="G589" s="2"/>
      <c r="H589" s="2"/>
    </row>
    <row r="590" spans="3:8" ht="17.25" customHeight="1" x14ac:dyDescent="0.2">
      <c r="C590" s="20"/>
      <c r="D590" s="2"/>
      <c r="E590" s="2"/>
      <c r="F590" s="2"/>
      <c r="G590" s="2"/>
      <c r="H590" s="2"/>
    </row>
    <row r="591" spans="3:8" ht="17.25" customHeight="1" x14ac:dyDescent="0.2">
      <c r="C591" s="20"/>
      <c r="D591" s="2"/>
      <c r="E591" s="2"/>
      <c r="F591" s="2"/>
      <c r="G591" s="2"/>
      <c r="H591" s="2"/>
    </row>
    <row r="592" spans="3:8" ht="17.25" customHeight="1" x14ac:dyDescent="0.2">
      <c r="C592" s="20"/>
      <c r="D592" s="2"/>
      <c r="E592" s="2"/>
      <c r="F592" s="2"/>
      <c r="G592" s="2"/>
      <c r="H592" s="2"/>
    </row>
    <row r="593" spans="3:8" ht="17.25" customHeight="1" x14ac:dyDescent="0.2">
      <c r="C593" s="20"/>
      <c r="D593" s="2"/>
      <c r="E593" s="2"/>
      <c r="F593" s="2"/>
      <c r="G593" s="2"/>
      <c r="H593" s="2"/>
    </row>
    <row r="594" spans="3:8" ht="17.25" customHeight="1" x14ac:dyDescent="0.2">
      <c r="C594" s="20"/>
      <c r="D594" s="2"/>
      <c r="E594" s="2"/>
      <c r="F594" s="2"/>
      <c r="G594" s="2"/>
      <c r="H594" s="2"/>
    </row>
    <row r="595" spans="3:8" ht="17.25" customHeight="1" x14ac:dyDescent="0.2">
      <c r="C595" s="20"/>
      <c r="D595" s="2"/>
      <c r="E595" s="2"/>
      <c r="F595" s="2"/>
      <c r="G595" s="2"/>
      <c r="H595" s="2"/>
    </row>
    <row r="596" spans="3:8" ht="17.25" customHeight="1" x14ac:dyDescent="0.2">
      <c r="C596" s="20"/>
      <c r="D596" s="2"/>
      <c r="E596" s="2"/>
      <c r="F596" s="2"/>
      <c r="G596" s="2"/>
      <c r="H596" s="2"/>
    </row>
    <row r="597" spans="3:8" ht="17.25" customHeight="1" x14ac:dyDescent="0.2">
      <c r="C597" s="20"/>
      <c r="D597" s="2"/>
      <c r="E597" s="2"/>
      <c r="F597" s="2"/>
      <c r="G597" s="2"/>
      <c r="H597" s="2"/>
    </row>
    <row r="598" spans="3:8" ht="17.25" customHeight="1" x14ac:dyDescent="0.2">
      <c r="C598" s="20"/>
      <c r="D598" s="2"/>
      <c r="E598" s="2"/>
      <c r="F598" s="2"/>
      <c r="G598" s="2"/>
      <c r="H598" s="2"/>
    </row>
    <row r="599" spans="3:8" ht="17.25" customHeight="1" x14ac:dyDescent="0.2">
      <c r="C599" s="20"/>
      <c r="D599" s="2"/>
      <c r="E599" s="2"/>
      <c r="F599" s="2"/>
      <c r="G599" s="2"/>
      <c r="H599" s="2"/>
    </row>
    <row r="600" spans="3:8" ht="17.25" customHeight="1" x14ac:dyDescent="0.2">
      <c r="C600" s="20"/>
      <c r="D600" s="2"/>
      <c r="E600" s="2"/>
      <c r="F600" s="2"/>
      <c r="G600" s="2"/>
      <c r="H600" s="2"/>
    </row>
    <row r="601" spans="3:8" ht="17.25" customHeight="1" x14ac:dyDescent="0.2">
      <c r="C601" s="20"/>
      <c r="D601" s="2"/>
      <c r="E601" s="2"/>
      <c r="F601" s="2"/>
      <c r="G601" s="2"/>
      <c r="H601" s="2"/>
    </row>
    <row r="602" spans="3:8" ht="17.25" customHeight="1" x14ac:dyDescent="0.2">
      <c r="C602" s="20"/>
      <c r="D602" s="2"/>
      <c r="E602" s="2"/>
      <c r="F602" s="2"/>
      <c r="G602" s="2"/>
      <c r="H602" s="2"/>
    </row>
    <row r="603" spans="3:8" ht="17.25" customHeight="1" x14ac:dyDescent="0.2">
      <c r="C603" s="20"/>
      <c r="D603" s="2"/>
      <c r="E603" s="2"/>
      <c r="F603" s="2"/>
      <c r="G603" s="2"/>
      <c r="H603" s="2"/>
    </row>
    <row r="604" spans="3:8" ht="17.25" customHeight="1" x14ac:dyDescent="0.2">
      <c r="C604" s="20"/>
      <c r="D604" s="2"/>
      <c r="E604" s="2"/>
      <c r="F604" s="2"/>
      <c r="G604" s="2"/>
      <c r="H604" s="2"/>
    </row>
    <row r="605" spans="3:8" ht="17.25" customHeight="1" x14ac:dyDescent="0.2">
      <c r="C605" s="20"/>
      <c r="D605" s="2"/>
      <c r="E605" s="2"/>
      <c r="F605" s="2"/>
      <c r="G605" s="2"/>
      <c r="H605" s="2"/>
    </row>
    <row r="606" spans="3:8" ht="17.25" customHeight="1" x14ac:dyDescent="0.2">
      <c r="C606" s="20"/>
      <c r="D606" s="2"/>
      <c r="E606" s="2"/>
      <c r="F606" s="2"/>
      <c r="G606" s="2"/>
      <c r="H606" s="2"/>
    </row>
    <row r="607" spans="3:8" ht="17.25" customHeight="1" x14ac:dyDescent="0.2">
      <c r="C607" s="20"/>
      <c r="D607" s="2"/>
      <c r="E607" s="2"/>
      <c r="F607" s="2"/>
      <c r="G607" s="2"/>
      <c r="H607" s="2"/>
    </row>
    <row r="608" spans="3:8" ht="17.25" customHeight="1" x14ac:dyDescent="0.2">
      <c r="C608" s="20"/>
      <c r="D608" s="2"/>
      <c r="E608" s="2"/>
      <c r="F608" s="2"/>
      <c r="G608" s="2"/>
      <c r="H608" s="2"/>
    </row>
    <row r="609" spans="3:8" ht="17.25" customHeight="1" x14ac:dyDescent="0.2">
      <c r="C609" s="20"/>
      <c r="D609" s="2"/>
      <c r="E609" s="2"/>
      <c r="F609" s="2"/>
      <c r="G609" s="2"/>
      <c r="H609" s="2"/>
    </row>
    <row r="610" spans="3:8" ht="17.25" customHeight="1" x14ac:dyDescent="0.2">
      <c r="C610" s="20"/>
      <c r="D610" s="2"/>
      <c r="E610" s="2"/>
      <c r="F610" s="2"/>
      <c r="G610" s="2"/>
      <c r="H610" s="2"/>
    </row>
    <row r="611" spans="3:8" ht="17.25" customHeight="1" x14ac:dyDescent="0.2">
      <c r="C611" s="20"/>
      <c r="D611" s="2"/>
      <c r="E611" s="2"/>
      <c r="F611" s="2"/>
      <c r="G611" s="2"/>
      <c r="H611" s="2"/>
    </row>
    <row r="612" spans="3:8" ht="17.25" customHeight="1" x14ac:dyDescent="0.2">
      <c r="C612" s="20"/>
      <c r="D612" s="2"/>
      <c r="E612" s="2"/>
      <c r="F612" s="2"/>
      <c r="G612" s="2"/>
      <c r="H612" s="2"/>
    </row>
    <row r="613" spans="3:8" ht="17.25" customHeight="1" x14ac:dyDescent="0.2">
      <c r="C613" s="20"/>
      <c r="D613" s="2"/>
      <c r="E613" s="2"/>
      <c r="F613" s="2"/>
      <c r="G613" s="2"/>
      <c r="H613" s="2"/>
    </row>
    <row r="614" spans="3:8" ht="17.25" customHeight="1" x14ac:dyDescent="0.2">
      <c r="C614" s="20"/>
      <c r="D614" s="2"/>
      <c r="E614" s="2"/>
      <c r="F614" s="2"/>
      <c r="G614" s="2"/>
      <c r="H614" s="2"/>
    </row>
    <row r="615" spans="3:8" ht="17.25" customHeight="1" x14ac:dyDescent="0.2">
      <c r="C615" s="20"/>
      <c r="D615" s="2"/>
      <c r="E615" s="2"/>
      <c r="F615" s="2"/>
      <c r="G615" s="2"/>
      <c r="H615" s="2"/>
    </row>
    <row r="616" spans="3:8" ht="17.25" customHeight="1" x14ac:dyDescent="0.2">
      <c r="C616" s="20"/>
      <c r="D616" s="2"/>
      <c r="E616" s="2"/>
      <c r="F616" s="2"/>
      <c r="G616" s="2"/>
      <c r="H616" s="2"/>
    </row>
    <row r="617" spans="3:8" ht="17.25" customHeight="1" x14ac:dyDescent="0.2">
      <c r="C617" s="20"/>
      <c r="D617" s="2"/>
      <c r="E617" s="2"/>
      <c r="F617" s="2"/>
      <c r="G617" s="2"/>
      <c r="H617" s="2"/>
    </row>
    <row r="618" spans="3:8" ht="17.25" customHeight="1" x14ac:dyDescent="0.2">
      <c r="C618" s="20"/>
      <c r="D618" s="2"/>
      <c r="E618" s="2"/>
      <c r="F618" s="2"/>
      <c r="G618" s="2"/>
      <c r="H618" s="2"/>
    </row>
    <row r="619" spans="3:8" ht="17.25" customHeight="1" x14ac:dyDescent="0.2">
      <c r="C619" s="20"/>
      <c r="D619" s="2"/>
      <c r="E619" s="2"/>
      <c r="F619" s="2"/>
      <c r="G619" s="2"/>
      <c r="H619" s="2"/>
    </row>
    <row r="620" spans="3:8" ht="17.25" customHeight="1" x14ac:dyDescent="0.2">
      <c r="C620" s="20"/>
      <c r="D620" s="2"/>
      <c r="E620" s="2"/>
      <c r="F620" s="2"/>
      <c r="G620" s="2"/>
      <c r="H620" s="2"/>
    </row>
    <row r="621" spans="3:8" ht="17.25" customHeight="1" x14ac:dyDescent="0.2">
      <c r="C621" s="20"/>
      <c r="D621" s="2"/>
      <c r="E621" s="2"/>
      <c r="F621" s="2"/>
      <c r="G621" s="2"/>
      <c r="H621" s="2"/>
    </row>
    <row r="622" spans="3:8" ht="17.25" customHeight="1" x14ac:dyDescent="0.2">
      <c r="C622" s="20"/>
      <c r="D622" s="2"/>
      <c r="E622" s="2"/>
      <c r="F622" s="2"/>
      <c r="G622" s="2"/>
      <c r="H622" s="2"/>
    </row>
    <row r="623" spans="3:8" ht="17.25" customHeight="1" x14ac:dyDescent="0.2">
      <c r="C623" s="20"/>
      <c r="D623" s="2"/>
      <c r="E623" s="2"/>
      <c r="F623" s="2"/>
      <c r="G623" s="2"/>
      <c r="H623" s="2"/>
    </row>
    <row r="624" spans="3:8" ht="17.25" customHeight="1" x14ac:dyDescent="0.2">
      <c r="C624" s="20"/>
      <c r="D624" s="2"/>
      <c r="E624" s="2"/>
      <c r="F624" s="2"/>
      <c r="G624" s="2"/>
      <c r="H624" s="2"/>
    </row>
    <row r="625" spans="3:8" ht="17.25" customHeight="1" x14ac:dyDescent="0.2">
      <c r="C625" s="20"/>
      <c r="D625" s="2"/>
      <c r="E625" s="2"/>
      <c r="F625" s="2"/>
      <c r="G625" s="2"/>
      <c r="H625" s="2"/>
    </row>
    <row r="626" spans="3:8" ht="17.25" customHeight="1" x14ac:dyDescent="0.2">
      <c r="C626" s="20"/>
      <c r="D626" s="2"/>
      <c r="E626" s="2"/>
      <c r="F626" s="2"/>
      <c r="G626" s="2"/>
      <c r="H626" s="2"/>
    </row>
    <row r="627" spans="3:8" ht="17.25" customHeight="1" x14ac:dyDescent="0.2">
      <c r="C627" s="20"/>
      <c r="D627" s="2"/>
      <c r="E627" s="2"/>
      <c r="F627" s="2"/>
      <c r="G627" s="2"/>
      <c r="H627" s="2"/>
    </row>
    <row r="628" spans="3:8" ht="17.25" customHeight="1" x14ac:dyDescent="0.2">
      <c r="C628" s="20"/>
      <c r="D628" s="2"/>
      <c r="E628" s="2"/>
      <c r="F628" s="2"/>
      <c r="G628" s="2"/>
      <c r="H628" s="2"/>
    </row>
    <row r="629" spans="3:8" ht="17.25" customHeight="1" x14ac:dyDescent="0.2">
      <c r="C629" s="20"/>
      <c r="D629" s="2"/>
      <c r="E629" s="2"/>
      <c r="F629" s="2"/>
      <c r="G629" s="2"/>
      <c r="H629" s="2"/>
    </row>
    <row r="630" spans="3:8" ht="17.25" customHeight="1" x14ac:dyDescent="0.2">
      <c r="C630" s="20"/>
      <c r="D630" s="2"/>
      <c r="E630" s="2"/>
      <c r="F630" s="2"/>
      <c r="G630" s="2"/>
      <c r="H630" s="2"/>
    </row>
    <row r="631" spans="3:8" ht="17.25" customHeight="1" x14ac:dyDescent="0.2">
      <c r="C631" s="20"/>
      <c r="D631" s="2"/>
      <c r="E631" s="2"/>
      <c r="F631" s="2"/>
      <c r="G631" s="2"/>
      <c r="H631" s="2"/>
    </row>
    <row r="632" spans="3:8" ht="17.25" customHeight="1" x14ac:dyDescent="0.2">
      <c r="C632" s="20"/>
      <c r="D632" s="2"/>
      <c r="E632" s="2"/>
      <c r="F632" s="2"/>
      <c r="G632" s="2"/>
      <c r="H632" s="2"/>
    </row>
    <row r="633" spans="3:8" ht="17.25" customHeight="1" x14ac:dyDescent="0.2">
      <c r="C633" s="20"/>
      <c r="D633" s="2"/>
      <c r="E633" s="2"/>
      <c r="F633" s="2"/>
      <c r="G633" s="2"/>
      <c r="H633" s="2"/>
    </row>
    <row r="634" spans="3:8" ht="17.25" customHeight="1" x14ac:dyDescent="0.2">
      <c r="C634" s="20"/>
      <c r="D634" s="2"/>
      <c r="E634" s="2"/>
      <c r="F634" s="2"/>
      <c r="G634" s="2"/>
      <c r="H634" s="2"/>
    </row>
    <row r="635" spans="3:8" ht="17.25" customHeight="1" x14ac:dyDescent="0.2">
      <c r="C635" s="20"/>
      <c r="D635" s="2"/>
      <c r="E635" s="2"/>
      <c r="F635" s="2"/>
      <c r="G635" s="2"/>
      <c r="H635" s="2"/>
    </row>
    <row r="636" spans="3:8" ht="17.25" customHeight="1" x14ac:dyDescent="0.2">
      <c r="C636" s="20"/>
      <c r="D636" s="2"/>
      <c r="E636" s="2"/>
      <c r="F636" s="2"/>
      <c r="G636" s="2"/>
      <c r="H636" s="2"/>
    </row>
    <row r="637" spans="3:8" ht="17.25" customHeight="1" x14ac:dyDescent="0.2">
      <c r="C637" s="20"/>
      <c r="D637" s="2"/>
      <c r="E637" s="2"/>
      <c r="F637" s="2"/>
      <c r="G637" s="2"/>
      <c r="H637" s="2"/>
    </row>
    <row r="638" spans="3:8" ht="17.25" customHeight="1" x14ac:dyDescent="0.2">
      <c r="C638" s="20"/>
      <c r="D638" s="2"/>
      <c r="E638" s="2"/>
      <c r="F638" s="2"/>
      <c r="G638" s="2"/>
      <c r="H638" s="2"/>
    </row>
    <row r="639" spans="3:8" ht="17.25" customHeight="1" x14ac:dyDescent="0.2">
      <c r="C639" s="20"/>
      <c r="D639" s="2"/>
      <c r="E639" s="2"/>
      <c r="F639" s="2"/>
      <c r="G639" s="2"/>
      <c r="H639" s="2"/>
    </row>
    <row r="640" spans="3:8" ht="17.25" customHeight="1" x14ac:dyDescent="0.2">
      <c r="C640" s="20"/>
      <c r="D640" s="2"/>
      <c r="E640" s="2"/>
      <c r="F640" s="2"/>
      <c r="G640" s="2"/>
      <c r="H640" s="2"/>
    </row>
    <row r="641" spans="3:8" ht="17.25" customHeight="1" x14ac:dyDescent="0.2">
      <c r="C641" s="20"/>
      <c r="D641" s="2"/>
      <c r="E641" s="2"/>
      <c r="F641" s="2"/>
      <c r="G641" s="2"/>
      <c r="H641" s="2"/>
    </row>
    <row r="642" spans="3:8" ht="17.25" customHeight="1" x14ac:dyDescent="0.2">
      <c r="C642" s="20"/>
      <c r="D642" s="2"/>
      <c r="E642" s="2"/>
      <c r="F642" s="2"/>
      <c r="G642" s="2"/>
      <c r="H642" s="2"/>
    </row>
    <row r="643" spans="3:8" ht="17.25" customHeight="1" x14ac:dyDescent="0.2">
      <c r="C643" s="20"/>
      <c r="D643" s="2"/>
      <c r="E643" s="2"/>
      <c r="F643" s="2"/>
      <c r="G643" s="2"/>
      <c r="H643" s="2"/>
    </row>
    <row r="644" spans="3:8" ht="17.25" customHeight="1" x14ac:dyDescent="0.2">
      <c r="C644" s="20"/>
      <c r="D644" s="2"/>
      <c r="E644" s="2"/>
      <c r="F644" s="2"/>
      <c r="G644" s="2"/>
      <c r="H644" s="2"/>
    </row>
    <row r="645" spans="3:8" ht="17.25" customHeight="1" x14ac:dyDescent="0.2">
      <c r="C645" s="20"/>
      <c r="D645" s="2"/>
      <c r="E645" s="2"/>
      <c r="F645" s="2"/>
      <c r="G645" s="2"/>
      <c r="H645" s="2"/>
    </row>
    <row r="646" spans="3:8" ht="17.25" customHeight="1" x14ac:dyDescent="0.2">
      <c r="C646" s="20"/>
      <c r="D646" s="2"/>
      <c r="E646" s="2"/>
      <c r="F646" s="2"/>
      <c r="G646" s="2"/>
      <c r="H646" s="2"/>
    </row>
    <row r="647" spans="3:8" ht="17.25" customHeight="1" x14ac:dyDescent="0.2">
      <c r="C647" s="20"/>
      <c r="D647" s="2"/>
      <c r="E647" s="2"/>
      <c r="F647" s="2"/>
      <c r="G647" s="2"/>
      <c r="H647" s="2"/>
    </row>
    <row r="648" spans="3:8" ht="17.25" customHeight="1" x14ac:dyDescent="0.2">
      <c r="C648" s="20"/>
      <c r="D648" s="2"/>
      <c r="E648" s="2"/>
      <c r="F648" s="2"/>
      <c r="G648" s="2"/>
      <c r="H648" s="2"/>
    </row>
    <row r="649" spans="3:8" ht="17.25" customHeight="1" x14ac:dyDescent="0.2">
      <c r="C649" s="20"/>
      <c r="D649" s="2"/>
      <c r="E649" s="2"/>
      <c r="F649" s="2"/>
      <c r="G649" s="2"/>
      <c r="H649" s="2"/>
    </row>
    <row r="650" spans="3:8" ht="17.25" customHeight="1" x14ac:dyDescent="0.2">
      <c r="C650" s="20"/>
      <c r="D650" s="2"/>
      <c r="E650" s="2"/>
      <c r="F650" s="2"/>
      <c r="G650" s="2"/>
      <c r="H650" s="2"/>
    </row>
    <row r="651" spans="3:8" ht="17.25" customHeight="1" x14ac:dyDescent="0.2">
      <c r="C651" s="20"/>
      <c r="D651" s="2"/>
      <c r="E651" s="2"/>
      <c r="F651" s="2"/>
      <c r="G651" s="2"/>
      <c r="H651" s="2"/>
    </row>
    <row r="652" spans="3:8" ht="17.25" customHeight="1" x14ac:dyDescent="0.2">
      <c r="C652" s="20"/>
      <c r="D652" s="2"/>
      <c r="E652" s="2"/>
      <c r="F652" s="2"/>
      <c r="G652" s="2"/>
      <c r="H652" s="2"/>
    </row>
    <row r="653" spans="3:8" ht="17.25" customHeight="1" x14ac:dyDescent="0.2">
      <c r="C653" s="20"/>
      <c r="D653" s="2"/>
      <c r="E653" s="2"/>
      <c r="F653" s="2"/>
      <c r="G653" s="2"/>
      <c r="H653" s="2"/>
    </row>
    <row r="654" spans="3:8" ht="17.25" customHeight="1" x14ac:dyDescent="0.2">
      <c r="C654" s="20"/>
      <c r="D654" s="2"/>
      <c r="E654" s="2"/>
      <c r="F654" s="2"/>
      <c r="G654" s="2"/>
      <c r="H654" s="2"/>
    </row>
    <row r="655" spans="3:8" ht="17.25" customHeight="1" x14ac:dyDescent="0.2">
      <c r="C655" s="20"/>
      <c r="D655" s="2"/>
      <c r="E655" s="2"/>
      <c r="F655" s="2"/>
      <c r="G655" s="2"/>
      <c r="H655" s="2"/>
    </row>
    <row r="656" spans="3:8" ht="17.25" customHeight="1" x14ac:dyDescent="0.2">
      <c r="C656" s="20"/>
      <c r="D656" s="2"/>
      <c r="E656" s="2"/>
      <c r="F656" s="2"/>
      <c r="G656" s="2"/>
      <c r="H656" s="2"/>
    </row>
    <row r="657" spans="3:8" ht="17.25" customHeight="1" x14ac:dyDescent="0.2">
      <c r="C657" s="20"/>
      <c r="D657" s="2"/>
      <c r="E657" s="2"/>
      <c r="F657" s="2"/>
      <c r="G657" s="2"/>
      <c r="H657" s="2"/>
    </row>
    <row r="658" spans="3:8" ht="17.25" customHeight="1" x14ac:dyDescent="0.2">
      <c r="C658" s="20"/>
      <c r="D658" s="2"/>
      <c r="E658" s="2"/>
      <c r="F658" s="2"/>
      <c r="G658" s="2"/>
      <c r="H658" s="2"/>
    </row>
    <row r="659" spans="3:8" ht="17.25" customHeight="1" x14ac:dyDescent="0.2">
      <c r="C659" s="20"/>
      <c r="D659" s="2"/>
      <c r="E659" s="2"/>
      <c r="F659" s="2"/>
      <c r="G659" s="2"/>
      <c r="H659" s="2"/>
    </row>
    <row r="660" spans="3:8" ht="17.25" customHeight="1" x14ac:dyDescent="0.2">
      <c r="C660" s="20"/>
      <c r="D660" s="2"/>
      <c r="E660" s="2"/>
      <c r="F660" s="2"/>
      <c r="G660" s="2"/>
      <c r="H660" s="2"/>
    </row>
    <row r="661" spans="3:8" ht="17.25" customHeight="1" x14ac:dyDescent="0.2">
      <c r="C661" s="20"/>
      <c r="D661" s="2"/>
      <c r="E661" s="2"/>
      <c r="F661" s="2"/>
      <c r="G661" s="2"/>
      <c r="H661" s="2"/>
    </row>
    <row r="662" spans="3:8" ht="17.25" customHeight="1" x14ac:dyDescent="0.2">
      <c r="C662" s="20"/>
      <c r="D662" s="2"/>
      <c r="E662" s="2"/>
      <c r="F662" s="2"/>
      <c r="G662" s="2"/>
      <c r="H662" s="2"/>
    </row>
    <row r="663" spans="3:8" ht="17.25" customHeight="1" x14ac:dyDescent="0.2">
      <c r="C663" s="20"/>
      <c r="D663" s="2"/>
      <c r="E663" s="2"/>
      <c r="F663" s="2"/>
      <c r="G663" s="2"/>
      <c r="H663" s="2"/>
    </row>
    <row r="664" spans="3:8" ht="17.25" customHeight="1" x14ac:dyDescent="0.2">
      <c r="C664" s="20"/>
      <c r="D664" s="2"/>
      <c r="E664" s="2"/>
      <c r="F664" s="2"/>
      <c r="G664" s="2"/>
      <c r="H664" s="2"/>
    </row>
    <row r="665" spans="3:8" ht="17.25" customHeight="1" x14ac:dyDescent="0.2">
      <c r="C665" s="20"/>
      <c r="D665" s="2"/>
      <c r="E665" s="2"/>
      <c r="F665" s="2"/>
      <c r="G665" s="2"/>
      <c r="H665" s="2"/>
    </row>
    <row r="666" spans="3:8" ht="17.25" customHeight="1" x14ac:dyDescent="0.2">
      <c r="C666" s="20"/>
      <c r="D666" s="2"/>
      <c r="E666" s="2"/>
      <c r="F666" s="2"/>
      <c r="G666" s="2"/>
      <c r="H666" s="2"/>
    </row>
    <row r="667" spans="3:8" ht="17.25" customHeight="1" x14ac:dyDescent="0.2">
      <c r="C667" s="20"/>
      <c r="D667" s="2"/>
      <c r="E667" s="2"/>
      <c r="F667" s="2"/>
      <c r="G667" s="2"/>
      <c r="H667" s="2"/>
    </row>
    <row r="668" spans="3:8" ht="17.25" customHeight="1" x14ac:dyDescent="0.2">
      <c r="C668" s="20"/>
      <c r="D668" s="2"/>
      <c r="E668" s="2"/>
      <c r="F668" s="2"/>
      <c r="G668" s="2"/>
      <c r="H668" s="2"/>
    </row>
    <row r="669" spans="3:8" ht="17.25" customHeight="1" x14ac:dyDescent="0.2">
      <c r="C669" s="20"/>
      <c r="D669" s="2"/>
      <c r="E669" s="2"/>
      <c r="F669" s="2"/>
      <c r="G669" s="2"/>
      <c r="H669" s="2"/>
    </row>
    <row r="670" spans="3:8" ht="17.25" customHeight="1" x14ac:dyDescent="0.2">
      <c r="C670" s="20"/>
      <c r="D670" s="2"/>
      <c r="E670" s="2"/>
      <c r="F670" s="2"/>
      <c r="G670" s="2"/>
      <c r="H670" s="2"/>
    </row>
    <row r="671" spans="3:8" ht="17.25" customHeight="1" x14ac:dyDescent="0.2">
      <c r="C671" s="20"/>
      <c r="D671" s="2"/>
      <c r="E671" s="2"/>
      <c r="F671" s="2"/>
      <c r="G671" s="2"/>
      <c r="H671" s="2"/>
    </row>
    <row r="672" spans="3:8" ht="17.25" customHeight="1" x14ac:dyDescent="0.2">
      <c r="C672" s="20"/>
      <c r="D672" s="2"/>
      <c r="E672" s="2"/>
      <c r="F672" s="2"/>
      <c r="G672" s="2"/>
      <c r="H672" s="2"/>
    </row>
    <row r="673" spans="3:8" ht="17.25" customHeight="1" x14ac:dyDescent="0.2">
      <c r="C673" s="20"/>
      <c r="D673" s="2"/>
      <c r="E673" s="2"/>
      <c r="F673" s="2"/>
      <c r="G673" s="2"/>
      <c r="H673" s="2"/>
    </row>
    <row r="674" spans="3:8" ht="17.25" customHeight="1" x14ac:dyDescent="0.2">
      <c r="C674" s="20"/>
      <c r="D674" s="2"/>
      <c r="E674" s="2"/>
      <c r="F674" s="2"/>
      <c r="G674" s="2"/>
      <c r="H674" s="2"/>
    </row>
    <row r="675" spans="3:8" ht="17.25" customHeight="1" x14ac:dyDescent="0.2">
      <c r="C675" s="20"/>
      <c r="D675" s="2"/>
      <c r="E675" s="2"/>
      <c r="F675" s="2"/>
      <c r="G675" s="2"/>
      <c r="H675" s="2"/>
    </row>
    <row r="676" spans="3:8" ht="17.25" customHeight="1" x14ac:dyDescent="0.2">
      <c r="C676" s="20"/>
      <c r="D676" s="2"/>
      <c r="E676" s="2"/>
      <c r="F676" s="2"/>
      <c r="G676" s="2"/>
      <c r="H676" s="2"/>
    </row>
    <row r="677" spans="3:8" ht="17.25" customHeight="1" x14ac:dyDescent="0.2">
      <c r="C677" s="20"/>
      <c r="D677" s="2"/>
      <c r="E677" s="2"/>
      <c r="F677" s="2"/>
      <c r="G677" s="2"/>
      <c r="H677" s="2"/>
    </row>
    <row r="678" spans="3:8" ht="17.25" customHeight="1" x14ac:dyDescent="0.2">
      <c r="C678" s="20"/>
      <c r="D678" s="2"/>
      <c r="E678" s="2"/>
      <c r="F678" s="2"/>
      <c r="G678" s="2"/>
      <c r="H678" s="2"/>
    </row>
    <row r="679" spans="3:8" ht="17.25" customHeight="1" x14ac:dyDescent="0.2">
      <c r="C679" s="20"/>
      <c r="D679" s="2"/>
      <c r="E679" s="2"/>
      <c r="F679" s="2"/>
      <c r="G679" s="2"/>
      <c r="H679" s="2"/>
    </row>
    <row r="680" spans="3:8" ht="17.25" customHeight="1" x14ac:dyDescent="0.2">
      <c r="C680" s="20"/>
      <c r="D680" s="2"/>
      <c r="E680" s="2"/>
      <c r="F680" s="2"/>
      <c r="G680" s="2"/>
      <c r="H680" s="2"/>
    </row>
    <row r="681" spans="3:8" ht="17.25" customHeight="1" x14ac:dyDescent="0.2">
      <c r="C681" s="20"/>
      <c r="D681" s="2"/>
      <c r="E681" s="2"/>
      <c r="F681" s="2"/>
      <c r="G681" s="2"/>
      <c r="H681" s="2"/>
    </row>
    <row r="682" spans="3:8" ht="17.25" customHeight="1" x14ac:dyDescent="0.2">
      <c r="C682" s="20"/>
      <c r="D682" s="2"/>
      <c r="E682" s="2"/>
      <c r="F682" s="2"/>
      <c r="G682" s="2"/>
      <c r="H682" s="2"/>
    </row>
    <row r="683" spans="3:8" ht="17.25" customHeight="1" x14ac:dyDescent="0.2">
      <c r="C683" s="20"/>
      <c r="D683" s="2"/>
      <c r="E683" s="2"/>
      <c r="F683" s="2"/>
      <c r="G683" s="2"/>
      <c r="H683" s="2"/>
    </row>
    <row r="684" spans="3:8" ht="17.25" customHeight="1" x14ac:dyDescent="0.2">
      <c r="C684" s="20"/>
      <c r="D684" s="2"/>
      <c r="E684" s="2"/>
      <c r="F684" s="2"/>
      <c r="G684" s="2"/>
      <c r="H684" s="2"/>
    </row>
    <row r="685" spans="3:8" ht="17.25" customHeight="1" x14ac:dyDescent="0.2">
      <c r="C685" s="20"/>
      <c r="D685" s="2"/>
      <c r="E685" s="2"/>
      <c r="F685" s="2"/>
      <c r="G685" s="2"/>
      <c r="H685" s="2"/>
    </row>
    <row r="686" spans="3:8" ht="17.25" customHeight="1" x14ac:dyDescent="0.2">
      <c r="C686" s="20"/>
      <c r="D686" s="2"/>
      <c r="E686" s="2"/>
      <c r="F686" s="2"/>
      <c r="G686" s="2"/>
      <c r="H686" s="2"/>
    </row>
    <row r="687" spans="3:8" ht="17.25" customHeight="1" x14ac:dyDescent="0.2">
      <c r="C687" s="20"/>
      <c r="D687" s="2"/>
      <c r="E687" s="2"/>
      <c r="F687" s="2"/>
      <c r="G687" s="2"/>
      <c r="H687" s="2"/>
    </row>
    <row r="688" spans="3:8" ht="17.25" customHeight="1" x14ac:dyDescent="0.2">
      <c r="C688" s="20"/>
      <c r="D688" s="2"/>
      <c r="E688" s="2"/>
      <c r="F688" s="2"/>
      <c r="G688" s="2"/>
      <c r="H688" s="2"/>
    </row>
    <row r="689" spans="3:8" ht="17.25" customHeight="1" x14ac:dyDescent="0.2">
      <c r="C689" s="20"/>
      <c r="D689" s="2"/>
      <c r="E689" s="2"/>
      <c r="F689" s="2"/>
      <c r="G689" s="2"/>
      <c r="H689" s="2"/>
    </row>
    <row r="690" spans="3:8" ht="17.25" customHeight="1" x14ac:dyDescent="0.2">
      <c r="C690" s="20"/>
      <c r="D690" s="2"/>
      <c r="E690" s="2"/>
      <c r="F690" s="2"/>
      <c r="G690" s="2"/>
      <c r="H690" s="2"/>
    </row>
    <row r="691" spans="3:8" ht="17.25" customHeight="1" x14ac:dyDescent="0.2">
      <c r="C691" s="20"/>
      <c r="D691" s="2"/>
      <c r="E691" s="2"/>
      <c r="F691" s="2"/>
      <c r="G691" s="2"/>
      <c r="H691" s="2"/>
    </row>
    <row r="692" spans="3:8" ht="17.25" customHeight="1" x14ac:dyDescent="0.2">
      <c r="C692" s="20"/>
      <c r="D692" s="2"/>
      <c r="E692" s="2"/>
      <c r="F692" s="2"/>
      <c r="G692" s="2"/>
      <c r="H692" s="2"/>
    </row>
    <row r="693" spans="3:8" ht="17.25" customHeight="1" x14ac:dyDescent="0.2">
      <c r="C693" s="20"/>
      <c r="D693" s="2"/>
      <c r="E693" s="2"/>
      <c r="F693" s="2"/>
      <c r="G693" s="2"/>
      <c r="H693" s="2"/>
    </row>
    <row r="694" spans="3:8" ht="17.25" customHeight="1" x14ac:dyDescent="0.2">
      <c r="C694" s="20"/>
      <c r="D694" s="2"/>
      <c r="E694" s="2"/>
      <c r="F694" s="2"/>
      <c r="G694" s="2"/>
      <c r="H694" s="2"/>
    </row>
    <row r="695" spans="3:8" ht="17.25" customHeight="1" x14ac:dyDescent="0.2">
      <c r="C695" s="20"/>
      <c r="D695" s="2"/>
      <c r="E695" s="2"/>
      <c r="F695" s="2"/>
      <c r="G695" s="2"/>
      <c r="H695" s="2"/>
    </row>
    <row r="696" spans="3:8" ht="17.25" customHeight="1" x14ac:dyDescent="0.2">
      <c r="C696" s="20"/>
      <c r="D696" s="2"/>
      <c r="E696" s="2"/>
      <c r="F696" s="2"/>
      <c r="G696" s="2"/>
      <c r="H696" s="2"/>
    </row>
    <row r="697" spans="3:8" ht="17.25" customHeight="1" x14ac:dyDescent="0.2">
      <c r="C697" s="20"/>
      <c r="D697" s="2"/>
      <c r="E697" s="2"/>
      <c r="F697" s="2"/>
      <c r="G697" s="2"/>
      <c r="H697" s="2"/>
    </row>
    <row r="698" spans="3:8" ht="17.25" customHeight="1" x14ac:dyDescent="0.2">
      <c r="C698" s="20"/>
      <c r="D698" s="2"/>
      <c r="E698" s="2"/>
      <c r="F698" s="2"/>
      <c r="G698" s="2"/>
      <c r="H698" s="2"/>
    </row>
    <row r="699" spans="3:8" ht="17.25" customHeight="1" x14ac:dyDescent="0.2">
      <c r="C699" s="20"/>
      <c r="D699" s="2"/>
      <c r="E699" s="2"/>
      <c r="F699" s="2"/>
      <c r="G699" s="2"/>
      <c r="H699" s="2"/>
    </row>
    <row r="700" spans="3:8" ht="17.25" customHeight="1" x14ac:dyDescent="0.2">
      <c r="C700" s="20"/>
      <c r="D700" s="2"/>
      <c r="E700" s="2"/>
      <c r="F700" s="2"/>
      <c r="G700" s="2"/>
      <c r="H700" s="2"/>
    </row>
    <row r="701" spans="3:8" ht="17.25" customHeight="1" x14ac:dyDescent="0.2">
      <c r="C701" s="20"/>
      <c r="D701" s="2"/>
      <c r="E701" s="2"/>
      <c r="F701" s="2"/>
      <c r="G701" s="2"/>
      <c r="H701" s="2"/>
    </row>
    <row r="702" spans="3:8" ht="17.25" customHeight="1" x14ac:dyDescent="0.2">
      <c r="C702" s="20"/>
      <c r="D702" s="2"/>
      <c r="E702" s="2"/>
      <c r="F702" s="2"/>
      <c r="G702" s="2"/>
      <c r="H702" s="2"/>
    </row>
    <row r="703" spans="3:8" ht="17.25" customHeight="1" x14ac:dyDescent="0.2">
      <c r="C703" s="20"/>
      <c r="D703" s="2"/>
      <c r="E703" s="2"/>
      <c r="F703" s="2"/>
      <c r="G703" s="2"/>
      <c r="H703" s="2"/>
    </row>
    <row r="704" spans="3:8" ht="17.25" customHeight="1" x14ac:dyDescent="0.2">
      <c r="C704" s="20"/>
      <c r="D704" s="2"/>
      <c r="E704" s="2"/>
      <c r="F704" s="2"/>
      <c r="G704" s="2"/>
      <c r="H704" s="2"/>
    </row>
    <row r="705" spans="3:8" ht="17.25" customHeight="1" x14ac:dyDescent="0.2">
      <c r="C705" s="20"/>
      <c r="D705" s="2"/>
      <c r="E705" s="2"/>
      <c r="F705" s="2"/>
      <c r="G705" s="2"/>
      <c r="H705" s="2"/>
    </row>
    <row r="706" spans="3:8" ht="17.25" customHeight="1" x14ac:dyDescent="0.2">
      <c r="C706" s="20"/>
      <c r="D706" s="2"/>
      <c r="E706" s="2"/>
      <c r="F706" s="2"/>
      <c r="G706" s="2"/>
      <c r="H706" s="2"/>
    </row>
    <row r="707" spans="3:8" ht="17.25" customHeight="1" x14ac:dyDescent="0.2">
      <c r="C707" s="20"/>
      <c r="D707" s="2"/>
      <c r="E707" s="2"/>
      <c r="F707" s="2"/>
      <c r="G707" s="2"/>
      <c r="H707" s="2"/>
    </row>
    <row r="708" spans="3:8" ht="17.25" customHeight="1" x14ac:dyDescent="0.2">
      <c r="C708" s="20"/>
      <c r="D708" s="2"/>
      <c r="E708" s="2"/>
      <c r="F708" s="2"/>
      <c r="G708" s="2"/>
      <c r="H708" s="2"/>
    </row>
    <row r="709" spans="3:8" ht="17.25" customHeight="1" x14ac:dyDescent="0.2">
      <c r="C709" s="20"/>
      <c r="D709" s="2"/>
      <c r="E709" s="2"/>
      <c r="F709" s="2"/>
      <c r="G709" s="2"/>
      <c r="H709" s="2"/>
    </row>
    <row r="710" spans="3:8" ht="17.25" customHeight="1" x14ac:dyDescent="0.2">
      <c r="C710" s="20"/>
      <c r="D710" s="2"/>
      <c r="E710" s="2"/>
      <c r="F710" s="2"/>
      <c r="G710" s="2"/>
      <c r="H710" s="2"/>
    </row>
    <row r="711" spans="3:8" ht="17.25" customHeight="1" x14ac:dyDescent="0.2">
      <c r="C711" s="20"/>
      <c r="D711" s="2"/>
      <c r="E711" s="2"/>
      <c r="F711" s="2"/>
      <c r="G711" s="2"/>
      <c r="H711" s="2"/>
    </row>
    <row r="712" spans="3:8" ht="17.25" customHeight="1" x14ac:dyDescent="0.2">
      <c r="C712" s="20"/>
      <c r="D712" s="2"/>
      <c r="E712" s="2"/>
      <c r="F712" s="2"/>
      <c r="G712" s="2"/>
      <c r="H712" s="2"/>
    </row>
    <row r="713" spans="3:8" ht="17.25" customHeight="1" x14ac:dyDescent="0.2">
      <c r="C713" s="20"/>
      <c r="D713" s="2"/>
      <c r="E713" s="2"/>
      <c r="F713" s="2"/>
      <c r="G713" s="2"/>
      <c r="H713" s="2"/>
    </row>
    <row r="714" spans="3:8" ht="17.25" customHeight="1" x14ac:dyDescent="0.2">
      <c r="C714" s="20"/>
      <c r="D714" s="2"/>
      <c r="E714" s="2"/>
      <c r="F714" s="2"/>
      <c r="G714" s="2"/>
      <c r="H714" s="2"/>
    </row>
    <row r="715" spans="3:8" ht="17.25" customHeight="1" x14ac:dyDescent="0.2">
      <c r="C715" s="20"/>
      <c r="D715" s="2"/>
      <c r="E715" s="2"/>
      <c r="F715" s="2"/>
      <c r="G715" s="2"/>
      <c r="H715" s="2"/>
    </row>
    <row r="716" spans="3:8" ht="17.25" customHeight="1" x14ac:dyDescent="0.2">
      <c r="C716" s="20"/>
      <c r="D716" s="2"/>
      <c r="E716" s="2"/>
      <c r="F716" s="2"/>
      <c r="G716" s="2"/>
      <c r="H716" s="2"/>
    </row>
    <row r="717" spans="3:8" ht="17.25" customHeight="1" x14ac:dyDescent="0.2">
      <c r="C717" s="20"/>
      <c r="D717" s="2"/>
      <c r="E717" s="2"/>
      <c r="F717" s="2"/>
      <c r="G717" s="2"/>
      <c r="H717" s="2"/>
    </row>
    <row r="718" spans="3:8" ht="17.25" customHeight="1" x14ac:dyDescent="0.2">
      <c r="C718" s="20"/>
      <c r="D718" s="2"/>
      <c r="E718" s="2"/>
      <c r="F718" s="2"/>
      <c r="G718" s="2"/>
      <c r="H718" s="2"/>
    </row>
    <row r="719" spans="3:8" ht="17.25" customHeight="1" x14ac:dyDescent="0.2">
      <c r="C719" s="20"/>
      <c r="D719" s="2"/>
      <c r="E719" s="2"/>
      <c r="F719" s="2"/>
      <c r="G719" s="2"/>
      <c r="H719" s="2"/>
    </row>
    <row r="720" spans="3:8" ht="17.25" customHeight="1" x14ac:dyDescent="0.2">
      <c r="C720" s="20"/>
      <c r="D720" s="2"/>
      <c r="E720" s="2"/>
      <c r="F720" s="2"/>
      <c r="G720" s="2"/>
      <c r="H720" s="2"/>
    </row>
    <row r="721" spans="3:8" ht="17.25" customHeight="1" x14ac:dyDescent="0.2">
      <c r="C721" s="20"/>
      <c r="D721" s="2"/>
      <c r="E721" s="2"/>
      <c r="F721" s="2"/>
      <c r="G721" s="2"/>
      <c r="H721" s="2"/>
    </row>
    <row r="722" spans="3:8" ht="17.25" customHeight="1" x14ac:dyDescent="0.2">
      <c r="C722" s="20"/>
      <c r="D722" s="2"/>
      <c r="E722" s="2"/>
      <c r="F722" s="2"/>
      <c r="G722" s="2"/>
      <c r="H722" s="2"/>
    </row>
    <row r="723" spans="3:8" ht="17.25" customHeight="1" x14ac:dyDescent="0.2">
      <c r="C723" s="20"/>
      <c r="D723" s="2"/>
      <c r="E723" s="2"/>
      <c r="F723" s="2"/>
      <c r="G723" s="2"/>
      <c r="H723" s="2"/>
    </row>
    <row r="724" spans="3:8" ht="17.25" customHeight="1" x14ac:dyDescent="0.2">
      <c r="C724" s="20"/>
      <c r="D724" s="2"/>
      <c r="E724" s="2"/>
      <c r="F724" s="2"/>
      <c r="G724" s="2"/>
      <c r="H724" s="2"/>
    </row>
    <row r="725" spans="3:8" ht="17.25" customHeight="1" x14ac:dyDescent="0.2">
      <c r="C725" s="20"/>
      <c r="D725" s="2"/>
      <c r="E725" s="2"/>
      <c r="F725" s="2"/>
      <c r="G725" s="2"/>
      <c r="H725" s="2"/>
    </row>
    <row r="726" spans="3:8" ht="17.25" customHeight="1" x14ac:dyDescent="0.2">
      <c r="C726" s="20"/>
      <c r="D726" s="2"/>
      <c r="E726" s="2"/>
      <c r="F726" s="2"/>
      <c r="G726" s="2"/>
      <c r="H726" s="2"/>
    </row>
    <row r="727" spans="3:8" ht="17.25" customHeight="1" x14ac:dyDescent="0.2">
      <c r="C727" s="20"/>
      <c r="D727" s="2"/>
      <c r="E727" s="2"/>
      <c r="F727" s="2"/>
      <c r="G727" s="2"/>
      <c r="H727" s="2"/>
    </row>
    <row r="728" spans="3:8" ht="17.25" customHeight="1" x14ac:dyDescent="0.2">
      <c r="C728" s="20"/>
      <c r="D728" s="2"/>
      <c r="E728" s="2"/>
      <c r="F728" s="2"/>
      <c r="G728" s="2"/>
      <c r="H728" s="2"/>
    </row>
    <row r="729" spans="3:8" ht="17.25" customHeight="1" x14ac:dyDescent="0.2">
      <c r="C729" s="20"/>
      <c r="D729" s="2"/>
      <c r="E729" s="2"/>
      <c r="F729" s="2"/>
      <c r="G729" s="2"/>
      <c r="H729" s="2"/>
    </row>
    <row r="730" spans="3:8" ht="17.25" customHeight="1" x14ac:dyDescent="0.2">
      <c r="C730" s="20"/>
      <c r="D730" s="2"/>
      <c r="E730" s="2"/>
      <c r="F730" s="2"/>
      <c r="G730" s="2"/>
      <c r="H730" s="2"/>
    </row>
    <row r="731" spans="3:8" ht="17.25" customHeight="1" x14ac:dyDescent="0.2">
      <c r="C731" s="20"/>
      <c r="D731" s="2"/>
      <c r="E731" s="2"/>
      <c r="F731" s="2"/>
      <c r="G731" s="2"/>
      <c r="H731" s="2"/>
    </row>
    <row r="732" spans="3:8" ht="17.25" customHeight="1" x14ac:dyDescent="0.2">
      <c r="C732" s="20"/>
      <c r="D732" s="2"/>
      <c r="E732" s="2"/>
      <c r="F732" s="2"/>
      <c r="G732" s="2"/>
      <c r="H732" s="2"/>
    </row>
    <row r="733" spans="3:8" ht="17.25" customHeight="1" x14ac:dyDescent="0.2">
      <c r="C733" s="20"/>
      <c r="D733" s="2"/>
      <c r="E733" s="2"/>
      <c r="F733" s="2"/>
      <c r="G733" s="2"/>
      <c r="H733" s="2"/>
    </row>
    <row r="734" spans="3:8" ht="17.25" customHeight="1" x14ac:dyDescent="0.2">
      <c r="C734" s="20"/>
      <c r="D734" s="2"/>
      <c r="E734" s="2"/>
      <c r="F734" s="2"/>
      <c r="G734" s="2"/>
      <c r="H734" s="2"/>
    </row>
    <row r="735" spans="3:8" ht="17.25" customHeight="1" x14ac:dyDescent="0.2">
      <c r="C735" s="20"/>
      <c r="D735" s="2"/>
      <c r="E735" s="2"/>
      <c r="F735" s="2"/>
      <c r="G735" s="2"/>
      <c r="H735" s="2"/>
    </row>
    <row r="736" spans="3:8" ht="17.25" customHeight="1" x14ac:dyDescent="0.2">
      <c r="C736" s="20"/>
      <c r="D736" s="2"/>
      <c r="E736" s="2"/>
      <c r="F736" s="2"/>
      <c r="G736" s="2"/>
      <c r="H736" s="2"/>
    </row>
    <row r="737" spans="3:8" ht="17.25" customHeight="1" x14ac:dyDescent="0.2">
      <c r="C737" s="20"/>
      <c r="D737" s="2"/>
      <c r="E737" s="2"/>
      <c r="F737" s="2"/>
      <c r="G737" s="2"/>
      <c r="H737" s="2"/>
    </row>
    <row r="738" spans="3:8" ht="17.25" customHeight="1" x14ac:dyDescent="0.2">
      <c r="C738" s="20"/>
      <c r="D738" s="2"/>
      <c r="E738" s="2"/>
      <c r="F738" s="2"/>
      <c r="G738" s="2"/>
      <c r="H738" s="2"/>
    </row>
    <row r="739" spans="3:8" ht="17.25" customHeight="1" x14ac:dyDescent="0.2">
      <c r="C739" s="20"/>
      <c r="D739" s="2"/>
      <c r="E739" s="2"/>
      <c r="F739" s="2"/>
      <c r="G739" s="2"/>
      <c r="H739" s="2"/>
    </row>
    <row r="740" spans="3:8" ht="17.25" customHeight="1" x14ac:dyDescent="0.2">
      <c r="C740" s="20"/>
      <c r="D740" s="2"/>
      <c r="E740" s="2"/>
      <c r="F740" s="2"/>
      <c r="G740" s="2"/>
      <c r="H740" s="2"/>
    </row>
    <row r="741" spans="3:8" ht="17.25" customHeight="1" x14ac:dyDescent="0.2">
      <c r="C741" s="20"/>
      <c r="D741" s="2"/>
      <c r="E741" s="2"/>
      <c r="F741" s="2"/>
      <c r="G741" s="2"/>
      <c r="H741" s="2"/>
    </row>
    <row r="742" spans="3:8" ht="17.25" customHeight="1" x14ac:dyDescent="0.2">
      <c r="C742" s="20"/>
      <c r="D742" s="2"/>
      <c r="E742" s="2"/>
      <c r="F742" s="2"/>
      <c r="G742" s="2"/>
      <c r="H742" s="2"/>
    </row>
    <row r="743" spans="3:8" ht="17.25" customHeight="1" x14ac:dyDescent="0.2">
      <c r="C743" s="20"/>
      <c r="D743" s="2"/>
      <c r="E743" s="2"/>
      <c r="F743" s="2"/>
      <c r="G743" s="2"/>
      <c r="H743" s="2"/>
    </row>
    <row r="744" spans="3:8" ht="17.25" customHeight="1" x14ac:dyDescent="0.2">
      <c r="C744" s="20"/>
      <c r="D744" s="2"/>
      <c r="E744" s="2"/>
      <c r="F744" s="2"/>
      <c r="G744" s="2"/>
      <c r="H744" s="2"/>
    </row>
    <row r="745" spans="3:8" ht="17.25" customHeight="1" x14ac:dyDescent="0.2">
      <c r="C745" s="20"/>
      <c r="D745" s="2"/>
      <c r="E745" s="2"/>
      <c r="F745" s="2"/>
      <c r="G745" s="2"/>
      <c r="H745" s="2"/>
    </row>
    <row r="746" spans="3:8" ht="17.25" customHeight="1" x14ac:dyDescent="0.2">
      <c r="C746" s="20"/>
      <c r="D746" s="2"/>
      <c r="E746" s="2"/>
      <c r="F746" s="2"/>
      <c r="G746" s="2"/>
      <c r="H746" s="2"/>
    </row>
    <row r="747" spans="3:8" ht="17.25" customHeight="1" x14ac:dyDescent="0.2">
      <c r="C747" s="20"/>
      <c r="D747" s="2"/>
      <c r="E747" s="2"/>
      <c r="F747" s="2"/>
      <c r="G747" s="2"/>
      <c r="H747" s="2"/>
    </row>
    <row r="748" spans="3:8" ht="17.25" customHeight="1" x14ac:dyDescent="0.2">
      <c r="C748" s="20"/>
      <c r="D748" s="2"/>
      <c r="E748" s="2"/>
      <c r="F748" s="2"/>
      <c r="G748" s="2"/>
      <c r="H748" s="2"/>
    </row>
    <row r="749" spans="3:8" ht="17.25" customHeight="1" x14ac:dyDescent="0.2">
      <c r="C749" s="20"/>
      <c r="D749" s="2"/>
      <c r="E749" s="2"/>
      <c r="F749" s="2"/>
      <c r="G749" s="2"/>
      <c r="H749" s="2"/>
    </row>
    <row r="750" spans="3:8" ht="17.25" customHeight="1" x14ac:dyDescent="0.2">
      <c r="C750" s="20"/>
      <c r="D750" s="2"/>
      <c r="E750" s="2"/>
      <c r="F750" s="2"/>
      <c r="G750" s="2"/>
      <c r="H750" s="2"/>
    </row>
    <row r="751" spans="3:8" ht="17.25" customHeight="1" x14ac:dyDescent="0.2">
      <c r="C751" s="20"/>
      <c r="D751" s="2"/>
      <c r="E751" s="2"/>
      <c r="F751" s="2"/>
      <c r="G751" s="2"/>
      <c r="H751" s="2"/>
    </row>
    <row r="752" spans="3:8" ht="17.25" customHeight="1" x14ac:dyDescent="0.2">
      <c r="C752" s="20"/>
      <c r="D752" s="2"/>
      <c r="E752" s="2"/>
      <c r="F752" s="2"/>
      <c r="G752" s="2"/>
      <c r="H752" s="2"/>
    </row>
    <row r="753" spans="3:8" ht="17.25" customHeight="1" x14ac:dyDescent="0.2">
      <c r="C753" s="20"/>
      <c r="D753" s="2"/>
      <c r="E753" s="2"/>
      <c r="F753" s="2"/>
      <c r="G753" s="2"/>
      <c r="H753" s="2"/>
    </row>
    <row r="754" spans="3:8" ht="17.25" customHeight="1" x14ac:dyDescent="0.2">
      <c r="C754" s="20"/>
      <c r="D754" s="2"/>
      <c r="E754" s="2"/>
      <c r="F754" s="2"/>
      <c r="G754" s="2"/>
      <c r="H754" s="2"/>
    </row>
    <row r="755" spans="3:8" ht="17.25" customHeight="1" x14ac:dyDescent="0.2">
      <c r="C755" s="20"/>
      <c r="D755" s="2"/>
      <c r="E755" s="2"/>
      <c r="F755" s="2"/>
      <c r="G755" s="2"/>
      <c r="H755" s="2"/>
    </row>
    <row r="756" spans="3:8" ht="17.25" customHeight="1" x14ac:dyDescent="0.2">
      <c r="C756" s="20"/>
      <c r="D756" s="2"/>
      <c r="E756" s="2"/>
      <c r="F756" s="2"/>
      <c r="G756" s="2"/>
      <c r="H756" s="2"/>
    </row>
    <row r="757" spans="3:8" ht="17.25" customHeight="1" x14ac:dyDescent="0.2">
      <c r="C757" s="20"/>
      <c r="D757" s="2"/>
      <c r="E757" s="2"/>
      <c r="F757" s="2"/>
      <c r="G757" s="2"/>
      <c r="H757" s="2"/>
    </row>
    <row r="758" spans="3:8" ht="17.25" customHeight="1" x14ac:dyDescent="0.2">
      <c r="C758" s="20"/>
      <c r="D758" s="2"/>
      <c r="E758" s="2"/>
      <c r="F758" s="2"/>
      <c r="G758" s="2"/>
      <c r="H758" s="2"/>
    </row>
    <row r="759" spans="3:8" ht="17.25" customHeight="1" x14ac:dyDescent="0.2">
      <c r="C759" s="20"/>
      <c r="D759" s="2"/>
      <c r="E759" s="2"/>
      <c r="F759" s="2"/>
      <c r="G759" s="2"/>
      <c r="H759" s="2"/>
    </row>
    <row r="760" spans="3:8" ht="17.25" customHeight="1" x14ac:dyDescent="0.2">
      <c r="C760" s="20"/>
      <c r="D760" s="2"/>
      <c r="E760" s="2"/>
      <c r="F760" s="2"/>
      <c r="G760" s="2"/>
      <c r="H760" s="2"/>
    </row>
    <row r="761" spans="3:8" ht="17.25" customHeight="1" x14ac:dyDescent="0.2">
      <c r="C761" s="20"/>
      <c r="D761" s="2"/>
      <c r="E761" s="2"/>
      <c r="F761" s="2"/>
      <c r="G761" s="2"/>
      <c r="H761" s="2"/>
    </row>
    <row r="762" spans="3:8" ht="17.25" customHeight="1" x14ac:dyDescent="0.2">
      <c r="C762" s="20"/>
      <c r="D762" s="2"/>
      <c r="E762" s="2"/>
      <c r="F762" s="2"/>
      <c r="G762" s="2"/>
      <c r="H762" s="2"/>
    </row>
    <row r="763" spans="3:8" ht="17.25" customHeight="1" x14ac:dyDescent="0.2">
      <c r="C763" s="20"/>
      <c r="D763" s="2"/>
      <c r="E763" s="2"/>
      <c r="F763" s="2"/>
      <c r="G763" s="2"/>
      <c r="H763" s="2"/>
    </row>
    <row r="764" spans="3:8" ht="17.25" customHeight="1" x14ac:dyDescent="0.2">
      <c r="C764" s="20"/>
      <c r="D764" s="2"/>
      <c r="E764" s="2"/>
      <c r="F764" s="2"/>
      <c r="G764" s="2"/>
      <c r="H764" s="2"/>
    </row>
    <row r="765" spans="3:8" ht="17.25" customHeight="1" x14ac:dyDescent="0.2">
      <c r="C765" s="20"/>
      <c r="D765" s="2"/>
      <c r="E765" s="2"/>
      <c r="F765" s="2"/>
      <c r="G765" s="2"/>
      <c r="H765" s="2"/>
    </row>
    <row r="766" spans="3:8" ht="17.25" customHeight="1" x14ac:dyDescent="0.2">
      <c r="C766" s="20"/>
      <c r="D766" s="2"/>
      <c r="E766" s="2"/>
      <c r="F766" s="2"/>
      <c r="G766" s="2"/>
      <c r="H766" s="2"/>
    </row>
    <row r="767" spans="3:8" ht="17.25" customHeight="1" x14ac:dyDescent="0.2">
      <c r="C767" s="20"/>
      <c r="D767" s="2"/>
      <c r="E767" s="2"/>
      <c r="F767" s="2"/>
      <c r="G767" s="2"/>
      <c r="H767" s="2"/>
    </row>
    <row r="768" spans="3:8" ht="17.25" customHeight="1" x14ac:dyDescent="0.2">
      <c r="C768" s="20"/>
      <c r="D768" s="2"/>
      <c r="E768" s="2"/>
      <c r="F768" s="2"/>
      <c r="G768" s="2"/>
      <c r="H768" s="2"/>
    </row>
    <row r="769" spans="3:8" ht="17.25" customHeight="1" x14ac:dyDescent="0.2">
      <c r="C769" s="20"/>
      <c r="D769" s="2"/>
      <c r="E769" s="2"/>
      <c r="F769" s="2"/>
      <c r="G769" s="2"/>
      <c r="H769" s="2"/>
    </row>
    <row r="770" spans="3:8" ht="17.25" customHeight="1" x14ac:dyDescent="0.2">
      <c r="C770" s="20"/>
      <c r="D770" s="2"/>
      <c r="E770" s="2"/>
      <c r="F770" s="2"/>
      <c r="G770" s="2"/>
      <c r="H770" s="2"/>
    </row>
    <row r="771" spans="3:8" ht="17.25" customHeight="1" x14ac:dyDescent="0.2">
      <c r="C771" s="20"/>
      <c r="D771" s="2"/>
      <c r="E771" s="2"/>
      <c r="F771" s="2"/>
      <c r="G771" s="2"/>
      <c r="H771" s="2"/>
    </row>
    <row r="772" spans="3:8" ht="17.25" customHeight="1" x14ac:dyDescent="0.2">
      <c r="C772" s="20"/>
      <c r="D772" s="2"/>
      <c r="E772" s="2"/>
      <c r="F772" s="2"/>
      <c r="G772" s="2"/>
      <c r="H772" s="2"/>
    </row>
    <row r="773" spans="3:8" ht="17.25" customHeight="1" x14ac:dyDescent="0.2">
      <c r="C773" s="20"/>
      <c r="D773" s="2"/>
      <c r="E773" s="2"/>
      <c r="F773" s="2"/>
      <c r="G773" s="2"/>
      <c r="H773" s="2"/>
    </row>
    <row r="774" spans="3:8" ht="17.25" customHeight="1" x14ac:dyDescent="0.2">
      <c r="C774" s="20"/>
      <c r="D774" s="2"/>
      <c r="E774" s="2"/>
      <c r="F774" s="2"/>
      <c r="G774" s="2"/>
      <c r="H774" s="2"/>
    </row>
    <row r="775" spans="3:8" ht="17.25" customHeight="1" x14ac:dyDescent="0.2">
      <c r="C775" s="20"/>
      <c r="D775" s="2"/>
      <c r="E775" s="2"/>
      <c r="F775" s="2"/>
      <c r="G775" s="2"/>
      <c r="H775" s="2"/>
    </row>
    <row r="776" spans="3:8" ht="17.25" customHeight="1" x14ac:dyDescent="0.2">
      <c r="C776" s="20"/>
      <c r="D776" s="2"/>
      <c r="E776" s="2"/>
      <c r="F776" s="2"/>
      <c r="G776" s="2"/>
      <c r="H776" s="2"/>
    </row>
    <row r="777" spans="3:8" ht="17.25" customHeight="1" x14ac:dyDescent="0.2">
      <c r="C777" s="20"/>
      <c r="D777" s="2"/>
      <c r="E777" s="2"/>
      <c r="F777" s="2"/>
      <c r="G777" s="2"/>
      <c r="H777" s="2"/>
    </row>
    <row r="778" spans="3:8" ht="17.25" customHeight="1" x14ac:dyDescent="0.2">
      <c r="C778" s="20"/>
      <c r="D778" s="2"/>
      <c r="E778" s="2"/>
      <c r="F778" s="2"/>
      <c r="G778" s="2"/>
      <c r="H778" s="2"/>
    </row>
    <row r="779" spans="3:8" ht="17.25" customHeight="1" x14ac:dyDescent="0.2">
      <c r="C779" s="20"/>
      <c r="D779" s="2"/>
      <c r="E779" s="2"/>
      <c r="F779" s="2"/>
      <c r="G779" s="2"/>
      <c r="H779" s="2"/>
    </row>
    <row r="780" spans="3:8" ht="17.25" customHeight="1" x14ac:dyDescent="0.2">
      <c r="C780" s="20"/>
      <c r="D780" s="2"/>
      <c r="E780" s="2"/>
      <c r="F780" s="2"/>
      <c r="G780" s="2"/>
      <c r="H780" s="2"/>
    </row>
    <row r="781" spans="3:8" ht="17.25" customHeight="1" x14ac:dyDescent="0.2">
      <c r="C781" s="20"/>
      <c r="D781" s="2"/>
      <c r="E781" s="2"/>
      <c r="F781" s="2"/>
      <c r="G781" s="2"/>
      <c r="H781" s="2"/>
    </row>
    <row r="782" spans="3:8" ht="17.25" customHeight="1" x14ac:dyDescent="0.2">
      <c r="C782" s="20"/>
      <c r="D782" s="2"/>
      <c r="E782" s="2"/>
      <c r="F782" s="2"/>
      <c r="G782" s="2"/>
      <c r="H782" s="2"/>
    </row>
    <row r="783" spans="3:8" ht="17.25" customHeight="1" x14ac:dyDescent="0.2">
      <c r="C783" s="20"/>
      <c r="D783" s="2"/>
      <c r="E783" s="2"/>
      <c r="F783" s="2"/>
      <c r="G783" s="2"/>
      <c r="H783" s="2"/>
    </row>
    <row r="784" spans="3:8" ht="17.25" customHeight="1" x14ac:dyDescent="0.2">
      <c r="C784" s="20"/>
      <c r="D784" s="2"/>
      <c r="E784" s="2"/>
      <c r="F784" s="2"/>
      <c r="G784" s="2"/>
      <c r="H784" s="2"/>
    </row>
    <row r="785" spans="3:8" ht="17.25" customHeight="1" x14ac:dyDescent="0.2">
      <c r="C785" s="20"/>
      <c r="D785" s="2"/>
      <c r="E785" s="2"/>
      <c r="F785" s="2"/>
      <c r="G785" s="2"/>
      <c r="H785" s="2"/>
    </row>
    <row r="786" spans="3:8" ht="17.25" customHeight="1" x14ac:dyDescent="0.2">
      <c r="C786" s="20"/>
      <c r="D786" s="2"/>
      <c r="E786" s="2"/>
      <c r="F786" s="2"/>
      <c r="G786" s="2"/>
      <c r="H786" s="2"/>
    </row>
    <row r="787" spans="3:8" ht="17.25" customHeight="1" x14ac:dyDescent="0.2">
      <c r="C787" s="20"/>
      <c r="D787" s="2"/>
      <c r="E787" s="2"/>
      <c r="F787" s="2"/>
      <c r="G787" s="2"/>
      <c r="H787" s="2"/>
    </row>
    <row r="788" spans="3:8" ht="17.25" customHeight="1" x14ac:dyDescent="0.2">
      <c r="C788" s="20"/>
      <c r="D788" s="2"/>
      <c r="E788" s="2"/>
      <c r="F788" s="2"/>
      <c r="G788" s="2"/>
      <c r="H788" s="2"/>
    </row>
    <row r="789" spans="3:8" ht="17.25" customHeight="1" x14ac:dyDescent="0.2">
      <c r="C789" s="20"/>
      <c r="D789" s="2"/>
      <c r="E789" s="2"/>
      <c r="F789" s="2"/>
      <c r="G789" s="2"/>
      <c r="H789" s="2"/>
    </row>
    <row r="790" spans="3:8" ht="17.25" customHeight="1" x14ac:dyDescent="0.2">
      <c r="C790" s="20"/>
      <c r="D790" s="2"/>
      <c r="E790" s="2"/>
      <c r="F790" s="2"/>
      <c r="G790" s="2"/>
      <c r="H790" s="2"/>
    </row>
    <row r="791" spans="3:8" ht="17.25" customHeight="1" x14ac:dyDescent="0.2">
      <c r="C791" s="20"/>
      <c r="D791" s="2"/>
      <c r="E791" s="2"/>
      <c r="F791" s="2"/>
      <c r="G791" s="2"/>
      <c r="H791" s="2"/>
    </row>
    <row r="792" spans="3:8" ht="17.25" customHeight="1" x14ac:dyDescent="0.2">
      <c r="C792" s="20"/>
      <c r="D792" s="2"/>
      <c r="E792" s="2"/>
      <c r="F792" s="2"/>
      <c r="G792" s="2"/>
      <c r="H792" s="2"/>
    </row>
    <row r="793" spans="3:8" ht="17.25" customHeight="1" x14ac:dyDescent="0.2">
      <c r="C793" s="20"/>
      <c r="D793" s="2"/>
      <c r="E793" s="2"/>
      <c r="F793" s="2"/>
      <c r="G793" s="2"/>
      <c r="H793" s="2"/>
    </row>
    <row r="794" spans="3:8" ht="17.25" customHeight="1" x14ac:dyDescent="0.2">
      <c r="C794" s="20"/>
      <c r="D794" s="2"/>
      <c r="E794" s="2"/>
      <c r="F794" s="2"/>
      <c r="G794" s="2"/>
      <c r="H794" s="2"/>
    </row>
    <row r="795" spans="3:8" ht="17.25" customHeight="1" x14ac:dyDescent="0.2">
      <c r="C795" s="20"/>
      <c r="D795" s="2"/>
      <c r="E795" s="2"/>
      <c r="F795" s="2"/>
      <c r="G795" s="2"/>
      <c r="H795" s="2"/>
    </row>
    <row r="796" spans="3:8" ht="17.25" customHeight="1" x14ac:dyDescent="0.2">
      <c r="C796" s="20"/>
      <c r="D796" s="2"/>
      <c r="E796" s="2"/>
      <c r="F796" s="2"/>
      <c r="G796" s="2"/>
      <c r="H796" s="2"/>
    </row>
    <row r="797" spans="3:8" ht="17.25" customHeight="1" x14ac:dyDescent="0.2">
      <c r="C797" s="20"/>
      <c r="D797" s="2"/>
      <c r="E797" s="2"/>
      <c r="F797" s="2"/>
      <c r="G797" s="2"/>
      <c r="H797" s="2"/>
    </row>
    <row r="798" spans="3:8" ht="17.25" customHeight="1" x14ac:dyDescent="0.2">
      <c r="C798" s="20"/>
      <c r="D798" s="2"/>
      <c r="E798" s="2"/>
      <c r="F798" s="2"/>
      <c r="G798" s="2"/>
      <c r="H798" s="2"/>
    </row>
    <row r="799" spans="3:8" ht="17.25" customHeight="1" x14ac:dyDescent="0.2">
      <c r="C799" s="20"/>
      <c r="D799" s="2"/>
      <c r="E799" s="2"/>
      <c r="F799" s="2"/>
      <c r="G799" s="2"/>
      <c r="H799" s="2"/>
    </row>
    <row r="800" spans="3:8" ht="17.25" customHeight="1" x14ac:dyDescent="0.2">
      <c r="C800" s="20"/>
      <c r="D800" s="2"/>
      <c r="E800" s="2"/>
      <c r="F800" s="2"/>
      <c r="G800" s="2"/>
      <c r="H800" s="2"/>
    </row>
    <row r="801" spans="3:8" ht="17.25" customHeight="1" x14ac:dyDescent="0.2">
      <c r="C801" s="20"/>
      <c r="D801" s="2"/>
      <c r="E801" s="2"/>
      <c r="F801" s="2"/>
      <c r="G801" s="2"/>
      <c r="H801" s="2"/>
    </row>
    <row r="802" spans="3:8" ht="17.25" customHeight="1" x14ac:dyDescent="0.2">
      <c r="C802" s="20"/>
      <c r="D802" s="2"/>
      <c r="E802" s="2"/>
      <c r="F802" s="2"/>
      <c r="G802" s="2"/>
      <c r="H802" s="2"/>
    </row>
    <row r="803" spans="3:8" ht="17.25" customHeight="1" x14ac:dyDescent="0.2">
      <c r="C803" s="20"/>
      <c r="D803" s="2"/>
      <c r="E803" s="2"/>
      <c r="F803" s="2"/>
      <c r="G803" s="2"/>
      <c r="H803" s="2"/>
    </row>
    <row r="804" spans="3:8" ht="17.25" customHeight="1" x14ac:dyDescent="0.2">
      <c r="C804" s="20"/>
      <c r="D804" s="2"/>
      <c r="E804" s="2"/>
      <c r="F804" s="2"/>
      <c r="G804" s="2"/>
      <c r="H804" s="2"/>
    </row>
    <row r="805" spans="3:8" ht="17.25" customHeight="1" x14ac:dyDescent="0.2">
      <c r="C805" s="20"/>
      <c r="D805" s="2"/>
      <c r="E805" s="2"/>
      <c r="F805" s="2"/>
      <c r="G805" s="2"/>
      <c r="H805" s="2"/>
    </row>
    <row r="806" spans="3:8" ht="17.25" customHeight="1" x14ac:dyDescent="0.2">
      <c r="C806" s="20"/>
      <c r="D806" s="2"/>
      <c r="E806" s="2"/>
      <c r="F806" s="2"/>
      <c r="G806" s="2"/>
      <c r="H806" s="2"/>
    </row>
    <row r="807" spans="3:8" ht="17.25" customHeight="1" x14ac:dyDescent="0.2">
      <c r="C807" s="20"/>
      <c r="D807" s="2"/>
      <c r="E807" s="2"/>
      <c r="F807" s="2"/>
      <c r="G807" s="2"/>
      <c r="H807" s="2"/>
    </row>
    <row r="808" spans="3:8" ht="17.25" customHeight="1" x14ac:dyDescent="0.2">
      <c r="C808" s="20"/>
      <c r="D808" s="2"/>
      <c r="E808" s="2"/>
      <c r="F808" s="2"/>
      <c r="G808" s="2"/>
      <c r="H808" s="2"/>
    </row>
    <row r="809" spans="3:8" ht="17.25" customHeight="1" x14ac:dyDescent="0.2">
      <c r="C809" s="20"/>
      <c r="D809" s="2"/>
      <c r="E809" s="2"/>
      <c r="F809" s="2"/>
      <c r="G809" s="2"/>
      <c r="H809" s="2"/>
    </row>
    <row r="810" spans="3:8" ht="17.25" customHeight="1" x14ac:dyDescent="0.2">
      <c r="C810" s="20"/>
      <c r="D810" s="2"/>
      <c r="E810" s="2"/>
      <c r="F810" s="2"/>
      <c r="G810" s="2"/>
      <c r="H810" s="2"/>
    </row>
    <row r="811" spans="3:8" ht="17.25" customHeight="1" x14ac:dyDescent="0.2">
      <c r="C811" s="20"/>
      <c r="D811" s="2"/>
      <c r="E811" s="2"/>
      <c r="F811" s="2"/>
      <c r="G811" s="2"/>
      <c r="H811" s="2"/>
    </row>
    <row r="812" spans="3:8" ht="17.25" customHeight="1" x14ac:dyDescent="0.2">
      <c r="C812" s="20"/>
      <c r="D812" s="2"/>
      <c r="E812" s="2"/>
      <c r="F812" s="2"/>
      <c r="G812" s="2"/>
      <c r="H812" s="2"/>
    </row>
    <row r="813" spans="3:8" ht="17.25" customHeight="1" x14ac:dyDescent="0.2">
      <c r="C813" s="20"/>
      <c r="D813" s="2"/>
      <c r="E813" s="2"/>
      <c r="F813" s="2"/>
      <c r="G813" s="2"/>
      <c r="H813" s="2"/>
    </row>
    <row r="814" spans="3:8" ht="17.25" customHeight="1" x14ac:dyDescent="0.2">
      <c r="C814" s="20"/>
      <c r="D814" s="2"/>
      <c r="E814" s="2"/>
      <c r="F814" s="2"/>
      <c r="G814" s="2"/>
      <c r="H814" s="2"/>
    </row>
    <row r="815" spans="3:8" ht="17.25" customHeight="1" x14ac:dyDescent="0.2">
      <c r="C815" s="20"/>
      <c r="D815" s="2"/>
      <c r="E815" s="2"/>
      <c r="F815" s="2"/>
      <c r="G815" s="2"/>
      <c r="H815" s="2"/>
    </row>
    <row r="816" spans="3:8" ht="17.25" customHeight="1" x14ac:dyDescent="0.2">
      <c r="C816" s="20"/>
      <c r="D816" s="2"/>
      <c r="E816" s="2"/>
      <c r="F816" s="2"/>
      <c r="G816" s="2"/>
      <c r="H816" s="2"/>
    </row>
    <row r="817" spans="3:8" ht="17.25" customHeight="1" x14ac:dyDescent="0.2">
      <c r="C817" s="20"/>
      <c r="D817" s="2"/>
      <c r="E817" s="2"/>
      <c r="F817" s="2"/>
      <c r="G817" s="2"/>
      <c r="H817" s="2"/>
    </row>
    <row r="818" spans="3:8" ht="17.25" customHeight="1" x14ac:dyDescent="0.2">
      <c r="C818" s="20"/>
      <c r="D818" s="2"/>
      <c r="E818" s="2"/>
      <c r="F818" s="2"/>
      <c r="G818" s="2"/>
      <c r="H818" s="2"/>
    </row>
    <row r="819" spans="3:8" ht="17.25" customHeight="1" x14ac:dyDescent="0.2">
      <c r="C819" s="20"/>
      <c r="D819" s="2"/>
      <c r="E819" s="2"/>
      <c r="F819" s="2"/>
      <c r="G819" s="2"/>
      <c r="H819" s="2"/>
    </row>
    <row r="820" spans="3:8" ht="17.25" customHeight="1" x14ac:dyDescent="0.2">
      <c r="C820" s="20"/>
      <c r="D820" s="2"/>
      <c r="E820" s="2"/>
      <c r="F820" s="2"/>
      <c r="G820" s="2"/>
      <c r="H820" s="2"/>
    </row>
    <row r="821" spans="3:8" ht="17.25" customHeight="1" x14ac:dyDescent="0.2">
      <c r="C821" s="20"/>
      <c r="D821" s="2"/>
      <c r="E821" s="2"/>
      <c r="F821" s="2"/>
      <c r="G821" s="2"/>
      <c r="H821" s="2"/>
    </row>
    <row r="822" spans="3:8" ht="17.25" customHeight="1" x14ac:dyDescent="0.2">
      <c r="C822" s="20"/>
      <c r="D822" s="2"/>
      <c r="E822" s="2"/>
      <c r="F822" s="2"/>
      <c r="G822" s="2"/>
      <c r="H822" s="2"/>
    </row>
    <row r="823" spans="3:8" ht="17.25" customHeight="1" x14ac:dyDescent="0.2">
      <c r="C823" s="20"/>
      <c r="D823" s="2"/>
      <c r="E823" s="2"/>
      <c r="F823" s="2"/>
      <c r="G823" s="2"/>
      <c r="H823" s="2"/>
    </row>
    <row r="824" spans="3:8" ht="17.25" customHeight="1" x14ac:dyDescent="0.2">
      <c r="C824" s="20"/>
      <c r="D824" s="2"/>
      <c r="E824" s="2"/>
      <c r="F824" s="2"/>
      <c r="G824" s="2"/>
      <c r="H824" s="2"/>
    </row>
    <row r="825" spans="3:8" ht="17.25" customHeight="1" x14ac:dyDescent="0.2">
      <c r="C825" s="20"/>
      <c r="D825" s="2"/>
      <c r="E825" s="2"/>
      <c r="F825" s="2"/>
      <c r="G825" s="2"/>
      <c r="H825" s="2"/>
    </row>
    <row r="826" spans="3:8" ht="17.25" customHeight="1" x14ac:dyDescent="0.2">
      <c r="C826" s="20"/>
      <c r="D826" s="2"/>
      <c r="E826" s="2"/>
      <c r="F826" s="2"/>
      <c r="G826" s="2"/>
      <c r="H826" s="2"/>
    </row>
    <row r="827" spans="3:8" ht="17.25" customHeight="1" x14ac:dyDescent="0.2">
      <c r="C827" s="20"/>
      <c r="D827" s="2"/>
      <c r="E827" s="2"/>
      <c r="F827" s="2"/>
      <c r="G827" s="2"/>
      <c r="H827" s="2"/>
    </row>
    <row r="828" spans="3:8" ht="17.25" customHeight="1" x14ac:dyDescent="0.2">
      <c r="C828" s="20"/>
      <c r="D828" s="2"/>
      <c r="E828" s="2"/>
      <c r="F828" s="2"/>
      <c r="G828" s="2"/>
      <c r="H828" s="2"/>
    </row>
    <row r="829" spans="3:8" ht="17.25" customHeight="1" x14ac:dyDescent="0.2">
      <c r="C829" s="20"/>
      <c r="D829" s="2"/>
      <c r="E829" s="2"/>
      <c r="F829" s="2"/>
      <c r="G829" s="2"/>
      <c r="H829" s="2"/>
    </row>
    <row r="830" spans="3:8" ht="17.25" customHeight="1" x14ac:dyDescent="0.2">
      <c r="C830" s="20"/>
      <c r="D830" s="2"/>
      <c r="E830" s="2"/>
      <c r="F830" s="2"/>
      <c r="G830" s="2"/>
      <c r="H830" s="2"/>
    </row>
    <row r="831" spans="3:8" ht="17.25" customHeight="1" x14ac:dyDescent="0.2">
      <c r="C831" s="20"/>
      <c r="D831" s="2"/>
      <c r="E831" s="2"/>
      <c r="F831" s="2"/>
      <c r="G831" s="2"/>
      <c r="H831" s="2"/>
    </row>
    <row r="832" spans="3:8" ht="17.25" customHeight="1" x14ac:dyDescent="0.2">
      <c r="C832" s="20"/>
      <c r="D832" s="2"/>
      <c r="E832" s="2"/>
      <c r="F832" s="2"/>
      <c r="G832" s="2"/>
      <c r="H832" s="2"/>
    </row>
    <row r="833" spans="3:8" ht="17.25" customHeight="1" x14ac:dyDescent="0.2">
      <c r="C833" s="20"/>
      <c r="D833" s="2"/>
      <c r="E833" s="2"/>
      <c r="F833" s="2"/>
      <c r="G833" s="2"/>
      <c r="H833" s="2"/>
    </row>
    <row r="834" spans="3:8" ht="17.25" customHeight="1" x14ac:dyDescent="0.2">
      <c r="C834" s="20"/>
      <c r="D834" s="2"/>
      <c r="E834" s="2"/>
      <c r="F834" s="2"/>
      <c r="G834" s="2"/>
      <c r="H834" s="2"/>
    </row>
    <row r="835" spans="3:8" ht="17.25" customHeight="1" x14ac:dyDescent="0.2">
      <c r="C835" s="20"/>
      <c r="D835" s="2"/>
      <c r="E835" s="2"/>
      <c r="F835" s="2"/>
      <c r="G835" s="2"/>
      <c r="H835" s="2"/>
    </row>
    <row r="836" spans="3:8" ht="17.25" customHeight="1" x14ac:dyDescent="0.2">
      <c r="C836" s="20"/>
      <c r="D836" s="2"/>
      <c r="E836" s="2"/>
      <c r="F836" s="2"/>
      <c r="G836" s="2"/>
      <c r="H836" s="2"/>
    </row>
    <row r="837" spans="3:8" ht="17.25" customHeight="1" x14ac:dyDescent="0.2">
      <c r="C837" s="20"/>
      <c r="D837" s="2"/>
      <c r="E837" s="2"/>
      <c r="F837" s="2"/>
      <c r="G837" s="2"/>
      <c r="H837" s="2"/>
    </row>
    <row r="838" spans="3:8" ht="17.25" customHeight="1" x14ac:dyDescent="0.2">
      <c r="C838" s="20"/>
      <c r="D838" s="2"/>
      <c r="E838" s="2"/>
      <c r="F838" s="2"/>
      <c r="G838" s="2"/>
      <c r="H838" s="2"/>
    </row>
    <row r="839" spans="3:8" ht="17.25" customHeight="1" x14ac:dyDescent="0.2">
      <c r="C839" s="20"/>
      <c r="D839" s="2"/>
      <c r="E839" s="2"/>
      <c r="F839" s="2"/>
      <c r="G839" s="2"/>
      <c r="H839" s="2"/>
    </row>
    <row r="840" spans="3:8" ht="17.25" customHeight="1" x14ac:dyDescent="0.2">
      <c r="C840" s="20"/>
      <c r="D840" s="2"/>
      <c r="E840" s="2"/>
      <c r="F840" s="2"/>
      <c r="G840" s="2"/>
      <c r="H840" s="2"/>
    </row>
    <row r="841" spans="3:8" ht="17.25" customHeight="1" x14ac:dyDescent="0.2">
      <c r="C841" s="20"/>
      <c r="D841" s="2"/>
      <c r="E841" s="2"/>
      <c r="F841" s="2"/>
      <c r="G841" s="2"/>
      <c r="H841" s="2"/>
    </row>
    <row r="842" spans="3:8" ht="17.25" customHeight="1" x14ac:dyDescent="0.2">
      <c r="C842" s="20"/>
      <c r="D842" s="2"/>
      <c r="E842" s="2"/>
      <c r="F842" s="2"/>
      <c r="G842" s="2"/>
      <c r="H842" s="2"/>
    </row>
    <row r="843" spans="3:8" ht="17.25" customHeight="1" x14ac:dyDescent="0.2">
      <c r="C843" s="20"/>
      <c r="D843" s="2"/>
      <c r="E843" s="2"/>
      <c r="F843" s="2"/>
      <c r="G843" s="2"/>
      <c r="H843" s="2"/>
    </row>
    <row r="844" spans="3:8" ht="17.25" customHeight="1" x14ac:dyDescent="0.2">
      <c r="C844" s="20"/>
      <c r="D844" s="2"/>
      <c r="E844" s="2"/>
      <c r="F844" s="2"/>
      <c r="G844" s="2"/>
      <c r="H844" s="2"/>
    </row>
    <row r="845" spans="3:8" ht="17.25" customHeight="1" x14ac:dyDescent="0.2">
      <c r="C845" s="20"/>
      <c r="D845" s="2"/>
      <c r="E845" s="2"/>
      <c r="F845" s="2"/>
      <c r="G845" s="2"/>
      <c r="H845" s="2"/>
    </row>
    <row r="846" spans="3:8" ht="17.25" customHeight="1" x14ac:dyDescent="0.2">
      <c r="C846" s="20"/>
      <c r="D846" s="2"/>
      <c r="E846" s="2"/>
      <c r="F846" s="2"/>
      <c r="G846" s="2"/>
      <c r="H846" s="2"/>
    </row>
    <row r="847" spans="3:8" ht="17.25" customHeight="1" x14ac:dyDescent="0.2">
      <c r="C847" s="20"/>
      <c r="D847" s="2"/>
      <c r="E847" s="2"/>
      <c r="F847" s="2"/>
      <c r="G847" s="2"/>
      <c r="H847" s="2"/>
    </row>
    <row r="848" spans="3:8" ht="17.25" customHeight="1" x14ac:dyDescent="0.2">
      <c r="C848" s="20"/>
      <c r="D848" s="2"/>
      <c r="E848" s="2"/>
      <c r="F848" s="2"/>
      <c r="G848" s="2"/>
      <c r="H848" s="2"/>
    </row>
    <row r="849" spans="3:8" ht="17.25" customHeight="1" x14ac:dyDescent="0.2">
      <c r="C849" s="20"/>
      <c r="D849" s="2"/>
      <c r="E849" s="2"/>
      <c r="F849" s="2"/>
      <c r="G849" s="2"/>
      <c r="H849" s="2"/>
    </row>
    <row r="850" spans="3:8" ht="17.25" customHeight="1" x14ac:dyDescent="0.2">
      <c r="C850" s="20"/>
      <c r="D850" s="2"/>
      <c r="E850" s="2"/>
      <c r="F850" s="2"/>
      <c r="G850" s="2"/>
      <c r="H850" s="2"/>
    </row>
    <row r="851" spans="3:8" ht="17.25" customHeight="1" x14ac:dyDescent="0.2">
      <c r="C851" s="20"/>
      <c r="D851" s="2"/>
      <c r="E851" s="2"/>
      <c r="F851" s="2"/>
      <c r="G851" s="2"/>
      <c r="H851" s="2"/>
    </row>
    <row r="852" spans="3:8" ht="17.25" customHeight="1" x14ac:dyDescent="0.2">
      <c r="C852" s="20"/>
      <c r="D852" s="2"/>
      <c r="E852" s="2"/>
      <c r="F852" s="2"/>
      <c r="G852" s="2"/>
      <c r="H852" s="2"/>
    </row>
    <row r="853" spans="3:8" ht="17.25" customHeight="1" x14ac:dyDescent="0.2">
      <c r="C853" s="20"/>
      <c r="D853" s="2"/>
      <c r="E853" s="2"/>
      <c r="F853" s="2"/>
      <c r="G853" s="2"/>
      <c r="H853" s="2"/>
    </row>
    <row r="854" spans="3:8" ht="17.25" customHeight="1" x14ac:dyDescent="0.2">
      <c r="C854" s="20"/>
      <c r="D854" s="2"/>
      <c r="E854" s="2"/>
      <c r="F854" s="2"/>
      <c r="G854" s="2"/>
      <c r="H854" s="2"/>
    </row>
    <row r="855" spans="3:8" ht="17.25" customHeight="1" x14ac:dyDescent="0.2">
      <c r="C855" s="20"/>
      <c r="D855" s="2"/>
      <c r="E855" s="2"/>
      <c r="F855" s="2"/>
      <c r="G855" s="2"/>
      <c r="H855" s="2"/>
    </row>
    <row r="856" spans="3:8" ht="17.25" customHeight="1" x14ac:dyDescent="0.2">
      <c r="C856" s="20"/>
      <c r="D856" s="2"/>
      <c r="E856" s="2"/>
      <c r="F856" s="2"/>
      <c r="G856" s="2"/>
      <c r="H856" s="2"/>
    </row>
    <row r="857" spans="3:8" ht="17.25" customHeight="1" x14ac:dyDescent="0.2">
      <c r="C857" s="20"/>
      <c r="D857" s="2"/>
      <c r="E857" s="2"/>
      <c r="F857" s="2"/>
      <c r="G857" s="2"/>
      <c r="H857" s="2"/>
    </row>
    <row r="858" spans="3:8" ht="17.25" customHeight="1" x14ac:dyDescent="0.2">
      <c r="C858" s="20"/>
      <c r="D858" s="2"/>
      <c r="E858" s="2"/>
      <c r="F858" s="2"/>
      <c r="G858" s="2"/>
      <c r="H858" s="2"/>
    </row>
    <row r="859" spans="3:8" ht="17.25" customHeight="1" x14ac:dyDescent="0.2">
      <c r="C859" s="20"/>
      <c r="D859" s="2"/>
      <c r="E859" s="2"/>
      <c r="F859" s="2"/>
      <c r="G859" s="2"/>
      <c r="H859" s="2"/>
    </row>
    <row r="860" spans="3:8" ht="17.25" customHeight="1" x14ac:dyDescent="0.2">
      <c r="C860" s="20"/>
      <c r="D860" s="2"/>
      <c r="E860" s="2"/>
      <c r="F860" s="2"/>
      <c r="G860" s="2"/>
      <c r="H860" s="2"/>
    </row>
    <row r="861" spans="3:8" ht="17.25" customHeight="1" x14ac:dyDescent="0.2">
      <c r="C861" s="20"/>
      <c r="D861" s="2"/>
      <c r="E861" s="2"/>
      <c r="F861" s="2"/>
      <c r="G861" s="2"/>
      <c r="H861" s="2"/>
    </row>
    <row r="862" spans="3:8" ht="17.25" customHeight="1" x14ac:dyDescent="0.2">
      <c r="C862" s="20"/>
      <c r="D862" s="2"/>
      <c r="E862" s="2"/>
      <c r="F862" s="2"/>
      <c r="G862" s="2"/>
      <c r="H862" s="2"/>
    </row>
    <row r="863" spans="3:8" ht="17.25" customHeight="1" x14ac:dyDescent="0.2">
      <c r="C863" s="20"/>
      <c r="D863" s="2"/>
      <c r="E863" s="2"/>
      <c r="F863" s="2"/>
      <c r="G863" s="2"/>
      <c r="H863" s="2"/>
    </row>
    <row r="864" spans="3:8" ht="17.25" customHeight="1" x14ac:dyDescent="0.2">
      <c r="C864" s="20"/>
      <c r="D864" s="2"/>
      <c r="E864" s="2"/>
      <c r="F864" s="2"/>
      <c r="G864" s="2"/>
      <c r="H864" s="2"/>
    </row>
    <row r="865" spans="3:8" ht="17.25" customHeight="1" x14ac:dyDescent="0.2">
      <c r="C865" s="20"/>
      <c r="D865" s="2"/>
      <c r="E865" s="2"/>
      <c r="F865" s="2"/>
      <c r="G865" s="2"/>
      <c r="H865" s="2"/>
    </row>
    <row r="866" spans="3:8" ht="17.25" customHeight="1" x14ac:dyDescent="0.2">
      <c r="C866" s="20"/>
      <c r="D866" s="2"/>
      <c r="E866" s="2"/>
      <c r="F866" s="2"/>
      <c r="G866" s="2"/>
      <c r="H866" s="2"/>
    </row>
    <row r="867" spans="3:8" ht="17.25" customHeight="1" x14ac:dyDescent="0.2">
      <c r="C867" s="20"/>
      <c r="D867" s="2"/>
      <c r="E867" s="2"/>
      <c r="F867" s="2"/>
      <c r="G867" s="2"/>
      <c r="H867" s="2"/>
    </row>
    <row r="868" spans="3:8" ht="17.25" customHeight="1" x14ac:dyDescent="0.2">
      <c r="C868" s="20"/>
      <c r="D868" s="2"/>
      <c r="E868" s="2"/>
      <c r="F868" s="2"/>
      <c r="G868" s="2"/>
      <c r="H868" s="2"/>
    </row>
    <row r="869" spans="3:8" ht="17.25" customHeight="1" x14ac:dyDescent="0.2">
      <c r="C869" s="20"/>
      <c r="D869" s="2"/>
      <c r="E869" s="2"/>
      <c r="F869" s="2"/>
      <c r="G869" s="2"/>
      <c r="H869" s="2"/>
    </row>
    <row r="870" spans="3:8" ht="17.25" customHeight="1" x14ac:dyDescent="0.2">
      <c r="C870" s="20"/>
      <c r="D870" s="2"/>
      <c r="E870" s="2"/>
      <c r="F870" s="2"/>
      <c r="G870" s="2"/>
      <c r="H870" s="2"/>
    </row>
    <row r="871" spans="3:8" ht="17.25" customHeight="1" x14ac:dyDescent="0.2">
      <c r="C871" s="20"/>
      <c r="D871" s="2"/>
      <c r="E871" s="2"/>
      <c r="F871" s="2"/>
      <c r="G871" s="2"/>
      <c r="H871" s="2"/>
    </row>
    <row r="872" spans="3:8" ht="17.25" customHeight="1" x14ac:dyDescent="0.2">
      <c r="C872" s="20"/>
      <c r="D872" s="2"/>
      <c r="E872" s="2"/>
      <c r="F872" s="2"/>
      <c r="G872" s="2"/>
      <c r="H872" s="2"/>
    </row>
    <row r="873" spans="3:8" ht="17.25" customHeight="1" x14ac:dyDescent="0.2">
      <c r="C873" s="20"/>
      <c r="D873" s="2"/>
      <c r="E873" s="2"/>
      <c r="F873" s="2"/>
      <c r="G873" s="2"/>
      <c r="H873" s="2"/>
    </row>
    <row r="874" spans="3:8" ht="17.25" customHeight="1" x14ac:dyDescent="0.2">
      <c r="C874" s="20"/>
      <c r="D874" s="2"/>
      <c r="E874" s="2"/>
      <c r="F874" s="2"/>
      <c r="G874" s="2"/>
      <c r="H874" s="2"/>
    </row>
    <row r="875" spans="3:8" ht="17.25" customHeight="1" x14ac:dyDescent="0.2">
      <c r="C875" s="20"/>
      <c r="D875" s="2"/>
      <c r="E875" s="2"/>
      <c r="F875" s="2"/>
      <c r="G875" s="2"/>
      <c r="H875" s="2"/>
    </row>
    <row r="876" spans="3:8" ht="17.25" customHeight="1" x14ac:dyDescent="0.2">
      <c r="C876" s="20"/>
      <c r="D876" s="2"/>
      <c r="E876" s="2"/>
      <c r="F876" s="2"/>
      <c r="G876" s="2"/>
      <c r="H876" s="2"/>
    </row>
    <row r="877" spans="3:8" ht="17.25" customHeight="1" x14ac:dyDescent="0.2">
      <c r="C877" s="20"/>
      <c r="D877" s="2"/>
      <c r="E877" s="2"/>
      <c r="F877" s="2"/>
      <c r="G877" s="2"/>
      <c r="H877" s="2"/>
    </row>
    <row r="878" spans="3:8" ht="17.25" customHeight="1" x14ac:dyDescent="0.2">
      <c r="C878" s="20"/>
      <c r="D878" s="2"/>
      <c r="E878" s="2"/>
      <c r="F878" s="2"/>
      <c r="G878" s="2"/>
      <c r="H878" s="2"/>
    </row>
    <row r="879" spans="3:8" ht="17.25" customHeight="1" x14ac:dyDescent="0.2">
      <c r="C879" s="20"/>
      <c r="D879" s="2"/>
      <c r="E879" s="2"/>
      <c r="F879" s="2"/>
      <c r="G879" s="2"/>
      <c r="H879" s="2"/>
    </row>
    <row r="880" spans="3:8" ht="17.25" customHeight="1" x14ac:dyDescent="0.2">
      <c r="C880" s="20"/>
      <c r="D880" s="2"/>
      <c r="E880" s="2"/>
      <c r="F880" s="2"/>
      <c r="G880" s="2"/>
      <c r="H880" s="2"/>
    </row>
    <row r="881" spans="3:8" ht="17.25" customHeight="1" x14ac:dyDescent="0.2">
      <c r="C881" s="20"/>
      <c r="D881" s="2"/>
      <c r="E881" s="2"/>
      <c r="F881" s="2"/>
      <c r="G881" s="2"/>
      <c r="H881" s="2"/>
    </row>
    <row r="882" spans="3:8" ht="17.25" customHeight="1" x14ac:dyDescent="0.2">
      <c r="C882" s="20"/>
      <c r="D882" s="2"/>
      <c r="E882" s="2"/>
      <c r="F882" s="2"/>
      <c r="G882" s="2"/>
      <c r="H882" s="2"/>
    </row>
    <row r="883" spans="3:8" ht="17.25" customHeight="1" x14ac:dyDescent="0.2">
      <c r="C883" s="20"/>
      <c r="D883" s="2"/>
      <c r="E883" s="2"/>
      <c r="F883" s="2"/>
      <c r="G883" s="2"/>
      <c r="H883" s="2"/>
    </row>
    <row r="884" spans="3:8" ht="17.25" customHeight="1" x14ac:dyDescent="0.2">
      <c r="C884" s="20"/>
      <c r="D884" s="2"/>
      <c r="E884" s="2"/>
      <c r="F884" s="2"/>
      <c r="G884" s="2"/>
      <c r="H884" s="2"/>
    </row>
    <row r="885" spans="3:8" ht="17.25" customHeight="1" x14ac:dyDescent="0.2">
      <c r="C885" s="20"/>
      <c r="D885" s="2"/>
      <c r="E885" s="2"/>
      <c r="F885" s="2"/>
      <c r="G885" s="2"/>
      <c r="H885" s="2"/>
    </row>
    <row r="886" spans="3:8" ht="17.25" customHeight="1" x14ac:dyDescent="0.2">
      <c r="C886" s="20"/>
      <c r="D886" s="2"/>
      <c r="E886" s="2"/>
      <c r="F886" s="2"/>
      <c r="G886" s="2"/>
      <c r="H886" s="2"/>
    </row>
    <row r="887" spans="3:8" ht="17.25" customHeight="1" x14ac:dyDescent="0.2">
      <c r="C887" s="20"/>
      <c r="D887" s="2"/>
      <c r="E887" s="2"/>
      <c r="F887" s="2"/>
      <c r="G887" s="2"/>
      <c r="H887" s="2"/>
    </row>
    <row r="888" spans="3:8" ht="17.25" customHeight="1" x14ac:dyDescent="0.2">
      <c r="C888" s="20"/>
      <c r="D888" s="2"/>
      <c r="E888" s="2"/>
      <c r="F888" s="2"/>
      <c r="G888" s="2"/>
      <c r="H888" s="2"/>
    </row>
    <row r="889" spans="3:8" ht="17.25" customHeight="1" x14ac:dyDescent="0.2">
      <c r="C889" s="20"/>
      <c r="D889" s="2"/>
      <c r="E889" s="2"/>
      <c r="F889" s="2"/>
      <c r="G889" s="2"/>
      <c r="H889" s="2"/>
    </row>
    <row r="890" spans="3:8" ht="17.25" customHeight="1" x14ac:dyDescent="0.2">
      <c r="C890" s="20"/>
      <c r="D890" s="2"/>
      <c r="E890" s="2"/>
      <c r="F890" s="2"/>
      <c r="G890" s="2"/>
      <c r="H890" s="2"/>
    </row>
    <row r="891" spans="3:8" ht="17.25" customHeight="1" x14ac:dyDescent="0.2">
      <c r="C891" s="20"/>
      <c r="D891" s="2"/>
      <c r="E891" s="2"/>
      <c r="F891" s="2"/>
      <c r="G891" s="2"/>
      <c r="H891" s="2"/>
    </row>
    <row r="892" spans="3:8" ht="17.25" customHeight="1" x14ac:dyDescent="0.2">
      <c r="C892" s="20"/>
      <c r="D892" s="2"/>
      <c r="E892" s="2"/>
      <c r="F892" s="2"/>
      <c r="G892" s="2"/>
      <c r="H892" s="2"/>
    </row>
    <row r="893" spans="3:8" ht="17.25" customHeight="1" x14ac:dyDescent="0.2">
      <c r="C893" s="20"/>
      <c r="D893" s="2"/>
      <c r="E893" s="2"/>
      <c r="F893" s="2"/>
      <c r="G893" s="2"/>
      <c r="H893" s="2"/>
    </row>
    <row r="894" spans="3:8" ht="17.25" customHeight="1" x14ac:dyDescent="0.2">
      <c r="C894" s="20"/>
      <c r="D894" s="2"/>
      <c r="E894" s="2"/>
      <c r="F894" s="2"/>
      <c r="G894" s="2"/>
      <c r="H894" s="2"/>
    </row>
    <row r="895" spans="3:8" ht="17.25" customHeight="1" x14ac:dyDescent="0.2">
      <c r="C895" s="20"/>
      <c r="D895" s="2"/>
      <c r="E895" s="2"/>
      <c r="F895" s="2"/>
      <c r="G895" s="2"/>
      <c r="H895" s="2"/>
    </row>
    <row r="896" spans="3:8" ht="17.25" customHeight="1" x14ac:dyDescent="0.2">
      <c r="C896" s="20"/>
      <c r="D896" s="2"/>
      <c r="E896" s="2"/>
      <c r="F896" s="2"/>
      <c r="G896" s="2"/>
      <c r="H896" s="2"/>
    </row>
    <row r="897" spans="3:8" ht="17.25" customHeight="1" x14ac:dyDescent="0.2">
      <c r="C897" s="20"/>
      <c r="D897" s="2"/>
      <c r="E897" s="2"/>
      <c r="F897" s="2"/>
      <c r="G897" s="2"/>
      <c r="H897" s="2"/>
    </row>
    <row r="898" spans="3:8" ht="17.25" customHeight="1" x14ac:dyDescent="0.2">
      <c r="C898" s="20"/>
      <c r="D898" s="2"/>
      <c r="E898" s="2"/>
      <c r="F898" s="2"/>
      <c r="G898" s="2"/>
      <c r="H898" s="2"/>
    </row>
    <row r="899" spans="3:8" ht="17.25" customHeight="1" x14ac:dyDescent="0.2">
      <c r="C899" s="20"/>
      <c r="D899" s="2"/>
      <c r="E899" s="2"/>
      <c r="F899" s="2"/>
      <c r="G899" s="2"/>
      <c r="H899" s="2"/>
    </row>
    <row r="900" spans="3:8" ht="17.25" customHeight="1" x14ac:dyDescent="0.2">
      <c r="C900" s="20"/>
      <c r="D900" s="2"/>
      <c r="E900" s="2"/>
      <c r="F900" s="2"/>
      <c r="G900" s="2"/>
      <c r="H900" s="2"/>
    </row>
    <row r="901" spans="3:8" ht="17.25" customHeight="1" x14ac:dyDescent="0.2">
      <c r="C901" s="20"/>
      <c r="D901" s="2"/>
      <c r="E901" s="2"/>
      <c r="F901" s="2"/>
      <c r="G901" s="2"/>
      <c r="H901" s="2"/>
    </row>
    <row r="902" spans="3:8" ht="17.25" customHeight="1" x14ac:dyDescent="0.2">
      <c r="C902" s="20"/>
      <c r="D902" s="2"/>
      <c r="E902" s="2"/>
      <c r="F902" s="2"/>
      <c r="G902" s="2"/>
      <c r="H902" s="2"/>
    </row>
    <row r="903" spans="3:8" ht="17.25" customHeight="1" x14ac:dyDescent="0.2">
      <c r="C903" s="20"/>
      <c r="D903" s="2"/>
      <c r="E903" s="2"/>
      <c r="F903" s="2"/>
      <c r="G903" s="2"/>
      <c r="H903" s="2"/>
    </row>
    <row r="904" spans="3:8" ht="17.25" customHeight="1" x14ac:dyDescent="0.2">
      <c r="C904" s="20"/>
      <c r="D904" s="2"/>
      <c r="E904" s="2"/>
      <c r="F904" s="2"/>
      <c r="G904" s="2"/>
      <c r="H904" s="2"/>
    </row>
    <row r="905" spans="3:8" ht="17.25" customHeight="1" x14ac:dyDescent="0.2">
      <c r="C905" s="20"/>
      <c r="D905" s="2"/>
      <c r="E905" s="2"/>
      <c r="F905" s="2"/>
      <c r="G905" s="2"/>
      <c r="H905" s="2"/>
    </row>
    <row r="906" spans="3:8" ht="17.25" customHeight="1" x14ac:dyDescent="0.2">
      <c r="C906" s="20"/>
      <c r="D906" s="2"/>
      <c r="E906" s="2"/>
      <c r="F906" s="2"/>
      <c r="G906" s="2"/>
      <c r="H906" s="2"/>
    </row>
    <row r="907" spans="3:8" ht="17.25" customHeight="1" x14ac:dyDescent="0.2">
      <c r="C907" s="20"/>
      <c r="D907" s="2"/>
      <c r="E907" s="2"/>
      <c r="F907" s="2"/>
      <c r="G907" s="2"/>
      <c r="H907" s="2"/>
    </row>
    <row r="908" spans="3:8" ht="17.25" customHeight="1" x14ac:dyDescent="0.2">
      <c r="C908" s="20"/>
      <c r="D908" s="2"/>
      <c r="E908" s="2"/>
      <c r="F908" s="2"/>
      <c r="G908" s="2"/>
      <c r="H908" s="2"/>
    </row>
    <row r="909" spans="3:8" ht="17.25" customHeight="1" x14ac:dyDescent="0.2">
      <c r="C909" s="20"/>
      <c r="D909" s="2"/>
      <c r="E909" s="2"/>
      <c r="F909" s="2"/>
      <c r="G909" s="2"/>
      <c r="H909" s="2"/>
    </row>
    <row r="910" spans="3:8" ht="17.25" customHeight="1" x14ac:dyDescent="0.2">
      <c r="C910" s="20"/>
      <c r="D910" s="2"/>
      <c r="E910" s="2"/>
      <c r="F910" s="2"/>
      <c r="G910" s="2"/>
      <c r="H910" s="2"/>
    </row>
    <row r="911" spans="3:8" ht="17.25" customHeight="1" x14ac:dyDescent="0.2">
      <c r="C911" s="20"/>
      <c r="D911" s="2"/>
      <c r="E911" s="2"/>
      <c r="F911" s="2"/>
      <c r="G911" s="2"/>
      <c r="H911" s="2"/>
    </row>
    <row r="912" spans="3:8" ht="17.25" customHeight="1" x14ac:dyDescent="0.2">
      <c r="C912" s="20"/>
      <c r="D912" s="2"/>
      <c r="E912" s="2"/>
      <c r="F912" s="2"/>
      <c r="G912" s="2"/>
      <c r="H912" s="2"/>
    </row>
    <row r="913" spans="3:8" ht="17.25" customHeight="1" x14ac:dyDescent="0.2">
      <c r="C913" s="20"/>
      <c r="D913" s="2"/>
      <c r="E913" s="2"/>
      <c r="F913" s="2"/>
      <c r="G913" s="2"/>
      <c r="H913" s="2"/>
    </row>
    <row r="914" spans="3:8" ht="17.25" customHeight="1" x14ac:dyDescent="0.2">
      <c r="C914" s="20"/>
      <c r="D914" s="2"/>
      <c r="E914" s="2"/>
      <c r="F914" s="2"/>
      <c r="G914" s="2"/>
      <c r="H914" s="2"/>
    </row>
    <row r="915" spans="3:8" ht="17.25" customHeight="1" x14ac:dyDescent="0.2">
      <c r="C915" s="20"/>
      <c r="D915" s="2"/>
      <c r="E915" s="2"/>
      <c r="F915" s="2"/>
      <c r="G915" s="2"/>
      <c r="H915" s="2"/>
    </row>
    <row r="916" spans="3:8" ht="17.25" customHeight="1" x14ac:dyDescent="0.2">
      <c r="C916" s="20"/>
      <c r="D916" s="2"/>
      <c r="E916" s="2"/>
      <c r="F916" s="2"/>
      <c r="G916" s="2"/>
      <c r="H916" s="2"/>
    </row>
    <row r="917" spans="3:8" ht="17.25" customHeight="1" x14ac:dyDescent="0.2">
      <c r="C917" s="20"/>
      <c r="D917" s="2"/>
      <c r="E917" s="2"/>
      <c r="F917" s="2"/>
      <c r="G917" s="2"/>
      <c r="H917" s="2"/>
    </row>
    <row r="918" spans="3:8" ht="17.25" customHeight="1" x14ac:dyDescent="0.2">
      <c r="C918" s="20"/>
      <c r="D918" s="2"/>
      <c r="E918" s="2"/>
      <c r="F918" s="2"/>
      <c r="G918" s="2"/>
      <c r="H918" s="2"/>
    </row>
    <row r="919" spans="3:8" ht="17.25" customHeight="1" x14ac:dyDescent="0.2">
      <c r="C919" s="20"/>
      <c r="D919" s="2"/>
      <c r="E919" s="2"/>
      <c r="F919" s="2"/>
      <c r="G919" s="2"/>
      <c r="H919" s="2"/>
    </row>
    <row r="920" spans="3:8" ht="17.25" customHeight="1" x14ac:dyDescent="0.2">
      <c r="C920" s="20"/>
      <c r="D920" s="2"/>
      <c r="E920" s="2"/>
      <c r="F920" s="2"/>
      <c r="G920" s="2"/>
      <c r="H920" s="2"/>
    </row>
    <row r="921" spans="3:8" ht="17.25" customHeight="1" x14ac:dyDescent="0.2">
      <c r="C921" s="20"/>
      <c r="D921" s="2"/>
      <c r="E921" s="2"/>
      <c r="F921" s="2"/>
      <c r="G921" s="2"/>
      <c r="H921" s="2"/>
    </row>
    <row r="922" spans="3:8" ht="17.25" customHeight="1" x14ac:dyDescent="0.2">
      <c r="C922" s="20"/>
      <c r="D922" s="2"/>
      <c r="E922" s="2"/>
      <c r="F922" s="2"/>
      <c r="G922" s="2"/>
      <c r="H922" s="2"/>
    </row>
    <row r="923" spans="3:8" ht="17.25" customHeight="1" x14ac:dyDescent="0.2">
      <c r="C923" s="20"/>
      <c r="D923" s="2"/>
      <c r="E923" s="2"/>
      <c r="F923" s="2"/>
      <c r="G923" s="2"/>
      <c r="H923" s="2"/>
    </row>
    <row r="924" spans="3:8" ht="17.25" customHeight="1" x14ac:dyDescent="0.2">
      <c r="C924" s="20"/>
      <c r="D924" s="2"/>
      <c r="E924" s="2"/>
      <c r="F924" s="2"/>
      <c r="G924" s="2"/>
      <c r="H924" s="2"/>
    </row>
    <row r="925" spans="3:8" ht="17.25" customHeight="1" x14ac:dyDescent="0.2">
      <c r="C925" s="20"/>
      <c r="D925" s="2"/>
      <c r="E925" s="2"/>
      <c r="F925" s="2"/>
      <c r="G925" s="2"/>
      <c r="H925" s="2"/>
    </row>
    <row r="926" spans="3:8" ht="17.25" customHeight="1" x14ac:dyDescent="0.2">
      <c r="C926" s="20"/>
      <c r="D926" s="2"/>
      <c r="E926" s="2"/>
      <c r="F926" s="2"/>
      <c r="G926" s="2"/>
      <c r="H926" s="2"/>
    </row>
    <row r="927" spans="3:8" ht="17.25" customHeight="1" x14ac:dyDescent="0.2">
      <c r="C927" s="20"/>
      <c r="D927" s="2"/>
      <c r="E927" s="2"/>
      <c r="F927" s="2"/>
      <c r="G927" s="2"/>
      <c r="H927" s="2"/>
    </row>
    <row r="928" spans="3:8" ht="17.25" customHeight="1" x14ac:dyDescent="0.2">
      <c r="C928" s="20"/>
      <c r="D928" s="2"/>
      <c r="E928" s="2"/>
      <c r="F928" s="2"/>
      <c r="G928" s="2"/>
      <c r="H928" s="2"/>
    </row>
    <row r="929" spans="3:8" ht="17.25" customHeight="1" x14ac:dyDescent="0.2">
      <c r="C929" s="20"/>
      <c r="D929" s="2"/>
      <c r="E929" s="2"/>
      <c r="F929" s="2"/>
      <c r="G929" s="2"/>
      <c r="H929" s="2"/>
    </row>
    <row r="930" spans="3:8" ht="17.25" customHeight="1" x14ac:dyDescent="0.2">
      <c r="C930" s="20"/>
      <c r="D930" s="2"/>
      <c r="E930" s="2"/>
      <c r="F930" s="2"/>
      <c r="G930" s="2"/>
      <c r="H930" s="2"/>
    </row>
    <row r="931" spans="3:8" ht="17.25" customHeight="1" x14ac:dyDescent="0.2">
      <c r="C931" s="20"/>
      <c r="D931" s="2"/>
      <c r="E931" s="2"/>
      <c r="F931" s="2"/>
      <c r="G931" s="2"/>
      <c r="H931" s="2"/>
    </row>
    <row r="932" spans="3:8" ht="17.25" customHeight="1" x14ac:dyDescent="0.2">
      <c r="C932" s="20"/>
      <c r="D932" s="2"/>
      <c r="E932" s="2"/>
      <c r="F932" s="2"/>
      <c r="G932" s="2"/>
      <c r="H932" s="2"/>
    </row>
    <row r="933" spans="3:8" ht="17.25" customHeight="1" x14ac:dyDescent="0.2">
      <c r="C933" s="20"/>
      <c r="D933" s="2"/>
      <c r="E933" s="2"/>
      <c r="F933" s="2"/>
      <c r="G933" s="2"/>
      <c r="H933" s="2"/>
    </row>
    <row r="934" spans="3:8" ht="17.25" customHeight="1" x14ac:dyDescent="0.2">
      <c r="C934" s="20"/>
      <c r="D934" s="2"/>
      <c r="E934" s="2"/>
      <c r="F934" s="2"/>
      <c r="G934" s="2"/>
      <c r="H934" s="2"/>
    </row>
    <row r="935" spans="3:8" ht="17.25" customHeight="1" x14ac:dyDescent="0.2">
      <c r="C935" s="20"/>
      <c r="D935" s="2"/>
      <c r="E935" s="2"/>
      <c r="F935" s="2"/>
      <c r="G935" s="2"/>
      <c r="H935" s="2"/>
    </row>
    <row r="936" spans="3:8" ht="17.25" customHeight="1" x14ac:dyDescent="0.2">
      <c r="C936" s="20"/>
      <c r="D936" s="2"/>
      <c r="E936" s="2"/>
      <c r="F936" s="2"/>
      <c r="G936" s="2"/>
      <c r="H936" s="2"/>
    </row>
    <row r="937" spans="3:8" ht="17.25" customHeight="1" x14ac:dyDescent="0.2">
      <c r="C937" s="20"/>
      <c r="D937" s="2"/>
      <c r="E937" s="2"/>
      <c r="F937" s="2"/>
      <c r="G937" s="2"/>
      <c r="H937" s="2"/>
    </row>
    <row r="938" spans="3:8" ht="17.25" customHeight="1" x14ac:dyDescent="0.2">
      <c r="C938" s="20"/>
      <c r="D938" s="2"/>
      <c r="E938" s="2"/>
      <c r="F938" s="2"/>
      <c r="G938" s="2"/>
      <c r="H938" s="2"/>
    </row>
    <row r="939" spans="3:8" ht="17.25" customHeight="1" x14ac:dyDescent="0.2">
      <c r="C939" s="20"/>
      <c r="D939" s="2"/>
      <c r="E939" s="2"/>
      <c r="F939" s="2"/>
      <c r="G939" s="2"/>
      <c r="H939" s="2"/>
    </row>
    <row r="940" spans="3:8" ht="17.25" customHeight="1" x14ac:dyDescent="0.2">
      <c r="C940" s="20"/>
      <c r="D940" s="2"/>
      <c r="E940" s="2"/>
      <c r="F940" s="2"/>
      <c r="G940" s="2"/>
      <c r="H940" s="2"/>
    </row>
    <row r="941" spans="3:8" ht="17.25" customHeight="1" x14ac:dyDescent="0.2">
      <c r="C941" s="20"/>
      <c r="D941" s="2"/>
      <c r="E941" s="2"/>
      <c r="F941" s="2"/>
      <c r="G941" s="2"/>
      <c r="H941" s="2"/>
    </row>
    <row r="942" spans="3:8" ht="17.25" customHeight="1" x14ac:dyDescent="0.2">
      <c r="C942" s="20"/>
      <c r="D942" s="2"/>
      <c r="E942" s="2"/>
      <c r="F942" s="2"/>
      <c r="G942" s="2"/>
      <c r="H942" s="2"/>
    </row>
    <row r="943" spans="3:8" ht="17.25" customHeight="1" x14ac:dyDescent="0.2">
      <c r="C943" s="20"/>
      <c r="D943" s="2"/>
      <c r="E943" s="2"/>
      <c r="F943" s="2"/>
      <c r="G943" s="2"/>
      <c r="H943" s="2"/>
    </row>
    <row r="944" spans="3:8" ht="17.25" customHeight="1" x14ac:dyDescent="0.2">
      <c r="C944" s="20"/>
      <c r="D944" s="2"/>
      <c r="E944" s="2"/>
      <c r="F944" s="2"/>
      <c r="G944" s="2"/>
      <c r="H944" s="2"/>
    </row>
    <row r="945" spans="3:8" ht="17.25" customHeight="1" x14ac:dyDescent="0.2">
      <c r="C945" s="20"/>
      <c r="D945" s="2"/>
      <c r="E945" s="2"/>
      <c r="F945" s="2"/>
      <c r="G945" s="2"/>
      <c r="H945" s="2"/>
    </row>
    <row r="946" spans="3:8" ht="17.25" customHeight="1" x14ac:dyDescent="0.2">
      <c r="C946" s="20"/>
      <c r="D946" s="2"/>
      <c r="E946" s="2"/>
      <c r="F946" s="2"/>
      <c r="G946" s="2"/>
      <c r="H946" s="2"/>
    </row>
    <row r="947" spans="3:8" ht="17.25" customHeight="1" x14ac:dyDescent="0.2">
      <c r="C947" s="20"/>
      <c r="D947" s="2"/>
      <c r="E947" s="2"/>
      <c r="F947" s="2"/>
      <c r="G947" s="2"/>
      <c r="H947" s="2"/>
    </row>
    <row r="948" spans="3:8" ht="17.25" customHeight="1" x14ac:dyDescent="0.2">
      <c r="C948" s="20"/>
      <c r="D948" s="2"/>
      <c r="E948" s="2"/>
      <c r="F948" s="2"/>
      <c r="G948" s="2"/>
      <c r="H948" s="2"/>
    </row>
    <row r="949" spans="3:8" ht="17.25" customHeight="1" x14ac:dyDescent="0.2">
      <c r="C949" s="20"/>
      <c r="D949" s="2"/>
      <c r="E949" s="2"/>
      <c r="F949" s="2"/>
      <c r="G949" s="2"/>
      <c r="H949" s="2"/>
    </row>
    <row r="950" spans="3:8" ht="17.25" customHeight="1" x14ac:dyDescent="0.2">
      <c r="C950" s="20"/>
      <c r="D950" s="2"/>
      <c r="E950" s="2"/>
      <c r="F950" s="2"/>
      <c r="G950" s="2"/>
      <c r="H950" s="2"/>
    </row>
    <row r="951" spans="3:8" ht="17.25" customHeight="1" x14ac:dyDescent="0.2">
      <c r="C951" s="20"/>
      <c r="D951" s="2"/>
      <c r="E951" s="2"/>
      <c r="F951" s="2"/>
      <c r="G951" s="2"/>
      <c r="H951" s="2"/>
    </row>
    <row r="952" spans="3:8" ht="17.25" customHeight="1" x14ac:dyDescent="0.2">
      <c r="C952" s="20"/>
      <c r="D952" s="2"/>
      <c r="E952" s="2"/>
      <c r="F952" s="2"/>
      <c r="G952" s="2"/>
      <c r="H952" s="2"/>
    </row>
    <row r="953" spans="3:8" ht="17.25" customHeight="1" x14ac:dyDescent="0.2">
      <c r="C953" s="20"/>
      <c r="D953" s="2"/>
      <c r="E953" s="2"/>
      <c r="F953" s="2"/>
      <c r="G953" s="2"/>
      <c r="H953" s="2"/>
    </row>
    <row r="954" spans="3:8" ht="17.25" customHeight="1" x14ac:dyDescent="0.2">
      <c r="C954" s="20"/>
      <c r="D954" s="2"/>
      <c r="E954" s="2"/>
      <c r="F954" s="2"/>
      <c r="G954" s="2"/>
      <c r="H954" s="2"/>
    </row>
    <row r="955" spans="3:8" ht="17.25" customHeight="1" x14ac:dyDescent="0.2">
      <c r="C955" s="20"/>
      <c r="D955" s="2"/>
      <c r="E955" s="2"/>
      <c r="F955" s="2"/>
      <c r="G955" s="2"/>
      <c r="H955" s="2"/>
    </row>
    <row r="956" spans="3:8" ht="17.25" customHeight="1" x14ac:dyDescent="0.2">
      <c r="C956" s="20"/>
      <c r="D956" s="2"/>
      <c r="E956" s="2"/>
      <c r="F956" s="2"/>
      <c r="G956" s="2"/>
      <c r="H956" s="2"/>
    </row>
    <row r="957" spans="3:8" ht="17.25" customHeight="1" x14ac:dyDescent="0.2">
      <c r="C957" s="20"/>
      <c r="D957" s="2"/>
      <c r="E957" s="2"/>
      <c r="F957" s="2"/>
      <c r="G957" s="2"/>
      <c r="H957" s="2"/>
    </row>
    <row r="958" spans="3:8" ht="17.25" customHeight="1" x14ac:dyDescent="0.2">
      <c r="C958" s="20"/>
      <c r="D958" s="2"/>
      <c r="E958" s="2"/>
      <c r="F958" s="2"/>
      <c r="G958" s="2"/>
      <c r="H958" s="2"/>
    </row>
    <row r="959" spans="3:8" ht="17.25" customHeight="1" x14ac:dyDescent="0.2">
      <c r="C959" s="20"/>
      <c r="D959" s="2"/>
      <c r="E959" s="2"/>
      <c r="F959" s="2"/>
      <c r="G959" s="2"/>
      <c r="H959" s="2"/>
    </row>
    <row r="960" spans="3:8" ht="17.25" customHeight="1" x14ac:dyDescent="0.2">
      <c r="C960" s="20"/>
      <c r="D960" s="2"/>
      <c r="E960" s="2"/>
      <c r="F960" s="2"/>
      <c r="G960" s="2"/>
      <c r="H960" s="2"/>
    </row>
    <row r="961" spans="3:8" ht="17.25" customHeight="1" x14ac:dyDescent="0.2">
      <c r="C961" s="20"/>
      <c r="D961" s="2"/>
      <c r="E961" s="2"/>
      <c r="F961" s="2"/>
      <c r="G961" s="2"/>
      <c r="H961" s="2"/>
    </row>
    <row r="962" spans="3:8" ht="17.25" customHeight="1" x14ac:dyDescent="0.2">
      <c r="C962" s="20"/>
      <c r="D962" s="2"/>
      <c r="E962" s="2"/>
      <c r="F962" s="2"/>
      <c r="G962" s="2"/>
      <c r="H962" s="2"/>
    </row>
    <row r="963" spans="3:8" ht="17.25" customHeight="1" x14ac:dyDescent="0.2">
      <c r="C963" s="20"/>
      <c r="D963" s="2"/>
      <c r="E963" s="2"/>
      <c r="F963" s="2"/>
      <c r="G963" s="2"/>
      <c r="H963" s="2"/>
    </row>
    <row r="964" spans="3:8" ht="17.25" customHeight="1" x14ac:dyDescent="0.2">
      <c r="C964" s="20"/>
      <c r="D964" s="2"/>
      <c r="E964" s="2"/>
      <c r="F964" s="2"/>
      <c r="G964" s="2"/>
      <c r="H964" s="2"/>
    </row>
    <row r="965" spans="3:8" ht="17.25" customHeight="1" x14ac:dyDescent="0.2">
      <c r="C965" s="20"/>
      <c r="D965" s="2"/>
      <c r="E965" s="2"/>
      <c r="F965" s="2"/>
      <c r="G965" s="2"/>
      <c r="H965" s="2"/>
    </row>
    <row r="966" spans="3:8" ht="17.25" customHeight="1" x14ac:dyDescent="0.2">
      <c r="C966" s="20"/>
      <c r="D966" s="2"/>
      <c r="E966" s="2"/>
      <c r="F966" s="2"/>
      <c r="G966" s="2"/>
      <c r="H966" s="2"/>
    </row>
    <row r="967" spans="3:8" ht="17.25" customHeight="1" x14ac:dyDescent="0.2">
      <c r="C967" s="20"/>
      <c r="D967" s="2"/>
      <c r="E967" s="2"/>
      <c r="F967" s="2"/>
      <c r="G967" s="2"/>
      <c r="H967" s="2"/>
    </row>
    <row r="968" spans="3:8" ht="17.25" customHeight="1" x14ac:dyDescent="0.2">
      <c r="C968" s="20"/>
      <c r="D968" s="2"/>
      <c r="E968" s="2"/>
      <c r="F968" s="2"/>
      <c r="G968" s="2"/>
      <c r="H968" s="2"/>
    </row>
    <row r="969" spans="3:8" ht="17.25" customHeight="1" x14ac:dyDescent="0.2">
      <c r="C969" s="20"/>
      <c r="D969" s="2"/>
      <c r="E969" s="2"/>
      <c r="F969" s="2"/>
      <c r="G969" s="2"/>
      <c r="H969" s="2"/>
    </row>
    <row r="970" spans="3:8" ht="17.25" customHeight="1" x14ac:dyDescent="0.2">
      <c r="C970" s="20"/>
      <c r="D970" s="2"/>
      <c r="E970" s="2"/>
      <c r="F970" s="2"/>
      <c r="G970" s="2"/>
      <c r="H970" s="2"/>
    </row>
    <row r="971" spans="3:8" ht="17.25" customHeight="1" x14ac:dyDescent="0.2">
      <c r="C971" s="20"/>
      <c r="D971" s="2"/>
      <c r="E971" s="2"/>
      <c r="F971" s="2"/>
      <c r="G971" s="2"/>
      <c r="H971" s="2"/>
    </row>
    <row r="972" spans="3:8" ht="17.25" customHeight="1" x14ac:dyDescent="0.2">
      <c r="C972" s="20"/>
      <c r="D972" s="2"/>
      <c r="E972" s="2"/>
      <c r="F972" s="2"/>
      <c r="G972" s="2"/>
      <c r="H972" s="2"/>
    </row>
    <row r="973" spans="3:8" ht="17.25" customHeight="1" x14ac:dyDescent="0.2">
      <c r="C973" s="20"/>
      <c r="D973" s="2"/>
      <c r="E973" s="2"/>
      <c r="F973" s="2"/>
      <c r="G973" s="2"/>
      <c r="H973" s="2"/>
    </row>
    <row r="974" spans="3:8" ht="17.25" customHeight="1" x14ac:dyDescent="0.2">
      <c r="C974" s="20"/>
      <c r="D974" s="2"/>
      <c r="E974" s="2"/>
      <c r="F974" s="2"/>
      <c r="G974" s="2"/>
      <c r="H974" s="2"/>
    </row>
    <row r="975" spans="3:8" ht="17.25" customHeight="1" x14ac:dyDescent="0.2">
      <c r="C975" s="20"/>
      <c r="D975" s="2"/>
      <c r="E975" s="2"/>
      <c r="F975" s="2"/>
      <c r="G975" s="2"/>
      <c r="H975" s="2"/>
    </row>
    <row r="976" spans="3:8" ht="17.25" customHeight="1" x14ac:dyDescent="0.2">
      <c r="C976" s="20"/>
      <c r="D976" s="2"/>
      <c r="E976" s="2"/>
      <c r="F976" s="2"/>
      <c r="G976" s="2"/>
      <c r="H976" s="2"/>
    </row>
    <row r="977" spans="3:8" ht="17.25" customHeight="1" x14ac:dyDescent="0.2">
      <c r="C977" s="20"/>
      <c r="D977" s="2"/>
      <c r="E977" s="2"/>
      <c r="F977" s="2"/>
      <c r="G977" s="2"/>
      <c r="H977" s="2"/>
    </row>
    <row r="978" spans="3:8" ht="17.25" customHeight="1" x14ac:dyDescent="0.2">
      <c r="C978" s="20"/>
      <c r="D978" s="2"/>
      <c r="E978" s="2"/>
      <c r="F978" s="2"/>
      <c r="G978" s="2"/>
      <c r="H978" s="2"/>
    </row>
    <row r="979" spans="3:8" ht="17.25" customHeight="1" x14ac:dyDescent="0.2">
      <c r="C979" s="20"/>
      <c r="D979" s="2"/>
      <c r="E979" s="2"/>
      <c r="F979" s="2"/>
      <c r="G979" s="2"/>
      <c r="H979" s="2"/>
    </row>
    <row r="980" spans="3:8" ht="17.25" customHeight="1" x14ac:dyDescent="0.2">
      <c r="C980" s="20"/>
      <c r="D980" s="2"/>
      <c r="E980" s="2"/>
      <c r="F980" s="2"/>
      <c r="G980" s="2"/>
      <c r="H980" s="2"/>
    </row>
    <row r="981" spans="3:8" ht="17.25" customHeight="1" x14ac:dyDescent="0.2">
      <c r="C981" s="20"/>
      <c r="D981" s="2"/>
      <c r="E981" s="2"/>
      <c r="F981" s="2"/>
      <c r="G981" s="2"/>
      <c r="H981" s="2"/>
    </row>
    <row r="982" spans="3:8" ht="17.25" customHeight="1" x14ac:dyDescent="0.2">
      <c r="C982" s="20"/>
      <c r="D982" s="2"/>
      <c r="E982" s="2"/>
      <c r="F982" s="2"/>
      <c r="G982" s="2"/>
      <c r="H982" s="2"/>
    </row>
    <row r="983" spans="3:8" ht="17.25" customHeight="1" x14ac:dyDescent="0.2">
      <c r="C983" s="20"/>
      <c r="D983" s="2"/>
      <c r="E983" s="2"/>
      <c r="F983" s="2"/>
      <c r="G983" s="2"/>
      <c r="H983" s="2"/>
    </row>
    <row r="984" spans="3:8" ht="17.25" customHeight="1" x14ac:dyDescent="0.2">
      <c r="C984" s="20"/>
      <c r="D984" s="2"/>
      <c r="E984" s="2"/>
      <c r="F984" s="2"/>
      <c r="G984" s="2"/>
      <c r="H984" s="2"/>
    </row>
    <row r="985" spans="3:8" ht="17.25" customHeight="1" x14ac:dyDescent="0.2">
      <c r="C985" s="20"/>
      <c r="D985" s="2"/>
      <c r="E985" s="2"/>
      <c r="F985" s="2"/>
      <c r="G985" s="2"/>
      <c r="H985" s="2"/>
    </row>
    <row r="986" spans="3:8" ht="17.25" customHeight="1" x14ac:dyDescent="0.2">
      <c r="C986" s="20"/>
      <c r="D986" s="2"/>
      <c r="E986" s="2"/>
      <c r="F986" s="2"/>
      <c r="G986" s="2"/>
      <c r="H986" s="2"/>
    </row>
    <row r="987" spans="3:8" ht="17.25" customHeight="1" x14ac:dyDescent="0.2">
      <c r="C987" s="20"/>
      <c r="D987" s="2"/>
      <c r="E987" s="2"/>
      <c r="F987" s="2"/>
      <c r="G987" s="2"/>
      <c r="H987" s="2"/>
    </row>
    <row r="988" spans="3:8" ht="17.25" customHeight="1" x14ac:dyDescent="0.2">
      <c r="C988" s="20"/>
      <c r="D988" s="2"/>
      <c r="E988" s="2"/>
      <c r="F988" s="2"/>
      <c r="G988" s="2"/>
      <c r="H988" s="2"/>
    </row>
    <row r="989" spans="3:8" ht="17.25" customHeight="1" x14ac:dyDescent="0.2">
      <c r="C989" s="20"/>
      <c r="D989" s="2"/>
      <c r="E989" s="2"/>
      <c r="F989" s="2"/>
      <c r="G989" s="2"/>
      <c r="H989" s="2"/>
    </row>
    <row r="990" spans="3:8" ht="17.25" customHeight="1" x14ac:dyDescent="0.2">
      <c r="C990" s="20"/>
      <c r="D990" s="2"/>
      <c r="E990" s="2"/>
      <c r="F990" s="2"/>
      <c r="G990" s="2"/>
      <c r="H990" s="2"/>
    </row>
    <row r="991" spans="3:8" ht="17.25" customHeight="1" x14ac:dyDescent="0.2">
      <c r="C991" s="20"/>
      <c r="D991" s="2"/>
      <c r="E991" s="2"/>
      <c r="F991" s="2"/>
      <c r="G991" s="2"/>
      <c r="H991" s="2"/>
    </row>
    <row r="992" spans="3:8" ht="17.25" customHeight="1" x14ac:dyDescent="0.2">
      <c r="C992" s="20"/>
      <c r="D992" s="2"/>
      <c r="E992" s="2"/>
      <c r="F992" s="2"/>
      <c r="G992" s="2"/>
      <c r="H992" s="2"/>
    </row>
    <row r="993" spans="3:8" ht="17.25" customHeight="1" x14ac:dyDescent="0.2">
      <c r="C993" s="20"/>
      <c r="D993" s="2"/>
      <c r="E993" s="2"/>
      <c r="F993" s="2"/>
      <c r="G993" s="2"/>
      <c r="H993" s="2"/>
    </row>
    <row r="994" spans="3:8" ht="17.25" customHeight="1" x14ac:dyDescent="0.2">
      <c r="C994" s="20"/>
      <c r="D994" s="2"/>
      <c r="E994" s="2"/>
      <c r="F994" s="2"/>
      <c r="G994" s="2"/>
      <c r="H994" s="2"/>
    </row>
    <row r="995" spans="3:8" ht="17.25" customHeight="1" x14ac:dyDescent="0.2">
      <c r="C995" s="20"/>
      <c r="D995" s="2"/>
      <c r="E995" s="2"/>
      <c r="F995" s="2"/>
      <c r="G995" s="2"/>
      <c r="H995" s="2"/>
    </row>
    <row r="996" spans="3:8" ht="17.25" customHeight="1" x14ac:dyDescent="0.2">
      <c r="C996" s="20"/>
      <c r="D996" s="2"/>
      <c r="E996" s="2"/>
      <c r="F996" s="2"/>
      <c r="G996" s="2"/>
      <c r="H996" s="2"/>
    </row>
    <row r="997" spans="3:8" ht="17.25" customHeight="1" x14ac:dyDescent="0.2">
      <c r="C997" s="20"/>
      <c r="D997" s="2"/>
      <c r="E997" s="2"/>
      <c r="F997" s="2"/>
      <c r="G997" s="2"/>
      <c r="H997" s="2"/>
    </row>
    <row r="998" spans="3:8" ht="17.25" customHeight="1" x14ac:dyDescent="0.2">
      <c r="C998" s="20"/>
      <c r="D998" s="2"/>
      <c r="E998" s="2"/>
      <c r="F998" s="2"/>
      <c r="G998" s="2"/>
      <c r="H998" s="2"/>
    </row>
    <row r="999" spans="3:8" ht="17.25" customHeight="1" x14ac:dyDescent="0.2">
      <c r="C999" s="20"/>
      <c r="D999" s="2"/>
      <c r="E999" s="2"/>
      <c r="F999" s="2"/>
      <c r="G999" s="2"/>
      <c r="H999" s="2"/>
    </row>
    <row r="1000" spans="3:8" ht="17.25" customHeight="1" x14ac:dyDescent="0.2">
      <c r="C1000" s="20"/>
      <c r="D1000" s="2"/>
      <c r="E1000" s="2"/>
      <c r="F1000" s="2"/>
      <c r="G1000" s="2"/>
      <c r="H1000" s="2"/>
    </row>
    <row r="1001" spans="3:8" ht="17.25" customHeight="1" x14ac:dyDescent="0.2">
      <c r="C1001" s="20"/>
      <c r="D1001" s="2"/>
      <c r="E1001" s="2"/>
      <c r="F1001" s="2"/>
      <c r="G1001" s="2"/>
      <c r="H1001" s="2"/>
    </row>
    <row r="1002" spans="3:8" ht="17.25" customHeight="1" x14ac:dyDescent="0.2">
      <c r="C1002" s="20"/>
      <c r="D1002" s="2"/>
      <c r="E1002" s="2"/>
      <c r="F1002" s="2"/>
      <c r="G1002" s="2"/>
      <c r="H1002"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E78"/>
  <sheetViews>
    <sheetView workbookViewId="0"/>
  </sheetViews>
  <sheetFormatPr baseColWidth="10" defaultColWidth="8.83203125" defaultRowHeight="15" x14ac:dyDescent="0.2"/>
  <cols>
    <col min="1" max="1" width="11.83203125" style="13" bestFit="1" customWidth="1"/>
    <col min="2" max="3" width="11.83203125" style="3" bestFit="1" customWidth="1"/>
    <col min="4" max="4" width="11.83203125" style="14" bestFit="1" customWidth="1"/>
    <col min="5" max="5" width="11.83203125" style="3" bestFit="1" customWidth="1"/>
  </cols>
  <sheetData>
    <row r="1" spans="1:5" ht="17.25" customHeight="1" x14ac:dyDescent="0.2">
      <c r="A1" s="7" t="s">
        <v>27</v>
      </c>
      <c r="B1" s="2">
        <v>100</v>
      </c>
    </row>
    <row r="2" spans="1:5" ht="17.25" customHeight="1" x14ac:dyDescent="0.2">
      <c r="A2" s="7" t="s">
        <v>2</v>
      </c>
      <c r="B2" s="9" t="s">
        <v>28</v>
      </c>
      <c r="C2" s="9" t="s">
        <v>7</v>
      </c>
      <c r="D2" s="7" t="s">
        <v>9</v>
      </c>
      <c r="E2" s="9" t="s">
        <v>10</v>
      </c>
    </row>
    <row r="3" spans="1:5" ht="17.25" customHeight="1" x14ac:dyDescent="0.2">
      <c r="B3" s="2">
        <v>0</v>
      </c>
      <c r="C3" s="2">
        <v>0</v>
      </c>
      <c r="D3" s="7"/>
      <c r="E3" s="2">
        <v>100</v>
      </c>
    </row>
    <row r="4" spans="1:5" ht="17.25" customHeight="1" x14ac:dyDescent="0.2">
      <c r="A4" s="10"/>
      <c r="B4" s="2"/>
      <c r="C4" s="2"/>
      <c r="D4" s="7" t="s">
        <v>29</v>
      </c>
      <c r="E4" s="2">
        <v>1</v>
      </c>
    </row>
    <row r="5" spans="1:5" ht="17.25" customHeight="1" x14ac:dyDescent="0.2">
      <c r="A5" s="10"/>
      <c r="B5" s="2"/>
      <c r="C5" s="2"/>
      <c r="D5" s="7" t="s">
        <v>29</v>
      </c>
      <c r="E5" s="2">
        <v>1</v>
      </c>
    </row>
    <row r="6" spans="1:5" ht="17.25" customHeight="1" x14ac:dyDescent="0.2">
      <c r="A6" s="10"/>
      <c r="B6" s="2"/>
      <c r="C6" s="2"/>
      <c r="D6" s="7" t="s">
        <v>29</v>
      </c>
      <c r="E6" s="2">
        <v>1</v>
      </c>
    </row>
    <row r="7" spans="1:5" ht="17.25" customHeight="1" x14ac:dyDescent="0.2">
      <c r="A7" s="10"/>
      <c r="B7" s="2"/>
      <c r="C7" s="2"/>
      <c r="D7" s="7" t="s">
        <v>29</v>
      </c>
      <c r="E7" s="2">
        <v>1</v>
      </c>
    </row>
    <row r="8" spans="1:5" ht="17.25" customHeight="1" x14ac:dyDescent="0.2">
      <c r="A8" s="10"/>
      <c r="B8" s="2"/>
      <c r="C8" s="2"/>
      <c r="D8" s="7" t="s">
        <v>29</v>
      </c>
      <c r="E8" s="2">
        <v>1</v>
      </c>
    </row>
    <row r="9" spans="1:5" ht="17.25" customHeight="1" x14ac:dyDescent="0.2">
      <c r="A9" s="10"/>
      <c r="B9" s="2"/>
      <c r="C9" s="2"/>
      <c r="D9" s="7" t="s">
        <v>29</v>
      </c>
      <c r="E9" s="2">
        <v>1</v>
      </c>
    </row>
    <row r="10" spans="1:5" ht="17.25" customHeight="1" x14ac:dyDescent="0.2">
      <c r="A10" s="10"/>
      <c r="B10" s="2"/>
      <c r="C10" s="2"/>
      <c r="D10" s="7" t="s">
        <v>29</v>
      </c>
      <c r="E10" s="2">
        <v>1</v>
      </c>
    </row>
    <row r="11" spans="1:5" ht="17.25" customHeight="1" x14ac:dyDescent="0.2">
      <c r="A11" s="10"/>
      <c r="B11" s="2"/>
      <c r="C11" s="2"/>
      <c r="D11" s="7" t="s">
        <v>29</v>
      </c>
      <c r="E11" s="2">
        <v>1</v>
      </c>
    </row>
    <row r="12" spans="1:5" ht="17.25" customHeight="1" x14ac:dyDescent="0.2">
      <c r="A12" s="10"/>
      <c r="B12" s="2"/>
      <c r="C12" s="2"/>
      <c r="D12" s="7" t="s">
        <v>29</v>
      </c>
      <c r="E12" s="2">
        <v>1</v>
      </c>
    </row>
    <row r="13" spans="1:5" ht="17.25" customHeight="1" x14ac:dyDescent="0.2">
      <c r="A13" s="10"/>
      <c r="B13" s="2"/>
      <c r="C13" s="2"/>
      <c r="D13" s="7" t="s">
        <v>29</v>
      </c>
      <c r="E13" s="2">
        <v>1</v>
      </c>
    </row>
    <row r="14" spans="1:5" ht="17.25" customHeight="1" x14ac:dyDescent="0.2">
      <c r="A14" s="10"/>
      <c r="B14" s="2"/>
      <c r="C14" s="2"/>
      <c r="D14" s="7" t="s">
        <v>29</v>
      </c>
      <c r="E14" s="2">
        <v>1</v>
      </c>
    </row>
    <row r="15" spans="1:5" ht="17.25" customHeight="1" x14ac:dyDescent="0.2">
      <c r="A15" s="10"/>
      <c r="B15" s="2"/>
      <c r="C15" s="2"/>
      <c r="D15" s="7" t="s">
        <v>29</v>
      </c>
      <c r="E15" s="2">
        <v>1</v>
      </c>
    </row>
    <row r="16" spans="1:5" ht="17.25" customHeight="1" x14ac:dyDescent="0.2">
      <c r="A16" s="10"/>
      <c r="B16" s="2"/>
      <c r="C16" s="2"/>
      <c r="D16" s="7" t="s">
        <v>29</v>
      </c>
      <c r="E16" s="2">
        <v>1</v>
      </c>
    </row>
    <row r="17" spans="1:5" ht="17.25" customHeight="1" x14ac:dyDescent="0.2">
      <c r="A17" s="10"/>
      <c r="B17" s="2"/>
      <c r="C17" s="2"/>
      <c r="D17" s="7" t="s">
        <v>29</v>
      </c>
      <c r="E17" s="2">
        <v>1</v>
      </c>
    </row>
    <row r="18" spans="1:5" ht="17.25" customHeight="1" x14ac:dyDescent="0.2">
      <c r="A18" s="10"/>
      <c r="B18" s="2"/>
      <c r="C18" s="2"/>
      <c r="D18" s="7" t="s">
        <v>29</v>
      </c>
      <c r="E18" s="2">
        <v>1</v>
      </c>
    </row>
    <row r="19" spans="1:5" ht="17.25" customHeight="1" x14ac:dyDescent="0.2">
      <c r="A19" s="10"/>
      <c r="B19" s="2"/>
      <c r="C19" s="2"/>
      <c r="D19" s="7" t="s">
        <v>29</v>
      </c>
      <c r="E19" s="2">
        <v>1</v>
      </c>
    </row>
    <row r="20" spans="1:5" ht="17.25" customHeight="1" x14ac:dyDescent="0.2">
      <c r="A20" s="10"/>
      <c r="B20" s="2"/>
      <c r="C20" s="2"/>
      <c r="D20" s="7" t="s">
        <v>29</v>
      </c>
      <c r="E20" s="2">
        <v>1</v>
      </c>
    </row>
    <row r="21" spans="1:5" ht="17.25" customHeight="1" x14ac:dyDescent="0.2">
      <c r="A21" s="10"/>
      <c r="B21" s="2"/>
      <c r="C21" s="2"/>
      <c r="D21" s="7" t="s">
        <v>29</v>
      </c>
      <c r="E21" s="2">
        <v>1</v>
      </c>
    </row>
    <row r="22" spans="1:5" ht="17.25" customHeight="1" x14ac:dyDescent="0.2">
      <c r="A22" s="10"/>
      <c r="B22" s="2"/>
      <c r="C22" s="2"/>
      <c r="D22" s="7" t="s">
        <v>29</v>
      </c>
      <c r="E22" s="2">
        <v>1</v>
      </c>
    </row>
    <row r="23" spans="1:5" ht="17.25" customHeight="1" x14ac:dyDescent="0.2">
      <c r="A23" s="10"/>
      <c r="B23" s="2"/>
      <c r="C23" s="2"/>
      <c r="D23" s="7" t="s">
        <v>29</v>
      </c>
      <c r="E23" s="2">
        <v>1</v>
      </c>
    </row>
    <row r="24" spans="1:5" ht="17.25" customHeight="1" x14ac:dyDescent="0.2">
      <c r="A24" s="10"/>
      <c r="B24" s="2"/>
      <c r="C24" s="2"/>
      <c r="D24" s="7" t="s">
        <v>29</v>
      </c>
      <c r="E24" s="2">
        <v>1</v>
      </c>
    </row>
    <row r="25" spans="1:5" ht="17.25" customHeight="1" x14ac:dyDescent="0.2">
      <c r="A25" s="10"/>
      <c r="B25" s="2"/>
      <c r="C25" s="2"/>
      <c r="D25" s="7" t="s">
        <v>29</v>
      </c>
      <c r="E25" s="2">
        <v>1</v>
      </c>
    </row>
    <row r="26" spans="1:5" ht="17.25" customHeight="1" x14ac:dyDescent="0.2">
      <c r="A26" s="10"/>
      <c r="B26" s="2"/>
      <c r="C26" s="2"/>
      <c r="D26" s="7" t="s">
        <v>29</v>
      </c>
      <c r="E26" s="2">
        <v>1</v>
      </c>
    </row>
    <row r="27" spans="1:5" ht="17.25" customHeight="1" x14ac:dyDescent="0.2">
      <c r="A27" s="10"/>
      <c r="B27" s="2"/>
      <c r="C27" s="2"/>
      <c r="D27" s="7" t="s">
        <v>29</v>
      </c>
      <c r="E27" s="2">
        <v>1</v>
      </c>
    </row>
    <row r="28" spans="1:5" ht="17.25" customHeight="1" x14ac:dyDescent="0.2">
      <c r="A28" s="10"/>
      <c r="B28" s="2"/>
      <c r="C28" s="2"/>
      <c r="D28" s="7" t="s">
        <v>29</v>
      </c>
      <c r="E28" s="2">
        <v>1</v>
      </c>
    </row>
    <row r="29" spans="1:5" ht="17.25" customHeight="1" x14ac:dyDescent="0.2">
      <c r="A29" s="10"/>
      <c r="B29" s="2"/>
      <c r="C29" s="2"/>
      <c r="D29" s="7" t="s">
        <v>29</v>
      </c>
      <c r="E29" s="2">
        <v>1</v>
      </c>
    </row>
    <row r="30" spans="1:5" ht="17.25" customHeight="1" x14ac:dyDescent="0.2">
      <c r="A30" s="10"/>
      <c r="B30" s="2"/>
      <c r="C30" s="2"/>
      <c r="D30" s="7" t="s">
        <v>29</v>
      </c>
      <c r="E30" s="2">
        <v>1</v>
      </c>
    </row>
    <row r="31" spans="1:5" ht="17.25" customHeight="1" x14ac:dyDescent="0.2">
      <c r="A31" s="10"/>
      <c r="B31" s="2"/>
      <c r="C31" s="2"/>
      <c r="D31" s="7" t="s">
        <v>29</v>
      </c>
      <c r="E31" s="2">
        <v>1</v>
      </c>
    </row>
    <row r="32" spans="1:5" ht="17.25" customHeight="1" x14ac:dyDescent="0.2">
      <c r="A32" s="10"/>
      <c r="B32" s="2"/>
      <c r="C32" s="2"/>
      <c r="D32" s="7" t="s">
        <v>29</v>
      </c>
      <c r="E32" s="2">
        <v>1</v>
      </c>
    </row>
    <row r="33" spans="1:5" ht="17.25" customHeight="1" x14ac:dyDescent="0.2">
      <c r="E33" s="2">
        <v>1</v>
      </c>
    </row>
    <row r="34" spans="1:5" ht="17.25" customHeight="1" x14ac:dyDescent="0.2">
      <c r="A34" s="10"/>
      <c r="B34" s="2"/>
      <c r="C34" s="2"/>
      <c r="D34" s="7" t="s">
        <v>30</v>
      </c>
      <c r="E34" s="2">
        <v>1</v>
      </c>
    </row>
    <row r="35" spans="1:5" ht="17.25" customHeight="1" x14ac:dyDescent="0.2">
      <c r="A35" s="10"/>
      <c r="B35" s="2"/>
      <c r="C35" s="2"/>
      <c r="D35" s="7" t="s">
        <v>30</v>
      </c>
      <c r="E35" s="2">
        <v>1</v>
      </c>
    </row>
    <row r="36" spans="1:5" ht="17.25" customHeight="1" x14ac:dyDescent="0.2">
      <c r="A36" s="10"/>
      <c r="B36" s="2"/>
      <c r="C36" s="2"/>
      <c r="D36" s="7" t="s">
        <v>30</v>
      </c>
      <c r="E36" s="2">
        <v>1</v>
      </c>
    </row>
    <row r="37" spans="1:5" ht="17.25" customHeight="1" x14ac:dyDescent="0.2">
      <c r="A37" s="10"/>
      <c r="B37" s="2"/>
      <c r="C37" s="2"/>
      <c r="D37" s="7" t="s">
        <v>30</v>
      </c>
      <c r="E37" s="2">
        <v>1</v>
      </c>
    </row>
    <row r="38" spans="1:5" ht="17.25" customHeight="1" x14ac:dyDescent="0.2">
      <c r="A38" s="10"/>
      <c r="B38" s="2"/>
      <c r="C38" s="2"/>
      <c r="D38" s="7" t="s">
        <v>30</v>
      </c>
      <c r="E38" s="2">
        <v>1</v>
      </c>
    </row>
    <row r="39" spans="1:5" ht="17.25" customHeight="1" x14ac:dyDescent="0.2">
      <c r="A39" s="10"/>
      <c r="B39" s="2"/>
      <c r="C39" s="2"/>
      <c r="D39" s="7" t="s">
        <v>30</v>
      </c>
      <c r="E39" s="2">
        <v>1</v>
      </c>
    </row>
    <row r="40" spans="1:5" ht="17.25" customHeight="1" x14ac:dyDescent="0.2">
      <c r="A40" s="10"/>
      <c r="B40" s="2"/>
      <c r="C40" s="2"/>
      <c r="D40" s="7" t="s">
        <v>30</v>
      </c>
      <c r="E40" s="2">
        <v>1</v>
      </c>
    </row>
    <row r="41" spans="1:5" ht="17.25" customHeight="1" x14ac:dyDescent="0.2">
      <c r="A41" s="10"/>
      <c r="B41" s="2"/>
      <c r="C41" s="2"/>
      <c r="D41" s="7" t="s">
        <v>30</v>
      </c>
      <c r="E41" s="2">
        <v>1</v>
      </c>
    </row>
    <row r="42" spans="1:5" ht="17.25" customHeight="1" x14ac:dyDescent="0.2">
      <c r="A42" s="10"/>
      <c r="B42" s="2"/>
      <c r="C42" s="2"/>
      <c r="D42" s="7" t="s">
        <v>30</v>
      </c>
      <c r="E42" s="2">
        <v>1</v>
      </c>
    </row>
    <row r="43" spans="1:5" ht="17.25" customHeight="1" x14ac:dyDescent="0.2">
      <c r="A43" s="10"/>
      <c r="B43" s="2"/>
      <c r="C43" s="2"/>
      <c r="D43" s="7" t="s">
        <v>30</v>
      </c>
      <c r="E43" s="2">
        <v>1</v>
      </c>
    </row>
    <row r="44" spans="1:5" ht="17.25" customHeight="1" x14ac:dyDescent="0.2">
      <c r="A44" s="10"/>
      <c r="B44" s="2"/>
      <c r="C44" s="2"/>
      <c r="D44" s="7" t="s">
        <v>30</v>
      </c>
      <c r="E44" s="2">
        <v>1</v>
      </c>
    </row>
    <row r="45" spans="1:5" ht="17.25" customHeight="1" x14ac:dyDescent="0.2">
      <c r="A45" s="10"/>
      <c r="B45" s="2"/>
      <c r="C45" s="2"/>
      <c r="D45" s="7" t="s">
        <v>30</v>
      </c>
      <c r="E45" s="2">
        <v>1</v>
      </c>
    </row>
    <row r="46" spans="1:5" ht="17.25" customHeight="1" x14ac:dyDescent="0.2">
      <c r="A46" s="10"/>
      <c r="B46" s="2"/>
      <c r="C46" s="2"/>
      <c r="D46" s="7" t="s">
        <v>30</v>
      </c>
      <c r="E46" s="2">
        <v>1</v>
      </c>
    </row>
    <row r="47" spans="1:5" ht="17.25" customHeight="1" x14ac:dyDescent="0.2">
      <c r="A47" s="10"/>
      <c r="B47" s="2"/>
      <c r="C47" s="2"/>
      <c r="D47" s="7" t="s">
        <v>30</v>
      </c>
      <c r="E47" s="2">
        <v>1</v>
      </c>
    </row>
    <row r="48" spans="1:5" ht="17.25" customHeight="1" x14ac:dyDescent="0.2">
      <c r="A48" s="10"/>
      <c r="B48" s="2"/>
      <c r="C48" s="2"/>
      <c r="D48" s="7" t="s">
        <v>30</v>
      </c>
      <c r="E48" s="2">
        <v>1</v>
      </c>
    </row>
    <row r="49" spans="1:5" ht="17.25" customHeight="1" x14ac:dyDescent="0.2">
      <c r="A49" s="10"/>
      <c r="B49" s="2"/>
      <c r="C49" s="2"/>
      <c r="D49" s="7" t="s">
        <v>30</v>
      </c>
      <c r="E49" s="2">
        <v>1</v>
      </c>
    </row>
    <row r="50" spans="1:5" ht="17.25" customHeight="1" x14ac:dyDescent="0.2">
      <c r="A50" s="10"/>
      <c r="B50" s="2"/>
      <c r="C50" s="2"/>
      <c r="D50" s="7" t="s">
        <v>30</v>
      </c>
      <c r="E50" s="2">
        <v>1</v>
      </c>
    </row>
    <row r="51" spans="1:5" ht="17.25" customHeight="1" x14ac:dyDescent="0.2">
      <c r="A51" s="10"/>
      <c r="B51" s="2"/>
      <c r="C51" s="2"/>
      <c r="D51" s="7" t="s">
        <v>30</v>
      </c>
      <c r="E51" s="2">
        <v>1</v>
      </c>
    </row>
    <row r="52" spans="1:5" ht="17.25" customHeight="1" x14ac:dyDescent="0.2">
      <c r="A52" s="10"/>
      <c r="B52" s="2"/>
      <c r="C52" s="2"/>
      <c r="D52" s="7" t="s">
        <v>30</v>
      </c>
      <c r="E52" s="2">
        <v>1</v>
      </c>
    </row>
    <row r="53" spans="1:5" ht="17.25" customHeight="1" x14ac:dyDescent="0.2">
      <c r="A53" s="10"/>
      <c r="B53" s="2"/>
      <c r="C53" s="2"/>
      <c r="D53" s="7" t="s">
        <v>30</v>
      </c>
      <c r="E53" s="2">
        <v>1</v>
      </c>
    </row>
    <row r="54" spans="1:5" ht="17.25" customHeight="1" x14ac:dyDescent="0.2">
      <c r="A54" s="10"/>
      <c r="B54" s="2"/>
      <c r="C54" s="2"/>
      <c r="D54" s="7" t="s">
        <v>30</v>
      </c>
      <c r="E54" s="2">
        <v>1</v>
      </c>
    </row>
    <row r="55" spans="1:5" ht="17.25" customHeight="1" x14ac:dyDescent="0.2">
      <c r="A55" s="10"/>
      <c r="B55" s="2"/>
      <c r="C55" s="2"/>
      <c r="D55" s="7" t="s">
        <v>30</v>
      </c>
      <c r="E55" s="2">
        <v>1</v>
      </c>
    </row>
    <row r="56" spans="1:5" ht="17.25" customHeight="1" x14ac:dyDescent="0.2">
      <c r="A56" s="10"/>
      <c r="B56" s="2"/>
      <c r="C56" s="2"/>
      <c r="D56" s="7" t="s">
        <v>30</v>
      </c>
      <c r="E56" s="2">
        <v>1</v>
      </c>
    </row>
    <row r="57" spans="1:5" ht="17.25" customHeight="1" x14ac:dyDescent="0.2">
      <c r="A57" s="10"/>
      <c r="B57" s="2"/>
      <c r="C57" s="2"/>
      <c r="D57" s="7" t="s">
        <v>30</v>
      </c>
      <c r="E57" s="2">
        <v>1</v>
      </c>
    </row>
    <row r="58" spans="1:5" ht="17.25" customHeight="1" x14ac:dyDescent="0.2">
      <c r="A58" s="10"/>
      <c r="B58" s="2"/>
      <c r="C58" s="2"/>
      <c r="D58" s="7" t="s">
        <v>30</v>
      </c>
      <c r="E58" s="2">
        <v>1</v>
      </c>
    </row>
    <row r="59" spans="1:5" ht="17.25" customHeight="1" x14ac:dyDescent="0.2">
      <c r="A59" s="10"/>
      <c r="B59" s="2"/>
      <c r="C59" s="2"/>
      <c r="D59" s="7" t="s">
        <v>30</v>
      </c>
      <c r="E59" s="2">
        <v>1</v>
      </c>
    </row>
    <row r="60" spans="1:5" ht="17.25" customHeight="1" x14ac:dyDescent="0.2">
      <c r="A60" s="10"/>
      <c r="B60" s="2"/>
      <c r="C60" s="2"/>
      <c r="D60" s="7" t="s">
        <v>30</v>
      </c>
      <c r="E60" s="2">
        <v>1</v>
      </c>
    </row>
    <row r="61" spans="1:5" ht="17.25" customHeight="1" x14ac:dyDescent="0.2"/>
    <row r="62" spans="1:5" ht="17.25" customHeight="1" x14ac:dyDescent="0.2">
      <c r="A62" s="10"/>
      <c r="B62" s="2"/>
      <c r="C62" s="2"/>
      <c r="D62" s="7" t="s">
        <v>31</v>
      </c>
      <c r="E62" s="2">
        <v>1</v>
      </c>
    </row>
    <row r="63" spans="1:5" ht="17.25" customHeight="1" x14ac:dyDescent="0.2">
      <c r="A63" s="10"/>
      <c r="B63" s="2"/>
      <c r="C63" s="2"/>
      <c r="D63" s="7" t="s">
        <v>31</v>
      </c>
      <c r="E63" s="2">
        <v>1</v>
      </c>
    </row>
    <row r="64" spans="1:5" ht="17.25" customHeight="1" x14ac:dyDescent="0.2">
      <c r="A64" s="10"/>
      <c r="B64" s="2"/>
      <c r="C64" s="2"/>
      <c r="D64" s="7" t="s">
        <v>31</v>
      </c>
      <c r="E64" s="2">
        <v>1</v>
      </c>
    </row>
    <row r="65" spans="1:5" ht="17.25" customHeight="1" x14ac:dyDescent="0.2">
      <c r="A65" s="10"/>
      <c r="B65" s="2"/>
      <c r="C65" s="2"/>
      <c r="D65" s="7" t="s">
        <v>31</v>
      </c>
      <c r="E65" s="2">
        <v>1</v>
      </c>
    </row>
    <row r="66" spans="1:5" ht="17.25" customHeight="1" x14ac:dyDescent="0.2">
      <c r="A66" s="10"/>
      <c r="B66" s="2"/>
      <c r="C66" s="2"/>
      <c r="D66" s="7" t="s">
        <v>31</v>
      </c>
      <c r="E66" s="2">
        <v>1</v>
      </c>
    </row>
    <row r="67" spans="1:5" ht="17.25" customHeight="1" x14ac:dyDescent="0.2">
      <c r="A67" s="10"/>
      <c r="B67" s="2"/>
      <c r="C67" s="2"/>
      <c r="D67" s="7" t="s">
        <v>31</v>
      </c>
      <c r="E67" s="2">
        <v>1</v>
      </c>
    </row>
    <row r="68" spans="1:5" ht="17.25" customHeight="1" x14ac:dyDescent="0.2">
      <c r="A68" s="10"/>
      <c r="B68" s="2"/>
      <c r="C68" s="2"/>
      <c r="D68" s="7" t="s">
        <v>31</v>
      </c>
      <c r="E68" s="2">
        <v>1</v>
      </c>
    </row>
    <row r="69" spans="1:5" ht="17.25" customHeight="1" x14ac:dyDescent="0.2">
      <c r="A69" s="10"/>
      <c r="B69" s="2"/>
      <c r="C69" s="2"/>
      <c r="D69" s="7" t="s">
        <v>31</v>
      </c>
      <c r="E69" s="2">
        <v>1</v>
      </c>
    </row>
    <row r="70" spans="1:5" ht="17.25" customHeight="1" x14ac:dyDescent="0.2">
      <c r="A70" s="10"/>
      <c r="B70" s="2"/>
      <c r="C70" s="2"/>
      <c r="D70" s="7" t="s">
        <v>31</v>
      </c>
      <c r="E70" s="2">
        <v>1</v>
      </c>
    </row>
    <row r="71" spans="1:5" ht="17.25" customHeight="1" x14ac:dyDescent="0.2">
      <c r="A71" s="10"/>
      <c r="B71" s="2"/>
      <c r="C71" s="2"/>
      <c r="D71" s="7" t="s">
        <v>31</v>
      </c>
      <c r="E71" s="2">
        <v>1</v>
      </c>
    </row>
    <row r="72" spans="1:5" ht="17.25" customHeight="1" x14ac:dyDescent="0.2">
      <c r="A72" s="10"/>
      <c r="B72" s="2"/>
      <c r="C72" s="2"/>
      <c r="D72" s="7" t="s">
        <v>31</v>
      </c>
      <c r="E72" s="2">
        <v>1</v>
      </c>
    </row>
    <row r="73" spans="1:5" ht="17.25" customHeight="1" x14ac:dyDescent="0.2">
      <c r="A73" s="10"/>
      <c r="B73" s="2"/>
      <c r="C73" s="2"/>
      <c r="D73" s="7" t="s">
        <v>31</v>
      </c>
      <c r="E73" s="2">
        <v>1</v>
      </c>
    </row>
    <row r="74" spans="1:5" ht="17.25" customHeight="1" x14ac:dyDescent="0.2">
      <c r="A74" s="10"/>
      <c r="B74" s="2"/>
      <c r="C74" s="2"/>
      <c r="D74" s="7" t="s">
        <v>31</v>
      </c>
      <c r="E74" s="2">
        <v>1</v>
      </c>
    </row>
    <row r="75" spans="1:5" ht="17.25" customHeight="1" x14ac:dyDescent="0.2">
      <c r="A75" s="10"/>
      <c r="B75" s="2"/>
      <c r="C75" s="2"/>
      <c r="D75" s="7" t="s">
        <v>31</v>
      </c>
      <c r="E75" s="2">
        <v>1</v>
      </c>
    </row>
    <row r="76" spans="1:5" ht="17.25" customHeight="1" x14ac:dyDescent="0.2">
      <c r="A76" s="10"/>
      <c r="B76" s="2"/>
      <c r="C76" s="2"/>
      <c r="D76" s="7" t="s">
        <v>31</v>
      </c>
      <c r="E76" s="2">
        <v>1</v>
      </c>
    </row>
    <row r="77" spans="1:5" ht="17.25" customHeight="1" x14ac:dyDescent="0.2">
      <c r="A77" s="10"/>
      <c r="B77" s="2"/>
      <c r="C77" s="2"/>
      <c r="D77" s="7" t="s">
        <v>31</v>
      </c>
      <c r="E77" s="2">
        <v>1</v>
      </c>
    </row>
    <row r="78" spans="1:5" ht="17.25" customHeight="1" x14ac:dyDescent="0.2">
      <c r="A78" s="10"/>
      <c r="B78" s="2"/>
      <c r="C78" s="2"/>
      <c r="D78" s="7" t="s">
        <v>31</v>
      </c>
      <c r="E78" s="2">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E71"/>
  <sheetViews>
    <sheetView workbookViewId="0"/>
  </sheetViews>
  <sheetFormatPr baseColWidth="10" defaultColWidth="8.83203125" defaultRowHeight="15" x14ac:dyDescent="0.2"/>
  <cols>
    <col min="1" max="1" width="11.83203125" style="13" bestFit="1" customWidth="1"/>
    <col min="2" max="3" width="11.83203125" style="3" bestFit="1" customWidth="1"/>
    <col min="4" max="4" width="11.83203125" style="14" bestFit="1" customWidth="1"/>
    <col min="5" max="5" width="11.83203125" style="3" bestFit="1" customWidth="1"/>
  </cols>
  <sheetData>
    <row r="1" spans="1:5" ht="17.25" customHeight="1" x14ac:dyDescent="0.2">
      <c r="A1" s="7" t="s">
        <v>27</v>
      </c>
      <c r="B1" s="2">
        <v>100</v>
      </c>
    </row>
    <row r="2" spans="1:5" ht="17.25" customHeight="1" x14ac:dyDescent="0.2">
      <c r="A2" s="7" t="s">
        <v>2</v>
      </c>
      <c r="B2" s="9" t="s">
        <v>28</v>
      </c>
      <c r="C2" s="9" t="s">
        <v>7</v>
      </c>
      <c r="D2" s="7" t="s">
        <v>9</v>
      </c>
      <c r="E2" s="9" t="s">
        <v>10</v>
      </c>
    </row>
    <row r="3" spans="1:5" ht="17.25" customHeight="1" x14ac:dyDescent="0.2">
      <c r="B3" s="2">
        <v>0</v>
      </c>
      <c r="C3" s="2">
        <v>0</v>
      </c>
      <c r="D3" s="7"/>
      <c r="E3" s="2">
        <v>100</v>
      </c>
    </row>
    <row r="4" spans="1:5" ht="17.25" customHeight="1" x14ac:dyDescent="0.2">
      <c r="A4" s="10"/>
      <c r="B4" s="2"/>
      <c r="C4" s="2"/>
      <c r="D4" s="7" t="s">
        <v>29</v>
      </c>
      <c r="E4" s="2">
        <v>1</v>
      </c>
    </row>
    <row r="5" spans="1:5" ht="17.25" customHeight="1" x14ac:dyDescent="0.2">
      <c r="A5" s="10"/>
      <c r="B5" s="2"/>
      <c r="C5" s="2"/>
      <c r="D5" s="7" t="s">
        <v>29</v>
      </c>
      <c r="E5" s="2">
        <v>1</v>
      </c>
    </row>
    <row r="6" spans="1:5" ht="17.25" customHeight="1" x14ac:dyDescent="0.2">
      <c r="A6" s="10"/>
      <c r="B6" s="2"/>
      <c r="C6" s="2"/>
      <c r="D6" s="7" t="s">
        <v>29</v>
      </c>
      <c r="E6" s="2">
        <v>1</v>
      </c>
    </row>
    <row r="7" spans="1:5" ht="17.25" customHeight="1" x14ac:dyDescent="0.2">
      <c r="A7" s="10"/>
      <c r="B7" s="2"/>
      <c r="C7" s="2"/>
      <c r="D7" s="7" t="s">
        <v>29</v>
      </c>
      <c r="E7" s="2">
        <v>1</v>
      </c>
    </row>
    <row r="8" spans="1:5" ht="17.25" customHeight="1" x14ac:dyDescent="0.2">
      <c r="A8" s="10"/>
      <c r="B8" s="2"/>
      <c r="C8" s="2"/>
      <c r="D8" s="7" t="s">
        <v>29</v>
      </c>
      <c r="E8" s="2">
        <v>1</v>
      </c>
    </row>
    <row r="9" spans="1:5" ht="17.25" customHeight="1" x14ac:dyDescent="0.2">
      <c r="A9" s="10"/>
      <c r="B9" s="2"/>
      <c r="C9" s="2"/>
      <c r="D9" s="7" t="s">
        <v>29</v>
      </c>
      <c r="E9" s="2">
        <v>1</v>
      </c>
    </row>
    <row r="10" spans="1:5" ht="17.25" customHeight="1" x14ac:dyDescent="0.2">
      <c r="A10" s="10"/>
      <c r="B10" s="2"/>
      <c r="C10" s="2"/>
      <c r="D10" s="7" t="s">
        <v>29</v>
      </c>
      <c r="E10" s="2">
        <v>1</v>
      </c>
    </row>
    <row r="11" spans="1:5" ht="17.25" customHeight="1" x14ac:dyDescent="0.2">
      <c r="A11" s="10"/>
      <c r="B11" s="2"/>
      <c r="C11" s="2"/>
      <c r="D11" s="7" t="s">
        <v>29</v>
      </c>
      <c r="E11" s="2">
        <v>1</v>
      </c>
    </row>
    <row r="12" spans="1:5" ht="17.25" customHeight="1" x14ac:dyDescent="0.2">
      <c r="A12" s="10"/>
      <c r="B12" s="2"/>
      <c r="C12" s="2"/>
      <c r="D12" s="7" t="s">
        <v>29</v>
      </c>
      <c r="E12" s="2">
        <v>1</v>
      </c>
    </row>
    <row r="13" spans="1:5" ht="17.25" customHeight="1" x14ac:dyDescent="0.2">
      <c r="A13" s="10"/>
      <c r="B13" s="2"/>
      <c r="C13" s="2"/>
      <c r="D13" s="7" t="s">
        <v>29</v>
      </c>
      <c r="E13" s="2">
        <v>1</v>
      </c>
    </row>
    <row r="14" spans="1:5" ht="17.25" customHeight="1" x14ac:dyDescent="0.2">
      <c r="A14" s="10"/>
      <c r="B14" s="2"/>
      <c r="C14" s="2"/>
      <c r="D14" s="7" t="s">
        <v>29</v>
      </c>
      <c r="E14" s="2">
        <v>1</v>
      </c>
    </row>
    <row r="15" spans="1:5" ht="17.25" customHeight="1" x14ac:dyDescent="0.2">
      <c r="A15" s="10"/>
      <c r="B15" s="2"/>
      <c r="C15" s="2"/>
      <c r="D15" s="7" t="s">
        <v>29</v>
      </c>
      <c r="E15" s="2">
        <v>1</v>
      </c>
    </row>
    <row r="16" spans="1:5" ht="17.25" customHeight="1" x14ac:dyDescent="0.2">
      <c r="A16" s="10"/>
      <c r="B16" s="2"/>
      <c r="C16" s="9"/>
      <c r="D16" s="7" t="s">
        <v>29</v>
      </c>
      <c r="E16" s="2">
        <v>1</v>
      </c>
    </row>
    <row r="17" spans="1:5" ht="17.25" customHeight="1" x14ac:dyDescent="0.2">
      <c r="A17" s="10"/>
      <c r="B17" s="2"/>
      <c r="C17" s="2"/>
      <c r="D17" s="7" t="s">
        <v>29</v>
      </c>
      <c r="E17" s="2">
        <v>1</v>
      </c>
    </row>
    <row r="18" spans="1:5" ht="17.25" customHeight="1" x14ac:dyDescent="0.2">
      <c r="A18" s="10"/>
      <c r="B18" s="2"/>
      <c r="C18" s="2"/>
      <c r="D18" s="7" t="s">
        <v>29</v>
      </c>
      <c r="E18" s="2">
        <v>1</v>
      </c>
    </row>
    <row r="19" spans="1:5" ht="17.25" customHeight="1" x14ac:dyDescent="0.2">
      <c r="A19" s="10"/>
      <c r="B19" s="2"/>
      <c r="C19" s="2"/>
      <c r="D19" s="7" t="s">
        <v>29</v>
      </c>
      <c r="E19" s="2">
        <v>1</v>
      </c>
    </row>
    <row r="20" spans="1:5" ht="17.25" customHeight="1" x14ac:dyDescent="0.2">
      <c r="A20" s="10"/>
      <c r="B20" s="2"/>
      <c r="C20" s="2"/>
      <c r="D20" s="7" t="s">
        <v>29</v>
      </c>
      <c r="E20" s="2">
        <v>1</v>
      </c>
    </row>
    <row r="21" spans="1:5" ht="17.25" customHeight="1" x14ac:dyDescent="0.2">
      <c r="A21" s="10"/>
      <c r="B21" s="2"/>
      <c r="C21" s="2"/>
      <c r="D21" s="7" t="s">
        <v>29</v>
      </c>
      <c r="E21" s="2">
        <v>1</v>
      </c>
    </row>
    <row r="22" spans="1:5" ht="17.25" customHeight="1" x14ac:dyDescent="0.2">
      <c r="A22" s="10"/>
      <c r="B22" s="2"/>
      <c r="C22" s="2"/>
      <c r="D22" s="7" t="s">
        <v>29</v>
      </c>
      <c r="E22" s="2">
        <v>1</v>
      </c>
    </row>
    <row r="23" spans="1:5" ht="17.25" customHeight="1" x14ac:dyDescent="0.2">
      <c r="A23" s="10"/>
      <c r="B23" s="2"/>
      <c r="C23" s="2"/>
      <c r="D23" s="7" t="s">
        <v>29</v>
      </c>
      <c r="E23" s="2">
        <v>1</v>
      </c>
    </row>
    <row r="24" spans="1:5" ht="17.25" customHeight="1" x14ac:dyDescent="0.2">
      <c r="A24" s="10"/>
      <c r="B24" s="2"/>
      <c r="C24" s="2"/>
      <c r="D24" s="7" t="s">
        <v>29</v>
      </c>
      <c r="E24" s="2">
        <v>1</v>
      </c>
    </row>
    <row r="25" spans="1:5" ht="17.25" customHeight="1" x14ac:dyDescent="0.2">
      <c r="A25" s="10"/>
      <c r="B25" s="2"/>
      <c r="C25" s="2"/>
      <c r="D25" s="7" t="s">
        <v>29</v>
      </c>
      <c r="E25" s="2">
        <v>1</v>
      </c>
    </row>
    <row r="26" spans="1:5" ht="17.25" customHeight="1" x14ac:dyDescent="0.2">
      <c r="A26" s="10"/>
      <c r="B26" s="2"/>
      <c r="C26" s="2"/>
      <c r="D26" s="7" t="s">
        <v>29</v>
      </c>
      <c r="E26" s="2">
        <v>1</v>
      </c>
    </row>
    <row r="27" spans="1:5" ht="17.25" customHeight="1" x14ac:dyDescent="0.2">
      <c r="A27" s="10"/>
      <c r="B27" s="2"/>
      <c r="C27" s="2"/>
      <c r="E27" s="2">
        <v>1</v>
      </c>
    </row>
    <row r="28" spans="1:5" ht="17.25" customHeight="1" x14ac:dyDescent="0.2">
      <c r="A28" s="10"/>
      <c r="B28" s="2"/>
      <c r="C28" s="9"/>
      <c r="E28" s="2">
        <v>1</v>
      </c>
    </row>
    <row r="29" spans="1:5" ht="17.25" customHeight="1" x14ac:dyDescent="0.2">
      <c r="A29" s="10"/>
      <c r="B29" s="2"/>
      <c r="C29" s="2"/>
      <c r="E29" s="2">
        <v>1</v>
      </c>
    </row>
    <row r="30" spans="1:5" ht="17.25" customHeight="1" x14ac:dyDescent="0.2">
      <c r="A30" s="10"/>
      <c r="B30" s="2"/>
      <c r="C30" s="2"/>
      <c r="D30" s="7" t="s">
        <v>30</v>
      </c>
      <c r="E30" s="2">
        <v>1</v>
      </c>
    </row>
    <row r="31" spans="1:5" ht="17.25" customHeight="1" x14ac:dyDescent="0.2">
      <c r="A31" s="10"/>
      <c r="B31" s="2"/>
      <c r="C31" s="2"/>
      <c r="D31" s="7" t="s">
        <v>30</v>
      </c>
      <c r="E31" s="2">
        <v>1</v>
      </c>
    </row>
    <row r="32" spans="1:5" ht="17.25" customHeight="1" x14ac:dyDescent="0.2">
      <c r="A32" s="10"/>
      <c r="B32" s="2"/>
      <c r="C32" s="2"/>
      <c r="D32" s="7" t="s">
        <v>30</v>
      </c>
      <c r="E32" s="2">
        <v>1</v>
      </c>
    </row>
    <row r="33" spans="1:5" ht="17.25" customHeight="1" x14ac:dyDescent="0.2">
      <c r="A33" s="10"/>
      <c r="B33" s="2"/>
      <c r="C33" s="2"/>
      <c r="D33" s="7" t="s">
        <v>30</v>
      </c>
      <c r="E33" s="2">
        <v>1</v>
      </c>
    </row>
    <row r="34" spans="1:5" ht="17.25" customHeight="1" x14ac:dyDescent="0.2">
      <c r="A34" s="10"/>
      <c r="B34" s="2"/>
      <c r="C34" s="2"/>
      <c r="D34" s="7" t="s">
        <v>30</v>
      </c>
      <c r="E34" s="2">
        <v>1</v>
      </c>
    </row>
    <row r="35" spans="1:5" ht="17.25" customHeight="1" x14ac:dyDescent="0.2">
      <c r="A35" s="10"/>
      <c r="B35" s="2"/>
      <c r="C35" s="2"/>
      <c r="D35" s="7" t="s">
        <v>30</v>
      </c>
      <c r="E35" s="2">
        <v>1</v>
      </c>
    </row>
    <row r="36" spans="1:5" ht="17.25" customHeight="1" x14ac:dyDescent="0.2">
      <c r="A36" s="10"/>
      <c r="B36" s="2"/>
      <c r="C36" s="2"/>
      <c r="D36" s="7" t="s">
        <v>30</v>
      </c>
      <c r="E36" s="2">
        <v>1</v>
      </c>
    </row>
    <row r="37" spans="1:5" ht="17.25" customHeight="1" x14ac:dyDescent="0.2">
      <c r="A37" s="10"/>
      <c r="B37" s="2"/>
      <c r="C37" s="2"/>
      <c r="D37" s="7" t="s">
        <v>30</v>
      </c>
      <c r="E37" s="2">
        <v>1</v>
      </c>
    </row>
    <row r="38" spans="1:5" ht="17.25" customHeight="1" x14ac:dyDescent="0.2">
      <c r="A38" s="10"/>
      <c r="B38" s="2"/>
      <c r="C38" s="2"/>
      <c r="D38" s="7" t="s">
        <v>30</v>
      </c>
      <c r="E38" s="2">
        <v>1</v>
      </c>
    </row>
    <row r="39" spans="1:5" ht="17.25" customHeight="1" x14ac:dyDescent="0.2">
      <c r="A39" s="10"/>
      <c r="B39" s="2"/>
      <c r="C39" s="2"/>
      <c r="D39" s="7" t="s">
        <v>30</v>
      </c>
      <c r="E39" s="2">
        <v>1</v>
      </c>
    </row>
    <row r="40" spans="1:5" ht="17.25" customHeight="1" x14ac:dyDescent="0.2">
      <c r="A40" s="10"/>
      <c r="B40" s="2"/>
      <c r="C40" s="2"/>
      <c r="D40" s="7" t="s">
        <v>30</v>
      </c>
      <c r="E40" s="2">
        <v>1</v>
      </c>
    </row>
    <row r="41" spans="1:5" ht="17.25" customHeight="1" x14ac:dyDescent="0.2">
      <c r="A41" s="10"/>
      <c r="B41" s="2"/>
      <c r="C41" s="2"/>
      <c r="D41" s="7" t="s">
        <v>30</v>
      </c>
      <c r="E41" s="2">
        <v>1</v>
      </c>
    </row>
    <row r="42" spans="1:5" ht="17.25" customHeight="1" x14ac:dyDescent="0.2">
      <c r="A42" s="10"/>
      <c r="B42" s="2"/>
      <c r="C42" s="2"/>
      <c r="D42" s="7" t="s">
        <v>30</v>
      </c>
      <c r="E42" s="2">
        <v>1</v>
      </c>
    </row>
    <row r="43" spans="1:5" ht="17.25" customHeight="1" x14ac:dyDescent="0.2">
      <c r="A43" s="10"/>
      <c r="B43" s="2"/>
      <c r="C43" s="2"/>
      <c r="D43" s="7" t="s">
        <v>30</v>
      </c>
      <c r="E43" s="2">
        <v>1</v>
      </c>
    </row>
    <row r="44" spans="1:5" ht="17.25" customHeight="1" x14ac:dyDescent="0.2">
      <c r="A44" s="10"/>
      <c r="B44" s="2"/>
      <c r="C44" s="2"/>
      <c r="D44" s="7" t="s">
        <v>30</v>
      </c>
      <c r="E44" s="2">
        <v>1</v>
      </c>
    </row>
    <row r="45" spans="1:5" ht="17.25" customHeight="1" x14ac:dyDescent="0.2">
      <c r="A45" s="10"/>
      <c r="B45" s="2"/>
      <c r="C45" s="2"/>
      <c r="D45" s="7" t="s">
        <v>30</v>
      </c>
      <c r="E45" s="2">
        <v>1</v>
      </c>
    </row>
    <row r="46" spans="1:5" ht="17.25" customHeight="1" x14ac:dyDescent="0.2">
      <c r="A46" s="10"/>
      <c r="B46" s="2"/>
      <c r="C46" s="2"/>
      <c r="D46" s="7" t="s">
        <v>30</v>
      </c>
      <c r="E46" s="2">
        <v>1</v>
      </c>
    </row>
    <row r="47" spans="1:5" ht="17.25" customHeight="1" x14ac:dyDescent="0.2">
      <c r="A47" s="10"/>
      <c r="B47" s="2"/>
      <c r="C47" s="2"/>
      <c r="D47" s="7" t="s">
        <v>30</v>
      </c>
      <c r="E47" s="2">
        <v>1</v>
      </c>
    </row>
    <row r="48" spans="1:5" ht="17.25" customHeight="1" x14ac:dyDescent="0.2">
      <c r="A48" s="10"/>
      <c r="B48" s="2"/>
      <c r="C48" s="2"/>
      <c r="D48" s="7" t="s">
        <v>30</v>
      </c>
      <c r="E48" s="2">
        <v>1</v>
      </c>
    </row>
    <row r="49" spans="1:5" ht="17.25" customHeight="1" x14ac:dyDescent="0.2">
      <c r="A49" s="10"/>
      <c r="B49" s="2"/>
      <c r="C49" s="2"/>
      <c r="D49" s="7" t="s">
        <v>30</v>
      </c>
      <c r="E49" s="2">
        <v>1</v>
      </c>
    </row>
    <row r="50" spans="1:5" ht="17.25" customHeight="1" x14ac:dyDescent="0.2">
      <c r="A50" s="10"/>
      <c r="B50" s="2"/>
      <c r="C50" s="2"/>
      <c r="D50" s="7" t="s">
        <v>30</v>
      </c>
      <c r="E50" s="2">
        <v>1</v>
      </c>
    </row>
    <row r="51" spans="1:5" ht="17.25" customHeight="1" x14ac:dyDescent="0.2">
      <c r="A51" s="10"/>
      <c r="B51" s="2"/>
      <c r="C51" s="2"/>
      <c r="D51" s="7" t="s">
        <v>30</v>
      </c>
      <c r="E51" s="2">
        <v>1</v>
      </c>
    </row>
    <row r="52" spans="1:5" ht="17.25" customHeight="1" x14ac:dyDescent="0.2">
      <c r="A52" s="10"/>
      <c r="B52" s="2"/>
      <c r="C52" s="2"/>
      <c r="D52" s="7" t="s">
        <v>30</v>
      </c>
      <c r="E52" s="2">
        <v>1</v>
      </c>
    </row>
    <row r="53" spans="1:5" ht="17.25" customHeight="1" x14ac:dyDescent="0.2">
      <c r="A53" s="10"/>
      <c r="B53" s="2"/>
      <c r="C53" s="2"/>
      <c r="E53" s="2">
        <v>1</v>
      </c>
    </row>
    <row r="54" spans="1:5" ht="17.25" customHeight="1" x14ac:dyDescent="0.2">
      <c r="A54" s="10"/>
      <c r="B54" s="2"/>
      <c r="C54" s="2"/>
      <c r="D54" s="7" t="s">
        <v>31</v>
      </c>
      <c r="E54" s="2">
        <v>1</v>
      </c>
    </row>
    <row r="55" spans="1:5" ht="17.25" customHeight="1" x14ac:dyDescent="0.2">
      <c r="A55" s="10"/>
      <c r="B55" s="2"/>
      <c r="C55" s="2"/>
      <c r="D55" s="7" t="s">
        <v>31</v>
      </c>
      <c r="E55" s="2">
        <v>1</v>
      </c>
    </row>
    <row r="56" spans="1:5" ht="17.25" customHeight="1" x14ac:dyDescent="0.2">
      <c r="A56" s="10"/>
      <c r="B56" s="2"/>
      <c r="C56" s="2"/>
      <c r="D56" s="7" t="s">
        <v>31</v>
      </c>
      <c r="E56" s="2">
        <v>1</v>
      </c>
    </row>
    <row r="57" spans="1:5" ht="17.25" customHeight="1" x14ac:dyDescent="0.2">
      <c r="A57" s="10"/>
      <c r="B57" s="2"/>
      <c r="C57" s="2"/>
      <c r="D57" s="7" t="s">
        <v>31</v>
      </c>
      <c r="E57" s="2">
        <v>1</v>
      </c>
    </row>
    <row r="58" spans="1:5" ht="17.25" customHeight="1" x14ac:dyDescent="0.2">
      <c r="A58" s="10"/>
      <c r="B58" s="2"/>
      <c r="C58" s="2"/>
      <c r="D58" s="7" t="s">
        <v>31</v>
      </c>
      <c r="E58" s="2">
        <v>1</v>
      </c>
    </row>
    <row r="59" spans="1:5" ht="17.25" customHeight="1" x14ac:dyDescent="0.2">
      <c r="A59" s="10"/>
      <c r="B59" s="2"/>
      <c r="C59" s="2"/>
      <c r="D59" s="7" t="s">
        <v>31</v>
      </c>
      <c r="E59" s="2">
        <v>1</v>
      </c>
    </row>
    <row r="60" spans="1:5" ht="17.25" customHeight="1" x14ac:dyDescent="0.2">
      <c r="A60" s="10"/>
      <c r="B60" s="2"/>
      <c r="C60" s="2"/>
      <c r="D60" s="7" t="s">
        <v>31</v>
      </c>
      <c r="E60" s="2">
        <v>1</v>
      </c>
    </row>
    <row r="61" spans="1:5" ht="17.25" customHeight="1" x14ac:dyDescent="0.2">
      <c r="A61" s="10"/>
      <c r="B61" s="2"/>
      <c r="C61" s="2"/>
      <c r="D61" s="7" t="s">
        <v>31</v>
      </c>
      <c r="E61" s="2">
        <v>1</v>
      </c>
    </row>
    <row r="62" spans="1:5" ht="17.25" customHeight="1" x14ac:dyDescent="0.2">
      <c r="A62" s="10"/>
      <c r="B62" s="2"/>
      <c r="C62" s="2"/>
      <c r="D62" s="7" t="s">
        <v>31</v>
      </c>
      <c r="E62" s="2">
        <v>1</v>
      </c>
    </row>
    <row r="63" spans="1:5" ht="17.25" customHeight="1" x14ac:dyDescent="0.2">
      <c r="A63" s="10"/>
      <c r="B63" s="2"/>
      <c r="C63" s="2"/>
      <c r="D63" s="7" t="s">
        <v>31</v>
      </c>
      <c r="E63" s="2">
        <v>1</v>
      </c>
    </row>
    <row r="64" spans="1:5" ht="17.25" customHeight="1" x14ac:dyDescent="0.2">
      <c r="A64" s="10"/>
      <c r="B64" s="2"/>
      <c r="C64" s="2"/>
      <c r="D64" s="7" t="s">
        <v>31</v>
      </c>
      <c r="E64" s="2">
        <v>1</v>
      </c>
    </row>
    <row r="65" spans="1:5" ht="17.25" customHeight="1" x14ac:dyDescent="0.2">
      <c r="A65" s="10"/>
      <c r="B65" s="2"/>
      <c r="C65" s="2"/>
      <c r="D65" s="7" t="s">
        <v>31</v>
      </c>
      <c r="E65" s="2">
        <v>1</v>
      </c>
    </row>
    <row r="66" spans="1:5" ht="17.25" customHeight="1" x14ac:dyDescent="0.2">
      <c r="A66" s="10"/>
      <c r="B66" s="2"/>
      <c r="C66" s="2"/>
      <c r="D66" s="7" t="s">
        <v>31</v>
      </c>
      <c r="E66" s="2">
        <v>1</v>
      </c>
    </row>
    <row r="67" spans="1:5" ht="17.25" customHeight="1" x14ac:dyDescent="0.2">
      <c r="A67" s="10"/>
      <c r="B67" s="2"/>
      <c r="C67" s="2"/>
      <c r="D67" s="7" t="s">
        <v>31</v>
      </c>
      <c r="E67" s="2">
        <v>1</v>
      </c>
    </row>
    <row r="68" spans="1:5" ht="17.25" customHeight="1" x14ac:dyDescent="0.2">
      <c r="A68" s="10"/>
      <c r="B68" s="2"/>
      <c r="C68" s="2"/>
      <c r="D68" s="7" t="s">
        <v>31</v>
      </c>
      <c r="E68" s="2">
        <v>1</v>
      </c>
    </row>
    <row r="69" spans="1:5" ht="17.25" customHeight="1" x14ac:dyDescent="0.2">
      <c r="A69" s="10"/>
      <c r="B69" s="2"/>
      <c r="C69" s="2"/>
      <c r="D69" s="7" t="s">
        <v>31</v>
      </c>
      <c r="E69" s="2">
        <v>1</v>
      </c>
    </row>
    <row r="70" spans="1:5" ht="17.25" customHeight="1" x14ac:dyDescent="0.2">
      <c r="A70" s="10"/>
      <c r="B70" s="2"/>
      <c r="C70" s="2"/>
      <c r="D70" s="7" t="s">
        <v>31</v>
      </c>
      <c r="E70" s="2">
        <v>1</v>
      </c>
    </row>
    <row r="71" spans="1:5" ht="17.25" customHeight="1" x14ac:dyDescent="0.2">
      <c r="A71" s="10"/>
      <c r="B71" s="2"/>
      <c r="C71" s="2"/>
      <c r="D71" s="7" t="s">
        <v>31</v>
      </c>
      <c r="E71" s="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E113"/>
  <sheetViews>
    <sheetView workbookViewId="0"/>
  </sheetViews>
  <sheetFormatPr baseColWidth="10" defaultColWidth="8.83203125" defaultRowHeight="15" x14ac:dyDescent="0.2"/>
  <cols>
    <col min="1" max="1" width="11.83203125" style="13" bestFit="1" customWidth="1"/>
    <col min="2" max="3" width="11.83203125" style="3" bestFit="1" customWidth="1"/>
    <col min="4" max="4" width="11.83203125" style="14" bestFit="1" customWidth="1"/>
    <col min="5" max="5" width="11.83203125" style="3" bestFit="1" customWidth="1"/>
  </cols>
  <sheetData>
    <row r="1" spans="1:5" ht="17.25" customHeight="1" x14ac:dyDescent="0.2">
      <c r="A1" s="7" t="s">
        <v>27</v>
      </c>
      <c r="B1" s="2">
        <v>100</v>
      </c>
    </row>
    <row r="2" spans="1:5" ht="17.25" customHeight="1" x14ac:dyDescent="0.2">
      <c r="A2" s="7" t="s">
        <v>2</v>
      </c>
      <c r="B2" s="9" t="s">
        <v>28</v>
      </c>
      <c r="C2" s="9" t="s">
        <v>7</v>
      </c>
      <c r="D2" s="7" t="s">
        <v>9</v>
      </c>
      <c r="E2" s="9" t="s">
        <v>10</v>
      </c>
    </row>
    <row r="3" spans="1:5" ht="17.25" customHeight="1" x14ac:dyDescent="0.2">
      <c r="B3" s="2">
        <v>0</v>
      </c>
      <c r="C3" s="2">
        <v>0</v>
      </c>
      <c r="D3" s="7"/>
      <c r="E3" s="2">
        <v>100</v>
      </c>
    </row>
    <row r="4" spans="1:5" ht="17.25" customHeight="1" x14ac:dyDescent="0.2">
      <c r="A4" s="10"/>
      <c r="B4" s="2"/>
      <c r="C4" s="2"/>
      <c r="D4" s="7" t="s">
        <v>29</v>
      </c>
      <c r="E4" s="2">
        <v>1</v>
      </c>
    </row>
    <row r="5" spans="1:5" ht="17.25" customHeight="1" x14ac:dyDescent="0.2">
      <c r="A5" s="10"/>
      <c r="B5" s="2"/>
      <c r="C5" s="2"/>
      <c r="D5" s="7" t="s">
        <v>29</v>
      </c>
      <c r="E5" s="2">
        <v>1</v>
      </c>
    </row>
    <row r="6" spans="1:5" ht="17.25" customHeight="1" x14ac:dyDescent="0.2">
      <c r="A6" s="10"/>
      <c r="B6" s="2"/>
      <c r="C6" s="2"/>
      <c r="D6" s="7" t="s">
        <v>29</v>
      </c>
      <c r="E6" s="2">
        <v>1</v>
      </c>
    </row>
    <row r="7" spans="1:5" ht="17.25" customHeight="1" x14ac:dyDescent="0.2">
      <c r="A7" s="10"/>
      <c r="B7" s="2"/>
      <c r="C7" s="2"/>
      <c r="D7" s="7" t="s">
        <v>29</v>
      </c>
      <c r="E7" s="2">
        <v>1</v>
      </c>
    </row>
    <row r="8" spans="1:5" ht="17.25" customHeight="1" x14ac:dyDescent="0.2">
      <c r="A8" s="10"/>
      <c r="B8" s="2"/>
      <c r="C8" s="2"/>
      <c r="D8" s="7" t="s">
        <v>29</v>
      </c>
      <c r="E8" s="2">
        <v>1</v>
      </c>
    </row>
    <row r="9" spans="1:5" ht="17.25" customHeight="1" x14ac:dyDescent="0.2">
      <c r="A9" s="10"/>
      <c r="B9" s="2"/>
      <c r="C9" s="2"/>
      <c r="D9" s="7" t="s">
        <v>29</v>
      </c>
      <c r="E9" s="2">
        <v>1</v>
      </c>
    </row>
    <row r="10" spans="1:5" ht="17.25" customHeight="1" x14ac:dyDescent="0.2">
      <c r="A10" s="10"/>
      <c r="B10" s="2"/>
      <c r="C10" s="2"/>
      <c r="D10" s="7" t="s">
        <v>29</v>
      </c>
      <c r="E10" s="2">
        <v>1</v>
      </c>
    </row>
    <row r="11" spans="1:5" ht="17.25" customHeight="1" x14ac:dyDescent="0.2">
      <c r="A11" s="10"/>
      <c r="B11" s="2"/>
      <c r="C11" s="2"/>
      <c r="D11" s="7" t="s">
        <v>29</v>
      </c>
      <c r="E11" s="2">
        <v>1</v>
      </c>
    </row>
    <row r="12" spans="1:5" ht="17.25" customHeight="1" x14ac:dyDescent="0.2">
      <c r="A12" s="10"/>
      <c r="B12" s="2"/>
      <c r="C12" s="2"/>
      <c r="D12" s="7" t="s">
        <v>29</v>
      </c>
      <c r="E12" s="2">
        <v>1</v>
      </c>
    </row>
    <row r="13" spans="1:5" ht="17.25" customHeight="1" x14ac:dyDescent="0.2">
      <c r="A13" s="10"/>
      <c r="B13" s="2"/>
      <c r="C13" s="2"/>
      <c r="D13" s="7" t="s">
        <v>29</v>
      </c>
      <c r="E13" s="2">
        <v>1</v>
      </c>
    </row>
    <row r="14" spans="1:5" ht="17.25" customHeight="1" x14ac:dyDescent="0.2">
      <c r="A14" s="10"/>
      <c r="B14" s="2"/>
      <c r="C14" s="2"/>
      <c r="D14" s="7" t="s">
        <v>29</v>
      </c>
      <c r="E14" s="2">
        <v>1</v>
      </c>
    </row>
    <row r="15" spans="1:5" ht="17.25" customHeight="1" x14ac:dyDescent="0.2">
      <c r="A15" s="10"/>
      <c r="B15" s="2"/>
      <c r="C15" s="2"/>
      <c r="D15" s="7" t="s">
        <v>29</v>
      </c>
      <c r="E15" s="2">
        <v>1</v>
      </c>
    </row>
    <row r="16" spans="1:5" ht="17.25" customHeight="1" x14ac:dyDescent="0.2">
      <c r="A16" s="10"/>
      <c r="B16" s="2"/>
      <c r="C16" s="2"/>
      <c r="D16" s="7" t="s">
        <v>29</v>
      </c>
      <c r="E16" s="2">
        <v>1</v>
      </c>
    </row>
    <row r="17" spans="1:5" ht="17.25" customHeight="1" x14ac:dyDescent="0.2">
      <c r="A17" s="10"/>
      <c r="B17" s="2"/>
      <c r="C17" s="2"/>
      <c r="D17" s="7" t="s">
        <v>29</v>
      </c>
      <c r="E17" s="2">
        <v>1</v>
      </c>
    </row>
    <row r="18" spans="1:5" ht="17.25" customHeight="1" x14ac:dyDescent="0.2">
      <c r="A18" s="10"/>
      <c r="B18" s="2"/>
      <c r="C18" s="2"/>
      <c r="D18" s="7" t="s">
        <v>29</v>
      </c>
      <c r="E18" s="2">
        <v>1</v>
      </c>
    </row>
    <row r="19" spans="1:5" ht="17.25" customHeight="1" x14ac:dyDescent="0.2">
      <c r="A19" s="10"/>
      <c r="B19" s="2"/>
      <c r="C19" s="2"/>
      <c r="D19" s="7" t="s">
        <v>29</v>
      </c>
      <c r="E19" s="2">
        <v>1</v>
      </c>
    </row>
    <row r="20" spans="1:5" ht="17.25" customHeight="1" x14ac:dyDescent="0.2">
      <c r="A20" s="10"/>
      <c r="B20" s="2"/>
      <c r="C20" s="2"/>
      <c r="D20" s="7" t="s">
        <v>29</v>
      </c>
      <c r="E20" s="2">
        <v>1</v>
      </c>
    </row>
    <row r="21" spans="1:5" ht="17.25" customHeight="1" x14ac:dyDescent="0.2">
      <c r="A21" s="10"/>
      <c r="B21" s="2"/>
      <c r="C21" s="2"/>
      <c r="E21" s="2">
        <v>1</v>
      </c>
    </row>
    <row r="22" spans="1:5" ht="17.25" customHeight="1" x14ac:dyDescent="0.2">
      <c r="A22" s="10"/>
      <c r="B22" s="2"/>
      <c r="C22" s="2"/>
      <c r="D22" s="7" t="s">
        <v>30</v>
      </c>
      <c r="E22" s="2">
        <v>1</v>
      </c>
    </row>
    <row r="23" spans="1:5" ht="17.25" customHeight="1" x14ac:dyDescent="0.2">
      <c r="A23" s="10"/>
      <c r="B23" s="2"/>
      <c r="C23" s="2"/>
      <c r="D23" s="7" t="s">
        <v>30</v>
      </c>
      <c r="E23" s="2">
        <v>1</v>
      </c>
    </row>
    <row r="24" spans="1:5" ht="17.25" customHeight="1" x14ac:dyDescent="0.2">
      <c r="A24" s="10"/>
      <c r="B24" s="2"/>
      <c r="C24" s="2"/>
      <c r="D24" s="7" t="s">
        <v>30</v>
      </c>
      <c r="E24" s="2">
        <v>1</v>
      </c>
    </row>
    <row r="25" spans="1:5" ht="17.25" customHeight="1" x14ac:dyDescent="0.2">
      <c r="A25" s="10"/>
      <c r="B25" s="2"/>
      <c r="C25" s="2"/>
      <c r="D25" s="7" t="s">
        <v>30</v>
      </c>
      <c r="E25" s="2">
        <v>1</v>
      </c>
    </row>
    <row r="26" spans="1:5" ht="17.25" customHeight="1" x14ac:dyDescent="0.2">
      <c r="A26" s="10"/>
      <c r="B26" s="2"/>
      <c r="C26" s="2"/>
      <c r="D26" s="7" t="s">
        <v>30</v>
      </c>
      <c r="E26" s="2">
        <v>1</v>
      </c>
    </row>
    <row r="27" spans="1:5" ht="17.25" customHeight="1" x14ac:dyDescent="0.2">
      <c r="A27" s="10"/>
      <c r="B27" s="2"/>
      <c r="C27" s="2"/>
      <c r="D27" s="7" t="s">
        <v>30</v>
      </c>
      <c r="E27" s="2">
        <v>1</v>
      </c>
    </row>
    <row r="28" spans="1:5" ht="17.25" customHeight="1" x14ac:dyDescent="0.2">
      <c r="A28" s="10"/>
      <c r="B28" s="2"/>
      <c r="C28" s="2"/>
      <c r="D28" s="7" t="s">
        <v>30</v>
      </c>
      <c r="E28" s="2">
        <v>1</v>
      </c>
    </row>
    <row r="29" spans="1:5" ht="17.25" customHeight="1" x14ac:dyDescent="0.2">
      <c r="A29" s="10"/>
      <c r="B29" s="2"/>
      <c r="C29" s="2"/>
      <c r="D29" s="7" t="s">
        <v>30</v>
      </c>
      <c r="E29" s="2">
        <v>1</v>
      </c>
    </row>
    <row r="30" spans="1:5" ht="17.25" customHeight="1" x14ac:dyDescent="0.2">
      <c r="A30" s="10"/>
      <c r="B30" s="2"/>
      <c r="C30" s="2"/>
      <c r="D30" s="7" t="s">
        <v>30</v>
      </c>
      <c r="E30" s="2">
        <v>1</v>
      </c>
    </row>
    <row r="31" spans="1:5" ht="17.25" customHeight="1" x14ac:dyDescent="0.2">
      <c r="A31" s="10"/>
      <c r="B31" s="2"/>
      <c r="C31" s="2"/>
      <c r="D31" s="7" t="s">
        <v>30</v>
      </c>
      <c r="E31" s="2">
        <v>1</v>
      </c>
    </row>
    <row r="32" spans="1:5" ht="17.25" customHeight="1" x14ac:dyDescent="0.2">
      <c r="A32" s="10"/>
      <c r="B32" s="2"/>
      <c r="C32" s="9"/>
      <c r="D32" s="7" t="s">
        <v>30</v>
      </c>
      <c r="E32" s="2">
        <v>1</v>
      </c>
    </row>
    <row r="33" spans="1:5" ht="17.25" customHeight="1" x14ac:dyDescent="0.2">
      <c r="A33" s="10"/>
      <c r="B33" s="2"/>
      <c r="C33" s="2"/>
      <c r="E33" s="2">
        <v>1</v>
      </c>
    </row>
    <row r="34" spans="1:5" ht="17.25" customHeight="1" x14ac:dyDescent="0.2">
      <c r="A34" s="10"/>
      <c r="B34" s="2"/>
      <c r="C34" s="2"/>
      <c r="D34" s="7" t="s">
        <v>31</v>
      </c>
      <c r="E34" s="2">
        <v>1</v>
      </c>
    </row>
    <row r="35" spans="1:5" ht="17.25" customHeight="1" x14ac:dyDescent="0.2">
      <c r="A35" s="10"/>
      <c r="B35" s="2"/>
      <c r="C35" s="2"/>
      <c r="D35" s="7" t="s">
        <v>31</v>
      </c>
      <c r="E35" s="2">
        <v>1</v>
      </c>
    </row>
    <row r="36" spans="1:5" ht="17.25" customHeight="1" x14ac:dyDescent="0.2">
      <c r="A36" s="10"/>
      <c r="B36" s="2"/>
      <c r="C36" s="2"/>
      <c r="D36" s="7" t="s">
        <v>31</v>
      </c>
      <c r="E36" s="2">
        <v>1</v>
      </c>
    </row>
    <row r="37" spans="1:5" ht="17.25" customHeight="1" x14ac:dyDescent="0.2">
      <c r="A37" s="10"/>
      <c r="B37" s="2"/>
      <c r="C37" s="2"/>
      <c r="D37" s="7" t="s">
        <v>31</v>
      </c>
      <c r="E37" s="2">
        <v>1</v>
      </c>
    </row>
    <row r="38" spans="1:5" ht="17.25" customHeight="1" x14ac:dyDescent="0.2">
      <c r="A38" s="10"/>
      <c r="B38" s="2"/>
      <c r="C38" s="2"/>
      <c r="D38" s="7" t="s">
        <v>31</v>
      </c>
      <c r="E38" s="2">
        <v>1</v>
      </c>
    </row>
    <row r="39" spans="1:5" ht="17.25" customHeight="1" x14ac:dyDescent="0.2">
      <c r="A39" s="10"/>
      <c r="B39" s="2"/>
      <c r="C39" s="2"/>
      <c r="D39" s="7" t="s">
        <v>31</v>
      </c>
      <c r="E39" s="2">
        <v>1</v>
      </c>
    </row>
    <row r="40" spans="1:5" ht="17.25" customHeight="1" x14ac:dyDescent="0.2">
      <c r="A40" s="10"/>
      <c r="B40" s="2"/>
      <c r="C40" s="2"/>
      <c r="D40" s="7" t="s">
        <v>31</v>
      </c>
      <c r="E40" s="2">
        <v>1</v>
      </c>
    </row>
    <row r="41" spans="1:5" ht="17.25" customHeight="1" x14ac:dyDescent="0.2">
      <c r="A41" s="10"/>
      <c r="B41" s="2"/>
      <c r="C41" s="2"/>
      <c r="D41" s="7" t="s">
        <v>31</v>
      </c>
      <c r="E41" s="2">
        <v>1</v>
      </c>
    </row>
    <row r="42" spans="1:5" ht="17.25" customHeight="1" x14ac:dyDescent="0.2">
      <c r="A42" s="10"/>
      <c r="B42" s="2"/>
      <c r="C42" s="2"/>
      <c r="D42" s="7" t="s">
        <v>31</v>
      </c>
      <c r="E42" s="2">
        <v>1</v>
      </c>
    </row>
    <row r="43" spans="1:5" ht="17.25" customHeight="1" x14ac:dyDescent="0.2">
      <c r="A43" s="10"/>
      <c r="B43" s="2"/>
      <c r="C43" s="2"/>
      <c r="D43" s="7" t="s">
        <v>31</v>
      </c>
      <c r="E43" s="2">
        <v>1</v>
      </c>
    </row>
    <row r="44" spans="1:5" ht="17.25" customHeight="1" x14ac:dyDescent="0.2">
      <c r="A44" s="10"/>
      <c r="B44" s="2"/>
      <c r="C44" s="2"/>
      <c r="D44" s="7" t="s">
        <v>31</v>
      </c>
      <c r="E44" s="2">
        <v>1</v>
      </c>
    </row>
    <row r="45" spans="1:5" ht="17.25" customHeight="1" x14ac:dyDescent="0.2">
      <c r="A45" s="10"/>
      <c r="B45" s="2"/>
      <c r="C45" s="2"/>
      <c r="D45" s="7" t="s">
        <v>31</v>
      </c>
      <c r="E45" s="2">
        <v>1</v>
      </c>
    </row>
    <row r="46" spans="1:5" ht="17.25" customHeight="1" x14ac:dyDescent="0.2">
      <c r="A46" s="10"/>
      <c r="B46" s="2"/>
      <c r="C46" s="2"/>
      <c r="D46" s="7" t="s">
        <v>31</v>
      </c>
      <c r="E46" s="2">
        <v>1</v>
      </c>
    </row>
    <row r="47" spans="1:5" ht="17.25" customHeight="1" x14ac:dyDescent="0.2">
      <c r="A47" s="10"/>
      <c r="B47" s="2"/>
      <c r="C47" s="2"/>
      <c r="D47" s="7" t="s">
        <v>31</v>
      </c>
      <c r="E47" s="2">
        <v>1</v>
      </c>
    </row>
    <row r="48" spans="1:5" ht="17.25" customHeight="1" x14ac:dyDescent="0.2">
      <c r="A48" s="10"/>
      <c r="B48" s="2"/>
      <c r="C48" s="2"/>
      <c r="E48" s="2">
        <v>1</v>
      </c>
    </row>
    <row r="49" spans="1:5" ht="17.25" customHeight="1" x14ac:dyDescent="0.2">
      <c r="A49" s="10"/>
      <c r="B49" s="2"/>
      <c r="C49" s="2"/>
      <c r="D49" s="7" t="s">
        <v>32</v>
      </c>
      <c r="E49" s="2">
        <v>1</v>
      </c>
    </row>
    <row r="50" spans="1:5" ht="17.25" customHeight="1" x14ac:dyDescent="0.2">
      <c r="A50" s="10"/>
      <c r="B50" s="2"/>
      <c r="C50" s="2"/>
      <c r="D50" s="7" t="s">
        <v>32</v>
      </c>
      <c r="E50" s="2">
        <v>1</v>
      </c>
    </row>
    <row r="51" spans="1:5" ht="17.25" customHeight="1" x14ac:dyDescent="0.2">
      <c r="A51" s="10"/>
      <c r="B51" s="2"/>
      <c r="C51" s="2"/>
      <c r="D51" s="7" t="s">
        <v>32</v>
      </c>
      <c r="E51" s="2">
        <v>1</v>
      </c>
    </row>
    <row r="52" spans="1:5" ht="17.25" customHeight="1" x14ac:dyDescent="0.2">
      <c r="A52" s="10"/>
      <c r="B52" s="2"/>
      <c r="C52" s="2"/>
      <c r="D52" s="7" t="s">
        <v>32</v>
      </c>
      <c r="E52" s="2">
        <v>1</v>
      </c>
    </row>
    <row r="53" spans="1:5" ht="17.25" customHeight="1" x14ac:dyDescent="0.2">
      <c r="A53" s="10"/>
      <c r="B53" s="2"/>
      <c r="C53" s="2"/>
      <c r="D53" s="7" t="s">
        <v>32</v>
      </c>
      <c r="E53" s="2">
        <v>1</v>
      </c>
    </row>
    <row r="54" spans="1:5" ht="17.25" customHeight="1" x14ac:dyDescent="0.2">
      <c r="A54" s="10"/>
      <c r="B54" s="2"/>
      <c r="C54" s="2"/>
      <c r="D54" s="7" t="s">
        <v>32</v>
      </c>
      <c r="E54" s="2">
        <v>1</v>
      </c>
    </row>
    <row r="55" spans="1:5" ht="17.25" customHeight="1" x14ac:dyDescent="0.2">
      <c r="A55" s="10"/>
      <c r="B55" s="2"/>
      <c r="C55" s="2"/>
      <c r="D55" s="7" t="s">
        <v>32</v>
      </c>
      <c r="E55" s="2">
        <v>1</v>
      </c>
    </row>
    <row r="56" spans="1:5" ht="17.25" customHeight="1" x14ac:dyDescent="0.2">
      <c r="A56" s="10"/>
      <c r="B56" s="2"/>
      <c r="C56" s="2"/>
      <c r="D56" s="7" t="s">
        <v>32</v>
      </c>
      <c r="E56" s="2">
        <v>1</v>
      </c>
    </row>
    <row r="57" spans="1:5" ht="17.25" customHeight="1" x14ac:dyDescent="0.2">
      <c r="A57" s="10"/>
      <c r="B57" s="2"/>
      <c r="C57" s="2"/>
      <c r="D57" s="7" t="s">
        <v>32</v>
      </c>
      <c r="E57" s="2">
        <v>1</v>
      </c>
    </row>
    <row r="58" spans="1:5" ht="17.25" customHeight="1" x14ac:dyDescent="0.2">
      <c r="A58" s="10"/>
      <c r="B58" s="2"/>
      <c r="C58" s="2"/>
      <c r="D58" s="7" t="s">
        <v>32</v>
      </c>
      <c r="E58" s="2">
        <v>1</v>
      </c>
    </row>
    <row r="59" spans="1:5" ht="17.25" customHeight="1" x14ac:dyDescent="0.2">
      <c r="A59" s="10"/>
      <c r="B59" s="2"/>
      <c r="C59" s="2"/>
      <c r="D59" s="7" t="s">
        <v>32</v>
      </c>
      <c r="E59" s="2">
        <v>1</v>
      </c>
    </row>
    <row r="60" spans="1:5" ht="17.25" customHeight="1" x14ac:dyDescent="0.2">
      <c r="A60" s="10"/>
      <c r="B60" s="2"/>
      <c r="C60" s="2"/>
      <c r="D60" s="7" t="s">
        <v>32</v>
      </c>
      <c r="E60" s="2">
        <v>1</v>
      </c>
    </row>
    <row r="61" spans="1:5" ht="17.25" customHeight="1" x14ac:dyDescent="0.2">
      <c r="A61" s="10"/>
      <c r="B61" s="2"/>
      <c r="C61" s="2"/>
      <c r="D61" s="7" t="s">
        <v>32</v>
      </c>
      <c r="E61" s="2">
        <v>1</v>
      </c>
    </row>
    <row r="62" spans="1:5" ht="17.25" customHeight="1" x14ac:dyDescent="0.2">
      <c r="A62" s="10"/>
      <c r="B62" s="2"/>
      <c r="C62" s="2"/>
      <c r="D62" s="7" t="s">
        <v>29</v>
      </c>
      <c r="E62" s="2">
        <v>1</v>
      </c>
    </row>
    <row r="63" spans="1:5" ht="17.25" customHeight="1" x14ac:dyDescent="0.2">
      <c r="A63" s="10"/>
      <c r="B63" s="2"/>
      <c r="C63" s="2"/>
      <c r="D63" s="7" t="s">
        <v>29</v>
      </c>
      <c r="E63" s="2">
        <v>1</v>
      </c>
    </row>
    <row r="64" spans="1:5" ht="17.25" customHeight="1" x14ac:dyDescent="0.2">
      <c r="A64" s="10"/>
      <c r="B64" s="2"/>
      <c r="C64" s="2"/>
      <c r="D64" s="7" t="s">
        <v>29</v>
      </c>
      <c r="E64" s="2">
        <v>1</v>
      </c>
    </row>
    <row r="65" spans="1:5" ht="17.25" customHeight="1" x14ac:dyDescent="0.2">
      <c r="A65" s="10"/>
      <c r="B65" s="2"/>
      <c r="C65" s="2"/>
      <c r="D65" s="7" t="s">
        <v>29</v>
      </c>
      <c r="E65" s="2">
        <v>1</v>
      </c>
    </row>
    <row r="66" spans="1:5" ht="17.25" customHeight="1" x14ac:dyDescent="0.2">
      <c r="A66" s="10"/>
      <c r="B66" s="2"/>
      <c r="C66" s="2"/>
      <c r="D66" s="7" t="s">
        <v>29</v>
      </c>
      <c r="E66" s="2">
        <v>1</v>
      </c>
    </row>
    <row r="67" spans="1:5" ht="17.25" customHeight="1" x14ac:dyDescent="0.2">
      <c r="A67" s="10"/>
      <c r="B67" s="2"/>
      <c r="C67" s="2"/>
      <c r="D67" s="7" t="s">
        <v>29</v>
      </c>
      <c r="E67" s="2">
        <v>1</v>
      </c>
    </row>
    <row r="68" spans="1:5" ht="17.25" customHeight="1" x14ac:dyDescent="0.2">
      <c r="A68" s="10"/>
      <c r="B68" s="2"/>
      <c r="C68" s="2"/>
      <c r="D68" s="7" t="s">
        <v>29</v>
      </c>
      <c r="E68" s="2">
        <v>1</v>
      </c>
    </row>
    <row r="69" spans="1:5" ht="17.25" customHeight="1" x14ac:dyDescent="0.2">
      <c r="A69" s="10"/>
      <c r="B69" s="2"/>
      <c r="C69" s="2"/>
      <c r="D69" s="7" t="s">
        <v>29</v>
      </c>
      <c r="E69" s="2">
        <v>1</v>
      </c>
    </row>
    <row r="70" spans="1:5" ht="17.25" customHeight="1" x14ac:dyDescent="0.2">
      <c r="A70" s="10"/>
      <c r="B70" s="2"/>
      <c r="C70" s="2"/>
      <c r="D70" s="7" t="s">
        <v>29</v>
      </c>
      <c r="E70" s="2">
        <v>1</v>
      </c>
    </row>
    <row r="71" spans="1:5" ht="17.25" customHeight="1" x14ac:dyDescent="0.2">
      <c r="A71" s="10"/>
      <c r="B71" s="2"/>
      <c r="C71" s="2"/>
      <c r="D71" s="7" t="s">
        <v>29</v>
      </c>
      <c r="E71" s="2">
        <v>1</v>
      </c>
    </row>
    <row r="72" spans="1:5" ht="17.25" customHeight="1" x14ac:dyDescent="0.2">
      <c r="A72" s="10"/>
      <c r="B72" s="2"/>
      <c r="C72" s="2"/>
      <c r="D72" s="7" t="s">
        <v>29</v>
      </c>
      <c r="E72" s="2">
        <v>1</v>
      </c>
    </row>
    <row r="73" spans="1:5" ht="17.25" customHeight="1" x14ac:dyDescent="0.2">
      <c r="A73" s="10"/>
      <c r="B73" s="2"/>
      <c r="C73" s="2"/>
      <c r="D73" s="7" t="s">
        <v>29</v>
      </c>
      <c r="E73" s="2">
        <v>1</v>
      </c>
    </row>
    <row r="74" spans="1:5" ht="17.25" customHeight="1" x14ac:dyDescent="0.2">
      <c r="A74" s="10"/>
      <c r="B74" s="2"/>
      <c r="C74" s="2"/>
      <c r="D74" s="7" t="s">
        <v>29</v>
      </c>
      <c r="E74" s="2">
        <v>1</v>
      </c>
    </row>
    <row r="75" spans="1:5" ht="17.25" customHeight="1" x14ac:dyDescent="0.2">
      <c r="A75" s="10"/>
      <c r="B75" s="2"/>
      <c r="C75" s="2"/>
      <c r="D75" s="7" t="s">
        <v>29</v>
      </c>
      <c r="E75" s="2">
        <v>1</v>
      </c>
    </row>
    <row r="76" spans="1:5" ht="17.25" customHeight="1" x14ac:dyDescent="0.2">
      <c r="A76" s="10"/>
      <c r="B76" s="2"/>
      <c r="C76" s="2"/>
      <c r="D76" s="7" t="s">
        <v>29</v>
      </c>
      <c r="E76" s="2">
        <v>1</v>
      </c>
    </row>
    <row r="77" spans="1:5" ht="17.25" customHeight="1" x14ac:dyDescent="0.2">
      <c r="A77" s="10"/>
      <c r="B77" s="2"/>
      <c r="C77" s="2"/>
      <c r="D77" s="7" t="s">
        <v>29</v>
      </c>
      <c r="E77" s="2">
        <v>1</v>
      </c>
    </row>
    <row r="78" spans="1:5" ht="17.25" customHeight="1" x14ac:dyDescent="0.2">
      <c r="A78" s="10"/>
      <c r="B78" s="2"/>
      <c r="C78" s="2"/>
      <c r="D78" s="7" t="s">
        <v>29</v>
      </c>
      <c r="E78" s="2">
        <v>1</v>
      </c>
    </row>
    <row r="79" spans="1:5" ht="17.25" customHeight="1" x14ac:dyDescent="0.2">
      <c r="A79" s="10"/>
      <c r="B79" s="2"/>
      <c r="C79" s="2"/>
      <c r="D79" s="7" t="s">
        <v>29</v>
      </c>
      <c r="E79" s="2">
        <v>1</v>
      </c>
    </row>
    <row r="80" spans="1:5" ht="17.25" customHeight="1" x14ac:dyDescent="0.2">
      <c r="A80" s="10"/>
      <c r="B80" s="2"/>
      <c r="C80" s="2"/>
      <c r="D80" s="7" t="s">
        <v>29</v>
      </c>
      <c r="E80" s="2">
        <v>1</v>
      </c>
    </row>
    <row r="81" spans="1:5" ht="17.25" customHeight="1" x14ac:dyDescent="0.2">
      <c r="A81" s="10"/>
      <c r="B81" s="2"/>
      <c r="C81" s="2"/>
      <c r="D81" s="7" t="s">
        <v>29</v>
      </c>
      <c r="E81" s="2">
        <v>1</v>
      </c>
    </row>
    <row r="82" spans="1:5" ht="17.25" customHeight="1" x14ac:dyDescent="0.2">
      <c r="A82" s="10"/>
      <c r="B82" s="2"/>
      <c r="C82" s="2"/>
      <c r="D82" s="7" t="s">
        <v>29</v>
      </c>
      <c r="E82" s="2">
        <v>1</v>
      </c>
    </row>
    <row r="83" spans="1:5" ht="17.25" customHeight="1" x14ac:dyDescent="0.2">
      <c r="A83" s="10"/>
      <c r="B83" s="2"/>
      <c r="C83" s="2"/>
      <c r="D83" s="7" t="s">
        <v>29</v>
      </c>
      <c r="E83" s="2">
        <v>1</v>
      </c>
    </row>
    <row r="84" spans="1:5" ht="17.25" customHeight="1" x14ac:dyDescent="0.2">
      <c r="A84" s="10"/>
      <c r="B84" s="2"/>
      <c r="C84" s="2"/>
      <c r="D84" s="7" t="s">
        <v>29</v>
      </c>
      <c r="E84" s="2">
        <v>1</v>
      </c>
    </row>
    <row r="85" spans="1:5" ht="17.25" customHeight="1" x14ac:dyDescent="0.2">
      <c r="A85" s="10"/>
      <c r="B85" s="2"/>
      <c r="C85" s="2"/>
      <c r="D85" s="7" t="s">
        <v>29</v>
      </c>
      <c r="E85" s="2">
        <v>1</v>
      </c>
    </row>
    <row r="86" spans="1:5" ht="17.25" customHeight="1" x14ac:dyDescent="0.2">
      <c r="A86" s="10"/>
      <c r="B86" s="2"/>
      <c r="C86" s="9"/>
      <c r="E86" s="2">
        <v>1</v>
      </c>
    </row>
    <row r="87" spans="1:5" ht="17.25" customHeight="1" x14ac:dyDescent="0.2">
      <c r="A87" s="10"/>
      <c r="B87" s="2"/>
      <c r="C87" s="2"/>
      <c r="D87" s="7" t="s">
        <v>33</v>
      </c>
      <c r="E87" s="2">
        <v>1</v>
      </c>
    </row>
    <row r="88" spans="1:5" ht="17.25" customHeight="1" x14ac:dyDescent="0.2">
      <c r="A88" s="10"/>
      <c r="B88" s="2"/>
      <c r="C88" s="2"/>
      <c r="D88" s="7" t="s">
        <v>33</v>
      </c>
      <c r="E88" s="2">
        <v>1</v>
      </c>
    </row>
    <row r="89" spans="1:5" ht="17.25" customHeight="1" x14ac:dyDescent="0.2">
      <c r="A89" s="10"/>
      <c r="B89" s="2"/>
      <c r="C89" s="2"/>
      <c r="D89" s="7" t="s">
        <v>33</v>
      </c>
      <c r="E89" s="2">
        <v>1</v>
      </c>
    </row>
    <row r="90" spans="1:5" ht="17.25" customHeight="1" x14ac:dyDescent="0.2">
      <c r="A90" s="10"/>
      <c r="B90" s="2"/>
      <c r="C90" s="2"/>
      <c r="D90" s="7" t="s">
        <v>33</v>
      </c>
      <c r="E90" s="2">
        <v>1</v>
      </c>
    </row>
    <row r="91" spans="1:5" ht="17.25" customHeight="1" x14ac:dyDescent="0.2">
      <c r="A91" s="10"/>
      <c r="B91" s="2"/>
      <c r="C91" s="2"/>
      <c r="D91" s="7" t="s">
        <v>33</v>
      </c>
      <c r="E91" s="2">
        <v>1</v>
      </c>
    </row>
    <row r="92" spans="1:5" ht="17.25" customHeight="1" x14ac:dyDescent="0.2">
      <c r="A92" s="10"/>
      <c r="B92" s="2"/>
      <c r="C92" s="2"/>
      <c r="D92" s="7" t="s">
        <v>33</v>
      </c>
      <c r="E92" s="2">
        <v>1</v>
      </c>
    </row>
    <row r="93" spans="1:5" ht="17.25" customHeight="1" x14ac:dyDescent="0.2">
      <c r="A93" s="10"/>
      <c r="B93" s="2"/>
      <c r="C93" s="2"/>
      <c r="D93" s="7" t="s">
        <v>33</v>
      </c>
      <c r="E93" s="2">
        <v>1</v>
      </c>
    </row>
    <row r="94" spans="1:5" ht="17.25" customHeight="1" x14ac:dyDescent="0.2">
      <c r="A94" s="10"/>
      <c r="B94" s="2"/>
      <c r="C94" s="2"/>
      <c r="D94" s="7" t="s">
        <v>33</v>
      </c>
      <c r="E94" s="2">
        <v>1</v>
      </c>
    </row>
    <row r="95" spans="1:5" ht="17.25" customHeight="1" x14ac:dyDescent="0.2">
      <c r="A95" s="10"/>
      <c r="B95" s="2"/>
      <c r="C95" s="2"/>
      <c r="D95" s="7" t="s">
        <v>33</v>
      </c>
      <c r="E95" s="2">
        <v>1</v>
      </c>
    </row>
    <row r="96" spans="1:5" ht="17.25" customHeight="1" x14ac:dyDescent="0.2">
      <c r="A96" s="10"/>
      <c r="B96" s="2"/>
      <c r="C96" s="2"/>
      <c r="D96" s="7" t="s">
        <v>33</v>
      </c>
      <c r="E96" s="2">
        <v>1</v>
      </c>
    </row>
    <row r="97" spans="1:5" ht="17.25" customHeight="1" x14ac:dyDescent="0.2">
      <c r="A97" s="10"/>
      <c r="B97" s="2"/>
      <c r="C97" s="2"/>
      <c r="D97" s="7" t="s">
        <v>33</v>
      </c>
      <c r="E97" s="2">
        <v>1</v>
      </c>
    </row>
    <row r="98" spans="1:5" ht="17.25" customHeight="1" x14ac:dyDescent="0.2">
      <c r="A98" s="10"/>
      <c r="B98" s="2"/>
      <c r="C98" s="2"/>
      <c r="D98" s="7" t="s">
        <v>33</v>
      </c>
      <c r="E98" s="2">
        <v>1</v>
      </c>
    </row>
    <row r="99" spans="1:5" ht="17.25" customHeight="1" x14ac:dyDescent="0.2">
      <c r="A99" s="10"/>
      <c r="B99" s="2"/>
      <c r="C99" s="2"/>
      <c r="D99" s="7" t="s">
        <v>33</v>
      </c>
      <c r="E99" s="2">
        <v>1</v>
      </c>
    </row>
    <row r="100" spans="1:5" ht="17.25" customHeight="1" x14ac:dyDescent="0.2">
      <c r="A100" s="10"/>
      <c r="B100" s="2"/>
      <c r="C100" s="2"/>
      <c r="D100" s="7" t="s">
        <v>33</v>
      </c>
      <c r="E100" s="2">
        <v>1</v>
      </c>
    </row>
    <row r="101" spans="1:5" ht="17.25" customHeight="1" x14ac:dyDescent="0.2">
      <c r="A101" s="10"/>
      <c r="B101" s="2"/>
      <c r="C101" s="2"/>
      <c r="D101" s="7" t="s">
        <v>33</v>
      </c>
      <c r="E101" s="2">
        <v>1</v>
      </c>
    </row>
    <row r="102" spans="1:5" ht="17.25" customHeight="1" x14ac:dyDescent="0.2">
      <c r="A102" s="10"/>
      <c r="B102" s="2"/>
      <c r="C102" s="2"/>
      <c r="D102" s="7" t="s">
        <v>33</v>
      </c>
      <c r="E102" s="2">
        <v>1</v>
      </c>
    </row>
    <row r="103" spans="1:5" ht="17.25" customHeight="1" x14ac:dyDescent="0.2">
      <c r="A103" s="10"/>
      <c r="B103" s="2"/>
      <c r="C103" s="2"/>
      <c r="D103" s="7" t="s">
        <v>33</v>
      </c>
      <c r="E103" s="2">
        <v>1</v>
      </c>
    </row>
    <row r="104" spans="1:5" ht="17.25" customHeight="1" x14ac:dyDescent="0.2">
      <c r="A104" s="10"/>
      <c r="B104" s="2"/>
      <c r="C104" s="2"/>
      <c r="D104" s="7" t="s">
        <v>33</v>
      </c>
      <c r="E104" s="2">
        <v>1</v>
      </c>
    </row>
    <row r="105" spans="1:5" ht="17.25" customHeight="1" x14ac:dyDescent="0.2">
      <c r="A105" s="10"/>
      <c r="B105" s="2"/>
      <c r="C105" s="2"/>
      <c r="D105" s="7" t="s">
        <v>33</v>
      </c>
      <c r="E105" s="2">
        <v>1</v>
      </c>
    </row>
    <row r="106" spans="1:5" ht="17.25" customHeight="1" x14ac:dyDescent="0.2">
      <c r="A106" s="10"/>
      <c r="B106" s="2"/>
      <c r="C106" s="2"/>
      <c r="D106" s="7" t="s">
        <v>33</v>
      </c>
      <c r="E106" s="2">
        <v>1</v>
      </c>
    </row>
    <row r="107" spans="1:5" ht="17.25" customHeight="1" x14ac:dyDescent="0.2">
      <c r="A107" s="10"/>
      <c r="B107" s="2"/>
      <c r="C107" s="2"/>
      <c r="D107" s="7" t="s">
        <v>33</v>
      </c>
      <c r="E107" s="2">
        <v>1</v>
      </c>
    </row>
    <row r="108" spans="1:5" ht="17.25" customHeight="1" x14ac:dyDescent="0.2">
      <c r="A108" s="10"/>
      <c r="B108" s="2"/>
      <c r="C108" s="2"/>
      <c r="D108" s="7" t="s">
        <v>33</v>
      </c>
      <c r="E108" s="2">
        <v>1</v>
      </c>
    </row>
    <row r="109" spans="1:5" ht="17.25" customHeight="1" x14ac:dyDescent="0.2">
      <c r="A109" s="10"/>
      <c r="B109" s="2"/>
      <c r="C109" s="2"/>
      <c r="D109" s="7" t="s">
        <v>33</v>
      </c>
      <c r="E109" s="2">
        <v>1</v>
      </c>
    </row>
    <row r="110" spans="1:5" ht="17.25" customHeight="1" x14ac:dyDescent="0.2">
      <c r="A110" s="10"/>
      <c r="B110" s="2"/>
      <c r="C110" s="2"/>
      <c r="D110" s="7" t="s">
        <v>33</v>
      </c>
      <c r="E110" s="2">
        <v>1</v>
      </c>
    </row>
    <row r="111" spans="1:5" ht="17.25" customHeight="1" x14ac:dyDescent="0.2">
      <c r="A111" s="10"/>
      <c r="B111" s="2"/>
      <c r="C111" s="2"/>
      <c r="D111" s="7" t="s">
        <v>33</v>
      </c>
      <c r="E111" s="2">
        <v>1</v>
      </c>
    </row>
    <row r="112" spans="1:5" ht="17.25" customHeight="1" x14ac:dyDescent="0.2">
      <c r="A112" s="10"/>
      <c r="B112" s="2"/>
      <c r="C112" s="2"/>
      <c r="D112" s="7" t="s">
        <v>33</v>
      </c>
      <c r="E112" s="2">
        <v>1</v>
      </c>
    </row>
    <row r="113" spans="1:5" ht="17.25" customHeight="1" x14ac:dyDescent="0.2">
      <c r="A113" s="10"/>
      <c r="B113" s="2"/>
      <c r="C113" s="2"/>
      <c r="D113" s="7" t="s">
        <v>33</v>
      </c>
      <c r="E113" s="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E75"/>
  <sheetViews>
    <sheetView workbookViewId="0"/>
  </sheetViews>
  <sheetFormatPr baseColWidth="10" defaultColWidth="8.83203125" defaultRowHeight="15" x14ac:dyDescent="0.2"/>
  <cols>
    <col min="1" max="1" width="11.83203125" style="13" bestFit="1" customWidth="1"/>
    <col min="2" max="2" width="11.83203125" style="3" bestFit="1" customWidth="1"/>
    <col min="3" max="3" width="11.83203125" style="13" bestFit="1" customWidth="1"/>
    <col min="4" max="4" width="11.83203125" style="14" bestFit="1" customWidth="1"/>
    <col min="5" max="5" width="11.83203125" style="3" bestFit="1" customWidth="1"/>
  </cols>
  <sheetData>
    <row r="1" spans="1:5" ht="17.25" customHeight="1" x14ac:dyDescent="0.2">
      <c r="A1" s="7" t="s">
        <v>27</v>
      </c>
      <c r="B1" s="2">
        <v>100</v>
      </c>
    </row>
    <row r="2" spans="1:5" ht="17.25" customHeight="1" x14ac:dyDescent="0.2">
      <c r="A2" s="7" t="s">
        <v>2</v>
      </c>
      <c r="B2" s="9" t="s">
        <v>28</v>
      </c>
      <c r="C2" s="7" t="s">
        <v>7</v>
      </c>
      <c r="D2" s="7" t="s">
        <v>9</v>
      </c>
      <c r="E2" s="9" t="s">
        <v>10</v>
      </c>
    </row>
    <row r="3" spans="1:5" ht="17.25" customHeight="1" x14ac:dyDescent="0.2"/>
    <row r="4" spans="1:5" ht="17.25" customHeight="1" x14ac:dyDescent="0.2">
      <c r="A4" s="10"/>
      <c r="B4" s="2"/>
      <c r="C4" s="10"/>
      <c r="D4" s="7" t="s">
        <v>29</v>
      </c>
      <c r="E4" s="15">
        <v>0.5</v>
      </c>
    </row>
    <row r="5" spans="1:5" ht="17.25" customHeight="1" x14ac:dyDescent="0.2">
      <c r="A5" s="10"/>
      <c r="B5" s="2"/>
      <c r="C5" s="10"/>
      <c r="D5" s="7" t="s">
        <v>29</v>
      </c>
      <c r="E5" s="15">
        <v>0.5</v>
      </c>
    </row>
    <row r="6" spans="1:5" ht="17.25" customHeight="1" x14ac:dyDescent="0.2">
      <c r="E6" s="15">
        <v>0.5</v>
      </c>
    </row>
    <row r="7" spans="1:5" ht="17.25" customHeight="1" x14ac:dyDescent="0.2">
      <c r="A7" s="10"/>
      <c r="B7" s="2"/>
      <c r="C7" s="10"/>
      <c r="D7" s="7" t="s">
        <v>29</v>
      </c>
      <c r="E7" s="15">
        <v>0.5</v>
      </c>
    </row>
    <row r="8" spans="1:5" ht="17.25" customHeight="1" x14ac:dyDescent="0.2">
      <c r="A8" s="10"/>
      <c r="B8" s="2"/>
      <c r="C8" s="10"/>
      <c r="D8" s="7" t="s">
        <v>29</v>
      </c>
      <c r="E8" s="15">
        <v>0.5</v>
      </c>
    </row>
    <row r="9" spans="1:5" ht="17.25" customHeight="1" x14ac:dyDescent="0.2">
      <c r="A9" s="10"/>
      <c r="B9" s="2"/>
      <c r="C9" s="10"/>
      <c r="D9" s="7" t="s">
        <v>29</v>
      </c>
      <c r="E9" s="15">
        <v>0.5</v>
      </c>
    </row>
    <row r="10" spans="1:5" ht="17.25" customHeight="1" x14ac:dyDescent="0.2">
      <c r="A10" s="10"/>
      <c r="B10" s="2"/>
      <c r="C10" s="10"/>
      <c r="D10" s="7" t="s">
        <v>29</v>
      </c>
      <c r="E10" s="15">
        <v>0.5</v>
      </c>
    </row>
    <row r="11" spans="1:5" ht="17.25" customHeight="1" x14ac:dyDescent="0.2">
      <c r="A11" s="10"/>
      <c r="B11" s="2"/>
      <c r="C11" s="10"/>
      <c r="D11" s="7" t="s">
        <v>29</v>
      </c>
      <c r="E11" s="15">
        <v>0.5</v>
      </c>
    </row>
    <row r="12" spans="1:5" ht="17.25" customHeight="1" x14ac:dyDescent="0.2">
      <c r="A12" s="10"/>
      <c r="B12" s="2"/>
      <c r="C12" s="10"/>
      <c r="D12" s="7" t="s">
        <v>29</v>
      </c>
      <c r="E12" s="15">
        <v>0.5</v>
      </c>
    </row>
    <row r="13" spans="1:5" ht="17.25" customHeight="1" x14ac:dyDescent="0.2">
      <c r="A13" s="10"/>
      <c r="B13" s="2"/>
      <c r="C13" s="10"/>
      <c r="D13" s="7" t="s">
        <v>29</v>
      </c>
      <c r="E13" s="15">
        <v>0.5</v>
      </c>
    </row>
    <row r="14" spans="1:5" ht="17.25" customHeight="1" x14ac:dyDescent="0.2">
      <c r="A14" s="10"/>
      <c r="B14" s="2"/>
      <c r="C14" s="10"/>
      <c r="D14" s="7" t="s">
        <v>29</v>
      </c>
      <c r="E14" s="15">
        <v>0.5</v>
      </c>
    </row>
    <row r="15" spans="1:5" ht="17.25" customHeight="1" x14ac:dyDescent="0.2">
      <c r="A15" s="10"/>
      <c r="B15" s="2"/>
      <c r="C15" s="10"/>
      <c r="D15" s="7" t="s">
        <v>29</v>
      </c>
      <c r="E15" s="15">
        <v>0.5</v>
      </c>
    </row>
    <row r="16" spans="1:5" ht="17.25" customHeight="1" x14ac:dyDescent="0.2">
      <c r="A16" s="10"/>
      <c r="B16" s="2"/>
      <c r="C16" s="10"/>
      <c r="D16" s="7" t="s">
        <v>29</v>
      </c>
      <c r="E16" s="15">
        <v>0.5</v>
      </c>
    </row>
    <row r="17" spans="1:5" ht="17.25" customHeight="1" x14ac:dyDescent="0.2">
      <c r="A17" s="10"/>
      <c r="B17" s="2"/>
      <c r="C17" s="10"/>
      <c r="D17" s="7" t="s">
        <v>29</v>
      </c>
      <c r="E17" s="15">
        <v>0.5</v>
      </c>
    </row>
    <row r="18" spans="1:5" ht="17.25" customHeight="1" x14ac:dyDescent="0.2">
      <c r="A18" s="10"/>
      <c r="B18" s="2"/>
      <c r="C18" s="10"/>
      <c r="D18" s="7" t="s">
        <v>29</v>
      </c>
      <c r="E18" s="15">
        <v>0.5</v>
      </c>
    </row>
    <row r="19" spans="1:5" ht="17.25" customHeight="1" x14ac:dyDescent="0.2">
      <c r="A19" s="10"/>
      <c r="B19" s="2"/>
      <c r="C19" s="10"/>
      <c r="D19" s="7" t="s">
        <v>29</v>
      </c>
      <c r="E19" s="15">
        <v>0.5</v>
      </c>
    </row>
    <row r="20" spans="1:5" ht="17.25" customHeight="1" x14ac:dyDescent="0.2">
      <c r="A20" s="10"/>
      <c r="B20" s="2"/>
      <c r="C20" s="10"/>
      <c r="D20" s="7" t="s">
        <v>29</v>
      </c>
      <c r="E20" s="15">
        <v>0.5</v>
      </c>
    </row>
    <row r="21" spans="1:5" ht="17.25" customHeight="1" x14ac:dyDescent="0.2">
      <c r="A21" s="10"/>
      <c r="B21" s="2"/>
      <c r="C21" s="10"/>
      <c r="D21" s="7" t="s">
        <v>29</v>
      </c>
      <c r="E21" s="15">
        <v>0.5</v>
      </c>
    </row>
    <row r="22" spans="1:5" ht="17.25" customHeight="1" x14ac:dyDescent="0.2">
      <c r="A22" s="10"/>
      <c r="B22" s="2"/>
      <c r="C22" s="10"/>
      <c r="D22" s="7" t="s">
        <v>29</v>
      </c>
      <c r="E22" s="15">
        <v>0.5</v>
      </c>
    </row>
    <row r="23" spans="1:5" ht="17.25" customHeight="1" x14ac:dyDescent="0.2">
      <c r="A23" s="10"/>
      <c r="B23" s="2"/>
      <c r="C23" s="10"/>
      <c r="D23" s="7" t="s">
        <v>29</v>
      </c>
      <c r="E23" s="15">
        <v>0.5</v>
      </c>
    </row>
    <row r="24" spans="1:5" ht="17.25" customHeight="1" x14ac:dyDescent="0.2">
      <c r="A24" s="10"/>
      <c r="B24" s="2"/>
      <c r="C24" s="10"/>
      <c r="D24" s="7" t="s">
        <v>29</v>
      </c>
      <c r="E24" s="15">
        <v>0.5</v>
      </c>
    </row>
    <row r="25" spans="1:5" ht="17.25" customHeight="1" x14ac:dyDescent="0.2">
      <c r="A25" s="10"/>
      <c r="B25" s="2"/>
      <c r="C25" s="10"/>
      <c r="D25" s="7" t="s">
        <v>29</v>
      </c>
      <c r="E25" s="15">
        <v>0.5</v>
      </c>
    </row>
    <row r="26" spans="1:5" ht="17.25" customHeight="1" x14ac:dyDescent="0.2">
      <c r="A26" s="10"/>
      <c r="B26" s="2"/>
      <c r="C26" s="10"/>
      <c r="D26" s="7" t="s">
        <v>29</v>
      </c>
      <c r="E26" s="15">
        <v>0.5</v>
      </c>
    </row>
    <row r="27" spans="1:5" ht="17.25" customHeight="1" x14ac:dyDescent="0.2">
      <c r="A27" s="10"/>
      <c r="B27" s="2"/>
      <c r="C27" s="10"/>
      <c r="D27" s="7" t="s">
        <v>29</v>
      </c>
      <c r="E27" s="15">
        <v>0.5</v>
      </c>
    </row>
    <row r="28" spans="1:5" ht="17.25" customHeight="1" x14ac:dyDescent="0.2">
      <c r="A28" s="10"/>
      <c r="B28" s="2"/>
      <c r="C28" s="10"/>
      <c r="D28" s="7" t="s">
        <v>29</v>
      </c>
      <c r="E28" s="15">
        <v>0.5</v>
      </c>
    </row>
    <row r="29" spans="1:5" ht="17.25" customHeight="1" x14ac:dyDescent="0.2">
      <c r="A29" s="10"/>
      <c r="B29" s="2"/>
      <c r="C29" s="10"/>
      <c r="D29" s="7" t="s">
        <v>29</v>
      </c>
      <c r="E29" s="15">
        <v>0.5</v>
      </c>
    </row>
    <row r="30" spans="1:5" ht="17.25" customHeight="1" x14ac:dyDescent="0.2">
      <c r="A30" s="10"/>
      <c r="B30" s="2"/>
      <c r="C30" s="10"/>
      <c r="D30" s="7" t="s">
        <v>29</v>
      </c>
      <c r="E30" s="15">
        <v>0.5</v>
      </c>
    </row>
    <row r="31" spans="1:5" ht="17.25" customHeight="1" x14ac:dyDescent="0.2">
      <c r="A31" s="10"/>
      <c r="B31" s="2"/>
      <c r="C31" s="10"/>
      <c r="D31" s="7" t="s">
        <v>29</v>
      </c>
      <c r="E31" s="15">
        <v>0.5</v>
      </c>
    </row>
    <row r="32" spans="1:5" ht="17.25" customHeight="1" x14ac:dyDescent="0.2">
      <c r="A32" s="10"/>
      <c r="B32" s="2"/>
      <c r="C32" s="10"/>
      <c r="D32" s="7" t="s">
        <v>29</v>
      </c>
      <c r="E32" s="15">
        <v>0.5</v>
      </c>
    </row>
    <row r="33" spans="1:5" ht="17.25" customHeight="1" x14ac:dyDescent="0.2">
      <c r="A33" s="10"/>
      <c r="B33" s="2"/>
      <c r="C33" s="10"/>
      <c r="D33" s="7" t="s">
        <v>29</v>
      </c>
      <c r="E33" s="2">
        <v>1</v>
      </c>
    </row>
    <row r="34" spans="1:5" ht="17.25" customHeight="1" x14ac:dyDescent="0.2">
      <c r="A34" s="10"/>
      <c r="B34" s="2"/>
      <c r="C34" s="10"/>
      <c r="D34" s="7" t="s">
        <v>29</v>
      </c>
      <c r="E34" s="2">
        <v>1</v>
      </c>
    </row>
    <row r="35" spans="1:5" ht="17.25" customHeight="1" x14ac:dyDescent="0.2">
      <c r="A35" s="10"/>
      <c r="B35" s="2"/>
      <c r="C35" s="10"/>
      <c r="D35" s="7" t="s">
        <v>29</v>
      </c>
      <c r="E35" s="2">
        <v>1</v>
      </c>
    </row>
    <row r="36" spans="1:5" ht="17.25" customHeight="1" x14ac:dyDescent="0.2">
      <c r="A36" s="10"/>
      <c r="B36" s="2"/>
      <c r="C36" s="10"/>
      <c r="D36" s="7" t="s">
        <v>29</v>
      </c>
      <c r="E36" s="2">
        <v>1</v>
      </c>
    </row>
    <row r="37" spans="1:5" ht="17.25" customHeight="1" x14ac:dyDescent="0.2">
      <c r="A37" s="10"/>
      <c r="B37" s="2"/>
      <c r="C37" s="10"/>
      <c r="D37" s="7" t="s">
        <v>29</v>
      </c>
      <c r="E37" s="2">
        <v>1</v>
      </c>
    </row>
    <row r="38" spans="1:5" ht="17.25" customHeight="1" x14ac:dyDescent="0.2">
      <c r="A38" s="10"/>
      <c r="B38" s="2"/>
      <c r="C38" s="10"/>
      <c r="D38" s="7" t="s">
        <v>29</v>
      </c>
      <c r="E38" s="2">
        <v>1</v>
      </c>
    </row>
    <row r="39" spans="1:5" ht="17.25" customHeight="1" x14ac:dyDescent="0.2">
      <c r="A39" s="10"/>
      <c r="B39" s="2"/>
      <c r="C39" s="10"/>
      <c r="D39" s="7" t="s">
        <v>29</v>
      </c>
      <c r="E39" s="2">
        <v>1</v>
      </c>
    </row>
    <row r="40" spans="1:5" ht="17.25" customHeight="1" x14ac:dyDescent="0.2">
      <c r="A40" s="10"/>
      <c r="B40" s="2"/>
      <c r="C40" s="10"/>
      <c r="D40" s="7" t="s">
        <v>29</v>
      </c>
      <c r="E40" s="2">
        <v>1</v>
      </c>
    </row>
    <row r="41" spans="1:5" ht="17.25" customHeight="1" x14ac:dyDescent="0.2">
      <c r="A41" s="10"/>
      <c r="B41" s="2"/>
      <c r="C41" s="10"/>
      <c r="D41" s="7" t="s">
        <v>29</v>
      </c>
      <c r="E41" s="2">
        <v>1</v>
      </c>
    </row>
    <row r="42" spans="1:5" ht="17.25" customHeight="1" x14ac:dyDescent="0.2">
      <c r="A42" s="10"/>
      <c r="B42" s="2"/>
      <c r="C42" s="10"/>
      <c r="D42" s="7" t="s">
        <v>29</v>
      </c>
      <c r="E42" s="2">
        <v>1</v>
      </c>
    </row>
    <row r="43" spans="1:5" ht="17.25" customHeight="1" x14ac:dyDescent="0.2">
      <c r="A43" s="10"/>
      <c r="B43" s="2"/>
      <c r="C43" s="10"/>
      <c r="D43" s="7" t="s">
        <v>29</v>
      </c>
      <c r="E43" s="2">
        <v>1</v>
      </c>
    </row>
    <row r="44" spans="1:5" ht="17.25" customHeight="1" x14ac:dyDescent="0.2">
      <c r="A44" s="10"/>
      <c r="B44" s="2"/>
      <c r="C44" s="10"/>
      <c r="D44" s="7" t="s">
        <v>29</v>
      </c>
      <c r="E44" s="2">
        <v>1</v>
      </c>
    </row>
    <row r="45" spans="1:5" ht="17.25" customHeight="1" x14ac:dyDescent="0.2">
      <c r="A45" s="10"/>
      <c r="B45" s="2"/>
      <c r="C45" s="10"/>
      <c r="D45" s="7" t="s">
        <v>29</v>
      </c>
      <c r="E45" s="2">
        <v>1</v>
      </c>
    </row>
    <row r="46" spans="1:5" ht="17.25" customHeight="1" x14ac:dyDescent="0.2">
      <c r="A46" s="10"/>
      <c r="B46" s="2"/>
      <c r="C46" s="10"/>
      <c r="D46" s="7" t="s">
        <v>29</v>
      </c>
      <c r="E46" s="2">
        <v>1</v>
      </c>
    </row>
    <row r="47" spans="1:5" ht="17.25" customHeight="1" x14ac:dyDescent="0.2">
      <c r="A47" s="10"/>
      <c r="B47" s="2"/>
      <c r="C47" s="10"/>
      <c r="D47" s="7" t="s">
        <v>29</v>
      </c>
      <c r="E47" s="2">
        <v>1</v>
      </c>
    </row>
    <row r="48" spans="1:5" ht="17.25" customHeight="1" x14ac:dyDescent="0.2">
      <c r="A48" s="10"/>
      <c r="B48" s="2"/>
      <c r="C48" s="10"/>
      <c r="D48" s="7" t="s">
        <v>29</v>
      </c>
      <c r="E48" s="2">
        <v>1</v>
      </c>
    </row>
    <row r="49" spans="1:5" ht="17.25" customHeight="1" x14ac:dyDescent="0.2">
      <c r="A49" s="10"/>
      <c r="B49" s="2"/>
      <c r="C49" s="10"/>
      <c r="D49" s="7" t="s">
        <v>29</v>
      </c>
      <c r="E49" s="2">
        <v>1</v>
      </c>
    </row>
    <row r="50" spans="1:5" ht="17.25" customHeight="1" x14ac:dyDescent="0.2">
      <c r="A50" s="10"/>
      <c r="B50" s="2"/>
      <c r="C50" s="10"/>
      <c r="D50" s="7" t="s">
        <v>29</v>
      </c>
      <c r="E50" s="2">
        <v>1</v>
      </c>
    </row>
    <row r="51" spans="1:5" ht="17.25" customHeight="1" x14ac:dyDescent="0.2">
      <c r="A51" s="10"/>
      <c r="B51" s="2"/>
      <c r="C51" s="10"/>
      <c r="D51" s="7" t="s">
        <v>29</v>
      </c>
      <c r="E51" s="2">
        <v>1</v>
      </c>
    </row>
    <row r="52" spans="1:5" ht="17.25" customHeight="1" x14ac:dyDescent="0.2">
      <c r="A52" s="10"/>
      <c r="B52" s="2"/>
      <c r="C52" s="10"/>
      <c r="D52" s="7" t="s">
        <v>29</v>
      </c>
      <c r="E52" s="2">
        <v>1</v>
      </c>
    </row>
    <row r="53" spans="1:5" ht="17.25" customHeight="1" x14ac:dyDescent="0.2">
      <c r="A53" s="10"/>
      <c r="B53" s="2"/>
      <c r="C53" s="10"/>
      <c r="D53" s="7" t="s">
        <v>29</v>
      </c>
      <c r="E53" s="2">
        <v>1</v>
      </c>
    </row>
    <row r="54" spans="1:5" ht="17.25" customHeight="1" x14ac:dyDescent="0.2">
      <c r="A54" s="10"/>
      <c r="B54" s="2"/>
      <c r="C54" s="10"/>
      <c r="D54" s="7" t="s">
        <v>29</v>
      </c>
      <c r="E54" s="2">
        <v>1</v>
      </c>
    </row>
    <row r="55" spans="1:5" ht="17.25" customHeight="1" x14ac:dyDescent="0.2">
      <c r="A55" s="10"/>
      <c r="B55" s="2"/>
      <c r="C55" s="10"/>
      <c r="D55" s="7" t="s">
        <v>29</v>
      </c>
      <c r="E55" s="2">
        <v>1</v>
      </c>
    </row>
    <row r="56" spans="1:5" ht="17.25" customHeight="1" x14ac:dyDescent="0.2">
      <c r="A56" s="10"/>
      <c r="B56" s="2"/>
      <c r="C56" s="10"/>
      <c r="D56" s="7" t="s">
        <v>29</v>
      </c>
      <c r="E56" s="2">
        <v>1</v>
      </c>
    </row>
    <row r="57" spans="1:5" ht="17.25" customHeight="1" x14ac:dyDescent="0.2">
      <c r="A57" s="10"/>
      <c r="B57" s="2"/>
      <c r="C57" s="10"/>
      <c r="D57" s="7" t="s">
        <v>29</v>
      </c>
      <c r="E57" s="2">
        <v>1</v>
      </c>
    </row>
    <row r="58" spans="1:5" ht="17.25" customHeight="1" x14ac:dyDescent="0.2">
      <c r="A58" s="10"/>
      <c r="B58" s="2"/>
      <c r="C58" s="10"/>
      <c r="D58" s="7" t="s">
        <v>29</v>
      </c>
      <c r="E58" s="2">
        <v>1</v>
      </c>
    </row>
    <row r="59" spans="1:5" ht="17.25" customHeight="1" x14ac:dyDescent="0.2">
      <c r="A59" s="10"/>
      <c r="B59" s="2"/>
      <c r="C59" s="10"/>
      <c r="D59" s="7" t="s">
        <v>29</v>
      </c>
      <c r="E59" s="2">
        <v>1</v>
      </c>
    </row>
    <row r="60" spans="1:5" ht="17.25" customHeight="1" x14ac:dyDescent="0.2">
      <c r="A60" s="10"/>
      <c r="B60" s="2"/>
      <c r="C60" s="10"/>
      <c r="D60" s="7" t="s">
        <v>29</v>
      </c>
      <c r="E60" s="2">
        <v>1</v>
      </c>
    </row>
    <row r="61" spans="1:5" ht="17.25" customHeight="1" x14ac:dyDescent="0.2">
      <c r="A61" s="10"/>
      <c r="B61" s="2"/>
      <c r="C61" s="10"/>
      <c r="D61" s="7" t="s">
        <v>29</v>
      </c>
      <c r="E61" s="2">
        <v>1</v>
      </c>
    </row>
    <row r="62" spans="1:5" ht="17.25" customHeight="1" x14ac:dyDescent="0.2">
      <c r="A62" s="10"/>
      <c r="B62" s="2"/>
      <c r="C62" s="10"/>
      <c r="D62" s="7" t="s">
        <v>29</v>
      </c>
      <c r="E62" s="2">
        <v>1</v>
      </c>
    </row>
    <row r="63" spans="1:5" ht="17.25" customHeight="1" x14ac:dyDescent="0.2">
      <c r="A63" s="10"/>
      <c r="B63" s="2"/>
      <c r="C63" s="10"/>
      <c r="D63" s="7" t="s">
        <v>29</v>
      </c>
      <c r="E63" s="2">
        <v>1</v>
      </c>
    </row>
    <row r="64" spans="1:5" ht="17.25" customHeight="1" x14ac:dyDescent="0.2">
      <c r="A64" s="10"/>
      <c r="B64" s="2"/>
      <c r="C64" s="10"/>
      <c r="D64" s="7" t="s">
        <v>29</v>
      </c>
      <c r="E64" s="2">
        <v>1</v>
      </c>
    </row>
    <row r="65" spans="1:5" ht="17.25" customHeight="1" x14ac:dyDescent="0.2">
      <c r="A65" s="10"/>
      <c r="B65" s="2"/>
      <c r="C65" s="10"/>
      <c r="D65" s="7" t="s">
        <v>29</v>
      </c>
      <c r="E65" s="2">
        <v>1</v>
      </c>
    </row>
    <row r="66" spans="1:5" ht="17.25" customHeight="1" x14ac:dyDescent="0.2">
      <c r="A66" s="10"/>
      <c r="B66" s="2"/>
      <c r="C66" s="10"/>
      <c r="D66" s="7" t="s">
        <v>29</v>
      </c>
      <c r="E66" s="2">
        <v>1</v>
      </c>
    </row>
    <row r="67" spans="1:5" ht="17.25" customHeight="1" x14ac:dyDescent="0.2">
      <c r="A67" s="10"/>
      <c r="B67" s="2"/>
      <c r="C67" s="10"/>
      <c r="D67" s="7" t="s">
        <v>29</v>
      </c>
      <c r="E67" s="2">
        <v>1</v>
      </c>
    </row>
    <row r="68" spans="1:5" ht="17.25" customHeight="1" x14ac:dyDescent="0.2">
      <c r="A68" s="10"/>
      <c r="B68" s="2"/>
      <c r="C68" s="10"/>
      <c r="D68" s="7" t="s">
        <v>29</v>
      </c>
      <c r="E68" s="2">
        <v>1</v>
      </c>
    </row>
    <row r="69" spans="1:5" ht="17.25" customHeight="1" x14ac:dyDescent="0.2">
      <c r="A69" s="10"/>
      <c r="B69" s="2"/>
      <c r="C69" s="10"/>
      <c r="D69" s="7" t="s">
        <v>29</v>
      </c>
      <c r="E69" s="2">
        <v>1</v>
      </c>
    </row>
    <row r="70" spans="1:5" ht="17.25" customHeight="1" x14ac:dyDescent="0.2">
      <c r="A70" s="10"/>
      <c r="B70" s="2"/>
      <c r="C70" s="10"/>
      <c r="D70" s="7" t="s">
        <v>29</v>
      </c>
      <c r="E70" s="2">
        <v>1</v>
      </c>
    </row>
    <row r="71" spans="1:5" ht="17.25" customHeight="1" x14ac:dyDescent="0.2">
      <c r="A71" s="10"/>
      <c r="B71" s="2"/>
      <c r="C71" s="10"/>
      <c r="D71" s="7" t="s">
        <v>29</v>
      </c>
      <c r="E71" s="2">
        <v>1</v>
      </c>
    </row>
    <row r="72" spans="1:5" ht="17.25" customHeight="1" x14ac:dyDescent="0.2">
      <c r="A72" s="10"/>
      <c r="B72" s="2"/>
      <c r="C72" s="10"/>
      <c r="D72" s="7" t="s">
        <v>29</v>
      </c>
      <c r="E72" s="2">
        <v>1</v>
      </c>
    </row>
    <row r="73" spans="1:5" ht="17.25" customHeight="1" x14ac:dyDescent="0.2">
      <c r="A73" s="10"/>
      <c r="B73" s="2"/>
      <c r="C73" s="10"/>
      <c r="D73" s="7" t="s">
        <v>29</v>
      </c>
      <c r="E73" s="2">
        <v>1</v>
      </c>
    </row>
    <row r="74" spans="1:5" ht="17.25" customHeight="1" x14ac:dyDescent="0.2">
      <c r="A74" s="10"/>
      <c r="B74" s="2"/>
      <c r="C74" s="10"/>
      <c r="D74" s="7" t="s">
        <v>29</v>
      </c>
      <c r="E74" s="2">
        <v>1</v>
      </c>
    </row>
    <row r="75" spans="1:5" ht="17.25" customHeight="1" x14ac:dyDescent="0.2">
      <c r="A75" s="10"/>
      <c r="B75" s="2"/>
      <c r="C75" s="10"/>
      <c r="D75" s="7" t="s">
        <v>29</v>
      </c>
      <c r="E75" s="2">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AA517"/>
  <sheetViews>
    <sheetView workbookViewId="0"/>
  </sheetViews>
  <sheetFormatPr baseColWidth="10" defaultColWidth="8.83203125" defaultRowHeight="15" x14ac:dyDescent="0.2"/>
  <cols>
    <col min="1" max="3" width="11.83203125" style="8" bestFit="1" customWidth="1"/>
    <col min="4" max="7" width="11.83203125" bestFit="1" customWidth="1"/>
    <col min="8" max="9" width="11.83203125" style="12" bestFit="1" customWidth="1"/>
    <col min="10" max="11" width="11.83203125" bestFit="1" customWidth="1"/>
    <col min="12" max="12" width="11.83203125" style="8" bestFit="1" customWidth="1"/>
    <col min="13" max="27" width="11.83203125" bestFit="1" customWidth="1"/>
  </cols>
  <sheetData>
    <row r="1" spans="1:27" ht="17.25" customHeight="1" x14ac:dyDescent="0.2">
      <c r="A1" s="1" t="s">
        <v>1</v>
      </c>
      <c r="B1" s="1" t="s">
        <v>2</v>
      </c>
      <c r="C1" s="1" t="s">
        <v>3</v>
      </c>
      <c r="D1" s="4" t="s">
        <v>4</v>
      </c>
      <c r="E1" s="4" t="s">
        <v>5</v>
      </c>
      <c r="F1" s="4" t="s">
        <v>6</v>
      </c>
      <c r="G1" s="4"/>
      <c r="H1" s="5" t="s">
        <v>7</v>
      </c>
      <c r="I1" s="5" t="s">
        <v>8</v>
      </c>
      <c r="J1" s="4"/>
      <c r="K1" s="4" t="s">
        <v>9</v>
      </c>
      <c r="L1" s="1" t="s">
        <v>10</v>
      </c>
      <c r="M1" s="4"/>
      <c r="N1" s="4"/>
      <c r="O1" s="4"/>
      <c r="P1" s="4"/>
      <c r="Q1" s="4"/>
      <c r="R1" s="4"/>
      <c r="S1" s="4"/>
      <c r="T1" s="4"/>
      <c r="U1" s="4"/>
      <c r="V1" s="4"/>
      <c r="W1" s="4"/>
      <c r="X1" s="4"/>
      <c r="Y1" s="4"/>
      <c r="Z1" s="4"/>
      <c r="AA1" s="4"/>
    </row>
    <row r="2" spans="1:27" ht="17.25" customHeight="1" x14ac:dyDescent="0.2">
      <c r="A2" s="2">
        <v>0</v>
      </c>
      <c r="B2" s="2">
        <v>0</v>
      </c>
      <c r="C2" s="2">
        <v>0</v>
      </c>
      <c r="D2" s="2"/>
      <c r="H2" s="6">
        <v>0</v>
      </c>
      <c r="I2" s="6">
        <v>0</v>
      </c>
      <c r="K2" s="7" t="s">
        <v>20</v>
      </c>
      <c r="L2" s="2">
        <v>100</v>
      </c>
    </row>
    <row r="3" spans="1:27" ht="17.25" customHeight="1" x14ac:dyDescent="0.2">
      <c r="D3" s="2"/>
      <c r="H3" s="6"/>
      <c r="I3" s="6"/>
      <c r="K3" s="7"/>
    </row>
    <row r="4" spans="1:27" ht="17.25" customHeight="1" x14ac:dyDescent="0.2">
      <c r="A4" s="9"/>
      <c r="B4" s="2"/>
      <c r="C4" s="2"/>
      <c r="D4" s="10"/>
      <c r="E4" s="10"/>
      <c r="F4" s="10"/>
      <c r="H4" s="11" t="e">
        <f t="shared" ref="H4:H29" si="0">F4/D4</f>
        <v>#DIV/0!</v>
      </c>
      <c r="I4" s="11" t="e">
        <f t="shared" ref="I4:I29" si="1">SQRT(F4)/D4</f>
        <v>#DIV/0!</v>
      </c>
      <c r="K4" s="7" t="s">
        <v>20</v>
      </c>
      <c r="L4" s="2">
        <v>1</v>
      </c>
    </row>
    <row r="5" spans="1:27" ht="17.25" customHeight="1" x14ac:dyDescent="0.2">
      <c r="A5" s="9"/>
      <c r="B5" s="2"/>
      <c r="C5" s="2"/>
      <c r="D5" s="10"/>
      <c r="E5" s="7"/>
      <c r="F5" s="10"/>
      <c r="H5" s="6" t="e">
        <f t="shared" si="0"/>
        <v>#DIV/0!</v>
      </c>
      <c r="I5" s="6" t="e">
        <f t="shared" si="1"/>
        <v>#DIV/0!</v>
      </c>
      <c r="K5" s="7" t="s">
        <v>20</v>
      </c>
      <c r="L5" s="2">
        <v>1</v>
      </c>
    </row>
    <row r="6" spans="1:27" ht="17.25" customHeight="1" x14ac:dyDescent="0.2">
      <c r="A6" s="9"/>
      <c r="B6" s="2"/>
      <c r="C6" s="2"/>
      <c r="D6" s="10"/>
      <c r="E6" s="7"/>
      <c r="F6" s="10"/>
      <c r="H6" s="6" t="e">
        <f t="shared" si="0"/>
        <v>#DIV/0!</v>
      </c>
      <c r="I6" s="6" t="e">
        <f t="shared" si="1"/>
        <v>#DIV/0!</v>
      </c>
      <c r="K6" s="7" t="s">
        <v>20</v>
      </c>
      <c r="L6" s="2">
        <v>1</v>
      </c>
    </row>
    <row r="7" spans="1:27" ht="17.25" customHeight="1" x14ac:dyDescent="0.2">
      <c r="A7" s="9"/>
      <c r="B7" s="2"/>
      <c r="C7" s="2"/>
      <c r="D7" s="10"/>
      <c r="E7" s="7"/>
      <c r="F7" s="10"/>
      <c r="H7" s="6" t="e">
        <f t="shared" si="0"/>
        <v>#DIV/0!</v>
      </c>
      <c r="I7" s="6" t="e">
        <f t="shared" si="1"/>
        <v>#DIV/0!</v>
      </c>
      <c r="K7" s="7" t="s">
        <v>20</v>
      </c>
      <c r="L7" s="2">
        <v>1</v>
      </c>
    </row>
    <row r="8" spans="1:27" ht="17.25" customHeight="1" x14ac:dyDescent="0.2">
      <c r="A8" s="9"/>
      <c r="B8" s="2"/>
      <c r="C8" s="2"/>
      <c r="D8" s="10"/>
      <c r="E8" s="7"/>
      <c r="F8" s="10"/>
      <c r="H8" s="6" t="e">
        <f t="shared" si="0"/>
        <v>#DIV/0!</v>
      </c>
      <c r="I8" s="6" t="e">
        <f t="shared" si="1"/>
        <v>#DIV/0!</v>
      </c>
      <c r="K8" s="7" t="s">
        <v>20</v>
      </c>
      <c r="L8" s="2">
        <v>1</v>
      </c>
    </row>
    <row r="9" spans="1:27" ht="17.25" customHeight="1" x14ac:dyDescent="0.2">
      <c r="A9" s="9"/>
      <c r="B9" s="2"/>
      <c r="C9" s="2"/>
      <c r="D9" s="10"/>
      <c r="E9" s="7"/>
      <c r="F9" s="10"/>
      <c r="H9" s="6" t="e">
        <f t="shared" si="0"/>
        <v>#DIV/0!</v>
      </c>
      <c r="I9" s="6" t="e">
        <f t="shared" si="1"/>
        <v>#DIV/0!</v>
      </c>
      <c r="K9" s="7" t="s">
        <v>20</v>
      </c>
      <c r="L9" s="2">
        <v>1</v>
      </c>
    </row>
    <row r="10" spans="1:27" ht="17.25" customHeight="1" x14ac:dyDescent="0.2">
      <c r="A10" s="9"/>
      <c r="B10" s="2"/>
      <c r="C10" s="2"/>
      <c r="D10" s="10"/>
      <c r="E10" s="7"/>
      <c r="F10" s="10"/>
      <c r="H10" s="6" t="e">
        <f t="shared" si="0"/>
        <v>#DIV/0!</v>
      </c>
      <c r="I10" s="6" t="e">
        <f t="shared" si="1"/>
        <v>#DIV/0!</v>
      </c>
      <c r="K10" s="7" t="s">
        <v>20</v>
      </c>
      <c r="L10" s="2">
        <v>1</v>
      </c>
    </row>
    <row r="11" spans="1:27" ht="17.25" customHeight="1" x14ac:dyDescent="0.2">
      <c r="A11" s="9"/>
      <c r="B11" s="2"/>
      <c r="C11" s="2"/>
      <c r="D11" s="10"/>
      <c r="E11" s="7"/>
      <c r="F11" s="10"/>
      <c r="H11" s="6" t="e">
        <f t="shared" si="0"/>
        <v>#DIV/0!</v>
      </c>
      <c r="I11" s="6" t="e">
        <f t="shared" si="1"/>
        <v>#DIV/0!</v>
      </c>
      <c r="K11" s="7" t="s">
        <v>20</v>
      </c>
      <c r="L11" s="2">
        <v>1</v>
      </c>
    </row>
    <row r="12" spans="1:27" ht="17.25" customHeight="1" x14ac:dyDescent="0.2">
      <c r="A12" s="9"/>
      <c r="B12" s="2"/>
      <c r="C12" s="2"/>
      <c r="D12" s="10"/>
      <c r="E12" s="7"/>
      <c r="F12" s="10"/>
      <c r="H12" s="6" t="e">
        <f t="shared" si="0"/>
        <v>#DIV/0!</v>
      </c>
      <c r="I12" s="6" t="e">
        <f t="shared" si="1"/>
        <v>#DIV/0!</v>
      </c>
      <c r="K12" s="7" t="s">
        <v>20</v>
      </c>
      <c r="L12" s="2">
        <v>1</v>
      </c>
    </row>
    <row r="13" spans="1:27" ht="17.25" customHeight="1" x14ac:dyDescent="0.2">
      <c r="A13" s="9"/>
      <c r="B13" s="2"/>
      <c r="C13" s="2"/>
      <c r="D13" s="10"/>
      <c r="E13" s="7"/>
      <c r="F13" s="10"/>
      <c r="H13" s="6" t="e">
        <f t="shared" si="0"/>
        <v>#DIV/0!</v>
      </c>
      <c r="I13" s="6" t="e">
        <f t="shared" si="1"/>
        <v>#DIV/0!</v>
      </c>
      <c r="K13" s="7" t="s">
        <v>20</v>
      </c>
      <c r="L13" s="2">
        <v>1</v>
      </c>
    </row>
    <row r="14" spans="1:27" ht="17.25" customHeight="1" x14ac:dyDescent="0.2">
      <c r="A14" s="9"/>
      <c r="B14" s="2"/>
      <c r="C14" s="2"/>
      <c r="D14" s="10"/>
      <c r="E14" s="7"/>
      <c r="F14" s="10"/>
      <c r="H14" s="6" t="e">
        <f t="shared" si="0"/>
        <v>#DIV/0!</v>
      </c>
      <c r="I14" s="6" t="e">
        <f t="shared" si="1"/>
        <v>#DIV/0!</v>
      </c>
      <c r="K14" s="7" t="s">
        <v>20</v>
      </c>
      <c r="L14" s="2">
        <v>1</v>
      </c>
    </row>
    <row r="15" spans="1:27" ht="17.25" customHeight="1" x14ac:dyDescent="0.2">
      <c r="A15" s="9"/>
      <c r="B15" s="2"/>
      <c r="C15" s="2"/>
      <c r="D15" s="10"/>
      <c r="E15" s="7"/>
      <c r="F15" s="10"/>
      <c r="H15" s="6" t="e">
        <f t="shared" si="0"/>
        <v>#DIV/0!</v>
      </c>
      <c r="I15" s="6" t="e">
        <f t="shared" si="1"/>
        <v>#DIV/0!</v>
      </c>
      <c r="K15" s="7" t="s">
        <v>20</v>
      </c>
      <c r="L15" s="2">
        <v>1</v>
      </c>
    </row>
    <row r="16" spans="1:27" ht="17.25" customHeight="1" x14ac:dyDescent="0.2">
      <c r="A16" s="9"/>
      <c r="B16" s="2"/>
      <c r="C16" s="2"/>
      <c r="D16" s="10"/>
      <c r="E16" s="7"/>
      <c r="F16" s="10"/>
      <c r="H16" s="6" t="e">
        <f t="shared" si="0"/>
        <v>#DIV/0!</v>
      </c>
      <c r="I16" s="6" t="e">
        <f t="shared" si="1"/>
        <v>#DIV/0!</v>
      </c>
      <c r="K16" s="7" t="s">
        <v>20</v>
      </c>
      <c r="L16" s="2">
        <v>1</v>
      </c>
    </row>
    <row r="17" spans="1:12" ht="17.25" customHeight="1" x14ac:dyDescent="0.2">
      <c r="A17" s="9"/>
      <c r="B17" s="2"/>
      <c r="C17" s="2"/>
      <c r="D17" s="10"/>
      <c r="E17" s="7"/>
      <c r="F17" s="10"/>
      <c r="H17" s="6" t="e">
        <f t="shared" si="0"/>
        <v>#DIV/0!</v>
      </c>
      <c r="I17" s="6" t="e">
        <f t="shared" si="1"/>
        <v>#DIV/0!</v>
      </c>
      <c r="K17" s="7" t="s">
        <v>20</v>
      </c>
      <c r="L17" s="2">
        <v>1</v>
      </c>
    </row>
    <row r="18" spans="1:12" ht="17.25" customHeight="1" x14ac:dyDescent="0.2">
      <c r="A18" s="9"/>
      <c r="B18" s="2"/>
      <c r="C18" s="2"/>
      <c r="D18" s="10"/>
      <c r="E18" s="7"/>
      <c r="F18" s="10"/>
      <c r="H18" s="6" t="e">
        <f t="shared" si="0"/>
        <v>#DIV/0!</v>
      </c>
      <c r="I18" s="6" t="e">
        <f t="shared" si="1"/>
        <v>#DIV/0!</v>
      </c>
      <c r="K18" s="7" t="s">
        <v>20</v>
      </c>
      <c r="L18" s="2">
        <v>1</v>
      </c>
    </row>
    <row r="19" spans="1:12" ht="17.25" customHeight="1" x14ac:dyDescent="0.2">
      <c r="A19" s="9"/>
      <c r="B19" s="2"/>
      <c r="C19" s="2"/>
      <c r="D19" s="10"/>
      <c r="E19" s="7"/>
      <c r="F19" s="10"/>
      <c r="H19" s="6" t="e">
        <f t="shared" si="0"/>
        <v>#DIV/0!</v>
      </c>
      <c r="I19" s="6" t="e">
        <f t="shared" si="1"/>
        <v>#DIV/0!</v>
      </c>
      <c r="K19" s="7" t="s">
        <v>20</v>
      </c>
      <c r="L19" s="2">
        <v>1</v>
      </c>
    </row>
    <row r="20" spans="1:12" ht="17.25" customHeight="1" x14ac:dyDescent="0.2">
      <c r="A20" s="9"/>
      <c r="B20" s="2"/>
      <c r="C20" s="2"/>
      <c r="D20" s="10"/>
      <c r="E20" s="7"/>
      <c r="F20" s="10"/>
      <c r="H20" s="6" t="e">
        <f t="shared" si="0"/>
        <v>#DIV/0!</v>
      </c>
      <c r="I20" s="6" t="e">
        <f t="shared" si="1"/>
        <v>#DIV/0!</v>
      </c>
      <c r="K20" s="7" t="s">
        <v>20</v>
      </c>
      <c r="L20" s="2">
        <v>1</v>
      </c>
    </row>
    <row r="21" spans="1:12" ht="17.25" customHeight="1" x14ac:dyDescent="0.2">
      <c r="A21" s="9"/>
      <c r="B21" s="2"/>
      <c r="C21" s="2"/>
      <c r="D21" s="10"/>
      <c r="E21" s="7"/>
      <c r="F21" s="10"/>
      <c r="H21" s="6" t="e">
        <f t="shared" si="0"/>
        <v>#DIV/0!</v>
      </c>
      <c r="I21" s="6" t="e">
        <f t="shared" si="1"/>
        <v>#DIV/0!</v>
      </c>
      <c r="K21" s="7" t="s">
        <v>20</v>
      </c>
      <c r="L21" s="2">
        <v>1</v>
      </c>
    </row>
    <row r="22" spans="1:12" ht="17.25" customHeight="1" x14ac:dyDescent="0.2">
      <c r="A22" s="9"/>
      <c r="B22" s="2"/>
      <c r="C22" s="2"/>
      <c r="D22" s="10"/>
      <c r="E22" s="7"/>
      <c r="F22" s="10"/>
      <c r="H22" s="6" t="e">
        <f t="shared" si="0"/>
        <v>#DIV/0!</v>
      </c>
      <c r="I22" s="6" t="e">
        <f t="shared" si="1"/>
        <v>#DIV/0!</v>
      </c>
      <c r="K22" s="7" t="s">
        <v>20</v>
      </c>
      <c r="L22" s="2">
        <v>1</v>
      </c>
    </row>
    <row r="23" spans="1:12" ht="17.25" customHeight="1" x14ac:dyDescent="0.2">
      <c r="A23" s="9"/>
      <c r="B23" s="2"/>
      <c r="C23" s="2"/>
      <c r="D23" s="10"/>
      <c r="E23" s="10"/>
      <c r="F23" s="10"/>
      <c r="H23" s="11" t="e">
        <f t="shared" si="0"/>
        <v>#DIV/0!</v>
      </c>
      <c r="I23" s="11" t="e">
        <f t="shared" si="1"/>
        <v>#DIV/0!</v>
      </c>
      <c r="K23" s="7" t="s">
        <v>20</v>
      </c>
      <c r="L23" s="2">
        <v>1</v>
      </c>
    </row>
    <row r="24" spans="1:12" ht="17.25" customHeight="1" x14ac:dyDescent="0.2">
      <c r="A24" s="9"/>
      <c r="B24" s="2"/>
      <c r="C24" s="2"/>
      <c r="D24" s="10"/>
      <c r="E24" s="7"/>
      <c r="F24" s="10"/>
      <c r="H24" s="6" t="e">
        <f t="shared" si="0"/>
        <v>#DIV/0!</v>
      </c>
      <c r="I24" s="6" t="e">
        <f t="shared" si="1"/>
        <v>#DIV/0!</v>
      </c>
      <c r="K24" s="7" t="s">
        <v>20</v>
      </c>
      <c r="L24" s="2">
        <v>1</v>
      </c>
    </row>
    <row r="25" spans="1:12" ht="17.25" customHeight="1" x14ac:dyDescent="0.2">
      <c r="A25" s="9"/>
      <c r="B25" s="2"/>
      <c r="C25" s="2"/>
      <c r="D25" s="10"/>
      <c r="E25" s="7"/>
      <c r="F25" s="10"/>
      <c r="H25" s="6" t="e">
        <f t="shared" si="0"/>
        <v>#DIV/0!</v>
      </c>
      <c r="I25" s="6" t="e">
        <f t="shared" si="1"/>
        <v>#DIV/0!</v>
      </c>
      <c r="K25" s="7" t="s">
        <v>20</v>
      </c>
      <c r="L25" s="2">
        <v>1</v>
      </c>
    </row>
    <row r="26" spans="1:12" ht="17.25" customHeight="1" x14ac:dyDescent="0.2">
      <c r="A26" s="9"/>
      <c r="B26" s="2"/>
      <c r="C26" s="2"/>
      <c r="D26" s="10"/>
      <c r="E26" s="7"/>
      <c r="F26" s="10"/>
      <c r="H26" s="6" t="e">
        <f t="shared" si="0"/>
        <v>#DIV/0!</v>
      </c>
      <c r="I26" s="6" t="e">
        <f t="shared" si="1"/>
        <v>#DIV/0!</v>
      </c>
      <c r="K26" s="7" t="s">
        <v>20</v>
      </c>
      <c r="L26" s="2">
        <v>1</v>
      </c>
    </row>
    <row r="27" spans="1:12" ht="17.25" customHeight="1" x14ac:dyDescent="0.2">
      <c r="A27" s="9"/>
      <c r="B27" s="2"/>
      <c r="C27" s="2"/>
      <c r="D27" s="10"/>
      <c r="E27" s="7"/>
      <c r="F27" s="10"/>
      <c r="H27" s="6" t="e">
        <f t="shared" si="0"/>
        <v>#DIV/0!</v>
      </c>
      <c r="I27" s="6" t="e">
        <f t="shared" si="1"/>
        <v>#DIV/0!</v>
      </c>
      <c r="K27" s="7" t="s">
        <v>20</v>
      </c>
      <c r="L27" s="2">
        <v>1</v>
      </c>
    </row>
    <row r="28" spans="1:12" ht="17.25" customHeight="1" x14ac:dyDescent="0.2">
      <c r="A28" s="9"/>
      <c r="B28" s="2"/>
      <c r="C28" s="2"/>
      <c r="D28" s="10"/>
      <c r="E28" s="7"/>
      <c r="F28" s="10"/>
      <c r="H28" s="6" t="e">
        <f t="shared" si="0"/>
        <v>#DIV/0!</v>
      </c>
      <c r="I28" s="6" t="e">
        <f t="shared" si="1"/>
        <v>#DIV/0!</v>
      </c>
      <c r="K28" s="7" t="s">
        <v>20</v>
      </c>
      <c r="L28" s="2">
        <v>1</v>
      </c>
    </row>
    <row r="29" spans="1:12" ht="17.25" customHeight="1" x14ac:dyDescent="0.2">
      <c r="A29" s="9"/>
      <c r="B29" s="2"/>
      <c r="C29" s="2"/>
      <c r="D29" s="10"/>
      <c r="E29" s="7"/>
      <c r="F29" s="10"/>
      <c r="H29" s="6" t="e">
        <f t="shared" si="0"/>
        <v>#DIV/0!</v>
      </c>
      <c r="I29" s="6" t="e">
        <f t="shared" si="1"/>
        <v>#DIV/0!</v>
      </c>
      <c r="K29" s="7" t="s">
        <v>20</v>
      </c>
      <c r="L29" s="2">
        <v>1</v>
      </c>
    </row>
    <row r="30" spans="1:12" ht="17.25" customHeight="1" x14ac:dyDescent="0.2">
      <c r="D30" s="2"/>
      <c r="H30" s="6"/>
      <c r="I30" s="6"/>
      <c r="K30" s="7"/>
      <c r="L30" s="9"/>
    </row>
    <row r="31" spans="1:12" ht="17.25" customHeight="1" x14ac:dyDescent="0.2">
      <c r="A31" s="9"/>
      <c r="B31" s="2"/>
      <c r="C31" s="2"/>
      <c r="D31" s="10"/>
      <c r="E31" s="7"/>
      <c r="F31" s="10"/>
      <c r="H31" s="6" t="e">
        <f t="shared" ref="H31:H64" si="2">F31/D31</f>
        <v>#DIV/0!</v>
      </c>
      <c r="I31" s="6" t="e">
        <f t="shared" ref="I31:I64" si="3">SQRT(F31)/D31</f>
        <v>#DIV/0!</v>
      </c>
      <c r="K31" s="7" t="s">
        <v>21</v>
      </c>
      <c r="L31" s="2">
        <v>1</v>
      </c>
    </row>
    <row r="32" spans="1:12" ht="17.25" customHeight="1" x14ac:dyDescent="0.2">
      <c r="A32" s="9"/>
      <c r="B32" s="2"/>
      <c r="C32" s="2"/>
      <c r="D32" s="10"/>
      <c r="E32" s="7"/>
      <c r="F32" s="10"/>
      <c r="H32" s="6" t="e">
        <f t="shared" si="2"/>
        <v>#DIV/0!</v>
      </c>
      <c r="I32" s="6" t="e">
        <f t="shared" si="3"/>
        <v>#DIV/0!</v>
      </c>
      <c r="K32" s="7" t="s">
        <v>21</v>
      </c>
      <c r="L32" s="2">
        <v>1</v>
      </c>
    </row>
    <row r="33" spans="1:12" ht="17.25" customHeight="1" x14ac:dyDescent="0.2">
      <c r="A33" s="9"/>
      <c r="B33" s="2"/>
      <c r="C33" s="2"/>
      <c r="D33" s="10"/>
      <c r="E33" s="7"/>
      <c r="F33" s="10"/>
      <c r="H33" s="6" t="e">
        <f t="shared" si="2"/>
        <v>#DIV/0!</v>
      </c>
      <c r="I33" s="6" t="e">
        <f t="shared" si="3"/>
        <v>#DIV/0!</v>
      </c>
      <c r="K33" s="7" t="s">
        <v>21</v>
      </c>
      <c r="L33" s="2">
        <v>1</v>
      </c>
    </row>
    <row r="34" spans="1:12" ht="17.25" customHeight="1" x14ac:dyDescent="0.2">
      <c r="A34" s="9"/>
      <c r="B34" s="2"/>
      <c r="C34" s="2"/>
      <c r="D34" s="10"/>
      <c r="E34" s="7"/>
      <c r="F34" s="10"/>
      <c r="H34" s="6" t="e">
        <f t="shared" si="2"/>
        <v>#DIV/0!</v>
      </c>
      <c r="I34" s="6" t="e">
        <f t="shared" si="3"/>
        <v>#DIV/0!</v>
      </c>
      <c r="K34" s="7" t="s">
        <v>21</v>
      </c>
      <c r="L34" s="2">
        <v>1</v>
      </c>
    </row>
    <row r="35" spans="1:12" ht="17.25" customHeight="1" x14ac:dyDescent="0.2">
      <c r="A35" s="9"/>
      <c r="B35" s="2"/>
      <c r="C35" s="2"/>
      <c r="D35" s="10"/>
      <c r="E35" s="7"/>
      <c r="F35" s="10"/>
      <c r="H35" s="6" t="e">
        <f t="shared" si="2"/>
        <v>#DIV/0!</v>
      </c>
      <c r="I35" s="6" t="e">
        <f t="shared" si="3"/>
        <v>#DIV/0!</v>
      </c>
      <c r="K35" s="7" t="s">
        <v>21</v>
      </c>
      <c r="L35" s="2">
        <v>1</v>
      </c>
    </row>
    <row r="36" spans="1:12" ht="17.25" customHeight="1" x14ac:dyDescent="0.2">
      <c r="A36" s="2"/>
      <c r="B36" s="2"/>
      <c r="C36" s="2"/>
      <c r="D36" s="10"/>
      <c r="E36" s="7"/>
      <c r="F36" s="10"/>
      <c r="H36" s="11" t="e">
        <f t="shared" si="2"/>
        <v>#DIV/0!</v>
      </c>
      <c r="I36" s="11" t="e">
        <f t="shared" si="3"/>
        <v>#DIV/0!</v>
      </c>
      <c r="K36" s="7" t="s">
        <v>21</v>
      </c>
      <c r="L36" s="2">
        <v>1</v>
      </c>
    </row>
    <row r="37" spans="1:12" ht="17.25" customHeight="1" x14ac:dyDescent="0.2">
      <c r="A37" s="9"/>
      <c r="B37" s="2"/>
      <c r="C37" s="2"/>
      <c r="D37" s="10"/>
      <c r="E37" s="7"/>
      <c r="F37" s="10"/>
      <c r="H37" s="6" t="e">
        <f t="shared" si="2"/>
        <v>#DIV/0!</v>
      </c>
      <c r="I37" s="6" t="e">
        <f t="shared" si="3"/>
        <v>#DIV/0!</v>
      </c>
      <c r="K37" s="7" t="s">
        <v>21</v>
      </c>
      <c r="L37" s="2">
        <v>1</v>
      </c>
    </row>
    <row r="38" spans="1:12" ht="17.25" customHeight="1" x14ac:dyDescent="0.2">
      <c r="A38" s="9"/>
      <c r="B38" s="2"/>
      <c r="C38" s="2"/>
      <c r="D38" s="10"/>
      <c r="E38" s="7"/>
      <c r="F38" s="10"/>
      <c r="H38" s="6" t="e">
        <f t="shared" si="2"/>
        <v>#DIV/0!</v>
      </c>
      <c r="I38" s="6" t="e">
        <f t="shared" si="3"/>
        <v>#DIV/0!</v>
      </c>
      <c r="K38" s="7" t="s">
        <v>21</v>
      </c>
      <c r="L38" s="2">
        <v>1</v>
      </c>
    </row>
    <row r="39" spans="1:12" ht="17.25" customHeight="1" x14ac:dyDescent="0.2">
      <c r="A39" s="9"/>
      <c r="B39" s="2"/>
      <c r="C39" s="2"/>
      <c r="D39" s="10"/>
      <c r="E39" s="7"/>
      <c r="F39" s="10"/>
      <c r="H39" s="6" t="e">
        <f t="shared" si="2"/>
        <v>#DIV/0!</v>
      </c>
      <c r="I39" s="6" t="e">
        <f t="shared" si="3"/>
        <v>#DIV/0!</v>
      </c>
      <c r="K39" s="7" t="s">
        <v>21</v>
      </c>
      <c r="L39" s="2">
        <v>1</v>
      </c>
    </row>
    <row r="40" spans="1:12" ht="17.25" customHeight="1" x14ac:dyDescent="0.2">
      <c r="A40" s="9"/>
      <c r="B40" s="2"/>
      <c r="C40" s="2"/>
      <c r="D40" s="10"/>
      <c r="E40" s="7"/>
      <c r="F40" s="10"/>
      <c r="H40" s="6" t="e">
        <f t="shared" si="2"/>
        <v>#DIV/0!</v>
      </c>
      <c r="I40" s="6" t="e">
        <f t="shared" si="3"/>
        <v>#DIV/0!</v>
      </c>
      <c r="K40" s="7" t="s">
        <v>21</v>
      </c>
      <c r="L40" s="2">
        <v>1</v>
      </c>
    </row>
    <row r="41" spans="1:12" ht="17.25" customHeight="1" x14ac:dyDescent="0.2">
      <c r="A41" s="9"/>
      <c r="B41" s="2"/>
      <c r="C41" s="2"/>
      <c r="D41" s="10"/>
      <c r="E41" s="7"/>
      <c r="F41" s="10"/>
      <c r="H41" s="6" t="e">
        <f t="shared" si="2"/>
        <v>#DIV/0!</v>
      </c>
      <c r="I41" s="6" t="e">
        <f t="shared" si="3"/>
        <v>#DIV/0!</v>
      </c>
      <c r="K41" s="7" t="s">
        <v>21</v>
      </c>
      <c r="L41" s="2">
        <v>1</v>
      </c>
    </row>
    <row r="42" spans="1:12" ht="17.25" customHeight="1" x14ac:dyDescent="0.2">
      <c r="A42" s="9"/>
      <c r="B42" s="2"/>
      <c r="C42" s="2"/>
      <c r="D42" s="10"/>
      <c r="E42" s="7"/>
      <c r="F42" s="10"/>
      <c r="H42" s="6" t="e">
        <f t="shared" si="2"/>
        <v>#DIV/0!</v>
      </c>
      <c r="I42" s="6" t="e">
        <f t="shared" si="3"/>
        <v>#DIV/0!</v>
      </c>
      <c r="K42" s="7" t="s">
        <v>21</v>
      </c>
      <c r="L42" s="2">
        <v>1</v>
      </c>
    </row>
    <row r="43" spans="1:12" ht="17.25" customHeight="1" x14ac:dyDescent="0.2">
      <c r="A43" s="9"/>
      <c r="B43" s="2"/>
      <c r="C43" s="2"/>
      <c r="D43" s="10"/>
      <c r="E43" s="7"/>
      <c r="F43" s="10"/>
      <c r="H43" s="6" t="e">
        <f t="shared" si="2"/>
        <v>#DIV/0!</v>
      </c>
      <c r="I43" s="6" t="e">
        <f t="shared" si="3"/>
        <v>#DIV/0!</v>
      </c>
      <c r="K43" s="7" t="s">
        <v>21</v>
      </c>
      <c r="L43" s="2">
        <v>1</v>
      </c>
    </row>
    <row r="44" spans="1:12" ht="17.25" customHeight="1" x14ac:dyDescent="0.2">
      <c r="A44" s="9"/>
      <c r="B44" s="2"/>
      <c r="C44" s="2"/>
      <c r="D44" s="10"/>
      <c r="E44" s="7"/>
      <c r="F44" s="10"/>
      <c r="H44" s="6" t="e">
        <f t="shared" si="2"/>
        <v>#DIV/0!</v>
      </c>
      <c r="I44" s="6" t="e">
        <f t="shared" si="3"/>
        <v>#DIV/0!</v>
      </c>
      <c r="K44" s="7" t="s">
        <v>21</v>
      </c>
      <c r="L44" s="2">
        <v>1</v>
      </c>
    </row>
    <row r="45" spans="1:12" ht="17.25" customHeight="1" x14ac:dyDescent="0.2">
      <c r="A45" s="9"/>
      <c r="B45" s="2"/>
      <c r="C45" s="2"/>
      <c r="D45" s="10"/>
      <c r="E45" s="7"/>
      <c r="F45" s="10"/>
      <c r="H45" s="6" t="e">
        <f t="shared" si="2"/>
        <v>#DIV/0!</v>
      </c>
      <c r="I45" s="6" t="e">
        <f t="shared" si="3"/>
        <v>#DIV/0!</v>
      </c>
      <c r="K45" s="7" t="s">
        <v>21</v>
      </c>
      <c r="L45" s="2">
        <v>1</v>
      </c>
    </row>
    <row r="46" spans="1:12" ht="17.25" customHeight="1" x14ac:dyDescent="0.2">
      <c r="A46" s="9"/>
      <c r="B46" s="2"/>
      <c r="C46" s="2"/>
      <c r="D46" s="10"/>
      <c r="E46" s="7"/>
      <c r="F46" s="10"/>
      <c r="H46" s="6" t="e">
        <f t="shared" si="2"/>
        <v>#DIV/0!</v>
      </c>
      <c r="I46" s="6" t="e">
        <f t="shared" si="3"/>
        <v>#DIV/0!</v>
      </c>
      <c r="K46" s="7" t="s">
        <v>21</v>
      </c>
      <c r="L46" s="2">
        <v>1</v>
      </c>
    </row>
    <row r="47" spans="1:12" ht="17.25" customHeight="1" x14ac:dyDescent="0.2">
      <c r="A47" s="9"/>
      <c r="B47" s="2"/>
      <c r="C47" s="2"/>
      <c r="D47" s="10"/>
      <c r="E47" s="7"/>
      <c r="F47" s="10"/>
      <c r="H47" s="6" t="e">
        <f t="shared" si="2"/>
        <v>#DIV/0!</v>
      </c>
      <c r="I47" s="6" t="e">
        <f t="shared" si="3"/>
        <v>#DIV/0!</v>
      </c>
      <c r="K47" s="7" t="s">
        <v>21</v>
      </c>
      <c r="L47" s="2">
        <v>1</v>
      </c>
    </row>
    <row r="48" spans="1:12" ht="17.25" customHeight="1" x14ac:dyDescent="0.2">
      <c r="A48" s="9"/>
      <c r="B48" s="2"/>
      <c r="C48" s="2"/>
      <c r="D48" s="10"/>
      <c r="E48" s="7"/>
      <c r="F48" s="10"/>
      <c r="H48" s="6" t="e">
        <f t="shared" si="2"/>
        <v>#DIV/0!</v>
      </c>
      <c r="I48" s="6" t="e">
        <f t="shared" si="3"/>
        <v>#DIV/0!</v>
      </c>
      <c r="K48" s="7" t="s">
        <v>21</v>
      </c>
      <c r="L48" s="2">
        <v>1</v>
      </c>
    </row>
    <row r="49" spans="1:12" ht="17.25" customHeight="1" x14ac:dyDescent="0.2">
      <c r="A49" s="9"/>
      <c r="B49" s="2"/>
      <c r="C49" s="2"/>
      <c r="D49" s="10"/>
      <c r="E49" s="7"/>
      <c r="F49" s="10"/>
      <c r="H49" s="11" t="e">
        <f t="shared" si="2"/>
        <v>#DIV/0!</v>
      </c>
      <c r="I49" s="11" t="e">
        <f t="shared" si="3"/>
        <v>#DIV/0!</v>
      </c>
      <c r="L49" s="2">
        <v>1</v>
      </c>
    </row>
    <row r="50" spans="1:12" ht="17.25" customHeight="1" x14ac:dyDescent="0.2">
      <c r="A50" s="9"/>
      <c r="B50" s="2"/>
      <c r="C50" s="2"/>
      <c r="D50" s="10"/>
      <c r="E50" s="7"/>
      <c r="F50" s="10"/>
      <c r="H50" s="6" t="e">
        <f t="shared" si="2"/>
        <v>#DIV/0!</v>
      </c>
      <c r="I50" s="6" t="e">
        <f t="shared" si="3"/>
        <v>#DIV/0!</v>
      </c>
      <c r="L50" s="2">
        <v>1</v>
      </c>
    </row>
    <row r="51" spans="1:12" ht="17.25" customHeight="1" x14ac:dyDescent="0.2">
      <c r="A51" s="9"/>
      <c r="B51" s="2"/>
      <c r="C51" s="2"/>
      <c r="D51" s="10"/>
      <c r="E51" s="7"/>
      <c r="F51" s="10"/>
      <c r="H51" s="6" t="e">
        <f t="shared" si="2"/>
        <v>#DIV/0!</v>
      </c>
      <c r="I51" s="6" t="e">
        <f t="shared" si="3"/>
        <v>#DIV/0!</v>
      </c>
      <c r="L51" s="2">
        <v>1</v>
      </c>
    </row>
    <row r="52" spans="1:12" ht="17.25" customHeight="1" x14ac:dyDescent="0.2">
      <c r="A52" s="9"/>
      <c r="B52" s="2"/>
      <c r="C52" s="2"/>
      <c r="D52" s="10"/>
      <c r="E52" s="7"/>
      <c r="F52" s="10"/>
      <c r="H52" s="11" t="e">
        <f t="shared" si="2"/>
        <v>#DIV/0!</v>
      </c>
      <c r="I52" s="11" t="e">
        <f t="shared" si="3"/>
        <v>#DIV/0!</v>
      </c>
      <c r="L52" s="2">
        <v>1</v>
      </c>
    </row>
    <row r="53" spans="1:12" ht="17.25" customHeight="1" x14ac:dyDescent="0.2">
      <c r="A53" s="9"/>
      <c r="B53" s="2"/>
      <c r="C53" s="2"/>
      <c r="D53" s="10"/>
      <c r="E53" s="7"/>
      <c r="F53" s="10"/>
      <c r="H53" s="6" t="e">
        <f t="shared" si="2"/>
        <v>#DIV/0!</v>
      </c>
      <c r="I53" s="6" t="e">
        <f t="shared" si="3"/>
        <v>#DIV/0!</v>
      </c>
      <c r="K53" s="7" t="s">
        <v>22</v>
      </c>
      <c r="L53" s="2">
        <v>1</v>
      </c>
    </row>
    <row r="54" spans="1:12" ht="17.25" customHeight="1" x14ac:dyDescent="0.2">
      <c r="A54" s="9"/>
      <c r="B54" s="2"/>
      <c r="C54" s="2"/>
      <c r="D54" s="10"/>
      <c r="E54" s="7"/>
      <c r="F54" s="10"/>
      <c r="H54" s="6" t="e">
        <f t="shared" si="2"/>
        <v>#DIV/0!</v>
      </c>
      <c r="I54" s="6" t="e">
        <f t="shared" si="3"/>
        <v>#DIV/0!</v>
      </c>
      <c r="K54" s="7" t="s">
        <v>22</v>
      </c>
      <c r="L54" s="2">
        <v>1</v>
      </c>
    </row>
    <row r="55" spans="1:12" ht="17.25" customHeight="1" x14ac:dyDescent="0.2">
      <c r="A55" s="9"/>
      <c r="B55" s="2"/>
      <c r="C55" s="2"/>
      <c r="D55" s="10"/>
      <c r="E55" s="7"/>
      <c r="F55" s="10"/>
      <c r="H55" s="6" t="e">
        <f t="shared" si="2"/>
        <v>#DIV/0!</v>
      </c>
      <c r="I55" s="6" t="e">
        <f t="shared" si="3"/>
        <v>#DIV/0!</v>
      </c>
      <c r="K55" s="7" t="s">
        <v>22</v>
      </c>
      <c r="L55" s="2">
        <v>1</v>
      </c>
    </row>
    <row r="56" spans="1:12" ht="17.25" customHeight="1" x14ac:dyDescent="0.2">
      <c r="A56" s="9"/>
      <c r="B56" s="2"/>
      <c r="C56" s="2"/>
      <c r="D56" s="10"/>
      <c r="E56" s="7"/>
      <c r="F56" s="10"/>
      <c r="H56" s="6" t="e">
        <f t="shared" si="2"/>
        <v>#DIV/0!</v>
      </c>
      <c r="I56" s="6" t="e">
        <f t="shared" si="3"/>
        <v>#DIV/0!</v>
      </c>
      <c r="K56" s="7" t="s">
        <v>22</v>
      </c>
      <c r="L56" s="2">
        <v>1</v>
      </c>
    </row>
    <row r="57" spans="1:12" ht="17.25" customHeight="1" x14ac:dyDescent="0.2">
      <c r="A57" s="9"/>
      <c r="B57" s="2"/>
      <c r="C57" s="2"/>
      <c r="D57" s="10"/>
      <c r="E57" s="7"/>
      <c r="F57" s="10"/>
      <c r="H57" s="6" t="e">
        <f t="shared" si="2"/>
        <v>#DIV/0!</v>
      </c>
      <c r="I57" s="6" t="e">
        <f t="shared" si="3"/>
        <v>#DIV/0!</v>
      </c>
      <c r="K57" s="7" t="s">
        <v>22</v>
      </c>
      <c r="L57" s="2">
        <v>1</v>
      </c>
    </row>
    <row r="58" spans="1:12" ht="17.25" customHeight="1" x14ac:dyDescent="0.2">
      <c r="A58" s="9"/>
      <c r="B58" s="2"/>
      <c r="C58" s="2"/>
      <c r="D58" s="10"/>
      <c r="E58" s="7"/>
      <c r="F58" s="10"/>
      <c r="H58" s="6" t="e">
        <f t="shared" si="2"/>
        <v>#DIV/0!</v>
      </c>
      <c r="I58" s="6" t="e">
        <f t="shared" si="3"/>
        <v>#DIV/0!</v>
      </c>
      <c r="K58" s="7" t="s">
        <v>22</v>
      </c>
      <c r="L58" s="2">
        <v>1</v>
      </c>
    </row>
    <row r="59" spans="1:12" ht="17.25" customHeight="1" x14ac:dyDescent="0.2">
      <c r="A59" s="9"/>
      <c r="B59" s="2"/>
      <c r="C59" s="2"/>
      <c r="D59" s="10"/>
      <c r="E59" s="7"/>
      <c r="F59" s="10"/>
      <c r="H59" s="6" t="e">
        <f t="shared" si="2"/>
        <v>#DIV/0!</v>
      </c>
      <c r="I59" s="6" t="e">
        <f t="shared" si="3"/>
        <v>#DIV/0!</v>
      </c>
      <c r="K59" s="7" t="s">
        <v>22</v>
      </c>
      <c r="L59" s="2">
        <v>1</v>
      </c>
    </row>
    <row r="60" spans="1:12" ht="17.25" customHeight="1" x14ac:dyDescent="0.2">
      <c r="A60" s="9"/>
      <c r="B60" s="2"/>
      <c r="C60" s="2"/>
      <c r="D60" s="10"/>
      <c r="E60" s="7"/>
      <c r="F60" s="10"/>
      <c r="H60" s="6" t="e">
        <f t="shared" si="2"/>
        <v>#DIV/0!</v>
      </c>
      <c r="I60" s="6" t="e">
        <f t="shared" si="3"/>
        <v>#DIV/0!</v>
      </c>
      <c r="K60" s="7" t="s">
        <v>22</v>
      </c>
      <c r="L60" s="2">
        <v>1</v>
      </c>
    </row>
    <row r="61" spans="1:12" ht="17.25" customHeight="1" x14ac:dyDescent="0.2">
      <c r="A61" s="9"/>
      <c r="B61" s="2"/>
      <c r="C61" s="2"/>
      <c r="D61" s="10"/>
      <c r="E61" s="7"/>
      <c r="F61" s="10"/>
      <c r="H61" s="6" t="e">
        <f t="shared" si="2"/>
        <v>#DIV/0!</v>
      </c>
      <c r="I61" s="6" t="e">
        <f t="shared" si="3"/>
        <v>#DIV/0!</v>
      </c>
      <c r="K61" s="7" t="s">
        <v>22</v>
      </c>
      <c r="L61" s="2">
        <v>1</v>
      </c>
    </row>
    <row r="62" spans="1:12" ht="17.25" customHeight="1" x14ac:dyDescent="0.2">
      <c r="A62" s="9"/>
      <c r="B62" s="2"/>
      <c r="C62" s="2"/>
      <c r="D62" s="10"/>
      <c r="E62" s="7"/>
      <c r="F62" s="10"/>
      <c r="H62" s="6" t="e">
        <f t="shared" si="2"/>
        <v>#DIV/0!</v>
      </c>
      <c r="I62" s="6" t="e">
        <f t="shared" si="3"/>
        <v>#DIV/0!</v>
      </c>
      <c r="K62" s="7" t="s">
        <v>22</v>
      </c>
      <c r="L62" s="2">
        <v>1</v>
      </c>
    </row>
    <row r="63" spans="1:12" ht="17.25" customHeight="1" x14ac:dyDescent="0.2">
      <c r="A63" s="9"/>
      <c r="B63" s="2"/>
      <c r="C63" s="2"/>
      <c r="D63" s="10"/>
      <c r="E63" s="7"/>
      <c r="F63" s="10"/>
      <c r="H63" s="6" t="e">
        <f t="shared" si="2"/>
        <v>#DIV/0!</v>
      </c>
      <c r="I63" s="6" t="e">
        <f t="shared" si="3"/>
        <v>#DIV/0!</v>
      </c>
      <c r="K63" s="7" t="s">
        <v>22</v>
      </c>
      <c r="L63" s="2">
        <v>1</v>
      </c>
    </row>
    <row r="64" spans="1:12" ht="17.25" customHeight="1" x14ac:dyDescent="0.2">
      <c r="A64" s="9"/>
      <c r="B64" s="2"/>
      <c r="C64" s="2"/>
      <c r="D64" s="10"/>
      <c r="E64" s="7"/>
      <c r="F64" s="10"/>
      <c r="H64" s="6" t="e">
        <f t="shared" si="2"/>
        <v>#DIV/0!</v>
      </c>
      <c r="I64" s="6" t="e">
        <f t="shared" si="3"/>
        <v>#DIV/0!</v>
      </c>
      <c r="K64" s="7" t="s">
        <v>22</v>
      </c>
      <c r="L64" s="2">
        <v>1</v>
      </c>
    </row>
    <row r="65" spans="1:12" ht="17.25" customHeight="1" x14ac:dyDescent="0.2">
      <c r="D65" s="2"/>
      <c r="H65" s="6"/>
      <c r="I65" s="6"/>
    </row>
    <row r="66" spans="1:12" ht="17.25" customHeight="1" x14ac:dyDescent="0.2"/>
    <row r="67" spans="1:12" ht="17.25" customHeight="1" x14ac:dyDescent="0.2">
      <c r="A67" s="9"/>
      <c r="B67" s="2"/>
      <c r="C67" s="2"/>
      <c r="D67" s="10"/>
      <c r="E67" s="7"/>
      <c r="F67" s="10"/>
      <c r="H67" s="6" t="e">
        <f t="shared" ref="H67:H83" si="4">F67/D67</f>
        <v>#DIV/0!</v>
      </c>
      <c r="I67" s="6" t="e">
        <f t="shared" ref="I67:I83" si="5">SQRT(F67)/D67</f>
        <v>#DIV/0!</v>
      </c>
      <c r="K67" s="7" t="s">
        <v>23</v>
      </c>
      <c r="L67" s="2">
        <v>1</v>
      </c>
    </row>
    <row r="68" spans="1:12" ht="17.25" customHeight="1" x14ac:dyDescent="0.2">
      <c r="A68" s="9"/>
      <c r="B68" s="2"/>
      <c r="C68" s="2"/>
      <c r="D68" s="10"/>
      <c r="E68" s="7"/>
      <c r="F68" s="10"/>
      <c r="H68" s="6" t="e">
        <f t="shared" si="4"/>
        <v>#DIV/0!</v>
      </c>
      <c r="I68" s="6" t="e">
        <f t="shared" si="5"/>
        <v>#DIV/0!</v>
      </c>
      <c r="K68" s="7" t="s">
        <v>23</v>
      </c>
      <c r="L68" s="2">
        <v>1</v>
      </c>
    </row>
    <row r="69" spans="1:12" ht="17.25" customHeight="1" x14ac:dyDescent="0.2">
      <c r="A69" s="9"/>
      <c r="B69" s="2"/>
      <c r="C69" s="2"/>
      <c r="D69" s="10"/>
      <c r="E69" s="7"/>
      <c r="F69" s="10"/>
      <c r="H69" s="6" t="e">
        <f t="shared" si="4"/>
        <v>#DIV/0!</v>
      </c>
      <c r="I69" s="6" t="e">
        <f t="shared" si="5"/>
        <v>#DIV/0!</v>
      </c>
      <c r="K69" s="7" t="s">
        <v>23</v>
      </c>
      <c r="L69" s="2">
        <v>1</v>
      </c>
    </row>
    <row r="70" spans="1:12" ht="17.25" customHeight="1" x14ac:dyDescent="0.2">
      <c r="A70" s="9"/>
      <c r="B70" s="2"/>
      <c r="C70" s="2"/>
      <c r="D70" s="10"/>
      <c r="E70" s="7"/>
      <c r="F70" s="10"/>
      <c r="H70" s="6" t="e">
        <f t="shared" si="4"/>
        <v>#DIV/0!</v>
      </c>
      <c r="I70" s="6" t="e">
        <f t="shared" si="5"/>
        <v>#DIV/0!</v>
      </c>
      <c r="K70" s="7" t="s">
        <v>23</v>
      </c>
      <c r="L70" s="2">
        <v>1</v>
      </c>
    </row>
    <row r="71" spans="1:12" ht="17.25" customHeight="1" x14ac:dyDescent="0.2">
      <c r="A71" s="9"/>
      <c r="B71" s="2"/>
      <c r="C71" s="2"/>
      <c r="D71" s="10"/>
      <c r="E71" s="7"/>
      <c r="F71" s="10"/>
      <c r="H71" s="6" t="e">
        <f t="shared" si="4"/>
        <v>#DIV/0!</v>
      </c>
      <c r="I71" s="6" t="e">
        <f t="shared" si="5"/>
        <v>#DIV/0!</v>
      </c>
      <c r="K71" s="7" t="s">
        <v>23</v>
      </c>
      <c r="L71" s="2">
        <v>1</v>
      </c>
    </row>
    <row r="72" spans="1:12" ht="17.25" customHeight="1" x14ac:dyDescent="0.2">
      <c r="A72" s="9"/>
      <c r="B72" s="2"/>
      <c r="C72" s="2"/>
      <c r="D72" s="10"/>
      <c r="E72" s="7"/>
      <c r="F72" s="10"/>
      <c r="H72" s="6" t="e">
        <f t="shared" si="4"/>
        <v>#DIV/0!</v>
      </c>
      <c r="I72" s="6" t="e">
        <f t="shared" si="5"/>
        <v>#DIV/0!</v>
      </c>
      <c r="K72" s="7" t="s">
        <v>23</v>
      </c>
      <c r="L72" s="2">
        <v>1</v>
      </c>
    </row>
    <row r="73" spans="1:12" ht="17.25" customHeight="1" x14ac:dyDescent="0.2">
      <c r="A73" s="9"/>
      <c r="B73" s="2"/>
      <c r="C73" s="2"/>
      <c r="D73" s="10"/>
      <c r="E73" s="7"/>
      <c r="F73" s="10"/>
      <c r="H73" s="6" t="e">
        <f t="shared" si="4"/>
        <v>#DIV/0!</v>
      </c>
      <c r="I73" s="6" t="e">
        <f t="shared" si="5"/>
        <v>#DIV/0!</v>
      </c>
      <c r="K73" s="7" t="s">
        <v>23</v>
      </c>
      <c r="L73" s="2">
        <v>1</v>
      </c>
    </row>
    <row r="74" spans="1:12" ht="17.25" customHeight="1" x14ac:dyDescent="0.2">
      <c r="A74" s="9"/>
      <c r="B74" s="2"/>
      <c r="C74" s="2"/>
      <c r="D74" s="10"/>
      <c r="E74" s="7"/>
      <c r="F74" s="10"/>
      <c r="H74" s="6" t="e">
        <f t="shared" si="4"/>
        <v>#DIV/0!</v>
      </c>
      <c r="I74" s="6" t="e">
        <f t="shared" si="5"/>
        <v>#DIV/0!</v>
      </c>
      <c r="K74" s="7" t="s">
        <v>23</v>
      </c>
      <c r="L74" s="2">
        <v>1</v>
      </c>
    </row>
    <row r="75" spans="1:12" ht="17.25" customHeight="1" x14ac:dyDescent="0.2">
      <c r="A75" s="9"/>
      <c r="B75" s="2"/>
      <c r="C75" s="2"/>
      <c r="D75" s="10"/>
      <c r="E75" s="7"/>
      <c r="F75" s="10"/>
      <c r="H75" s="6" t="e">
        <f t="shared" si="4"/>
        <v>#DIV/0!</v>
      </c>
      <c r="I75" s="6" t="e">
        <f t="shared" si="5"/>
        <v>#DIV/0!</v>
      </c>
      <c r="K75" s="7" t="s">
        <v>23</v>
      </c>
      <c r="L75" s="2">
        <v>1</v>
      </c>
    </row>
    <row r="76" spans="1:12" ht="17.25" customHeight="1" x14ac:dyDescent="0.2">
      <c r="A76" s="9"/>
      <c r="B76" s="2"/>
      <c r="C76" s="2"/>
      <c r="D76" s="10"/>
      <c r="E76" s="7"/>
      <c r="F76" s="10"/>
      <c r="H76" s="6" t="e">
        <f t="shared" si="4"/>
        <v>#DIV/0!</v>
      </c>
      <c r="I76" s="6" t="e">
        <f t="shared" si="5"/>
        <v>#DIV/0!</v>
      </c>
      <c r="K76" s="7" t="s">
        <v>23</v>
      </c>
      <c r="L76" s="2">
        <v>1</v>
      </c>
    </row>
    <row r="77" spans="1:12" ht="17.25" customHeight="1" x14ac:dyDescent="0.2">
      <c r="A77" s="9"/>
      <c r="B77" s="2"/>
      <c r="C77" s="2"/>
      <c r="D77" s="10"/>
      <c r="E77" s="7"/>
      <c r="F77" s="10"/>
      <c r="H77" s="6" t="e">
        <f t="shared" si="4"/>
        <v>#DIV/0!</v>
      </c>
      <c r="I77" s="6" t="e">
        <f t="shared" si="5"/>
        <v>#DIV/0!</v>
      </c>
      <c r="K77" s="7" t="s">
        <v>23</v>
      </c>
      <c r="L77" s="2">
        <v>1</v>
      </c>
    </row>
    <row r="78" spans="1:12" ht="17.25" customHeight="1" x14ac:dyDescent="0.2">
      <c r="A78" s="9"/>
      <c r="B78" s="2"/>
      <c r="C78" s="2"/>
      <c r="D78" s="10"/>
      <c r="E78" s="7"/>
      <c r="F78" s="10"/>
      <c r="H78" s="6" t="e">
        <f t="shared" si="4"/>
        <v>#DIV/0!</v>
      </c>
      <c r="I78" s="6" t="e">
        <f t="shared" si="5"/>
        <v>#DIV/0!</v>
      </c>
      <c r="K78" s="7" t="s">
        <v>23</v>
      </c>
      <c r="L78" s="2">
        <v>1</v>
      </c>
    </row>
    <row r="79" spans="1:12" ht="17.25" customHeight="1" x14ac:dyDescent="0.2">
      <c r="A79" s="9"/>
      <c r="B79" s="2"/>
      <c r="C79" s="2"/>
      <c r="D79" s="10"/>
      <c r="E79" s="7"/>
      <c r="F79" s="10"/>
      <c r="H79" s="6" t="e">
        <f t="shared" si="4"/>
        <v>#DIV/0!</v>
      </c>
      <c r="I79" s="6" t="e">
        <f t="shared" si="5"/>
        <v>#DIV/0!</v>
      </c>
      <c r="K79" s="7" t="s">
        <v>23</v>
      </c>
      <c r="L79" s="2">
        <v>1</v>
      </c>
    </row>
    <row r="80" spans="1:12" ht="17.25" customHeight="1" x14ac:dyDescent="0.2">
      <c r="A80" s="9"/>
      <c r="B80" s="2"/>
      <c r="C80" s="2"/>
      <c r="D80" s="10"/>
      <c r="E80" s="7"/>
      <c r="F80" s="10"/>
      <c r="H80" s="6" t="e">
        <f t="shared" si="4"/>
        <v>#DIV/0!</v>
      </c>
      <c r="I80" s="6" t="e">
        <f t="shared" si="5"/>
        <v>#DIV/0!</v>
      </c>
      <c r="K80" s="7" t="s">
        <v>23</v>
      </c>
      <c r="L80" s="2">
        <v>1</v>
      </c>
    </row>
    <row r="81" spans="1:12" ht="17.25" customHeight="1" x14ac:dyDescent="0.2">
      <c r="A81" s="9"/>
      <c r="B81" s="2"/>
      <c r="C81" s="2"/>
      <c r="D81" s="10"/>
      <c r="E81" s="7"/>
      <c r="F81" s="10"/>
      <c r="H81" s="6" t="e">
        <f t="shared" si="4"/>
        <v>#DIV/0!</v>
      </c>
      <c r="I81" s="6" t="e">
        <f t="shared" si="5"/>
        <v>#DIV/0!</v>
      </c>
      <c r="K81" s="7" t="s">
        <v>23</v>
      </c>
      <c r="L81" s="2">
        <v>1</v>
      </c>
    </row>
    <row r="82" spans="1:12" ht="17.25" customHeight="1" x14ac:dyDescent="0.2">
      <c r="A82" s="9"/>
      <c r="B82" s="2"/>
      <c r="C82" s="2"/>
      <c r="D82" s="10"/>
      <c r="E82" s="7"/>
      <c r="F82" s="10"/>
      <c r="H82" s="6" t="e">
        <f t="shared" si="4"/>
        <v>#DIV/0!</v>
      </c>
      <c r="I82" s="6" t="e">
        <f t="shared" si="5"/>
        <v>#DIV/0!</v>
      </c>
      <c r="K82" s="7" t="s">
        <v>23</v>
      </c>
      <c r="L82" s="2">
        <v>1</v>
      </c>
    </row>
    <row r="83" spans="1:12" ht="17.25" customHeight="1" x14ac:dyDescent="0.2">
      <c r="A83" s="9"/>
      <c r="B83" s="2"/>
      <c r="C83" s="2"/>
      <c r="D83" s="10"/>
      <c r="E83" s="7"/>
      <c r="F83" s="10"/>
      <c r="H83" s="6" t="e">
        <f t="shared" si="4"/>
        <v>#DIV/0!</v>
      </c>
      <c r="I83" s="6" t="e">
        <f t="shared" si="5"/>
        <v>#DIV/0!</v>
      </c>
      <c r="K83" s="7" t="s">
        <v>23</v>
      </c>
      <c r="L83" s="2">
        <v>1</v>
      </c>
    </row>
    <row r="84" spans="1:12" ht="17.25" customHeight="1" x14ac:dyDescent="0.2">
      <c r="H84" s="6"/>
      <c r="I84" s="6"/>
    </row>
    <row r="85" spans="1:12" ht="17.25" customHeight="1" x14ac:dyDescent="0.2">
      <c r="H85" s="6"/>
      <c r="I85" s="6"/>
    </row>
    <row r="86" spans="1:12" ht="17.25" customHeight="1" x14ac:dyDescent="0.2">
      <c r="A86" s="9"/>
      <c r="B86" s="2"/>
      <c r="C86" s="2"/>
      <c r="D86" s="10"/>
      <c r="E86" s="7"/>
      <c r="F86" s="10"/>
      <c r="H86" s="6" t="e">
        <f t="shared" ref="H86:H97" si="6">F86/D86</f>
        <v>#DIV/0!</v>
      </c>
      <c r="I86" s="6" t="e">
        <f t="shared" ref="I86:I97" si="7">SQRT(F86)/D86</f>
        <v>#DIV/0!</v>
      </c>
      <c r="K86" s="7" t="s">
        <v>24</v>
      </c>
      <c r="L86" s="2">
        <v>1</v>
      </c>
    </row>
    <row r="87" spans="1:12" ht="17.25" customHeight="1" x14ac:dyDescent="0.2">
      <c r="A87" s="9"/>
      <c r="B87" s="2"/>
      <c r="C87" s="2"/>
      <c r="D87" s="10"/>
      <c r="E87" s="7"/>
      <c r="F87" s="10"/>
      <c r="H87" s="6" t="e">
        <f t="shared" si="6"/>
        <v>#DIV/0!</v>
      </c>
      <c r="I87" s="6" t="e">
        <f t="shared" si="7"/>
        <v>#DIV/0!</v>
      </c>
      <c r="K87" s="7" t="s">
        <v>24</v>
      </c>
      <c r="L87" s="2">
        <v>1</v>
      </c>
    </row>
    <row r="88" spans="1:12" ht="17.25" customHeight="1" x14ac:dyDescent="0.2">
      <c r="A88" s="9"/>
      <c r="B88" s="2"/>
      <c r="C88" s="2"/>
      <c r="D88" s="10"/>
      <c r="E88" s="7"/>
      <c r="F88" s="10"/>
      <c r="H88" s="6" t="e">
        <f t="shared" si="6"/>
        <v>#DIV/0!</v>
      </c>
      <c r="I88" s="6" t="e">
        <f t="shared" si="7"/>
        <v>#DIV/0!</v>
      </c>
      <c r="K88" s="7" t="s">
        <v>24</v>
      </c>
      <c r="L88" s="2">
        <v>1</v>
      </c>
    </row>
    <row r="89" spans="1:12" ht="17.25" customHeight="1" x14ac:dyDescent="0.2">
      <c r="A89" s="9"/>
      <c r="B89" s="2"/>
      <c r="C89" s="2"/>
      <c r="D89" s="10"/>
      <c r="E89" s="7"/>
      <c r="F89" s="10"/>
      <c r="H89" s="6" t="e">
        <f t="shared" si="6"/>
        <v>#DIV/0!</v>
      </c>
      <c r="I89" s="6" t="e">
        <f t="shared" si="7"/>
        <v>#DIV/0!</v>
      </c>
      <c r="K89" s="7" t="s">
        <v>24</v>
      </c>
      <c r="L89" s="2">
        <v>1</v>
      </c>
    </row>
    <row r="90" spans="1:12" ht="17.25" customHeight="1" x14ac:dyDescent="0.2">
      <c r="A90" s="9"/>
      <c r="B90" s="2"/>
      <c r="C90" s="2"/>
      <c r="D90" s="10"/>
      <c r="E90" s="7"/>
      <c r="F90" s="10"/>
      <c r="H90" s="6" t="e">
        <f t="shared" si="6"/>
        <v>#DIV/0!</v>
      </c>
      <c r="I90" s="6" t="e">
        <f t="shared" si="7"/>
        <v>#DIV/0!</v>
      </c>
      <c r="K90" s="7" t="s">
        <v>24</v>
      </c>
      <c r="L90" s="2">
        <v>1</v>
      </c>
    </row>
    <row r="91" spans="1:12" ht="17.25" customHeight="1" x14ac:dyDescent="0.2">
      <c r="A91" s="9"/>
      <c r="B91" s="2"/>
      <c r="C91" s="2"/>
      <c r="D91" s="10"/>
      <c r="E91" s="7"/>
      <c r="F91" s="10"/>
      <c r="H91" s="6" t="e">
        <f t="shared" si="6"/>
        <v>#DIV/0!</v>
      </c>
      <c r="I91" s="6" t="e">
        <f t="shared" si="7"/>
        <v>#DIV/0!</v>
      </c>
      <c r="K91" s="7" t="s">
        <v>24</v>
      </c>
      <c r="L91" s="2">
        <v>1</v>
      </c>
    </row>
    <row r="92" spans="1:12" ht="17.25" customHeight="1" x14ac:dyDescent="0.2">
      <c r="A92" s="9"/>
      <c r="B92" s="2"/>
      <c r="C92" s="2"/>
      <c r="D92" s="10"/>
      <c r="E92" s="7"/>
      <c r="F92" s="10"/>
      <c r="H92" s="6" t="e">
        <f t="shared" si="6"/>
        <v>#DIV/0!</v>
      </c>
      <c r="I92" s="6" t="e">
        <f t="shared" si="7"/>
        <v>#DIV/0!</v>
      </c>
      <c r="K92" s="7" t="s">
        <v>24</v>
      </c>
      <c r="L92" s="2">
        <v>1</v>
      </c>
    </row>
    <row r="93" spans="1:12" ht="17.25" customHeight="1" x14ac:dyDescent="0.2">
      <c r="A93" s="9"/>
      <c r="B93" s="2"/>
      <c r="C93" s="2"/>
      <c r="D93" s="10"/>
      <c r="E93" s="7"/>
      <c r="F93" s="10"/>
      <c r="H93" s="6" t="e">
        <f t="shared" si="6"/>
        <v>#DIV/0!</v>
      </c>
      <c r="I93" s="6" t="e">
        <f t="shared" si="7"/>
        <v>#DIV/0!</v>
      </c>
      <c r="K93" s="7" t="s">
        <v>24</v>
      </c>
      <c r="L93" s="2">
        <v>1</v>
      </c>
    </row>
    <row r="94" spans="1:12" ht="17.25" customHeight="1" x14ac:dyDescent="0.2">
      <c r="A94" s="9"/>
      <c r="B94" s="2"/>
      <c r="C94" s="2"/>
      <c r="D94" s="10"/>
      <c r="E94" s="7"/>
      <c r="F94" s="10"/>
      <c r="H94" s="6" t="e">
        <f t="shared" si="6"/>
        <v>#DIV/0!</v>
      </c>
      <c r="I94" s="6" t="e">
        <f t="shared" si="7"/>
        <v>#DIV/0!</v>
      </c>
      <c r="K94" s="7" t="s">
        <v>24</v>
      </c>
      <c r="L94" s="2">
        <v>1</v>
      </c>
    </row>
    <row r="95" spans="1:12" ht="17.25" customHeight="1" x14ac:dyDescent="0.2">
      <c r="A95" s="9"/>
      <c r="B95" s="2"/>
      <c r="C95" s="2"/>
      <c r="D95" s="10"/>
      <c r="E95" s="7"/>
      <c r="F95" s="10"/>
      <c r="H95" s="6" t="e">
        <f t="shared" si="6"/>
        <v>#DIV/0!</v>
      </c>
      <c r="I95" s="6" t="e">
        <f t="shared" si="7"/>
        <v>#DIV/0!</v>
      </c>
      <c r="K95" s="7" t="s">
        <v>24</v>
      </c>
      <c r="L95" s="2">
        <v>1</v>
      </c>
    </row>
    <row r="96" spans="1:12" ht="17.25" customHeight="1" x14ac:dyDescent="0.2">
      <c r="A96" s="9"/>
      <c r="B96" s="2"/>
      <c r="C96" s="2"/>
      <c r="D96" s="10"/>
      <c r="E96" s="7"/>
      <c r="F96" s="10"/>
      <c r="H96" s="6" t="e">
        <f t="shared" si="6"/>
        <v>#DIV/0!</v>
      </c>
      <c r="I96" s="6" t="e">
        <f t="shared" si="7"/>
        <v>#DIV/0!</v>
      </c>
      <c r="K96" s="7" t="s">
        <v>24</v>
      </c>
      <c r="L96" s="2">
        <v>1</v>
      </c>
    </row>
    <row r="97" spans="1:12" ht="17.25" customHeight="1" x14ac:dyDescent="0.2">
      <c r="A97" s="9"/>
      <c r="B97" s="2"/>
      <c r="C97" s="2"/>
      <c r="D97" s="10"/>
      <c r="E97" s="7"/>
      <c r="F97" s="10"/>
      <c r="H97" s="6" t="e">
        <f t="shared" si="6"/>
        <v>#DIV/0!</v>
      </c>
      <c r="I97" s="6" t="e">
        <f t="shared" si="7"/>
        <v>#DIV/0!</v>
      </c>
      <c r="K97" s="7" t="s">
        <v>24</v>
      </c>
      <c r="L97" s="2">
        <v>1</v>
      </c>
    </row>
    <row r="98" spans="1:12" ht="17.25" customHeight="1" x14ac:dyDescent="0.2">
      <c r="A98" s="2"/>
      <c r="C98" s="2"/>
      <c r="D98" s="10"/>
      <c r="E98" s="10"/>
      <c r="F98" s="10"/>
      <c r="H98" s="6"/>
      <c r="I98" s="6"/>
    </row>
    <row r="99" spans="1:12" ht="17.25" customHeight="1" x14ac:dyDescent="0.2">
      <c r="A99" s="9"/>
      <c r="B99" s="2"/>
      <c r="C99" s="2"/>
      <c r="D99" s="10"/>
      <c r="E99" s="7"/>
      <c r="F99" s="10"/>
      <c r="H99" s="6" t="e">
        <f t="shared" ref="H99:H111" si="8">F99/D99</f>
        <v>#DIV/0!</v>
      </c>
      <c r="I99" s="6" t="e">
        <f t="shared" ref="I99:I111" si="9">SQRT(F99)/D99</f>
        <v>#DIV/0!</v>
      </c>
      <c r="K99" s="7" t="s">
        <v>25</v>
      </c>
      <c r="L99" s="2">
        <v>1</v>
      </c>
    </row>
    <row r="100" spans="1:12" ht="17.25" customHeight="1" x14ac:dyDescent="0.2">
      <c r="A100" s="9"/>
      <c r="B100" s="2"/>
      <c r="C100" s="2"/>
      <c r="D100" s="10"/>
      <c r="E100" s="7"/>
      <c r="F100" s="10"/>
      <c r="H100" s="6" t="e">
        <f t="shared" si="8"/>
        <v>#DIV/0!</v>
      </c>
      <c r="I100" s="6" t="e">
        <f t="shared" si="9"/>
        <v>#DIV/0!</v>
      </c>
      <c r="K100" s="7" t="s">
        <v>25</v>
      </c>
      <c r="L100" s="2">
        <v>1</v>
      </c>
    </row>
    <row r="101" spans="1:12" ht="17.25" customHeight="1" x14ac:dyDescent="0.2">
      <c r="A101" s="9"/>
      <c r="B101" s="2"/>
      <c r="C101" s="2"/>
      <c r="D101" s="10"/>
      <c r="E101" s="7"/>
      <c r="F101" s="10"/>
      <c r="H101" s="6" t="e">
        <f t="shared" si="8"/>
        <v>#DIV/0!</v>
      </c>
      <c r="I101" s="6" t="e">
        <f t="shared" si="9"/>
        <v>#DIV/0!</v>
      </c>
      <c r="K101" s="7" t="s">
        <v>25</v>
      </c>
      <c r="L101" s="2">
        <v>1</v>
      </c>
    </row>
    <row r="102" spans="1:12" ht="17.25" customHeight="1" x14ac:dyDescent="0.2">
      <c r="A102" s="9"/>
      <c r="B102" s="2"/>
      <c r="C102" s="2"/>
      <c r="D102" s="10"/>
      <c r="E102" s="7"/>
      <c r="F102" s="10"/>
      <c r="H102" s="6" t="e">
        <f t="shared" si="8"/>
        <v>#DIV/0!</v>
      </c>
      <c r="I102" s="6" t="e">
        <f t="shared" si="9"/>
        <v>#DIV/0!</v>
      </c>
      <c r="K102" s="7" t="s">
        <v>25</v>
      </c>
      <c r="L102" s="2">
        <v>1</v>
      </c>
    </row>
    <row r="103" spans="1:12" ht="17.25" customHeight="1" x14ac:dyDescent="0.2">
      <c r="A103" s="9"/>
      <c r="B103" s="2"/>
      <c r="C103" s="2"/>
      <c r="D103" s="10"/>
      <c r="E103" s="7"/>
      <c r="F103" s="10"/>
      <c r="H103" s="6" t="e">
        <f t="shared" si="8"/>
        <v>#DIV/0!</v>
      </c>
      <c r="I103" s="6" t="e">
        <f t="shared" si="9"/>
        <v>#DIV/0!</v>
      </c>
      <c r="K103" s="7" t="s">
        <v>25</v>
      </c>
      <c r="L103" s="2">
        <v>1</v>
      </c>
    </row>
    <row r="104" spans="1:12" ht="17.25" customHeight="1" x14ac:dyDescent="0.2">
      <c r="A104" s="9"/>
      <c r="B104" s="2"/>
      <c r="C104" s="2"/>
      <c r="D104" s="10"/>
      <c r="E104" s="7"/>
      <c r="F104" s="10"/>
      <c r="H104" s="6" t="e">
        <f t="shared" si="8"/>
        <v>#DIV/0!</v>
      </c>
      <c r="I104" s="6" t="e">
        <f t="shared" si="9"/>
        <v>#DIV/0!</v>
      </c>
      <c r="K104" s="7" t="s">
        <v>25</v>
      </c>
      <c r="L104" s="2">
        <v>1</v>
      </c>
    </row>
    <row r="105" spans="1:12" ht="17.25" customHeight="1" x14ac:dyDescent="0.2">
      <c r="A105" s="9"/>
      <c r="B105" s="2"/>
      <c r="C105" s="2"/>
      <c r="D105" s="10"/>
      <c r="E105" s="7"/>
      <c r="F105" s="10"/>
      <c r="H105" s="6" t="e">
        <f t="shared" si="8"/>
        <v>#DIV/0!</v>
      </c>
      <c r="I105" s="6" t="e">
        <f t="shared" si="9"/>
        <v>#DIV/0!</v>
      </c>
      <c r="K105" s="7" t="s">
        <v>25</v>
      </c>
      <c r="L105" s="2">
        <v>1</v>
      </c>
    </row>
    <row r="106" spans="1:12" ht="17.25" customHeight="1" x14ac:dyDescent="0.2">
      <c r="A106" s="9"/>
      <c r="B106" s="2"/>
      <c r="C106" s="2"/>
      <c r="D106" s="10"/>
      <c r="E106" s="7"/>
      <c r="F106" s="10"/>
      <c r="H106" s="6" t="e">
        <f t="shared" si="8"/>
        <v>#DIV/0!</v>
      </c>
      <c r="I106" s="6" t="e">
        <f t="shared" si="9"/>
        <v>#DIV/0!</v>
      </c>
      <c r="K106" s="7" t="s">
        <v>25</v>
      </c>
      <c r="L106" s="2">
        <v>1</v>
      </c>
    </row>
    <row r="107" spans="1:12" ht="17.25" customHeight="1" x14ac:dyDescent="0.2">
      <c r="A107" s="9"/>
      <c r="B107" s="2"/>
      <c r="C107" s="2"/>
      <c r="D107" s="10"/>
      <c r="E107" s="7"/>
      <c r="F107" s="10"/>
      <c r="H107" s="6" t="e">
        <f t="shared" si="8"/>
        <v>#DIV/0!</v>
      </c>
      <c r="I107" s="6" t="e">
        <f t="shared" si="9"/>
        <v>#DIV/0!</v>
      </c>
      <c r="K107" s="7" t="s">
        <v>25</v>
      </c>
      <c r="L107" s="2">
        <v>1</v>
      </c>
    </row>
    <row r="108" spans="1:12" ht="17.25" customHeight="1" x14ac:dyDescent="0.2">
      <c r="A108" s="9"/>
      <c r="B108" s="2"/>
      <c r="C108" s="2"/>
      <c r="D108" s="10"/>
      <c r="E108" s="7"/>
      <c r="F108" s="10"/>
      <c r="H108" s="6" t="e">
        <f t="shared" si="8"/>
        <v>#DIV/0!</v>
      </c>
      <c r="I108" s="6" t="e">
        <f t="shared" si="9"/>
        <v>#DIV/0!</v>
      </c>
      <c r="K108" s="7" t="s">
        <v>25</v>
      </c>
      <c r="L108" s="2">
        <v>1</v>
      </c>
    </row>
    <row r="109" spans="1:12" ht="17.25" customHeight="1" x14ac:dyDescent="0.2">
      <c r="A109" s="9"/>
      <c r="B109" s="2"/>
      <c r="C109" s="2"/>
      <c r="D109" s="10"/>
      <c r="E109" s="7"/>
      <c r="F109" s="10"/>
      <c r="H109" s="6" t="e">
        <f t="shared" si="8"/>
        <v>#DIV/0!</v>
      </c>
      <c r="I109" s="6" t="e">
        <f t="shared" si="9"/>
        <v>#DIV/0!</v>
      </c>
      <c r="K109" s="7" t="s">
        <v>25</v>
      </c>
      <c r="L109" s="2">
        <v>1</v>
      </c>
    </row>
    <row r="110" spans="1:12" ht="17.25" customHeight="1" x14ac:dyDescent="0.2">
      <c r="A110" s="9"/>
      <c r="B110" s="2"/>
      <c r="C110" s="2"/>
      <c r="D110" s="10"/>
      <c r="E110" s="7"/>
      <c r="F110" s="10"/>
      <c r="H110" s="6" t="e">
        <f t="shared" si="8"/>
        <v>#DIV/0!</v>
      </c>
      <c r="I110" s="6" t="e">
        <f t="shared" si="9"/>
        <v>#DIV/0!</v>
      </c>
      <c r="K110" s="7" t="s">
        <v>25</v>
      </c>
      <c r="L110" s="2">
        <v>1</v>
      </c>
    </row>
    <row r="111" spans="1:12" ht="17.25" customHeight="1" x14ac:dyDescent="0.2">
      <c r="A111" s="9"/>
      <c r="B111" s="2"/>
      <c r="C111" s="2"/>
      <c r="D111" s="10"/>
      <c r="E111" s="7"/>
      <c r="F111" s="10"/>
      <c r="H111" s="6" t="e">
        <f t="shared" si="8"/>
        <v>#DIV/0!</v>
      </c>
      <c r="I111" s="6" t="e">
        <f t="shared" si="9"/>
        <v>#DIV/0!</v>
      </c>
      <c r="K111" s="7" t="s">
        <v>25</v>
      </c>
      <c r="L111" s="2">
        <v>1</v>
      </c>
    </row>
    <row r="112" spans="1:12" ht="17.25" customHeight="1" x14ac:dyDescent="0.2">
      <c r="D112" s="2"/>
      <c r="H112" s="6"/>
      <c r="I112" s="6"/>
      <c r="K112" s="7"/>
      <c r="L112" s="9"/>
    </row>
    <row r="113" spans="1:12" ht="17.25" customHeight="1" x14ac:dyDescent="0.2">
      <c r="A113" s="9"/>
      <c r="B113" s="2"/>
      <c r="C113" s="2"/>
      <c r="D113" s="10"/>
      <c r="E113" s="7"/>
      <c r="F113" s="10"/>
      <c r="H113" s="6" t="e">
        <f t="shared" ref="H113:H128" si="10">F113/D113</f>
        <v>#DIV/0!</v>
      </c>
      <c r="I113" s="6" t="e">
        <f t="shared" ref="I113:I128" si="11">SQRT(F113)/D113</f>
        <v>#DIV/0!</v>
      </c>
      <c r="K113" s="7" t="s">
        <v>26</v>
      </c>
      <c r="L113" s="2">
        <v>1</v>
      </c>
    </row>
    <row r="114" spans="1:12" ht="17.25" customHeight="1" x14ac:dyDescent="0.2">
      <c r="A114" s="9"/>
      <c r="B114" s="2"/>
      <c r="C114" s="2"/>
      <c r="D114" s="10"/>
      <c r="E114" s="7"/>
      <c r="F114" s="10"/>
      <c r="H114" s="6" t="e">
        <f t="shared" si="10"/>
        <v>#DIV/0!</v>
      </c>
      <c r="I114" s="6" t="e">
        <f t="shared" si="11"/>
        <v>#DIV/0!</v>
      </c>
      <c r="K114" s="7" t="s">
        <v>26</v>
      </c>
      <c r="L114" s="2">
        <v>1</v>
      </c>
    </row>
    <row r="115" spans="1:12" ht="17.25" customHeight="1" x14ac:dyDescent="0.2">
      <c r="A115" s="9"/>
      <c r="B115" s="2"/>
      <c r="C115" s="2"/>
      <c r="D115" s="10"/>
      <c r="E115" s="7"/>
      <c r="F115" s="10"/>
      <c r="H115" s="6" t="e">
        <f t="shared" si="10"/>
        <v>#DIV/0!</v>
      </c>
      <c r="I115" s="6" t="e">
        <f t="shared" si="11"/>
        <v>#DIV/0!</v>
      </c>
      <c r="K115" s="7" t="s">
        <v>26</v>
      </c>
      <c r="L115" s="2">
        <v>1</v>
      </c>
    </row>
    <row r="116" spans="1:12" ht="17.25" customHeight="1" x14ac:dyDescent="0.2">
      <c r="A116" s="9"/>
      <c r="B116" s="2"/>
      <c r="C116" s="2"/>
      <c r="D116" s="10"/>
      <c r="E116" s="7"/>
      <c r="F116" s="10"/>
      <c r="H116" s="6" t="e">
        <f t="shared" si="10"/>
        <v>#DIV/0!</v>
      </c>
      <c r="I116" s="6" t="e">
        <f t="shared" si="11"/>
        <v>#DIV/0!</v>
      </c>
      <c r="K116" s="7" t="s">
        <v>26</v>
      </c>
      <c r="L116" s="2">
        <v>1</v>
      </c>
    </row>
    <row r="117" spans="1:12" ht="17.25" customHeight="1" x14ac:dyDescent="0.2">
      <c r="A117" s="9"/>
      <c r="B117" s="2"/>
      <c r="C117" s="2"/>
      <c r="D117" s="10"/>
      <c r="E117" s="7"/>
      <c r="F117" s="10"/>
      <c r="H117" s="6" t="e">
        <f t="shared" si="10"/>
        <v>#DIV/0!</v>
      </c>
      <c r="I117" s="6" t="e">
        <f t="shared" si="11"/>
        <v>#DIV/0!</v>
      </c>
      <c r="K117" s="7" t="s">
        <v>26</v>
      </c>
      <c r="L117" s="2">
        <v>1</v>
      </c>
    </row>
    <row r="118" spans="1:12" ht="17.25" customHeight="1" x14ac:dyDescent="0.2">
      <c r="A118" s="9"/>
      <c r="B118" s="2"/>
      <c r="C118" s="2"/>
      <c r="D118" s="10"/>
      <c r="E118" s="7"/>
      <c r="F118" s="10"/>
      <c r="H118" s="6" t="e">
        <f t="shared" si="10"/>
        <v>#DIV/0!</v>
      </c>
      <c r="I118" s="6" t="e">
        <f t="shared" si="11"/>
        <v>#DIV/0!</v>
      </c>
      <c r="K118" s="7" t="s">
        <v>26</v>
      </c>
      <c r="L118" s="2">
        <v>1</v>
      </c>
    </row>
    <row r="119" spans="1:12" ht="17.25" customHeight="1" x14ac:dyDescent="0.2">
      <c r="A119" s="9"/>
      <c r="B119" s="2"/>
      <c r="C119" s="2"/>
      <c r="D119" s="10"/>
      <c r="E119" s="7"/>
      <c r="F119" s="10"/>
      <c r="H119" s="6" t="e">
        <f t="shared" si="10"/>
        <v>#DIV/0!</v>
      </c>
      <c r="I119" s="6" t="e">
        <f t="shared" si="11"/>
        <v>#DIV/0!</v>
      </c>
      <c r="K119" s="7" t="s">
        <v>26</v>
      </c>
      <c r="L119" s="2">
        <v>1</v>
      </c>
    </row>
    <row r="120" spans="1:12" ht="17.25" customHeight="1" x14ac:dyDescent="0.2">
      <c r="A120" s="9"/>
      <c r="B120" s="2"/>
      <c r="C120" s="2"/>
      <c r="D120" s="10"/>
      <c r="E120" s="7"/>
      <c r="F120" s="10"/>
      <c r="H120" s="6" t="e">
        <f t="shared" si="10"/>
        <v>#DIV/0!</v>
      </c>
      <c r="I120" s="6" t="e">
        <f t="shared" si="11"/>
        <v>#DIV/0!</v>
      </c>
      <c r="K120" s="7" t="s">
        <v>26</v>
      </c>
      <c r="L120" s="2">
        <v>1</v>
      </c>
    </row>
    <row r="121" spans="1:12" ht="17.25" customHeight="1" x14ac:dyDescent="0.2">
      <c r="A121" s="9"/>
      <c r="B121" s="2"/>
      <c r="C121" s="2"/>
      <c r="D121" s="10"/>
      <c r="E121" s="7"/>
      <c r="F121" s="10"/>
      <c r="H121" s="6" t="e">
        <f t="shared" si="10"/>
        <v>#DIV/0!</v>
      </c>
      <c r="I121" s="6" t="e">
        <f t="shared" si="11"/>
        <v>#DIV/0!</v>
      </c>
      <c r="K121" s="7" t="s">
        <v>26</v>
      </c>
      <c r="L121" s="2">
        <v>1</v>
      </c>
    </row>
    <row r="122" spans="1:12" ht="17.25" customHeight="1" x14ac:dyDescent="0.2">
      <c r="A122" s="9"/>
      <c r="B122" s="2"/>
      <c r="C122" s="2"/>
      <c r="D122" s="10"/>
      <c r="E122" s="7"/>
      <c r="F122" s="10"/>
      <c r="H122" s="6" t="e">
        <f t="shared" si="10"/>
        <v>#DIV/0!</v>
      </c>
      <c r="I122" s="6" t="e">
        <f t="shared" si="11"/>
        <v>#DIV/0!</v>
      </c>
      <c r="K122" s="7" t="s">
        <v>26</v>
      </c>
      <c r="L122" s="2">
        <v>1</v>
      </c>
    </row>
    <row r="123" spans="1:12" ht="17.25" customHeight="1" x14ac:dyDescent="0.2">
      <c r="A123" s="9"/>
      <c r="B123" s="2"/>
      <c r="C123" s="2"/>
      <c r="D123" s="10"/>
      <c r="E123" s="7"/>
      <c r="F123" s="10"/>
      <c r="H123" s="6" t="e">
        <f t="shared" si="10"/>
        <v>#DIV/0!</v>
      </c>
      <c r="I123" s="6" t="e">
        <f t="shared" si="11"/>
        <v>#DIV/0!</v>
      </c>
      <c r="K123" s="7" t="s">
        <v>26</v>
      </c>
      <c r="L123" s="2">
        <v>1</v>
      </c>
    </row>
    <row r="124" spans="1:12" ht="17.25" customHeight="1" x14ac:dyDescent="0.2">
      <c r="A124" s="9"/>
      <c r="B124" s="2"/>
      <c r="C124" s="2"/>
      <c r="D124" s="10"/>
      <c r="E124" s="7"/>
      <c r="F124" s="10"/>
      <c r="H124" s="6" t="e">
        <f t="shared" si="10"/>
        <v>#DIV/0!</v>
      </c>
      <c r="I124" s="6" t="e">
        <f t="shared" si="11"/>
        <v>#DIV/0!</v>
      </c>
      <c r="K124" s="7" t="s">
        <v>26</v>
      </c>
      <c r="L124" s="2">
        <v>1</v>
      </c>
    </row>
    <row r="125" spans="1:12" ht="17.25" customHeight="1" x14ac:dyDescent="0.2">
      <c r="A125" s="2"/>
      <c r="B125" s="2"/>
      <c r="C125" s="2"/>
      <c r="D125" s="10"/>
      <c r="E125" s="10"/>
      <c r="F125" s="10"/>
      <c r="H125" s="11" t="e">
        <f t="shared" si="10"/>
        <v>#DIV/0!</v>
      </c>
      <c r="I125" s="11" t="e">
        <f t="shared" si="11"/>
        <v>#DIV/0!</v>
      </c>
      <c r="K125" s="7" t="s">
        <v>26</v>
      </c>
      <c r="L125" s="2">
        <v>1</v>
      </c>
    </row>
    <row r="126" spans="1:12" ht="17.25" customHeight="1" x14ac:dyDescent="0.2">
      <c r="A126" s="2"/>
      <c r="B126" s="2"/>
      <c r="C126" s="2"/>
      <c r="D126" s="10"/>
      <c r="E126" s="10"/>
      <c r="F126" s="10"/>
      <c r="H126" s="11" t="e">
        <f t="shared" si="10"/>
        <v>#DIV/0!</v>
      </c>
      <c r="I126" s="11" t="e">
        <f t="shared" si="11"/>
        <v>#DIV/0!</v>
      </c>
      <c r="K126" s="7" t="s">
        <v>26</v>
      </c>
      <c r="L126" s="2">
        <v>1</v>
      </c>
    </row>
    <row r="127" spans="1:12" ht="17.25" customHeight="1" x14ac:dyDescent="0.2">
      <c r="A127" s="2"/>
      <c r="B127" s="2"/>
      <c r="C127" s="2"/>
      <c r="D127" s="10"/>
      <c r="E127" s="10"/>
      <c r="F127" s="10"/>
      <c r="H127" s="11" t="e">
        <f t="shared" si="10"/>
        <v>#DIV/0!</v>
      </c>
      <c r="I127" s="11" t="e">
        <f t="shared" si="11"/>
        <v>#DIV/0!</v>
      </c>
      <c r="K127" s="7" t="s">
        <v>26</v>
      </c>
      <c r="L127" s="2">
        <v>1</v>
      </c>
    </row>
    <row r="128" spans="1:12" ht="17.25" customHeight="1" x14ac:dyDescent="0.2">
      <c r="A128" s="2"/>
      <c r="B128" s="2"/>
      <c r="C128" s="2"/>
      <c r="D128" s="10"/>
      <c r="E128" s="10"/>
      <c r="F128" s="10"/>
      <c r="H128" s="11" t="e">
        <f t="shared" si="10"/>
        <v>#DIV/0!</v>
      </c>
      <c r="I128" s="11" t="e">
        <f t="shared" si="11"/>
        <v>#DIV/0!</v>
      </c>
      <c r="K128" s="7" t="s">
        <v>26</v>
      </c>
      <c r="L128" s="2">
        <v>1</v>
      </c>
    </row>
    <row r="129" spans="8:9" ht="17.25" customHeight="1" x14ac:dyDescent="0.2">
      <c r="H129" s="6"/>
      <c r="I129" s="6"/>
    </row>
    <row r="130" spans="8:9" ht="17.25" customHeight="1" x14ac:dyDescent="0.2">
      <c r="H130" s="6"/>
      <c r="I130" s="6"/>
    </row>
    <row r="131" spans="8:9" ht="17.25" customHeight="1" x14ac:dyDescent="0.2">
      <c r="H131" s="6"/>
      <c r="I131" s="6"/>
    </row>
    <row r="132" spans="8:9" ht="17.25" customHeight="1" x14ac:dyDescent="0.2">
      <c r="H132" s="6"/>
      <c r="I132" s="6"/>
    </row>
    <row r="133" spans="8:9" ht="17.25" customHeight="1" x14ac:dyDescent="0.2">
      <c r="H133" s="6"/>
      <c r="I133" s="6"/>
    </row>
    <row r="134" spans="8:9" ht="17.25" customHeight="1" x14ac:dyDescent="0.2">
      <c r="H134" s="6"/>
      <c r="I134" s="6"/>
    </row>
    <row r="135" spans="8:9" ht="17.25" customHeight="1" x14ac:dyDescent="0.2">
      <c r="H135" s="6"/>
      <c r="I135" s="6"/>
    </row>
    <row r="136" spans="8:9" ht="17.25" customHeight="1" x14ac:dyDescent="0.2">
      <c r="H136" s="6"/>
      <c r="I136" s="6"/>
    </row>
    <row r="137" spans="8:9" ht="17.25" customHeight="1" x14ac:dyDescent="0.2">
      <c r="H137" s="6"/>
      <c r="I137" s="6"/>
    </row>
    <row r="138" spans="8:9" ht="17.25" customHeight="1" x14ac:dyDescent="0.2">
      <c r="H138" s="6"/>
      <c r="I138" s="6"/>
    </row>
    <row r="139" spans="8:9" ht="17.25" customHeight="1" x14ac:dyDescent="0.2">
      <c r="H139" s="6"/>
      <c r="I139" s="6"/>
    </row>
    <row r="140" spans="8:9" ht="17.25" customHeight="1" x14ac:dyDescent="0.2">
      <c r="H140" s="6"/>
      <c r="I140" s="6"/>
    </row>
    <row r="141" spans="8:9" ht="17.25" customHeight="1" x14ac:dyDescent="0.2">
      <c r="H141" s="6"/>
      <c r="I141" s="6"/>
    </row>
    <row r="142" spans="8:9" ht="17.25" customHeight="1" x14ac:dyDescent="0.2">
      <c r="H142" s="6"/>
      <c r="I142" s="6"/>
    </row>
    <row r="143" spans="8:9" ht="17.25" customHeight="1" x14ac:dyDescent="0.2">
      <c r="H143" s="6"/>
      <c r="I143" s="6"/>
    </row>
    <row r="144" spans="8:9" ht="17.25" customHeight="1" x14ac:dyDescent="0.2">
      <c r="H144" s="6"/>
      <c r="I144" s="6"/>
    </row>
    <row r="145" spans="8:9" ht="17.25" customHeight="1" x14ac:dyDescent="0.2">
      <c r="H145" s="6"/>
      <c r="I145" s="6"/>
    </row>
    <row r="146" spans="8:9" ht="17.25" customHeight="1" x14ac:dyDescent="0.2">
      <c r="H146" s="6"/>
      <c r="I146" s="6"/>
    </row>
    <row r="147" spans="8:9" ht="17.25" customHeight="1" x14ac:dyDescent="0.2">
      <c r="H147" s="6"/>
      <c r="I147" s="6"/>
    </row>
    <row r="148" spans="8:9" ht="17.25" customHeight="1" x14ac:dyDescent="0.2">
      <c r="H148" s="6"/>
      <c r="I148" s="6"/>
    </row>
    <row r="149" spans="8:9" ht="17.25" customHeight="1" x14ac:dyDescent="0.2">
      <c r="H149" s="6"/>
      <c r="I149" s="6"/>
    </row>
    <row r="150" spans="8:9" ht="17.25" customHeight="1" x14ac:dyDescent="0.2">
      <c r="H150" s="6"/>
      <c r="I150" s="6"/>
    </row>
    <row r="151" spans="8:9" ht="17.25" customHeight="1" x14ac:dyDescent="0.2">
      <c r="H151" s="6"/>
      <c r="I151" s="6"/>
    </row>
    <row r="152" spans="8:9" ht="17.25" customHeight="1" x14ac:dyDescent="0.2">
      <c r="H152" s="6"/>
      <c r="I152" s="6"/>
    </row>
    <row r="153" spans="8:9" ht="17.25" customHeight="1" x14ac:dyDescent="0.2">
      <c r="H153" s="6"/>
      <c r="I153" s="6"/>
    </row>
    <row r="154" spans="8:9" ht="17.25" customHeight="1" x14ac:dyDescent="0.2">
      <c r="H154" s="6"/>
      <c r="I154" s="6"/>
    </row>
    <row r="155" spans="8:9" ht="17.25" customHeight="1" x14ac:dyDescent="0.2">
      <c r="H155" s="6"/>
      <c r="I155" s="6"/>
    </row>
    <row r="156" spans="8:9" ht="17.25" customHeight="1" x14ac:dyDescent="0.2">
      <c r="H156" s="6"/>
      <c r="I156" s="6"/>
    </row>
    <row r="157" spans="8:9" ht="17.25" customHeight="1" x14ac:dyDescent="0.2">
      <c r="H157" s="6"/>
      <c r="I157" s="6"/>
    </row>
    <row r="158" spans="8:9" ht="17.25" customHeight="1" x14ac:dyDescent="0.2">
      <c r="H158" s="6"/>
      <c r="I158" s="6"/>
    </row>
    <row r="159" spans="8:9" ht="17.25" customHeight="1" x14ac:dyDescent="0.2">
      <c r="H159" s="6"/>
      <c r="I159" s="6"/>
    </row>
    <row r="160" spans="8:9" ht="17.25" customHeight="1" x14ac:dyDescent="0.2">
      <c r="H160" s="6"/>
      <c r="I160" s="6"/>
    </row>
    <row r="161" spans="8:9" ht="17.25" customHeight="1" x14ac:dyDescent="0.2">
      <c r="H161" s="6"/>
      <c r="I161" s="6"/>
    </row>
    <row r="162" spans="8:9" ht="17.25" customHeight="1" x14ac:dyDescent="0.2">
      <c r="H162" s="6"/>
      <c r="I162" s="6"/>
    </row>
    <row r="163" spans="8:9" ht="17.25" customHeight="1" x14ac:dyDescent="0.2">
      <c r="H163" s="6"/>
      <c r="I163" s="6"/>
    </row>
    <row r="164" spans="8:9" ht="17.25" customHeight="1" x14ac:dyDescent="0.2">
      <c r="H164" s="6"/>
      <c r="I164" s="6"/>
    </row>
    <row r="165" spans="8:9" ht="17.25" customHeight="1" x14ac:dyDescent="0.2">
      <c r="H165" s="6"/>
      <c r="I165" s="6"/>
    </row>
    <row r="166" spans="8:9" ht="17.25" customHeight="1" x14ac:dyDescent="0.2">
      <c r="H166" s="6"/>
      <c r="I166" s="6"/>
    </row>
    <row r="167" spans="8:9" ht="17.25" customHeight="1" x14ac:dyDescent="0.2">
      <c r="H167" s="6"/>
      <c r="I167" s="6"/>
    </row>
    <row r="168" spans="8:9" ht="17.25" customHeight="1" x14ac:dyDescent="0.2">
      <c r="H168" s="6"/>
      <c r="I168" s="6"/>
    </row>
    <row r="169" spans="8:9" ht="17.25" customHeight="1" x14ac:dyDescent="0.2">
      <c r="H169" s="6"/>
      <c r="I169" s="6"/>
    </row>
    <row r="170" spans="8:9" ht="17.25" customHeight="1" x14ac:dyDescent="0.2">
      <c r="H170" s="6"/>
      <c r="I170" s="6"/>
    </row>
    <row r="171" spans="8:9" ht="17.25" customHeight="1" x14ac:dyDescent="0.2">
      <c r="H171" s="6"/>
      <c r="I171" s="6"/>
    </row>
    <row r="172" spans="8:9" ht="17.25" customHeight="1" x14ac:dyDescent="0.2">
      <c r="H172" s="6"/>
      <c r="I172" s="6"/>
    </row>
    <row r="173" spans="8:9" ht="17.25" customHeight="1" x14ac:dyDescent="0.2">
      <c r="H173" s="6"/>
      <c r="I173" s="6"/>
    </row>
    <row r="174" spans="8:9" ht="17.25" customHeight="1" x14ac:dyDescent="0.2">
      <c r="H174" s="6"/>
      <c r="I174" s="6"/>
    </row>
    <row r="175" spans="8:9" ht="17.25" customHeight="1" x14ac:dyDescent="0.2">
      <c r="H175" s="6"/>
      <c r="I175" s="6"/>
    </row>
    <row r="176" spans="8:9" ht="17.25" customHeight="1" x14ac:dyDescent="0.2">
      <c r="H176" s="6"/>
      <c r="I176" s="6"/>
    </row>
    <row r="177" spans="8:9" ht="17.25" customHeight="1" x14ac:dyDescent="0.2">
      <c r="H177" s="6"/>
      <c r="I177" s="6"/>
    </row>
    <row r="178" spans="8:9" ht="17.25" customHeight="1" x14ac:dyDescent="0.2">
      <c r="H178" s="6"/>
      <c r="I178" s="6"/>
    </row>
    <row r="179" spans="8:9" ht="17.25" customHeight="1" x14ac:dyDescent="0.2">
      <c r="H179" s="6"/>
      <c r="I179" s="6"/>
    </row>
    <row r="180" spans="8:9" ht="17.25" customHeight="1" x14ac:dyDescent="0.2">
      <c r="H180" s="6"/>
      <c r="I180" s="6"/>
    </row>
    <row r="181" spans="8:9" ht="17.25" customHeight="1" x14ac:dyDescent="0.2">
      <c r="H181" s="6"/>
      <c r="I181" s="6"/>
    </row>
    <row r="182" spans="8:9" ht="17.25" customHeight="1" x14ac:dyDescent="0.2">
      <c r="H182" s="6"/>
      <c r="I182" s="6"/>
    </row>
    <row r="183" spans="8:9" ht="17.25" customHeight="1" x14ac:dyDescent="0.2">
      <c r="H183" s="6"/>
      <c r="I183" s="6"/>
    </row>
    <row r="184" spans="8:9" ht="17.25" customHeight="1" x14ac:dyDescent="0.2">
      <c r="H184" s="6"/>
      <c r="I184" s="6"/>
    </row>
    <row r="185" spans="8:9" ht="17.25" customHeight="1" x14ac:dyDescent="0.2">
      <c r="H185" s="6"/>
      <c r="I185" s="6"/>
    </row>
    <row r="186" spans="8:9" ht="17.25" customHeight="1" x14ac:dyDescent="0.2">
      <c r="H186" s="6"/>
      <c r="I186" s="6"/>
    </row>
    <row r="187" spans="8:9" ht="17.25" customHeight="1" x14ac:dyDescent="0.2">
      <c r="H187" s="6"/>
      <c r="I187" s="6"/>
    </row>
    <row r="188" spans="8:9" ht="17.25" customHeight="1" x14ac:dyDescent="0.2">
      <c r="H188" s="6"/>
      <c r="I188" s="6"/>
    </row>
    <row r="189" spans="8:9" ht="17.25" customHeight="1" x14ac:dyDescent="0.2">
      <c r="H189" s="6"/>
      <c r="I189" s="6"/>
    </row>
    <row r="190" spans="8:9" ht="17.25" customHeight="1" x14ac:dyDescent="0.2">
      <c r="H190" s="6"/>
      <c r="I190" s="6"/>
    </row>
    <row r="191" spans="8:9" ht="17.25" customHeight="1" x14ac:dyDescent="0.2">
      <c r="H191" s="6"/>
      <c r="I191" s="6"/>
    </row>
    <row r="192" spans="8:9" ht="17.25" customHeight="1" x14ac:dyDescent="0.2">
      <c r="H192" s="6"/>
      <c r="I192" s="6"/>
    </row>
    <row r="193" spans="8:9" ht="17.25" customHeight="1" x14ac:dyDescent="0.2">
      <c r="H193" s="6"/>
      <c r="I193" s="6"/>
    </row>
    <row r="194" spans="8:9" ht="17.25" customHeight="1" x14ac:dyDescent="0.2">
      <c r="H194" s="6"/>
      <c r="I194" s="6"/>
    </row>
    <row r="195" spans="8:9" ht="17.25" customHeight="1" x14ac:dyDescent="0.2">
      <c r="H195" s="6"/>
      <c r="I195" s="6"/>
    </row>
    <row r="196" spans="8:9" ht="17.25" customHeight="1" x14ac:dyDescent="0.2">
      <c r="H196" s="6"/>
      <c r="I196" s="6"/>
    </row>
    <row r="197" spans="8:9" ht="17.25" customHeight="1" x14ac:dyDescent="0.2">
      <c r="H197" s="6"/>
      <c r="I197" s="6"/>
    </row>
    <row r="198" spans="8:9" ht="17.25" customHeight="1" x14ac:dyDescent="0.2">
      <c r="H198" s="6"/>
      <c r="I198" s="6"/>
    </row>
    <row r="199" spans="8:9" ht="17.25" customHeight="1" x14ac:dyDescent="0.2">
      <c r="H199" s="6"/>
      <c r="I199" s="6"/>
    </row>
    <row r="200" spans="8:9" ht="17.25" customHeight="1" x14ac:dyDescent="0.2">
      <c r="H200" s="6"/>
      <c r="I200" s="6"/>
    </row>
    <row r="201" spans="8:9" ht="17.25" customHeight="1" x14ac:dyDescent="0.2">
      <c r="H201" s="6"/>
      <c r="I201" s="6"/>
    </row>
    <row r="202" spans="8:9" ht="17.25" customHeight="1" x14ac:dyDescent="0.2">
      <c r="H202" s="6"/>
      <c r="I202" s="6"/>
    </row>
    <row r="203" spans="8:9" ht="17.25" customHeight="1" x14ac:dyDescent="0.2">
      <c r="H203" s="6"/>
      <c r="I203" s="6"/>
    </row>
    <row r="204" spans="8:9" ht="17.25" customHeight="1" x14ac:dyDescent="0.2">
      <c r="H204" s="6"/>
      <c r="I204" s="6"/>
    </row>
    <row r="205" spans="8:9" ht="17.25" customHeight="1" x14ac:dyDescent="0.2">
      <c r="H205" s="6"/>
      <c r="I205" s="6"/>
    </row>
    <row r="206" spans="8:9" ht="17.25" customHeight="1" x14ac:dyDescent="0.2">
      <c r="H206" s="6"/>
      <c r="I206" s="6"/>
    </row>
    <row r="207" spans="8:9" ht="17.25" customHeight="1" x14ac:dyDescent="0.2">
      <c r="H207" s="6"/>
      <c r="I207" s="6"/>
    </row>
    <row r="208" spans="8:9" ht="17.25" customHeight="1" x14ac:dyDescent="0.2">
      <c r="H208" s="6"/>
      <c r="I208" s="6"/>
    </row>
    <row r="209" spans="8:9" ht="17.25" customHeight="1" x14ac:dyDescent="0.2">
      <c r="H209" s="6"/>
      <c r="I209" s="6"/>
    </row>
    <row r="210" spans="8:9" ht="17.25" customHeight="1" x14ac:dyDescent="0.2">
      <c r="H210" s="6"/>
      <c r="I210" s="6"/>
    </row>
    <row r="211" spans="8:9" ht="17.25" customHeight="1" x14ac:dyDescent="0.2">
      <c r="H211" s="6"/>
      <c r="I211" s="6"/>
    </row>
    <row r="212" spans="8:9" ht="17.25" customHeight="1" x14ac:dyDescent="0.2">
      <c r="H212" s="6"/>
      <c r="I212" s="6"/>
    </row>
    <row r="213" spans="8:9" ht="17.25" customHeight="1" x14ac:dyDescent="0.2">
      <c r="H213" s="6"/>
      <c r="I213" s="6"/>
    </row>
    <row r="214" spans="8:9" ht="17.25" customHeight="1" x14ac:dyDescent="0.2">
      <c r="H214" s="6"/>
      <c r="I214" s="6"/>
    </row>
    <row r="215" spans="8:9" ht="17.25" customHeight="1" x14ac:dyDescent="0.2">
      <c r="H215" s="6"/>
      <c r="I215" s="6"/>
    </row>
    <row r="216" spans="8:9" ht="17.25" customHeight="1" x14ac:dyDescent="0.2">
      <c r="H216" s="6"/>
      <c r="I216" s="6"/>
    </row>
    <row r="217" spans="8:9" ht="17.25" customHeight="1" x14ac:dyDescent="0.2">
      <c r="H217" s="6"/>
      <c r="I217" s="6"/>
    </row>
    <row r="218" spans="8:9" ht="17.25" customHeight="1" x14ac:dyDescent="0.2">
      <c r="H218" s="6"/>
      <c r="I218" s="6"/>
    </row>
    <row r="219" spans="8:9" ht="17.25" customHeight="1" x14ac:dyDescent="0.2">
      <c r="H219" s="6"/>
      <c r="I219" s="6"/>
    </row>
    <row r="220" spans="8:9" ht="17.25" customHeight="1" x14ac:dyDescent="0.2">
      <c r="H220" s="6"/>
      <c r="I220" s="6"/>
    </row>
    <row r="221" spans="8:9" ht="17.25" customHeight="1" x14ac:dyDescent="0.2">
      <c r="H221" s="6"/>
      <c r="I221" s="6"/>
    </row>
    <row r="222" spans="8:9" ht="17.25" customHeight="1" x14ac:dyDescent="0.2">
      <c r="H222" s="6"/>
      <c r="I222" s="6"/>
    </row>
    <row r="223" spans="8:9" ht="17.25" customHeight="1" x14ac:dyDescent="0.2">
      <c r="H223" s="6"/>
      <c r="I223" s="6"/>
    </row>
    <row r="224" spans="8:9" ht="17.25" customHeight="1" x14ac:dyDescent="0.2">
      <c r="H224" s="6"/>
      <c r="I224" s="6"/>
    </row>
    <row r="225" spans="8:9" ht="17.25" customHeight="1" x14ac:dyDescent="0.2">
      <c r="H225" s="6"/>
      <c r="I225" s="6"/>
    </row>
    <row r="226" spans="8:9" ht="17.25" customHeight="1" x14ac:dyDescent="0.2">
      <c r="H226" s="6"/>
      <c r="I226" s="6"/>
    </row>
    <row r="227" spans="8:9" ht="17.25" customHeight="1" x14ac:dyDescent="0.2">
      <c r="H227" s="6"/>
      <c r="I227" s="6"/>
    </row>
    <row r="228" spans="8:9" ht="17.25" customHeight="1" x14ac:dyDescent="0.2">
      <c r="H228" s="6"/>
      <c r="I228" s="6"/>
    </row>
    <row r="229" spans="8:9" ht="17.25" customHeight="1" x14ac:dyDescent="0.2">
      <c r="H229" s="6"/>
      <c r="I229" s="6"/>
    </row>
    <row r="230" spans="8:9" ht="17.25" customHeight="1" x14ac:dyDescent="0.2">
      <c r="H230" s="6"/>
      <c r="I230" s="6"/>
    </row>
    <row r="231" spans="8:9" ht="17.25" customHeight="1" x14ac:dyDescent="0.2">
      <c r="H231" s="6"/>
      <c r="I231" s="6"/>
    </row>
    <row r="232" spans="8:9" ht="17.25" customHeight="1" x14ac:dyDescent="0.2">
      <c r="H232" s="6"/>
      <c r="I232" s="6"/>
    </row>
    <row r="233" spans="8:9" ht="17.25" customHeight="1" x14ac:dyDescent="0.2">
      <c r="H233" s="6"/>
      <c r="I233" s="6"/>
    </row>
    <row r="234" spans="8:9" ht="17.25" customHeight="1" x14ac:dyDescent="0.2">
      <c r="H234" s="6"/>
      <c r="I234" s="6"/>
    </row>
    <row r="235" spans="8:9" ht="17.25" customHeight="1" x14ac:dyDescent="0.2">
      <c r="H235" s="6"/>
      <c r="I235" s="6"/>
    </row>
    <row r="236" spans="8:9" ht="17.25" customHeight="1" x14ac:dyDescent="0.2">
      <c r="H236" s="6"/>
      <c r="I236" s="6"/>
    </row>
    <row r="237" spans="8:9" ht="17.25" customHeight="1" x14ac:dyDescent="0.2">
      <c r="H237" s="6"/>
      <c r="I237" s="6"/>
    </row>
    <row r="238" spans="8:9" ht="17.25" customHeight="1" x14ac:dyDescent="0.2">
      <c r="H238" s="6"/>
      <c r="I238" s="6"/>
    </row>
    <row r="239" spans="8:9" ht="17.25" customHeight="1" x14ac:dyDescent="0.2">
      <c r="H239" s="6"/>
      <c r="I239" s="6"/>
    </row>
    <row r="240" spans="8:9" ht="17.25" customHeight="1" x14ac:dyDescent="0.2">
      <c r="H240" s="6"/>
      <c r="I240" s="6"/>
    </row>
    <row r="241" spans="8:9" ht="17.25" customHeight="1" x14ac:dyDescent="0.2">
      <c r="H241" s="6"/>
      <c r="I241" s="6"/>
    </row>
    <row r="242" spans="8:9" ht="17.25" customHeight="1" x14ac:dyDescent="0.2">
      <c r="H242" s="6"/>
      <c r="I242" s="6"/>
    </row>
    <row r="243" spans="8:9" ht="17.25" customHeight="1" x14ac:dyDescent="0.2">
      <c r="H243" s="6"/>
      <c r="I243" s="6"/>
    </row>
    <row r="244" spans="8:9" ht="17.25" customHeight="1" x14ac:dyDescent="0.2">
      <c r="H244" s="6"/>
      <c r="I244" s="6"/>
    </row>
    <row r="245" spans="8:9" ht="17.25" customHeight="1" x14ac:dyDescent="0.2">
      <c r="H245" s="6"/>
      <c r="I245" s="6"/>
    </row>
    <row r="246" spans="8:9" ht="17.25" customHeight="1" x14ac:dyDescent="0.2">
      <c r="H246" s="6"/>
      <c r="I246" s="6"/>
    </row>
    <row r="247" spans="8:9" ht="17.25" customHeight="1" x14ac:dyDescent="0.2">
      <c r="H247" s="6"/>
      <c r="I247" s="6"/>
    </row>
    <row r="248" spans="8:9" ht="17.25" customHeight="1" x14ac:dyDescent="0.2">
      <c r="H248" s="6"/>
      <c r="I248" s="6"/>
    </row>
    <row r="249" spans="8:9" ht="17.25" customHeight="1" x14ac:dyDescent="0.2">
      <c r="H249" s="6"/>
      <c r="I249" s="6"/>
    </row>
    <row r="250" spans="8:9" ht="17.25" customHeight="1" x14ac:dyDescent="0.2">
      <c r="H250" s="6"/>
      <c r="I250" s="6"/>
    </row>
    <row r="251" spans="8:9" ht="17.25" customHeight="1" x14ac:dyDescent="0.2">
      <c r="H251" s="6"/>
      <c r="I251" s="6"/>
    </row>
    <row r="252" spans="8:9" ht="17.25" customHeight="1" x14ac:dyDescent="0.2">
      <c r="H252" s="6"/>
      <c r="I252" s="6"/>
    </row>
    <row r="253" spans="8:9" ht="17.25" customHeight="1" x14ac:dyDescent="0.2">
      <c r="H253" s="6"/>
      <c r="I253" s="6"/>
    </row>
    <row r="254" spans="8:9" ht="17.25" customHeight="1" x14ac:dyDescent="0.2">
      <c r="H254" s="6"/>
      <c r="I254" s="6"/>
    </row>
    <row r="255" spans="8:9" ht="17.25" customHeight="1" x14ac:dyDescent="0.2">
      <c r="H255" s="6"/>
      <c r="I255" s="6"/>
    </row>
    <row r="256" spans="8:9" ht="17.25" customHeight="1" x14ac:dyDescent="0.2">
      <c r="H256" s="6"/>
      <c r="I256" s="6"/>
    </row>
    <row r="257" spans="8:9" ht="17.25" customHeight="1" x14ac:dyDescent="0.2">
      <c r="H257" s="6"/>
      <c r="I257" s="6"/>
    </row>
    <row r="258" spans="8:9" ht="17.25" customHeight="1" x14ac:dyDescent="0.2">
      <c r="H258" s="6"/>
      <c r="I258" s="6"/>
    </row>
    <row r="259" spans="8:9" ht="17.25" customHeight="1" x14ac:dyDescent="0.2">
      <c r="H259" s="6"/>
      <c r="I259" s="6"/>
    </row>
    <row r="260" spans="8:9" ht="17.25" customHeight="1" x14ac:dyDescent="0.2">
      <c r="H260" s="6"/>
      <c r="I260" s="6"/>
    </row>
    <row r="261" spans="8:9" ht="17.25" customHeight="1" x14ac:dyDescent="0.2">
      <c r="H261" s="6"/>
      <c r="I261" s="6"/>
    </row>
    <row r="262" spans="8:9" ht="17.25" customHeight="1" x14ac:dyDescent="0.2">
      <c r="H262" s="6"/>
      <c r="I262" s="6"/>
    </row>
    <row r="263" spans="8:9" ht="17.25" customHeight="1" x14ac:dyDescent="0.2">
      <c r="H263" s="6"/>
      <c r="I263" s="6"/>
    </row>
    <row r="264" spans="8:9" ht="17.25" customHeight="1" x14ac:dyDescent="0.2">
      <c r="H264" s="6"/>
      <c r="I264" s="6"/>
    </row>
    <row r="265" spans="8:9" ht="17.25" customHeight="1" x14ac:dyDescent="0.2">
      <c r="H265" s="6"/>
      <c r="I265" s="6"/>
    </row>
    <row r="266" spans="8:9" ht="17.25" customHeight="1" x14ac:dyDescent="0.2">
      <c r="H266" s="6"/>
      <c r="I266" s="6"/>
    </row>
    <row r="267" spans="8:9" ht="17.25" customHeight="1" x14ac:dyDescent="0.2">
      <c r="H267" s="6"/>
      <c r="I267" s="6"/>
    </row>
    <row r="268" spans="8:9" ht="17.25" customHeight="1" x14ac:dyDescent="0.2">
      <c r="H268" s="6"/>
      <c r="I268" s="6"/>
    </row>
    <row r="269" spans="8:9" ht="17.25" customHeight="1" x14ac:dyDescent="0.2">
      <c r="H269" s="6"/>
      <c r="I269" s="6"/>
    </row>
    <row r="270" spans="8:9" ht="17.25" customHeight="1" x14ac:dyDescent="0.2">
      <c r="H270" s="6"/>
      <c r="I270" s="6"/>
    </row>
    <row r="271" spans="8:9" ht="17.25" customHeight="1" x14ac:dyDescent="0.2">
      <c r="H271" s="6"/>
      <c r="I271" s="6"/>
    </row>
    <row r="272" spans="8:9" ht="17.25" customHeight="1" x14ac:dyDescent="0.2">
      <c r="H272" s="6"/>
      <c r="I272" s="6"/>
    </row>
    <row r="273" spans="8:9" ht="17.25" customHeight="1" x14ac:dyDescent="0.2">
      <c r="H273" s="6"/>
      <c r="I273" s="6"/>
    </row>
    <row r="274" spans="8:9" ht="17.25" customHeight="1" x14ac:dyDescent="0.2">
      <c r="H274" s="6"/>
      <c r="I274" s="6"/>
    </row>
    <row r="275" spans="8:9" ht="17.25" customHeight="1" x14ac:dyDescent="0.2">
      <c r="H275" s="6"/>
      <c r="I275" s="6"/>
    </row>
    <row r="276" spans="8:9" ht="17.25" customHeight="1" x14ac:dyDescent="0.2">
      <c r="H276" s="6"/>
      <c r="I276" s="6"/>
    </row>
    <row r="277" spans="8:9" ht="17.25" customHeight="1" x14ac:dyDescent="0.2">
      <c r="H277" s="6"/>
      <c r="I277" s="6"/>
    </row>
    <row r="278" spans="8:9" ht="17.25" customHeight="1" x14ac:dyDescent="0.2">
      <c r="H278" s="6"/>
      <c r="I278" s="6"/>
    </row>
    <row r="279" spans="8:9" ht="17.25" customHeight="1" x14ac:dyDescent="0.2">
      <c r="H279" s="6"/>
      <c r="I279" s="6"/>
    </row>
    <row r="280" spans="8:9" ht="17.25" customHeight="1" x14ac:dyDescent="0.2">
      <c r="H280" s="6"/>
      <c r="I280" s="6"/>
    </row>
    <row r="281" spans="8:9" ht="17.25" customHeight="1" x14ac:dyDescent="0.2">
      <c r="H281" s="6"/>
      <c r="I281" s="6"/>
    </row>
    <row r="282" spans="8:9" ht="17.25" customHeight="1" x14ac:dyDescent="0.2">
      <c r="H282" s="6"/>
      <c r="I282" s="6"/>
    </row>
    <row r="283" spans="8:9" ht="17.25" customHeight="1" x14ac:dyDescent="0.2">
      <c r="H283" s="6"/>
      <c r="I283" s="6"/>
    </row>
    <row r="284" spans="8:9" ht="17.25" customHeight="1" x14ac:dyDescent="0.2">
      <c r="H284" s="6"/>
      <c r="I284" s="6"/>
    </row>
    <row r="285" spans="8:9" ht="17.25" customHeight="1" x14ac:dyDescent="0.2">
      <c r="H285" s="6"/>
      <c r="I285" s="6"/>
    </row>
    <row r="286" spans="8:9" ht="17.25" customHeight="1" x14ac:dyDescent="0.2">
      <c r="H286" s="6"/>
      <c r="I286" s="6"/>
    </row>
    <row r="287" spans="8:9" ht="17.25" customHeight="1" x14ac:dyDescent="0.2">
      <c r="H287" s="6"/>
      <c r="I287" s="6"/>
    </row>
    <row r="288" spans="8:9" ht="17.25" customHeight="1" x14ac:dyDescent="0.2">
      <c r="H288" s="6"/>
      <c r="I288" s="6"/>
    </row>
    <row r="289" spans="8:9" ht="17.25" customHeight="1" x14ac:dyDescent="0.2">
      <c r="H289" s="6"/>
      <c r="I289" s="6"/>
    </row>
    <row r="290" spans="8:9" ht="17.25" customHeight="1" x14ac:dyDescent="0.2">
      <c r="H290" s="6"/>
      <c r="I290" s="6"/>
    </row>
    <row r="291" spans="8:9" ht="17.25" customHeight="1" x14ac:dyDescent="0.2">
      <c r="H291" s="6"/>
      <c r="I291" s="6"/>
    </row>
    <row r="292" spans="8:9" ht="17.25" customHeight="1" x14ac:dyDescent="0.2">
      <c r="H292" s="6"/>
      <c r="I292" s="6"/>
    </row>
    <row r="293" spans="8:9" ht="17.25" customHeight="1" x14ac:dyDescent="0.2">
      <c r="H293" s="6"/>
      <c r="I293" s="6"/>
    </row>
    <row r="294" spans="8:9" ht="17.25" customHeight="1" x14ac:dyDescent="0.2">
      <c r="H294" s="6"/>
      <c r="I294" s="6"/>
    </row>
    <row r="295" spans="8:9" ht="17.25" customHeight="1" x14ac:dyDescent="0.2">
      <c r="H295" s="6"/>
      <c r="I295" s="6"/>
    </row>
    <row r="296" spans="8:9" ht="17.25" customHeight="1" x14ac:dyDescent="0.2">
      <c r="H296" s="6"/>
      <c r="I296" s="6"/>
    </row>
    <row r="297" spans="8:9" ht="17.25" customHeight="1" x14ac:dyDescent="0.2">
      <c r="H297" s="6"/>
      <c r="I297" s="6"/>
    </row>
    <row r="298" spans="8:9" ht="17.25" customHeight="1" x14ac:dyDescent="0.2">
      <c r="H298" s="6"/>
      <c r="I298" s="6"/>
    </row>
    <row r="299" spans="8:9" ht="17.25" customHeight="1" x14ac:dyDescent="0.2">
      <c r="H299" s="6"/>
      <c r="I299" s="6"/>
    </row>
    <row r="300" spans="8:9" ht="17.25" customHeight="1" x14ac:dyDescent="0.2">
      <c r="H300" s="6"/>
      <c r="I300" s="6"/>
    </row>
    <row r="301" spans="8:9" ht="17.25" customHeight="1" x14ac:dyDescent="0.2">
      <c r="H301" s="6"/>
      <c r="I301" s="6"/>
    </row>
    <row r="302" spans="8:9" ht="17.25" customHeight="1" x14ac:dyDescent="0.2">
      <c r="H302" s="6"/>
      <c r="I302" s="6"/>
    </row>
    <row r="303" spans="8:9" ht="17.25" customHeight="1" x14ac:dyDescent="0.2">
      <c r="H303" s="6"/>
      <c r="I303" s="6"/>
    </row>
    <row r="304" spans="8:9" ht="17.25" customHeight="1" x14ac:dyDescent="0.2">
      <c r="H304" s="6"/>
      <c r="I304" s="6"/>
    </row>
    <row r="305" spans="8:9" ht="17.25" customHeight="1" x14ac:dyDescent="0.2">
      <c r="H305" s="6"/>
      <c r="I305" s="6"/>
    </row>
    <row r="306" spans="8:9" ht="17.25" customHeight="1" x14ac:dyDescent="0.2">
      <c r="H306" s="6"/>
      <c r="I306" s="6"/>
    </row>
    <row r="307" spans="8:9" ht="17.25" customHeight="1" x14ac:dyDescent="0.2">
      <c r="H307" s="6"/>
      <c r="I307" s="6"/>
    </row>
    <row r="308" spans="8:9" ht="17.25" customHeight="1" x14ac:dyDescent="0.2">
      <c r="H308" s="6"/>
      <c r="I308" s="6"/>
    </row>
    <row r="309" spans="8:9" ht="17.25" customHeight="1" x14ac:dyDescent="0.2">
      <c r="H309" s="6"/>
      <c r="I309" s="6"/>
    </row>
    <row r="310" spans="8:9" ht="17.25" customHeight="1" x14ac:dyDescent="0.2">
      <c r="H310" s="6"/>
      <c r="I310" s="6"/>
    </row>
    <row r="311" spans="8:9" ht="17.25" customHeight="1" x14ac:dyDescent="0.2">
      <c r="H311" s="6"/>
      <c r="I311" s="6"/>
    </row>
    <row r="312" spans="8:9" ht="17.25" customHeight="1" x14ac:dyDescent="0.2">
      <c r="H312" s="6"/>
      <c r="I312" s="6"/>
    </row>
    <row r="313" spans="8:9" ht="17.25" customHeight="1" x14ac:dyDescent="0.2">
      <c r="H313" s="6"/>
      <c r="I313" s="6"/>
    </row>
    <row r="314" spans="8:9" ht="17.25" customHeight="1" x14ac:dyDescent="0.2">
      <c r="H314" s="6"/>
      <c r="I314" s="6"/>
    </row>
    <row r="315" spans="8:9" ht="17.25" customHeight="1" x14ac:dyDescent="0.2">
      <c r="H315" s="6"/>
      <c r="I315" s="6"/>
    </row>
    <row r="316" spans="8:9" ht="17.25" customHeight="1" x14ac:dyDescent="0.2">
      <c r="H316" s="6"/>
      <c r="I316" s="6"/>
    </row>
    <row r="317" spans="8:9" ht="17.25" customHeight="1" x14ac:dyDescent="0.2">
      <c r="H317" s="6"/>
      <c r="I317" s="6"/>
    </row>
    <row r="318" spans="8:9" ht="17.25" customHeight="1" x14ac:dyDescent="0.2">
      <c r="H318" s="6"/>
      <c r="I318" s="6"/>
    </row>
    <row r="319" spans="8:9" ht="17.25" customHeight="1" x14ac:dyDescent="0.2">
      <c r="H319" s="6"/>
      <c r="I319" s="6"/>
    </row>
    <row r="320" spans="8:9" ht="17.25" customHeight="1" x14ac:dyDescent="0.2">
      <c r="H320" s="6"/>
      <c r="I320" s="6"/>
    </row>
    <row r="321" spans="8:9" ht="17.25" customHeight="1" x14ac:dyDescent="0.2">
      <c r="H321" s="6"/>
      <c r="I321" s="6"/>
    </row>
    <row r="322" spans="8:9" ht="17.25" customHeight="1" x14ac:dyDescent="0.2">
      <c r="H322" s="6"/>
      <c r="I322" s="6"/>
    </row>
    <row r="323" spans="8:9" ht="17.25" customHeight="1" x14ac:dyDescent="0.2">
      <c r="H323" s="6"/>
      <c r="I323" s="6"/>
    </row>
    <row r="324" spans="8:9" ht="17.25" customHeight="1" x14ac:dyDescent="0.2">
      <c r="H324" s="6"/>
      <c r="I324" s="6"/>
    </row>
    <row r="325" spans="8:9" ht="17.25" customHeight="1" x14ac:dyDescent="0.2">
      <c r="H325" s="6"/>
      <c r="I325" s="6"/>
    </row>
    <row r="326" spans="8:9" ht="17.25" customHeight="1" x14ac:dyDescent="0.2">
      <c r="H326" s="6"/>
      <c r="I326" s="6"/>
    </row>
    <row r="327" spans="8:9" ht="17.25" customHeight="1" x14ac:dyDescent="0.2">
      <c r="H327" s="6"/>
      <c r="I327" s="6"/>
    </row>
    <row r="328" spans="8:9" ht="17.25" customHeight="1" x14ac:dyDescent="0.2">
      <c r="H328" s="6"/>
      <c r="I328" s="6"/>
    </row>
    <row r="329" spans="8:9" ht="17.25" customHeight="1" x14ac:dyDescent="0.2">
      <c r="H329" s="6"/>
      <c r="I329" s="6"/>
    </row>
    <row r="330" spans="8:9" ht="17.25" customHeight="1" x14ac:dyDescent="0.2">
      <c r="H330" s="6"/>
      <c r="I330" s="6"/>
    </row>
    <row r="331" spans="8:9" ht="17.25" customHeight="1" x14ac:dyDescent="0.2">
      <c r="H331" s="6"/>
      <c r="I331" s="6"/>
    </row>
    <row r="332" spans="8:9" ht="17.25" customHeight="1" x14ac:dyDescent="0.2">
      <c r="H332" s="6"/>
      <c r="I332" s="6"/>
    </row>
    <row r="333" spans="8:9" ht="17.25" customHeight="1" x14ac:dyDescent="0.2">
      <c r="H333" s="6"/>
      <c r="I333" s="6"/>
    </row>
    <row r="334" spans="8:9" ht="17.25" customHeight="1" x14ac:dyDescent="0.2">
      <c r="H334" s="6"/>
      <c r="I334" s="6"/>
    </row>
    <row r="335" spans="8:9" ht="17.25" customHeight="1" x14ac:dyDescent="0.2">
      <c r="H335" s="6"/>
      <c r="I335" s="6"/>
    </row>
    <row r="336" spans="8:9" ht="17.25" customHeight="1" x14ac:dyDescent="0.2">
      <c r="H336" s="6"/>
      <c r="I336" s="6"/>
    </row>
    <row r="337" spans="8:9" ht="17.25" customHeight="1" x14ac:dyDescent="0.2">
      <c r="H337" s="6"/>
      <c r="I337" s="6"/>
    </row>
    <row r="338" spans="8:9" ht="17.25" customHeight="1" x14ac:dyDescent="0.2">
      <c r="H338" s="6"/>
      <c r="I338" s="6"/>
    </row>
    <row r="339" spans="8:9" ht="17.25" customHeight="1" x14ac:dyDescent="0.2">
      <c r="H339" s="6"/>
      <c r="I339" s="6"/>
    </row>
    <row r="340" spans="8:9" ht="17.25" customHeight="1" x14ac:dyDescent="0.2">
      <c r="H340" s="6"/>
      <c r="I340" s="6"/>
    </row>
    <row r="341" spans="8:9" ht="17.25" customHeight="1" x14ac:dyDescent="0.2">
      <c r="H341" s="6"/>
      <c r="I341" s="6"/>
    </row>
    <row r="342" spans="8:9" ht="17.25" customHeight="1" x14ac:dyDescent="0.2">
      <c r="H342" s="6"/>
      <c r="I342" s="6"/>
    </row>
    <row r="343" spans="8:9" ht="17.25" customHeight="1" x14ac:dyDescent="0.2">
      <c r="H343" s="6"/>
      <c r="I343" s="6"/>
    </row>
    <row r="344" spans="8:9" ht="17.25" customHeight="1" x14ac:dyDescent="0.2">
      <c r="H344" s="6"/>
      <c r="I344" s="6"/>
    </row>
    <row r="345" spans="8:9" ht="17.25" customHeight="1" x14ac:dyDescent="0.2">
      <c r="H345" s="6"/>
      <c r="I345" s="6"/>
    </row>
    <row r="346" spans="8:9" ht="17.25" customHeight="1" x14ac:dyDescent="0.2">
      <c r="H346" s="6"/>
      <c r="I346" s="6"/>
    </row>
    <row r="347" spans="8:9" ht="17.25" customHeight="1" x14ac:dyDescent="0.2">
      <c r="H347" s="6"/>
      <c r="I347" s="6"/>
    </row>
    <row r="348" spans="8:9" ht="17.25" customHeight="1" x14ac:dyDescent="0.2">
      <c r="H348" s="6"/>
      <c r="I348" s="6"/>
    </row>
    <row r="349" spans="8:9" ht="17.25" customHeight="1" x14ac:dyDescent="0.2">
      <c r="H349" s="6"/>
      <c r="I349" s="6"/>
    </row>
    <row r="350" spans="8:9" ht="17.25" customHeight="1" x14ac:dyDescent="0.2">
      <c r="H350" s="6"/>
      <c r="I350" s="6"/>
    </row>
    <row r="351" spans="8:9" ht="17.25" customHeight="1" x14ac:dyDescent="0.2">
      <c r="H351" s="6"/>
      <c r="I351" s="6"/>
    </row>
    <row r="352" spans="8:9" ht="17.25" customHeight="1" x14ac:dyDescent="0.2">
      <c r="H352" s="6"/>
      <c r="I352" s="6"/>
    </row>
    <row r="353" spans="8:9" ht="17.25" customHeight="1" x14ac:dyDescent="0.2">
      <c r="H353" s="6"/>
      <c r="I353" s="6"/>
    </row>
    <row r="354" spans="8:9" ht="17.25" customHeight="1" x14ac:dyDescent="0.2">
      <c r="H354" s="6"/>
      <c r="I354" s="6"/>
    </row>
    <row r="355" spans="8:9" ht="17.25" customHeight="1" x14ac:dyDescent="0.2">
      <c r="H355" s="6"/>
      <c r="I355" s="6"/>
    </row>
    <row r="356" spans="8:9" ht="17.25" customHeight="1" x14ac:dyDescent="0.2">
      <c r="H356" s="6"/>
      <c r="I356" s="6"/>
    </row>
    <row r="357" spans="8:9" ht="17.25" customHeight="1" x14ac:dyDescent="0.2">
      <c r="H357" s="6"/>
      <c r="I357" s="6"/>
    </row>
    <row r="358" spans="8:9" ht="17.25" customHeight="1" x14ac:dyDescent="0.2">
      <c r="H358" s="6"/>
      <c r="I358" s="6"/>
    </row>
    <row r="359" spans="8:9" ht="17.25" customHeight="1" x14ac:dyDescent="0.2">
      <c r="H359" s="6"/>
      <c r="I359" s="6"/>
    </row>
    <row r="360" spans="8:9" ht="17.25" customHeight="1" x14ac:dyDescent="0.2">
      <c r="H360" s="6"/>
      <c r="I360" s="6"/>
    </row>
    <row r="361" spans="8:9" ht="17.25" customHeight="1" x14ac:dyDescent="0.2">
      <c r="H361" s="6"/>
      <c r="I361" s="6"/>
    </row>
    <row r="362" spans="8:9" ht="17.25" customHeight="1" x14ac:dyDescent="0.2">
      <c r="H362" s="6"/>
      <c r="I362" s="6"/>
    </row>
    <row r="363" spans="8:9" ht="17.25" customHeight="1" x14ac:dyDescent="0.2">
      <c r="H363" s="6"/>
      <c r="I363" s="6"/>
    </row>
    <row r="364" spans="8:9" ht="17.25" customHeight="1" x14ac:dyDescent="0.2">
      <c r="H364" s="6"/>
      <c r="I364" s="6"/>
    </row>
    <row r="365" spans="8:9" ht="17.25" customHeight="1" x14ac:dyDescent="0.2">
      <c r="H365" s="6"/>
      <c r="I365" s="6"/>
    </row>
    <row r="366" spans="8:9" ht="17.25" customHeight="1" x14ac:dyDescent="0.2">
      <c r="H366" s="6"/>
      <c r="I366" s="6"/>
    </row>
    <row r="367" spans="8:9" ht="17.25" customHeight="1" x14ac:dyDescent="0.2">
      <c r="H367" s="6"/>
      <c r="I367" s="6"/>
    </row>
    <row r="368" spans="8:9" ht="17.25" customHeight="1" x14ac:dyDescent="0.2">
      <c r="H368" s="6"/>
      <c r="I368" s="6"/>
    </row>
    <row r="369" spans="8:9" ht="17.25" customHeight="1" x14ac:dyDescent="0.2">
      <c r="H369" s="6"/>
      <c r="I369" s="6"/>
    </row>
    <row r="370" spans="8:9" ht="17.25" customHeight="1" x14ac:dyDescent="0.2">
      <c r="H370" s="6"/>
      <c r="I370" s="6"/>
    </row>
    <row r="371" spans="8:9" ht="17.25" customHeight="1" x14ac:dyDescent="0.2">
      <c r="H371" s="6"/>
      <c r="I371" s="6"/>
    </row>
    <row r="372" spans="8:9" ht="17.25" customHeight="1" x14ac:dyDescent="0.2">
      <c r="H372" s="6"/>
      <c r="I372" s="6"/>
    </row>
    <row r="373" spans="8:9" ht="17.25" customHeight="1" x14ac:dyDescent="0.2">
      <c r="H373" s="6"/>
      <c r="I373" s="6"/>
    </row>
    <row r="374" spans="8:9" ht="17.25" customHeight="1" x14ac:dyDescent="0.2">
      <c r="H374" s="6"/>
      <c r="I374" s="6"/>
    </row>
    <row r="375" spans="8:9" ht="17.25" customHeight="1" x14ac:dyDescent="0.2">
      <c r="H375" s="6"/>
      <c r="I375" s="6"/>
    </row>
    <row r="376" spans="8:9" ht="17.25" customHeight="1" x14ac:dyDescent="0.2">
      <c r="H376" s="6"/>
      <c r="I376" s="6"/>
    </row>
    <row r="377" spans="8:9" ht="17.25" customHeight="1" x14ac:dyDescent="0.2">
      <c r="H377" s="6"/>
      <c r="I377" s="6"/>
    </row>
    <row r="378" spans="8:9" ht="17.25" customHeight="1" x14ac:dyDescent="0.2">
      <c r="H378" s="6"/>
      <c r="I378" s="6"/>
    </row>
    <row r="379" spans="8:9" ht="17.25" customHeight="1" x14ac:dyDescent="0.2">
      <c r="H379" s="6"/>
      <c r="I379" s="6"/>
    </row>
    <row r="380" spans="8:9" ht="17.25" customHeight="1" x14ac:dyDescent="0.2">
      <c r="H380" s="6"/>
      <c r="I380" s="6"/>
    </row>
    <row r="381" spans="8:9" ht="17.25" customHeight="1" x14ac:dyDescent="0.2">
      <c r="H381" s="6"/>
      <c r="I381" s="6"/>
    </row>
    <row r="382" spans="8:9" ht="17.25" customHeight="1" x14ac:dyDescent="0.2">
      <c r="H382" s="6"/>
      <c r="I382" s="6"/>
    </row>
    <row r="383" spans="8:9" ht="17.25" customHeight="1" x14ac:dyDescent="0.2">
      <c r="H383" s="6"/>
      <c r="I383" s="6"/>
    </row>
    <row r="384" spans="8:9" ht="17.25" customHeight="1" x14ac:dyDescent="0.2">
      <c r="H384" s="6"/>
      <c r="I384" s="6"/>
    </row>
    <row r="385" spans="8:9" ht="17.25" customHeight="1" x14ac:dyDescent="0.2">
      <c r="H385" s="6"/>
      <c r="I385" s="6"/>
    </row>
    <row r="386" spans="8:9" ht="17.25" customHeight="1" x14ac:dyDescent="0.2">
      <c r="H386" s="6"/>
      <c r="I386" s="6"/>
    </row>
    <row r="387" spans="8:9" ht="17.25" customHeight="1" x14ac:dyDescent="0.2">
      <c r="H387" s="6"/>
      <c r="I387" s="6"/>
    </row>
    <row r="388" spans="8:9" ht="17.25" customHeight="1" x14ac:dyDescent="0.2">
      <c r="H388" s="6"/>
      <c r="I388" s="6"/>
    </row>
    <row r="389" spans="8:9" ht="17.25" customHeight="1" x14ac:dyDescent="0.2">
      <c r="H389" s="6"/>
      <c r="I389" s="6"/>
    </row>
    <row r="390" spans="8:9" ht="17.25" customHeight="1" x14ac:dyDescent="0.2">
      <c r="H390" s="6"/>
      <c r="I390" s="6"/>
    </row>
    <row r="391" spans="8:9" ht="17.25" customHeight="1" x14ac:dyDescent="0.2">
      <c r="H391" s="6"/>
      <c r="I391" s="6"/>
    </row>
    <row r="392" spans="8:9" ht="17.25" customHeight="1" x14ac:dyDescent="0.2">
      <c r="H392" s="6"/>
      <c r="I392" s="6"/>
    </row>
    <row r="393" spans="8:9" ht="17.25" customHeight="1" x14ac:dyDescent="0.2">
      <c r="H393" s="6"/>
      <c r="I393" s="6"/>
    </row>
    <row r="394" spans="8:9" ht="17.25" customHeight="1" x14ac:dyDescent="0.2">
      <c r="H394" s="6"/>
      <c r="I394" s="6"/>
    </row>
    <row r="395" spans="8:9" ht="17.25" customHeight="1" x14ac:dyDescent="0.2">
      <c r="H395" s="6"/>
      <c r="I395" s="6"/>
    </row>
    <row r="396" spans="8:9" ht="17.25" customHeight="1" x14ac:dyDescent="0.2">
      <c r="H396" s="6"/>
      <c r="I396" s="6"/>
    </row>
    <row r="397" spans="8:9" ht="17.25" customHeight="1" x14ac:dyDescent="0.2">
      <c r="H397" s="6"/>
      <c r="I397" s="6"/>
    </row>
    <row r="398" spans="8:9" ht="17.25" customHeight="1" x14ac:dyDescent="0.2">
      <c r="H398" s="6"/>
      <c r="I398" s="6"/>
    </row>
    <row r="399" spans="8:9" ht="17.25" customHeight="1" x14ac:dyDescent="0.2">
      <c r="H399" s="6"/>
      <c r="I399" s="6"/>
    </row>
    <row r="400" spans="8:9" ht="17.25" customHeight="1" x14ac:dyDescent="0.2">
      <c r="H400" s="6"/>
      <c r="I400" s="6"/>
    </row>
    <row r="401" spans="8:9" ht="17.25" customHeight="1" x14ac:dyDescent="0.2">
      <c r="H401" s="6"/>
      <c r="I401" s="6"/>
    </row>
    <row r="402" spans="8:9" ht="17.25" customHeight="1" x14ac:dyDescent="0.2">
      <c r="H402" s="6"/>
      <c r="I402" s="6"/>
    </row>
    <row r="403" spans="8:9" ht="17.25" customHeight="1" x14ac:dyDescent="0.2">
      <c r="H403" s="6"/>
      <c r="I403" s="6"/>
    </row>
    <row r="404" spans="8:9" ht="17.25" customHeight="1" x14ac:dyDescent="0.2">
      <c r="H404" s="6"/>
      <c r="I404" s="6"/>
    </row>
    <row r="405" spans="8:9" ht="17.25" customHeight="1" x14ac:dyDescent="0.2">
      <c r="H405" s="6"/>
      <c r="I405" s="6"/>
    </row>
    <row r="406" spans="8:9" ht="17.25" customHeight="1" x14ac:dyDescent="0.2">
      <c r="H406" s="6"/>
      <c r="I406" s="6"/>
    </row>
    <row r="407" spans="8:9" ht="17.25" customHeight="1" x14ac:dyDescent="0.2">
      <c r="H407" s="6"/>
      <c r="I407" s="6"/>
    </row>
    <row r="408" spans="8:9" ht="17.25" customHeight="1" x14ac:dyDescent="0.2">
      <c r="H408" s="6"/>
      <c r="I408" s="6"/>
    </row>
    <row r="409" spans="8:9" ht="17.25" customHeight="1" x14ac:dyDescent="0.2">
      <c r="H409" s="6"/>
      <c r="I409" s="6"/>
    </row>
    <row r="410" spans="8:9" ht="17.25" customHeight="1" x14ac:dyDescent="0.2">
      <c r="H410" s="6"/>
      <c r="I410" s="6"/>
    </row>
    <row r="411" spans="8:9" ht="17.25" customHeight="1" x14ac:dyDescent="0.2">
      <c r="H411" s="6"/>
      <c r="I411" s="6"/>
    </row>
    <row r="412" spans="8:9" ht="17.25" customHeight="1" x14ac:dyDescent="0.2">
      <c r="H412" s="6"/>
      <c r="I412" s="6"/>
    </row>
    <row r="413" spans="8:9" ht="17.25" customHeight="1" x14ac:dyDescent="0.2">
      <c r="H413" s="6"/>
      <c r="I413" s="6"/>
    </row>
    <row r="414" spans="8:9" ht="17.25" customHeight="1" x14ac:dyDescent="0.2">
      <c r="H414" s="6"/>
      <c r="I414" s="6"/>
    </row>
    <row r="415" spans="8:9" ht="17.25" customHeight="1" x14ac:dyDescent="0.2">
      <c r="H415" s="6"/>
      <c r="I415" s="6"/>
    </row>
    <row r="416" spans="8:9" ht="17.25" customHeight="1" x14ac:dyDescent="0.2">
      <c r="H416" s="6"/>
      <c r="I416" s="6"/>
    </row>
    <row r="417" spans="8:9" ht="17.25" customHeight="1" x14ac:dyDescent="0.2">
      <c r="H417" s="6"/>
      <c r="I417" s="6"/>
    </row>
    <row r="418" spans="8:9" ht="17.25" customHeight="1" x14ac:dyDescent="0.2">
      <c r="H418" s="6"/>
      <c r="I418" s="6"/>
    </row>
    <row r="419" spans="8:9" ht="17.25" customHeight="1" x14ac:dyDescent="0.2">
      <c r="H419" s="6"/>
      <c r="I419" s="6"/>
    </row>
    <row r="420" spans="8:9" ht="17.25" customHeight="1" x14ac:dyDescent="0.2">
      <c r="H420" s="6"/>
      <c r="I420" s="6"/>
    </row>
    <row r="421" spans="8:9" ht="17.25" customHeight="1" x14ac:dyDescent="0.2">
      <c r="H421" s="6"/>
      <c r="I421" s="6"/>
    </row>
    <row r="422" spans="8:9" ht="17.25" customHeight="1" x14ac:dyDescent="0.2">
      <c r="H422" s="6"/>
      <c r="I422" s="6"/>
    </row>
    <row r="423" spans="8:9" ht="17.25" customHeight="1" x14ac:dyDescent="0.2">
      <c r="H423" s="6"/>
      <c r="I423" s="6"/>
    </row>
    <row r="424" spans="8:9" ht="17.25" customHeight="1" x14ac:dyDescent="0.2">
      <c r="H424" s="6"/>
      <c r="I424" s="6"/>
    </row>
    <row r="425" spans="8:9" ht="17.25" customHeight="1" x14ac:dyDescent="0.2">
      <c r="H425" s="6"/>
      <c r="I425" s="6"/>
    </row>
    <row r="426" spans="8:9" ht="17.25" customHeight="1" x14ac:dyDescent="0.2">
      <c r="H426" s="6"/>
      <c r="I426" s="6"/>
    </row>
    <row r="427" spans="8:9" ht="17.25" customHeight="1" x14ac:dyDescent="0.2">
      <c r="H427" s="6"/>
      <c r="I427" s="6"/>
    </row>
    <row r="428" spans="8:9" ht="17.25" customHeight="1" x14ac:dyDescent="0.2">
      <c r="H428" s="6"/>
      <c r="I428" s="6"/>
    </row>
    <row r="429" spans="8:9" ht="17.25" customHeight="1" x14ac:dyDescent="0.2">
      <c r="H429" s="6"/>
      <c r="I429" s="6"/>
    </row>
    <row r="430" spans="8:9" ht="17.25" customHeight="1" x14ac:dyDescent="0.2">
      <c r="H430" s="6"/>
      <c r="I430" s="6"/>
    </row>
    <row r="431" spans="8:9" ht="17.25" customHeight="1" x14ac:dyDescent="0.2">
      <c r="H431" s="6"/>
      <c r="I431" s="6"/>
    </row>
    <row r="432" spans="8:9" ht="17.25" customHeight="1" x14ac:dyDescent="0.2">
      <c r="H432" s="6"/>
      <c r="I432" s="6"/>
    </row>
    <row r="433" spans="8:9" ht="17.25" customHeight="1" x14ac:dyDescent="0.2">
      <c r="H433" s="6"/>
      <c r="I433" s="6"/>
    </row>
    <row r="434" spans="8:9" ht="17.25" customHeight="1" x14ac:dyDescent="0.2">
      <c r="H434" s="6"/>
      <c r="I434" s="6"/>
    </row>
    <row r="435" spans="8:9" ht="17.25" customHeight="1" x14ac:dyDescent="0.2">
      <c r="H435" s="6"/>
      <c r="I435" s="6"/>
    </row>
    <row r="436" spans="8:9" ht="17.25" customHeight="1" x14ac:dyDescent="0.2">
      <c r="H436" s="6"/>
      <c r="I436" s="6"/>
    </row>
    <row r="437" spans="8:9" ht="17.25" customHeight="1" x14ac:dyDescent="0.2">
      <c r="H437" s="6"/>
      <c r="I437" s="6"/>
    </row>
    <row r="438" spans="8:9" ht="17.25" customHeight="1" x14ac:dyDescent="0.2">
      <c r="H438" s="6"/>
      <c r="I438" s="6"/>
    </row>
    <row r="439" spans="8:9" ht="17.25" customHeight="1" x14ac:dyDescent="0.2">
      <c r="H439" s="6"/>
      <c r="I439" s="6"/>
    </row>
    <row r="440" spans="8:9" ht="17.25" customHeight="1" x14ac:dyDescent="0.2">
      <c r="H440" s="6"/>
      <c r="I440" s="6"/>
    </row>
    <row r="441" spans="8:9" ht="17.25" customHeight="1" x14ac:dyDescent="0.2">
      <c r="H441" s="6"/>
      <c r="I441" s="6"/>
    </row>
    <row r="442" spans="8:9" ht="17.25" customHeight="1" x14ac:dyDescent="0.2">
      <c r="H442" s="6"/>
      <c r="I442" s="6"/>
    </row>
    <row r="443" spans="8:9" ht="17.25" customHeight="1" x14ac:dyDescent="0.2">
      <c r="H443" s="6"/>
      <c r="I443" s="6"/>
    </row>
    <row r="444" spans="8:9" ht="17.25" customHeight="1" x14ac:dyDescent="0.2">
      <c r="H444" s="6"/>
      <c r="I444" s="6"/>
    </row>
    <row r="445" spans="8:9" ht="17.25" customHeight="1" x14ac:dyDescent="0.2">
      <c r="H445" s="6"/>
      <c r="I445" s="6"/>
    </row>
    <row r="446" spans="8:9" ht="17.25" customHeight="1" x14ac:dyDescent="0.2">
      <c r="H446" s="6"/>
      <c r="I446" s="6"/>
    </row>
    <row r="447" spans="8:9" ht="17.25" customHeight="1" x14ac:dyDescent="0.2">
      <c r="H447" s="6"/>
      <c r="I447" s="6"/>
    </row>
    <row r="448" spans="8:9" ht="17.25" customHeight="1" x14ac:dyDescent="0.2">
      <c r="H448" s="6"/>
      <c r="I448" s="6"/>
    </row>
    <row r="449" spans="8:9" ht="17.25" customHeight="1" x14ac:dyDescent="0.2">
      <c r="H449" s="6"/>
      <c r="I449" s="6"/>
    </row>
    <row r="450" spans="8:9" ht="17.25" customHeight="1" x14ac:dyDescent="0.2">
      <c r="H450" s="6"/>
      <c r="I450" s="6"/>
    </row>
    <row r="451" spans="8:9" ht="17.25" customHeight="1" x14ac:dyDescent="0.2">
      <c r="H451" s="6"/>
      <c r="I451" s="6"/>
    </row>
    <row r="452" spans="8:9" ht="17.25" customHeight="1" x14ac:dyDescent="0.2">
      <c r="H452" s="6"/>
      <c r="I452" s="6"/>
    </row>
    <row r="453" spans="8:9" ht="17.25" customHeight="1" x14ac:dyDescent="0.2">
      <c r="H453" s="6"/>
      <c r="I453" s="6"/>
    </row>
    <row r="454" spans="8:9" ht="17.25" customHeight="1" x14ac:dyDescent="0.2">
      <c r="H454" s="6"/>
      <c r="I454" s="6"/>
    </row>
    <row r="455" spans="8:9" ht="17.25" customHeight="1" x14ac:dyDescent="0.2">
      <c r="H455" s="6"/>
      <c r="I455" s="6"/>
    </row>
    <row r="456" spans="8:9" ht="17.25" customHeight="1" x14ac:dyDescent="0.2">
      <c r="H456" s="6"/>
      <c r="I456" s="6"/>
    </row>
    <row r="457" spans="8:9" ht="17.25" customHeight="1" x14ac:dyDescent="0.2">
      <c r="H457" s="6"/>
      <c r="I457" s="6"/>
    </row>
    <row r="458" spans="8:9" ht="17.25" customHeight="1" x14ac:dyDescent="0.2">
      <c r="H458" s="6"/>
      <c r="I458" s="6"/>
    </row>
    <row r="459" spans="8:9" ht="17.25" customHeight="1" x14ac:dyDescent="0.2">
      <c r="H459" s="6"/>
      <c r="I459" s="6"/>
    </row>
    <row r="460" spans="8:9" ht="17.25" customHeight="1" x14ac:dyDescent="0.2">
      <c r="H460" s="6"/>
      <c r="I460" s="6"/>
    </row>
    <row r="461" spans="8:9" ht="17.25" customHeight="1" x14ac:dyDescent="0.2">
      <c r="H461" s="6"/>
      <c r="I461" s="6"/>
    </row>
    <row r="462" spans="8:9" ht="17.25" customHeight="1" x14ac:dyDescent="0.2">
      <c r="H462" s="6"/>
      <c r="I462" s="6"/>
    </row>
    <row r="463" spans="8:9" ht="17.25" customHeight="1" x14ac:dyDescent="0.2">
      <c r="H463" s="6"/>
      <c r="I463" s="6"/>
    </row>
    <row r="464" spans="8:9" ht="17.25" customHeight="1" x14ac:dyDescent="0.2">
      <c r="H464" s="6"/>
      <c r="I464" s="6"/>
    </row>
    <row r="465" spans="8:9" ht="17.25" customHeight="1" x14ac:dyDescent="0.2">
      <c r="H465" s="6"/>
      <c r="I465" s="6"/>
    </row>
    <row r="466" spans="8:9" ht="17.25" customHeight="1" x14ac:dyDescent="0.2">
      <c r="H466" s="6"/>
      <c r="I466" s="6"/>
    </row>
    <row r="467" spans="8:9" ht="17.25" customHeight="1" x14ac:dyDescent="0.2">
      <c r="H467" s="6"/>
      <c r="I467" s="6"/>
    </row>
    <row r="468" spans="8:9" ht="17.25" customHeight="1" x14ac:dyDescent="0.2">
      <c r="H468" s="6"/>
      <c r="I468" s="6"/>
    </row>
    <row r="469" spans="8:9" ht="17.25" customHeight="1" x14ac:dyDescent="0.2">
      <c r="H469" s="6"/>
      <c r="I469" s="6"/>
    </row>
    <row r="470" spans="8:9" ht="17.25" customHeight="1" x14ac:dyDescent="0.2">
      <c r="H470" s="6"/>
      <c r="I470" s="6"/>
    </row>
    <row r="471" spans="8:9" ht="17.25" customHeight="1" x14ac:dyDescent="0.2">
      <c r="H471" s="6"/>
      <c r="I471" s="6"/>
    </row>
    <row r="472" spans="8:9" ht="17.25" customHeight="1" x14ac:dyDescent="0.2">
      <c r="H472" s="6"/>
      <c r="I472" s="6"/>
    </row>
    <row r="473" spans="8:9" ht="17.25" customHeight="1" x14ac:dyDescent="0.2">
      <c r="H473" s="6"/>
      <c r="I473" s="6"/>
    </row>
    <row r="474" spans="8:9" ht="17.25" customHeight="1" x14ac:dyDescent="0.2">
      <c r="H474" s="6"/>
      <c r="I474" s="6"/>
    </row>
    <row r="475" spans="8:9" ht="17.25" customHeight="1" x14ac:dyDescent="0.2">
      <c r="H475" s="6"/>
      <c r="I475" s="6"/>
    </row>
    <row r="476" spans="8:9" ht="17.25" customHeight="1" x14ac:dyDescent="0.2">
      <c r="H476" s="6"/>
      <c r="I476" s="6"/>
    </row>
    <row r="477" spans="8:9" ht="17.25" customHeight="1" x14ac:dyDescent="0.2">
      <c r="H477" s="6"/>
      <c r="I477" s="6"/>
    </row>
    <row r="478" spans="8:9" ht="17.25" customHeight="1" x14ac:dyDescent="0.2">
      <c r="H478" s="6"/>
      <c r="I478" s="6"/>
    </row>
    <row r="479" spans="8:9" ht="17.25" customHeight="1" x14ac:dyDescent="0.2">
      <c r="H479" s="6"/>
      <c r="I479" s="6"/>
    </row>
    <row r="480" spans="8:9" ht="17.25" customHeight="1" x14ac:dyDescent="0.2">
      <c r="H480" s="6"/>
      <c r="I480" s="6"/>
    </row>
    <row r="481" spans="8:9" ht="17.25" customHeight="1" x14ac:dyDescent="0.2">
      <c r="H481" s="6"/>
      <c r="I481" s="6"/>
    </row>
    <row r="482" spans="8:9" ht="17.25" customHeight="1" x14ac:dyDescent="0.2">
      <c r="H482" s="6"/>
      <c r="I482" s="6"/>
    </row>
    <row r="483" spans="8:9" ht="17.25" customHeight="1" x14ac:dyDescent="0.2">
      <c r="H483" s="6"/>
      <c r="I483" s="6"/>
    </row>
    <row r="484" spans="8:9" ht="17.25" customHeight="1" x14ac:dyDescent="0.2">
      <c r="H484" s="6"/>
      <c r="I484" s="6"/>
    </row>
    <row r="485" spans="8:9" ht="17.25" customHeight="1" x14ac:dyDescent="0.2">
      <c r="H485" s="6"/>
      <c r="I485" s="6"/>
    </row>
    <row r="486" spans="8:9" ht="17.25" customHeight="1" x14ac:dyDescent="0.2">
      <c r="H486" s="6"/>
      <c r="I486" s="6"/>
    </row>
    <row r="487" spans="8:9" ht="17.25" customHeight="1" x14ac:dyDescent="0.2">
      <c r="H487" s="6"/>
      <c r="I487" s="6"/>
    </row>
    <row r="488" spans="8:9" ht="17.25" customHeight="1" x14ac:dyDescent="0.2">
      <c r="H488" s="6"/>
      <c r="I488" s="6"/>
    </row>
    <row r="489" spans="8:9" ht="17.25" customHeight="1" x14ac:dyDescent="0.2">
      <c r="H489" s="6"/>
      <c r="I489" s="6"/>
    </row>
    <row r="490" spans="8:9" ht="17.25" customHeight="1" x14ac:dyDescent="0.2">
      <c r="H490" s="6"/>
      <c r="I490" s="6"/>
    </row>
    <row r="491" spans="8:9" ht="17.25" customHeight="1" x14ac:dyDescent="0.2">
      <c r="H491" s="6"/>
      <c r="I491" s="6"/>
    </row>
    <row r="492" spans="8:9" ht="17.25" customHeight="1" x14ac:dyDescent="0.2">
      <c r="H492" s="6"/>
      <c r="I492" s="6"/>
    </row>
    <row r="493" spans="8:9" ht="17.25" customHeight="1" x14ac:dyDescent="0.2">
      <c r="H493" s="6"/>
      <c r="I493" s="6"/>
    </row>
    <row r="494" spans="8:9" ht="17.25" customHeight="1" x14ac:dyDescent="0.2">
      <c r="H494" s="6"/>
      <c r="I494" s="6"/>
    </row>
    <row r="495" spans="8:9" ht="17.25" customHeight="1" x14ac:dyDescent="0.2">
      <c r="H495" s="6"/>
      <c r="I495" s="6"/>
    </row>
    <row r="496" spans="8:9" ht="17.25" customHeight="1" x14ac:dyDescent="0.2">
      <c r="H496" s="6"/>
      <c r="I496" s="6"/>
    </row>
    <row r="497" spans="8:9" ht="17.25" customHeight="1" x14ac:dyDescent="0.2">
      <c r="H497" s="6"/>
      <c r="I497" s="6"/>
    </row>
    <row r="498" spans="8:9" ht="17.25" customHeight="1" x14ac:dyDescent="0.2">
      <c r="H498" s="6"/>
      <c r="I498" s="6"/>
    </row>
    <row r="499" spans="8:9" ht="17.25" customHeight="1" x14ac:dyDescent="0.2">
      <c r="H499" s="6"/>
      <c r="I499" s="6"/>
    </row>
    <row r="500" spans="8:9" ht="17.25" customHeight="1" x14ac:dyDescent="0.2">
      <c r="H500" s="6"/>
      <c r="I500" s="6"/>
    </row>
    <row r="501" spans="8:9" ht="17.25" customHeight="1" x14ac:dyDescent="0.2">
      <c r="H501" s="6"/>
      <c r="I501" s="6"/>
    </row>
    <row r="502" spans="8:9" ht="17.25" customHeight="1" x14ac:dyDescent="0.2">
      <c r="H502" s="6"/>
      <c r="I502" s="6"/>
    </row>
    <row r="503" spans="8:9" ht="17.25" customHeight="1" x14ac:dyDescent="0.2">
      <c r="H503" s="6"/>
      <c r="I503" s="6"/>
    </row>
    <row r="504" spans="8:9" ht="17.25" customHeight="1" x14ac:dyDescent="0.2">
      <c r="H504" s="6"/>
      <c r="I504" s="6"/>
    </row>
    <row r="505" spans="8:9" ht="17.25" customHeight="1" x14ac:dyDescent="0.2">
      <c r="H505" s="6"/>
      <c r="I505" s="6"/>
    </row>
    <row r="506" spans="8:9" ht="17.25" customHeight="1" x14ac:dyDescent="0.2">
      <c r="H506" s="6"/>
      <c r="I506" s="6"/>
    </row>
    <row r="507" spans="8:9" ht="17.25" customHeight="1" x14ac:dyDescent="0.2">
      <c r="H507" s="6"/>
      <c r="I507" s="6"/>
    </row>
    <row r="508" spans="8:9" ht="17.25" customHeight="1" x14ac:dyDescent="0.2">
      <c r="H508" s="6"/>
      <c r="I508" s="6"/>
    </row>
    <row r="509" spans="8:9" ht="17.25" customHeight="1" x14ac:dyDescent="0.2">
      <c r="H509" s="6"/>
      <c r="I509" s="6"/>
    </row>
    <row r="510" spans="8:9" ht="17.25" customHeight="1" x14ac:dyDescent="0.2">
      <c r="H510" s="6"/>
      <c r="I510" s="6"/>
    </row>
    <row r="511" spans="8:9" ht="17.25" customHeight="1" x14ac:dyDescent="0.2">
      <c r="H511" s="6"/>
      <c r="I511" s="6"/>
    </row>
    <row r="512" spans="8:9" ht="17.25" customHeight="1" x14ac:dyDescent="0.2">
      <c r="H512" s="6"/>
      <c r="I512" s="6"/>
    </row>
    <row r="513" spans="8:9" ht="17.25" customHeight="1" x14ac:dyDescent="0.2">
      <c r="H513" s="6"/>
      <c r="I513" s="6"/>
    </row>
    <row r="514" spans="8:9" ht="17.25" customHeight="1" x14ac:dyDescent="0.2">
      <c r="H514" s="6"/>
      <c r="I514" s="6"/>
    </row>
    <row r="515" spans="8:9" ht="17.25" customHeight="1" x14ac:dyDescent="0.2">
      <c r="H515" s="6"/>
      <c r="I515" s="6"/>
    </row>
    <row r="516" spans="8:9" ht="17.25" customHeight="1" x14ac:dyDescent="0.2">
      <c r="H516" s="6"/>
      <c r="I516" s="6"/>
    </row>
    <row r="517" spans="8:9" ht="17.25" customHeight="1" x14ac:dyDescent="0.2">
      <c r="H517" s="6"/>
      <c r="I517"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AG477"/>
  <sheetViews>
    <sheetView workbookViewId="0"/>
  </sheetViews>
  <sheetFormatPr baseColWidth="10" defaultColWidth="8.83203125" defaultRowHeight="15" x14ac:dyDescent="0.2"/>
  <cols>
    <col min="1" max="3" width="11.83203125" style="8" bestFit="1" customWidth="1"/>
    <col min="4" max="7" width="11.83203125" bestFit="1" customWidth="1"/>
    <col min="8" max="9" width="11.83203125" style="12" bestFit="1" customWidth="1"/>
    <col min="10" max="11" width="11.83203125" bestFit="1" customWidth="1"/>
    <col min="12" max="12" width="11.83203125" style="8" bestFit="1" customWidth="1"/>
    <col min="13" max="33" width="11.83203125" bestFit="1" customWidth="1"/>
  </cols>
  <sheetData>
    <row r="1" spans="1:33" ht="17.25" customHeight="1" x14ac:dyDescent="0.2">
      <c r="A1" s="1" t="s">
        <v>1</v>
      </c>
      <c r="B1" s="1" t="s">
        <v>2</v>
      </c>
      <c r="C1" s="1" t="s">
        <v>3</v>
      </c>
      <c r="D1" s="4" t="s">
        <v>4</v>
      </c>
      <c r="E1" s="4" t="s">
        <v>5</v>
      </c>
      <c r="F1" s="4" t="s">
        <v>6</v>
      </c>
      <c r="G1" s="4"/>
      <c r="H1" s="5" t="s">
        <v>7</v>
      </c>
      <c r="I1" s="5" t="s">
        <v>8</v>
      </c>
      <c r="J1" s="4"/>
      <c r="K1" s="4" t="s">
        <v>9</v>
      </c>
      <c r="L1" s="1" t="s">
        <v>10</v>
      </c>
      <c r="M1" s="4"/>
      <c r="N1" s="4"/>
      <c r="O1" s="4"/>
      <c r="P1" s="4"/>
      <c r="Q1" s="4"/>
      <c r="R1" s="4"/>
      <c r="S1" s="4"/>
      <c r="T1" s="4"/>
      <c r="U1" s="4"/>
      <c r="V1" s="4"/>
      <c r="W1" s="4"/>
      <c r="X1" s="4"/>
      <c r="Y1" s="4"/>
      <c r="Z1" s="4"/>
      <c r="AA1" s="4"/>
      <c r="AB1" s="4"/>
      <c r="AC1" s="4"/>
      <c r="AD1" s="4"/>
      <c r="AE1" s="4"/>
      <c r="AF1" s="4"/>
      <c r="AG1" s="4"/>
    </row>
    <row r="2" spans="1:33" ht="17.25" customHeight="1" x14ac:dyDescent="0.2">
      <c r="A2" s="2">
        <v>0</v>
      </c>
      <c r="B2" s="2">
        <v>0</v>
      </c>
      <c r="C2" s="2">
        <v>0</v>
      </c>
      <c r="D2" s="2"/>
      <c r="H2" s="6">
        <v>0</v>
      </c>
      <c r="I2" s="6">
        <v>0</v>
      </c>
      <c r="K2" s="7" t="s">
        <v>11</v>
      </c>
      <c r="L2" s="2">
        <v>100</v>
      </c>
    </row>
    <row r="3" spans="1:33" ht="17.25" customHeight="1" x14ac:dyDescent="0.2">
      <c r="D3" s="2"/>
      <c r="H3" s="6"/>
      <c r="I3" s="6"/>
      <c r="K3" s="7"/>
    </row>
    <row r="4" spans="1:33" ht="17.25" customHeight="1" x14ac:dyDescent="0.2">
      <c r="A4" s="9"/>
      <c r="B4" s="2"/>
      <c r="C4" s="2"/>
      <c r="D4" s="10"/>
      <c r="E4" s="7"/>
      <c r="F4" s="10"/>
      <c r="H4" s="6" t="e">
        <f t="shared" ref="H4:H39" si="0">F4/D4</f>
        <v>#DIV/0!</v>
      </c>
      <c r="I4" s="6" t="e">
        <f t="shared" ref="I4:I39" si="1">SQRT(F4)/D4</f>
        <v>#DIV/0!</v>
      </c>
      <c r="K4" s="7" t="s">
        <v>11</v>
      </c>
      <c r="L4" s="2">
        <v>1</v>
      </c>
    </row>
    <row r="5" spans="1:33" ht="17.25" customHeight="1" x14ac:dyDescent="0.2">
      <c r="A5" s="9"/>
      <c r="B5" s="2"/>
      <c r="C5" s="2"/>
      <c r="D5" s="10"/>
      <c r="E5" s="7"/>
      <c r="F5" s="10"/>
      <c r="H5" s="6" t="e">
        <f t="shared" si="0"/>
        <v>#DIV/0!</v>
      </c>
      <c r="I5" s="6" t="e">
        <f t="shared" si="1"/>
        <v>#DIV/0!</v>
      </c>
      <c r="K5" s="7" t="s">
        <v>11</v>
      </c>
      <c r="L5" s="2">
        <v>1</v>
      </c>
    </row>
    <row r="6" spans="1:33" ht="17.25" customHeight="1" x14ac:dyDescent="0.2">
      <c r="A6" s="9"/>
      <c r="B6" s="2"/>
      <c r="C6" s="2"/>
      <c r="D6" s="10"/>
      <c r="E6" s="7"/>
      <c r="F6" s="10"/>
      <c r="H6" s="6" t="e">
        <f t="shared" si="0"/>
        <v>#DIV/0!</v>
      </c>
      <c r="I6" s="6" t="e">
        <f t="shared" si="1"/>
        <v>#DIV/0!</v>
      </c>
      <c r="K6" s="7" t="s">
        <v>11</v>
      </c>
      <c r="L6" s="2">
        <v>1</v>
      </c>
    </row>
    <row r="7" spans="1:33" ht="17.25" customHeight="1" x14ac:dyDescent="0.2">
      <c r="A7" s="9"/>
      <c r="B7" s="2"/>
      <c r="C7" s="2"/>
      <c r="D7" s="10"/>
      <c r="E7" s="7"/>
      <c r="F7" s="10"/>
      <c r="H7" s="6" t="e">
        <f t="shared" si="0"/>
        <v>#DIV/0!</v>
      </c>
      <c r="I7" s="6" t="e">
        <f t="shared" si="1"/>
        <v>#DIV/0!</v>
      </c>
      <c r="K7" s="7" t="s">
        <v>11</v>
      </c>
      <c r="L7" s="2">
        <v>1</v>
      </c>
    </row>
    <row r="8" spans="1:33" ht="17.25" customHeight="1" x14ac:dyDescent="0.2">
      <c r="A8" s="9"/>
      <c r="B8" s="2"/>
      <c r="C8" s="2"/>
      <c r="D8" s="10"/>
      <c r="E8" s="7"/>
      <c r="F8" s="10"/>
      <c r="H8" s="6" t="e">
        <f t="shared" si="0"/>
        <v>#DIV/0!</v>
      </c>
      <c r="I8" s="6" t="e">
        <f t="shared" si="1"/>
        <v>#DIV/0!</v>
      </c>
      <c r="K8" s="7" t="s">
        <v>11</v>
      </c>
      <c r="L8" s="2">
        <v>1</v>
      </c>
    </row>
    <row r="9" spans="1:33" ht="17.25" customHeight="1" x14ac:dyDescent="0.2">
      <c r="A9" s="9"/>
      <c r="B9" s="2"/>
      <c r="C9" s="2"/>
      <c r="D9" s="10"/>
      <c r="E9" s="7"/>
      <c r="F9" s="10"/>
      <c r="H9" s="6" t="e">
        <f t="shared" si="0"/>
        <v>#DIV/0!</v>
      </c>
      <c r="I9" s="6" t="e">
        <f t="shared" si="1"/>
        <v>#DIV/0!</v>
      </c>
      <c r="K9" s="7" t="s">
        <v>11</v>
      </c>
      <c r="L9" s="2">
        <v>1</v>
      </c>
    </row>
    <row r="10" spans="1:33" ht="17.25" customHeight="1" x14ac:dyDescent="0.2">
      <c r="A10" s="9"/>
      <c r="B10" s="2"/>
      <c r="C10" s="2"/>
      <c r="D10" s="10"/>
      <c r="E10" s="7"/>
      <c r="F10" s="10"/>
      <c r="H10" s="6" t="e">
        <f t="shared" si="0"/>
        <v>#DIV/0!</v>
      </c>
      <c r="I10" s="6" t="e">
        <f t="shared" si="1"/>
        <v>#DIV/0!</v>
      </c>
      <c r="K10" s="7" t="s">
        <v>11</v>
      </c>
      <c r="L10" s="2">
        <v>1</v>
      </c>
    </row>
    <row r="11" spans="1:33" ht="17.25" customHeight="1" x14ac:dyDescent="0.2">
      <c r="A11" s="9"/>
      <c r="B11" s="2"/>
      <c r="C11" s="2"/>
      <c r="D11" s="10"/>
      <c r="E11" s="7"/>
      <c r="F11" s="10"/>
      <c r="H11" s="6" t="e">
        <f t="shared" si="0"/>
        <v>#DIV/0!</v>
      </c>
      <c r="I11" s="6" t="e">
        <f t="shared" si="1"/>
        <v>#DIV/0!</v>
      </c>
      <c r="K11" s="7" t="s">
        <v>11</v>
      </c>
      <c r="L11" s="2">
        <v>1</v>
      </c>
    </row>
    <row r="12" spans="1:33" ht="17.25" customHeight="1" x14ac:dyDescent="0.2">
      <c r="A12" s="9"/>
      <c r="B12" s="2"/>
      <c r="C12" s="2"/>
      <c r="D12" s="10"/>
      <c r="E12" s="7"/>
      <c r="F12" s="10"/>
      <c r="H12" s="6" t="e">
        <f t="shared" si="0"/>
        <v>#DIV/0!</v>
      </c>
      <c r="I12" s="6" t="e">
        <f t="shared" si="1"/>
        <v>#DIV/0!</v>
      </c>
      <c r="K12" s="7" t="s">
        <v>11</v>
      </c>
      <c r="L12" s="2">
        <v>1</v>
      </c>
    </row>
    <row r="13" spans="1:33" ht="17.25" customHeight="1" x14ac:dyDescent="0.2">
      <c r="A13" s="9"/>
      <c r="B13" s="2"/>
      <c r="C13" s="2"/>
      <c r="D13" s="10"/>
      <c r="E13" s="7"/>
      <c r="F13" s="10"/>
      <c r="H13" s="6" t="e">
        <f t="shared" si="0"/>
        <v>#DIV/0!</v>
      </c>
      <c r="I13" s="6" t="e">
        <f t="shared" si="1"/>
        <v>#DIV/0!</v>
      </c>
      <c r="K13" s="7" t="s">
        <v>11</v>
      </c>
      <c r="L13" s="2">
        <v>1</v>
      </c>
    </row>
    <row r="14" spans="1:33" ht="17.25" customHeight="1" x14ac:dyDescent="0.2">
      <c r="A14" s="9"/>
      <c r="B14" s="2"/>
      <c r="C14" s="2"/>
      <c r="D14" s="10"/>
      <c r="E14" s="7"/>
      <c r="F14" s="10"/>
      <c r="H14" s="6" t="e">
        <f t="shared" si="0"/>
        <v>#DIV/0!</v>
      </c>
      <c r="I14" s="6" t="e">
        <f t="shared" si="1"/>
        <v>#DIV/0!</v>
      </c>
      <c r="K14" s="7" t="s">
        <v>11</v>
      </c>
      <c r="L14" s="2">
        <v>1</v>
      </c>
    </row>
    <row r="15" spans="1:33" ht="17.25" customHeight="1" x14ac:dyDescent="0.2">
      <c r="A15" s="9"/>
      <c r="B15" s="2"/>
      <c r="C15" s="2"/>
      <c r="D15" s="10"/>
      <c r="E15" s="7"/>
      <c r="F15" s="10"/>
      <c r="H15" s="6" t="e">
        <f t="shared" si="0"/>
        <v>#DIV/0!</v>
      </c>
      <c r="I15" s="6" t="e">
        <f t="shared" si="1"/>
        <v>#DIV/0!</v>
      </c>
      <c r="K15" s="7" t="s">
        <v>11</v>
      </c>
      <c r="L15" s="2">
        <v>1</v>
      </c>
    </row>
    <row r="16" spans="1:33" ht="17.25" customHeight="1" x14ac:dyDescent="0.2">
      <c r="A16" s="9"/>
      <c r="B16" s="2"/>
      <c r="C16" s="2"/>
      <c r="D16" s="10"/>
      <c r="E16" s="7"/>
      <c r="F16" s="10"/>
      <c r="H16" s="6" t="e">
        <f t="shared" si="0"/>
        <v>#DIV/0!</v>
      </c>
      <c r="I16" s="6" t="e">
        <f t="shared" si="1"/>
        <v>#DIV/0!</v>
      </c>
      <c r="K16" s="7" t="s">
        <v>11</v>
      </c>
      <c r="L16" s="2">
        <v>1</v>
      </c>
    </row>
    <row r="17" spans="1:12" ht="17.25" customHeight="1" x14ac:dyDescent="0.2">
      <c r="A17" s="9"/>
      <c r="B17" s="2"/>
      <c r="C17" s="2"/>
      <c r="D17" s="10"/>
      <c r="E17" s="7"/>
      <c r="F17" s="10"/>
      <c r="H17" s="6" t="e">
        <f t="shared" si="0"/>
        <v>#DIV/0!</v>
      </c>
      <c r="I17" s="6" t="e">
        <f t="shared" si="1"/>
        <v>#DIV/0!</v>
      </c>
      <c r="K17" s="7" t="s">
        <v>11</v>
      </c>
      <c r="L17" s="2">
        <v>1</v>
      </c>
    </row>
    <row r="18" spans="1:12" ht="17.25" customHeight="1" x14ac:dyDescent="0.2">
      <c r="A18" s="9"/>
      <c r="B18" s="2"/>
      <c r="C18" s="2"/>
      <c r="D18" s="10"/>
      <c r="E18" s="7"/>
      <c r="F18" s="10"/>
      <c r="H18" s="6" t="e">
        <f t="shared" si="0"/>
        <v>#DIV/0!</v>
      </c>
      <c r="I18" s="6" t="e">
        <f t="shared" si="1"/>
        <v>#DIV/0!</v>
      </c>
      <c r="K18" s="7" t="s">
        <v>11</v>
      </c>
      <c r="L18" s="2">
        <v>1</v>
      </c>
    </row>
    <row r="19" spans="1:12" ht="17.25" customHeight="1" x14ac:dyDescent="0.2">
      <c r="A19" s="9"/>
      <c r="B19" s="2"/>
      <c r="C19" s="2"/>
      <c r="D19" s="10"/>
      <c r="E19" s="7"/>
      <c r="F19" s="10"/>
      <c r="H19" s="6" t="e">
        <f t="shared" si="0"/>
        <v>#DIV/0!</v>
      </c>
      <c r="I19" s="6" t="e">
        <f t="shared" si="1"/>
        <v>#DIV/0!</v>
      </c>
      <c r="K19" s="7" t="s">
        <v>11</v>
      </c>
      <c r="L19" s="2">
        <v>1</v>
      </c>
    </row>
    <row r="20" spans="1:12" ht="17.25" customHeight="1" x14ac:dyDescent="0.2">
      <c r="A20" s="9"/>
      <c r="B20" s="2"/>
      <c r="C20" s="2"/>
      <c r="D20" s="10"/>
      <c r="E20" s="7"/>
      <c r="F20" s="10"/>
      <c r="H20" s="6" t="e">
        <f t="shared" si="0"/>
        <v>#DIV/0!</v>
      </c>
      <c r="I20" s="6" t="e">
        <f t="shared" si="1"/>
        <v>#DIV/0!</v>
      </c>
      <c r="K20" s="7" t="s">
        <v>11</v>
      </c>
      <c r="L20" s="2">
        <v>1</v>
      </c>
    </row>
    <row r="21" spans="1:12" ht="17.25" customHeight="1" x14ac:dyDescent="0.2">
      <c r="A21" s="9"/>
      <c r="B21" s="2"/>
      <c r="C21" s="2"/>
      <c r="D21" s="10"/>
      <c r="E21" s="7"/>
      <c r="F21" s="10"/>
      <c r="H21" s="6" t="e">
        <f t="shared" si="0"/>
        <v>#DIV/0!</v>
      </c>
      <c r="I21" s="6" t="e">
        <f t="shared" si="1"/>
        <v>#DIV/0!</v>
      </c>
      <c r="K21" s="7" t="s">
        <v>11</v>
      </c>
      <c r="L21" s="2">
        <v>1</v>
      </c>
    </row>
    <row r="22" spans="1:12" ht="17.25" customHeight="1" x14ac:dyDescent="0.2">
      <c r="A22" s="9"/>
      <c r="B22" s="2"/>
      <c r="C22" s="2"/>
      <c r="D22" s="10"/>
      <c r="E22" s="7"/>
      <c r="F22" s="10"/>
      <c r="H22" s="6" t="e">
        <f t="shared" si="0"/>
        <v>#DIV/0!</v>
      </c>
      <c r="I22" s="6" t="e">
        <f t="shared" si="1"/>
        <v>#DIV/0!</v>
      </c>
      <c r="K22" s="7" t="s">
        <v>11</v>
      </c>
      <c r="L22" s="2">
        <v>1</v>
      </c>
    </row>
    <row r="23" spans="1:12" ht="17.25" customHeight="1" x14ac:dyDescent="0.2">
      <c r="A23" s="9"/>
      <c r="B23" s="2"/>
      <c r="C23" s="2"/>
      <c r="D23" s="10"/>
      <c r="E23" s="7"/>
      <c r="F23" s="10"/>
      <c r="H23" s="6" t="e">
        <f t="shared" si="0"/>
        <v>#DIV/0!</v>
      </c>
      <c r="I23" s="6" t="e">
        <f t="shared" si="1"/>
        <v>#DIV/0!</v>
      </c>
      <c r="K23" s="7" t="s">
        <v>11</v>
      </c>
      <c r="L23" s="2">
        <v>1</v>
      </c>
    </row>
    <row r="24" spans="1:12" ht="17.25" customHeight="1" x14ac:dyDescent="0.2">
      <c r="A24" s="9"/>
      <c r="B24" s="2"/>
      <c r="C24" s="2"/>
      <c r="D24" s="10"/>
      <c r="E24" s="7"/>
      <c r="F24" s="10"/>
      <c r="H24" s="6" t="e">
        <f t="shared" si="0"/>
        <v>#DIV/0!</v>
      </c>
      <c r="I24" s="6" t="e">
        <f t="shared" si="1"/>
        <v>#DIV/0!</v>
      </c>
      <c r="K24" s="7" t="s">
        <v>11</v>
      </c>
      <c r="L24" s="2">
        <v>1</v>
      </c>
    </row>
    <row r="25" spans="1:12" ht="17.25" customHeight="1" x14ac:dyDescent="0.2">
      <c r="A25" s="9"/>
      <c r="B25" s="2"/>
      <c r="C25" s="2"/>
      <c r="D25" s="10"/>
      <c r="E25" s="7"/>
      <c r="F25" s="10"/>
      <c r="H25" s="6" t="e">
        <f t="shared" si="0"/>
        <v>#DIV/0!</v>
      </c>
      <c r="I25" s="6" t="e">
        <f t="shared" si="1"/>
        <v>#DIV/0!</v>
      </c>
      <c r="K25" s="7" t="s">
        <v>11</v>
      </c>
      <c r="L25" s="2">
        <v>1</v>
      </c>
    </row>
    <row r="26" spans="1:12" ht="17.25" customHeight="1" x14ac:dyDescent="0.2">
      <c r="A26" s="9"/>
      <c r="B26" s="2"/>
      <c r="C26" s="2"/>
      <c r="D26" s="10"/>
      <c r="E26" s="7"/>
      <c r="F26" s="10"/>
      <c r="H26" s="6" t="e">
        <f t="shared" si="0"/>
        <v>#DIV/0!</v>
      </c>
      <c r="I26" s="6" t="e">
        <f t="shared" si="1"/>
        <v>#DIV/0!</v>
      </c>
      <c r="K26" s="7" t="s">
        <v>11</v>
      </c>
      <c r="L26" s="2">
        <v>1</v>
      </c>
    </row>
    <row r="27" spans="1:12" ht="17.25" customHeight="1" x14ac:dyDescent="0.2">
      <c r="A27" s="9"/>
      <c r="B27" s="2"/>
      <c r="C27" s="2"/>
      <c r="D27" s="10"/>
      <c r="E27" s="7"/>
      <c r="F27" s="10"/>
      <c r="H27" s="6" t="e">
        <f t="shared" si="0"/>
        <v>#DIV/0!</v>
      </c>
      <c r="I27" s="6" t="e">
        <f t="shared" si="1"/>
        <v>#DIV/0!</v>
      </c>
      <c r="K27" s="7" t="s">
        <v>11</v>
      </c>
      <c r="L27" s="2">
        <v>1</v>
      </c>
    </row>
    <row r="28" spans="1:12" ht="17.25" customHeight="1" x14ac:dyDescent="0.2">
      <c r="A28" s="9"/>
      <c r="B28" s="2"/>
      <c r="C28" s="2"/>
      <c r="D28" s="10"/>
      <c r="E28" s="7"/>
      <c r="F28" s="10"/>
      <c r="H28" s="6" t="e">
        <f t="shared" si="0"/>
        <v>#DIV/0!</v>
      </c>
      <c r="I28" s="6" t="e">
        <f t="shared" si="1"/>
        <v>#DIV/0!</v>
      </c>
      <c r="K28" s="7" t="s">
        <v>11</v>
      </c>
      <c r="L28" s="2">
        <v>1</v>
      </c>
    </row>
    <row r="29" spans="1:12" ht="17.25" customHeight="1" x14ac:dyDescent="0.2">
      <c r="A29" s="9"/>
      <c r="B29" s="2"/>
      <c r="C29" s="2"/>
      <c r="D29" s="10"/>
      <c r="E29" s="7"/>
      <c r="F29" s="10"/>
      <c r="H29" s="6" t="e">
        <f t="shared" si="0"/>
        <v>#DIV/0!</v>
      </c>
      <c r="I29" s="6" t="e">
        <f t="shared" si="1"/>
        <v>#DIV/0!</v>
      </c>
      <c r="K29" s="7" t="s">
        <v>11</v>
      </c>
      <c r="L29" s="2">
        <v>1</v>
      </c>
    </row>
    <row r="30" spans="1:12" ht="17.25" customHeight="1" x14ac:dyDescent="0.2">
      <c r="A30" s="9"/>
      <c r="B30" s="2"/>
      <c r="C30" s="2"/>
      <c r="D30" s="10"/>
      <c r="E30" s="7"/>
      <c r="F30" s="10"/>
      <c r="H30" s="6" t="e">
        <f t="shared" si="0"/>
        <v>#DIV/0!</v>
      </c>
      <c r="I30" s="6" t="e">
        <f t="shared" si="1"/>
        <v>#DIV/0!</v>
      </c>
      <c r="K30" s="7" t="s">
        <v>11</v>
      </c>
      <c r="L30" s="2">
        <v>1</v>
      </c>
    </row>
    <row r="31" spans="1:12" ht="17.25" customHeight="1" x14ac:dyDescent="0.2">
      <c r="A31" s="9"/>
      <c r="B31" s="2"/>
      <c r="C31" s="2"/>
      <c r="D31" s="10"/>
      <c r="E31" s="7"/>
      <c r="F31" s="10"/>
      <c r="H31" s="6" t="e">
        <f t="shared" si="0"/>
        <v>#DIV/0!</v>
      </c>
      <c r="I31" s="6" t="e">
        <f t="shared" si="1"/>
        <v>#DIV/0!</v>
      </c>
      <c r="K31" s="7" t="s">
        <v>11</v>
      </c>
      <c r="L31" s="2">
        <v>1</v>
      </c>
    </row>
    <row r="32" spans="1:12" ht="17.25" customHeight="1" x14ac:dyDescent="0.2">
      <c r="A32" s="9"/>
      <c r="B32" s="2"/>
      <c r="C32" s="2"/>
      <c r="D32" s="10"/>
      <c r="E32" s="10"/>
      <c r="F32" s="10"/>
      <c r="H32" s="11" t="e">
        <f t="shared" si="0"/>
        <v>#DIV/0!</v>
      </c>
      <c r="I32" s="11" t="e">
        <f t="shared" si="1"/>
        <v>#DIV/0!</v>
      </c>
      <c r="K32" s="7" t="s">
        <v>11</v>
      </c>
      <c r="L32" s="2">
        <v>1</v>
      </c>
    </row>
    <row r="33" spans="1:12" ht="17.25" customHeight="1" x14ac:dyDescent="0.2">
      <c r="A33" s="9"/>
      <c r="B33" s="2"/>
      <c r="C33" s="2"/>
      <c r="D33" s="10"/>
      <c r="E33" s="7"/>
      <c r="F33" s="10"/>
      <c r="H33" s="6" t="e">
        <f t="shared" si="0"/>
        <v>#DIV/0!</v>
      </c>
      <c r="I33" s="6" t="e">
        <f t="shared" si="1"/>
        <v>#DIV/0!</v>
      </c>
      <c r="K33" s="7" t="s">
        <v>11</v>
      </c>
      <c r="L33" s="2">
        <v>1</v>
      </c>
    </row>
    <row r="34" spans="1:12" ht="17.25" customHeight="1" x14ac:dyDescent="0.2">
      <c r="A34" s="9"/>
      <c r="B34" s="2"/>
      <c r="C34" s="2"/>
      <c r="D34" s="10"/>
      <c r="E34" s="7"/>
      <c r="F34" s="10"/>
      <c r="H34" s="6" t="e">
        <f t="shared" si="0"/>
        <v>#DIV/0!</v>
      </c>
      <c r="I34" s="6" t="e">
        <f t="shared" si="1"/>
        <v>#DIV/0!</v>
      </c>
      <c r="K34" s="7" t="s">
        <v>11</v>
      </c>
      <c r="L34" s="2">
        <v>1</v>
      </c>
    </row>
    <row r="35" spans="1:12" ht="17.25" customHeight="1" x14ac:dyDescent="0.2">
      <c r="A35" s="9"/>
      <c r="B35" s="2"/>
      <c r="C35" s="2"/>
      <c r="D35" s="10"/>
      <c r="E35" s="7"/>
      <c r="F35" s="10"/>
      <c r="H35" s="6" t="e">
        <f t="shared" si="0"/>
        <v>#DIV/0!</v>
      </c>
      <c r="I35" s="6" t="e">
        <f t="shared" si="1"/>
        <v>#DIV/0!</v>
      </c>
      <c r="K35" s="7" t="s">
        <v>11</v>
      </c>
      <c r="L35" s="2">
        <v>1</v>
      </c>
    </row>
    <row r="36" spans="1:12" ht="17.25" customHeight="1" x14ac:dyDescent="0.2">
      <c r="A36" s="9"/>
      <c r="B36" s="2"/>
      <c r="C36" s="2"/>
      <c r="D36" s="10"/>
      <c r="E36" s="7"/>
      <c r="F36" s="10"/>
      <c r="H36" s="6" t="e">
        <f t="shared" si="0"/>
        <v>#DIV/0!</v>
      </c>
      <c r="I36" s="6" t="e">
        <f t="shared" si="1"/>
        <v>#DIV/0!</v>
      </c>
      <c r="K36" s="7" t="s">
        <v>11</v>
      </c>
      <c r="L36" s="2">
        <v>1</v>
      </c>
    </row>
    <row r="37" spans="1:12" ht="17.25" customHeight="1" x14ac:dyDescent="0.2">
      <c r="A37" s="9"/>
      <c r="B37" s="2"/>
      <c r="C37" s="2"/>
      <c r="D37" s="10"/>
      <c r="E37" s="7"/>
      <c r="F37" s="10"/>
      <c r="H37" s="6" t="e">
        <f t="shared" si="0"/>
        <v>#DIV/0!</v>
      </c>
      <c r="I37" s="6" t="e">
        <f t="shared" si="1"/>
        <v>#DIV/0!</v>
      </c>
      <c r="K37" s="7" t="s">
        <v>11</v>
      </c>
      <c r="L37" s="2">
        <v>1</v>
      </c>
    </row>
    <row r="38" spans="1:12" ht="17.25" customHeight="1" x14ac:dyDescent="0.2">
      <c r="A38" s="9"/>
      <c r="B38" s="2"/>
      <c r="C38" s="2"/>
      <c r="D38" s="10"/>
      <c r="E38" s="7"/>
      <c r="F38" s="10"/>
      <c r="H38" s="6" t="e">
        <f t="shared" si="0"/>
        <v>#DIV/0!</v>
      </c>
      <c r="I38" s="6" t="e">
        <f t="shared" si="1"/>
        <v>#DIV/0!</v>
      </c>
      <c r="K38" s="7" t="s">
        <v>11</v>
      </c>
      <c r="L38" s="2">
        <v>1</v>
      </c>
    </row>
    <row r="39" spans="1:12" ht="17.25" customHeight="1" x14ac:dyDescent="0.2">
      <c r="A39" s="9"/>
      <c r="B39" s="2"/>
      <c r="C39" s="2"/>
      <c r="D39" s="10"/>
      <c r="E39" s="7"/>
      <c r="F39" s="10"/>
      <c r="H39" s="6" t="e">
        <f t="shared" si="0"/>
        <v>#DIV/0!</v>
      </c>
      <c r="I39" s="6" t="e">
        <f t="shared" si="1"/>
        <v>#DIV/0!</v>
      </c>
      <c r="K39" s="7" t="s">
        <v>11</v>
      </c>
      <c r="L39" s="2">
        <v>1</v>
      </c>
    </row>
    <row r="40" spans="1:12" ht="17.25" customHeight="1" x14ac:dyDescent="0.2">
      <c r="A40" s="9"/>
      <c r="B40" s="2"/>
      <c r="C40" s="2"/>
      <c r="D40" s="2"/>
      <c r="E40" s="7"/>
      <c r="F40" s="10"/>
      <c r="H40" s="6"/>
      <c r="I40" s="6"/>
      <c r="K40" s="7" t="s">
        <v>11</v>
      </c>
      <c r="L40" s="2">
        <v>1</v>
      </c>
    </row>
    <row r="41" spans="1:12" ht="17.25" customHeight="1" x14ac:dyDescent="0.2">
      <c r="A41" s="2"/>
      <c r="B41" s="2"/>
      <c r="C41" s="2"/>
      <c r="D41" s="10"/>
      <c r="E41" s="7"/>
      <c r="F41" s="10"/>
      <c r="H41" s="6"/>
      <c r="I41" s="6"/>
      <c r="K41" s="7" t="s">
        <v>11</v>
      </c>
      <c r="L41" s="2">
        <v>1</v>
      </c>
    </row>
    <row r="42" spans="1:12" ht="17.25" customHeight="1" x14ac:dyDescent="0.2">
      <c r="A42" s="9"/>
      <c r="B42" s="2"/>
      <c r="C42" s="2"/>
      <c r="D42" s="2"/>
      <c r="E42" s="7"/>
      <c r="F42" s="10"/>
      <c r="H42" s="6"/>
      <c r="I42" s="6"/>
      <c r="K42" s="7" t="s">
        <v>11</v>
      </c>
      <c r="L42" s="2">
        <v>1</v>
      </c>
    </row>
    <row r="43" spans="1:12" ht="17.25" customHeight="1" x14ac:dyDescent="0.2">
      <c r="A43" s="9"/>
      <c r="B43" s="2"/>
      <c r="C43" s="2"/>
      <c r="D43" s="10"/>
      <c r="E43" s="7"/>
      <c r="F43" s="10"/>
      <c r="H43" s="6"/>
      <c r="I43" s="6"/>
      <c r="K43" s="7" t="s">
        <v>11</v>
      </c>
      <c r="L43" s="2">
        <v>1</v>
      </c>
    </row>
    <row r="44" spans="1:12" ht="17.25" customHeight="1" x14ac:dyDescent="0.2">
      <c r="A44" s="9"/>
      <c r="B44" s="2"/>
      <c r="C44" s="2"/>
      <c r="D44" s="10"/>
      <c r="E44" s="7"/>
      <c r="F44" s="10"/>
      <c r="H44" s="6"/>
      <c r="I44" s="6"/>
      <c r="K44" s="7" t="s">
        <v>11</v>
      </c>
      <c r="L44" s="2">
        <v>1</v>
      </c>
    </row>
    <row r="45" spans="1:12" ht="17.25" customHeight="1" x14ac:dyDescent="0.2">
      <c r="A45" s="9"/>
      <c r="B45" s="2"/>
      <c r="C45" s="2"/>
      <c r="D45" s="10"/>
      <c r="E45" s="7"/>
      <c r="F45" s="10"/>
      <c r="H45" s="6"/>
      <c r="I45" s="6"/>
      <c r="K45" s="7" t="s">
        <v>11</v>
      </c>
      <c r="L45" s="2">
        <v>1</v>
      </c>
    </row>
    <row r="46" spans="1:12" ht="17.25" customHeight="1" x14ac:dyDescent="0.2">
      <c r="A46" s="9"/>
      <c r="B46" s="2"/>
      <c r="C46" s="2"/>
      <c r="D46" s="10"/>
      <c r="E46" s="7"/>
      <c r="F46" s="10"/>
      <c r="H46" s="6" t="e">
        <f t="shared" ref="H46:H69" si="2">F46/D46</f>
        <v>#DIV/0!</v>
      </c>
      <c r="I46" s="6" t="e">
        <f t="shared" ref="I46:I69" si="3">SQRT(F46)/D46</f>
        <v>#DIV/0!</v>
      </c>
      <c r="K46" s="7" t="s">
        <v>12</v>
      </c>
      <c r="L46" s="2">
        <v>1</v>
      </c>
    </row>
    <row r="47" spans="1:12" ht="17.25" customHeight="1" x14ac:dyDescent="0.2">
      <c r="A47" s="9"/>
      <c r="B47" s="2"/>
      <c r="C47" s="2"/>
      <c r="D47" s="10"/>
      <c r="E47" s="7"/>
      <c r="F47" s="10"/>
      <c r="H47" s="6" t="e">
        <f t="shared" si="2"/>
        <v>#DIV/0!</v>
      </c>
      <c r="I47" s="6" t="e">
        <f t="shared" si="3"/>
        <v>#DIV/0!</v>
      </c>
      <c r="K47" s="7" t="s">
        <v>12</v>
      </c>
      <c r="L47" s="2">
        <v>1</v>
      </c>
    </row>
    <row r="48" spans="1:12" ht="17.25" customHeight="1" x14ac:dyDescent="0.2">
      <c r="A48" s="9"/>
      <c r="B48" s="2"/>
      <c r="C48" s="2"/>
      <c r="D48" s="10"/>
      <c r="E48" s="7"/>
      <c r="F48" s="10"/>
      <c r="H48" s="6" t="e">
        <f t="shared" si="2"/>
        <v>#DIV/0!</v>
      </c>
      <c r="I48" s="6" t="e">
        <f t="shared" si="3"/>
        <v>#DIV/0!</v>
      </c>
      <c r="K48" s="7" t="s">
        <v>12</v>
      </c>
      <c r="L48" s="2">
        <v>1</v>
      </c>
    </row>
    <row r="49" spans="1:12" ht="17.25" customHeight="1" x14ac:dyDescent="0.2">
      <c r="A49" s="9"/>
      <c r="B49" s="2"/>
      <c r="C49" s="2"/>
      <c r="D49" s="10"/>
      <c r="E49" s="7"/>
      <c r="F49" s="10"/>
      <c r="H49" s="6" t="e">
        <f t="shared" si="2"/>
        <v>#DIV/0!</v>
      </c>
      <c r="I49" s="6" t="e">
        <f t="shared" si="3"/>
        <v>#DIV/0!</v>
      </c>
      <c r="K49" s="7" t="s">
        <v>12</v>
      </c>
      <c r="L49" s="2">
        <v>1</v>
      </c>
    </row>
    <row r="50" spans="1:12" ht="17.25" customHeight="1" x14ac:dyDescent="0.2">
      <c r="A50" s="9"/>
      <c r="B50" s="2"/>
      <c r="C50" s="2"/>
      <c r="D50" s="10"/>
      <c r="E50" s="7"/>
      <c r="F50" s="10"/>
      <c r="H50" s="6" t="e">
        <f t="shared" si="2"/>
        <v>#DIV/0!</v>
      </c>
      <c r="I50" s="6" t="e">
        <f t="shared" si="3"/>
        <v>#DIV/0!</v>
      </c>
      <c r="K50" s="7" t="s">
        <v>12</v>
      </c>
      <c r="L50" s="2">
        <v>1</v>
      </c>
    </row>
    <row r="51" spans="1:12" ht="17.25" customHeight="1" x14ac:dyDescent="0.2">
      <c r="A51" s="9"/>
      <c r="B51" s="2"/>
      <c r="C51" s="2"/>
      <c r="D51" s="10"/>
      <c r="E51" s="7"/>
      <c r="F51" s="10"/>
      <c r="H51" s="6" t="e">
        <f t="shared" si="2"/>
        <v>#DIV/0!</v>
      </c>
      <c r="I51" s="6" t="e">
        <f t="shared" si="3"/>
        <v>#DIV/0!</v>
      </c>
      <c r="K51" s="7" t="s">
        <v>12</v>
      </c>
      <c r="L51" s="2">
        <v>1</v>
      </c>
    </row>
    <row r="52" spans="1:12" ht="17.25" customHeight="1" x14ac:dyDescent="0.2">
      <c r="A52" s="9"/>
      <c r="B52" s="2"/>
      <c r="C52" s="2"/>
      <c r="D52" s="10"/>
      <c r="E52" s="7"/>
      <c r="F52" s="10"/>
      <c r="H52" s="6" t="e">
        <f t="shared" si="2"/>
        <v>#DIV/0!</v>
      </c>
      <c r="I52" s="6" t="e">
        <f t="shared" si="3"/>
        <v>#DIV/0!</v>
      </c>
      <c r="K52" s="7" t="s">
        <v>12</v>
      </c>
      <c r="L52" s="2">
        <v>1</v>
      </c>
    </row>
    <row r="53" spans="1:12" ht="17.25" customHeight="1" x14ac:dyDescent="0.2">
      <c r="A53" s="9"/>
      <c r="B53" s="2"/>
      <c r="C53" s="2"/>
      <c r="D53" s="10"/>
      <c r="E53" s="7"/>
      <c r="F53" s="10"/>
      <c r="H53" s="6" t="e">
        <f t="shared" si="2"/>
        <v>#DIV/0!</v>
      </c>
      <c r="I53" s="6" t="e">
        <f t="shared" si="3"/>
        <v>#DIV/0!</v>
      </c>
      <c r="K53" s="7" t="s">
        <v>12</v>
      </c>
      <c r="L53" s="2">
        <v>1</v>
      </c>
    </row>
    <row r="54" spans="1:12" ht="17.25" customHeight="1" x14ac:dyDescent="0.2">
      <c r="A54" s="9"/>
      <c r="B54" s="2"/>
      <c r="C54" s="2"/>
      <c r="D54" s="10"/>
      <c r="E54" s="7"/>
      <c r="F54" s="10"/>
      <c r="H54" s="6" t="e">
        <f t="shared" si="2"/>
        <v>#DIV/0!</v>
      </c>
      <c r="I54" s="6" t="e">
        <f t="shared" si="3"/>
        <v>#DIV/0!</v>
      </c>
      <c r="K54" s="7" t="s">
        <v>12</v>
      </c>
      <c r="L54" s="2">
        <v>1</v>
      </c>
    </row>
    <row r="55" spans="1:12" ht="17.25" customHeight="1" x14ac:dyDescent="0.2">
      <c r="A55" s="9"/>
      <c r="B55" s="2"/>
      <c r="C55" s="2"/>
      <c r="D55" s="10"/>
      <c r="E55" s="7"/>
      <c r="F55" s="10"/>
      <c r="H55" s="6" t="e">
        <f t="shared" si="2"/>
        <v>#DIV/0!</v>
      </c>
      <c r="I55" s="6" t="e">
        <f t="shared" si="3"/>
        <v>#DIV/0!</v>
      </c>
      <c r="K55" s="7" t="s">
        <v>12</v>
      </c>
      <c r="L55" s="2">
        <v>1</v>
      </c>
    </row>
    <row r="56" spans="1:12" ht="17.25" customHeight="1" x14ac:dyDescent="0.2">
      <c r="A56" s="9"/>
      <c r="B56" s="2"/>
      <c r="C56" s="2"/>
      <c r="D56" s="10"/>
      <c r="E56" s="7"/>
      <c r="F56" s="10"/>
      <c r="H56" s="6" t="e">
        <f t="shared" si="2"/>
        <v>#DIV/0!</v>
      </c>
      <c r="I56" s="6" t="e">
        <f t="shared" si="3"/>
        <v>#DIV/0!</v>
      </c>
      <c r="K56" s="7" t="s">
        <v>12</v>
      </c>
      <c r="L56" s="2">
        <v>1</v>
      </c>
    </row>
    <row r="57" spans="1:12" ht="17.25" customHeight="1" x14ac:dyDescent="0.2">
      <c r="A57" s="9"/>
      <c r="B57" s="2"/>
      <c r="C57" s="2"/>
      <c r="D57" s="10"/>
      <c r="E57" s="7"/>
      <c r="F57" s="10"/>
      <c r="H57" s="6" t="e">
        <f t="shared" si="2"/>
        <v>#DIV/0!</v>
      </c>
      <c r="I57" s="6" t="e">
        <f t="shared" si="3"/>
        <v>#DIV/0!</v>
      </c>
      <c r="K57" s="7" t="s">
        <v>12</v>
      </c>
      <c r="L57" s="2">
        <v>1</v>
      </c>
    </row>
    <row r="58" spans="1:12" ht="17.25" customHeight="1" x14ac:dyDescent="0.2">
      <c r="A58" s="9"/>
      <c r="B58" s="2"/>
      <c r="C58" s="2"/>
      <c r="D58" s="10"/>
      <c r="E58" s="7"/>
      <c r="F58" s="10"/>
      <c r="H58" s="6" t="e">
        <f t="shared" si="2"/>
        <v>#DIV/0!</v>
      </c>
      <c r="I58" s="6" t="e">
        <f t="shared" si="3"/>
        <v>#DIV/0!</v>
      </c>
      <c r="K58" s="7" t="s">
        <v>12</v>
      </c>
      <c r="L58" s="2">
        <v>1</v>
      </c>
    </row>
    <row r="59" spans="1:12" ht="17.25" customHeight="1" x14ac:dyDescent="0.2">
      <c r="A59" s="9"/>
      <c r="B59" s="2"/>
      <c r="C59" s="2"/>
      <c r="D59" s="10"/>
      <c r="E59" s="7"/>
      <c r="F59" s="10"/>
      <c r="H59" s="6" t="e">
        <f t="shared" si="2"/>
        <v>#DIV/0!</v>
      </c>
      <c r="I59" s="6" t="e">
        <f t="shared" si="3"/>
        <v>#DIV/0!</v>
      </c>
      <c r="K59" s="7" t="s">
        <v>12</v>
      </c>
      <c r="L59" s="2">
        <v>1</v>
      </c>
    </row>
    <row r="60" spans="1:12" ht="17.25" customHeight="1" x14ac:dyDescent="0.2">
      <c r="A60" s="9"/>
      <c r="B60" s="2"/>
      <c r="C60" s="2"/>
      <c r="D60" s="10"/>
      <c r="E60" s="7"/>
      <c r="F60" s="10"/>
      <c r="H60" s="6" t="e">
        <f t="shared" si="2"/>
        <v>#DIV/0!</v>
      </c>
      <c r="I60" s="6" t="e">
        <f t="shared" si="3"/>
        <v>#DIV/0!</v>
      </c>
      <c r="K60" s="7" t="s">
        <v>12</v>
      </c>
      <c r="L60" s="2">
        <v>1</v>
      </c>
    </row>
    <row r="61" spans="1:12" ht="17.25" customHeight="1" x14ac:dyDescent="0.2">
      <c r="A61" s="9"/>
      <c r="B61" s="2"/>
      <c r="C61" s="2"/>
      <c r="D61" s="10"/>
      <c r="E61" s="7"/>
      <c r="F61" s="10"/>
      <c r="H61" s="6" t="e">
        <f t="shared" si="2"/>
        <v>#DIV/0!</v>
      </c>
      <c r="I61" s="6" t="e">
        <f t="shared" si="3"/>
        <v>#DIV/0!</v>
      </c>
      <c r="K61" s="7" t="s">
        <v>12</v>
      </c>
      <c r="L61" s="2">
        <v>1</v>
      </c>
    </row>
    <row r="62" spans="1:12" ht="17.25" customHeight="1" x14ac:dyDescent="0.2">
      <c r="A62" s="9"/>
      <c r="B62" s="2"/>
      <c r="C62" s="2"/>
      <c r="D62" s="10"/>
      <c r="E62" s="7"/>
      <c r="F62" s="10"/>
      <c r="H62" s="6" t="e">
        <f t="shared" si="2"/>
        <v>#DIV/0!</v>
      </c>
      <c r="I62" s="6" t="e">
        <f t="shared" si="3"/>
        <v>#DIV/0!</v>
      </c>
      <c r="K62" s="7" t="s">
        <v>12</v>
      </c>
      <c r="L62" s="2">
        <v>1</v>
      </c>
    </row>
    <row r="63" spans="1:12" ht="17.25" customHeight="1" x14ac:dyDescent="0.2">
      <c r="A63" s="9"/>
      <c r="B63" s="2"/>
      <c r="C63" s="2"/>
      <c r="D63" s="10"/>
      <c r="E63" s="7"/>
      <c r="F63" s="10"/>
      <c r="H63" s="6" t="e">
        <f t="shared" si="2"/>
        <v>#DIV/0!</v>
      </c>
      <c r="I63" s="6" t="e">
        <f t="shared" si="3"/>
        <v>#DIV/0!</v>
      </c>
      <c r="K63" s="7" t="s">
        <v>12</v>
      </c>
      <c r="L63" s="2">
        <v>1</v>
      </c>
    </row>
    <row r="64" spans="1:12" ht="17.25" customHeight="1" x14ac:dyDescent="0.2">
      <c r="A64" s="9"/>
      <c r="B64" s="2"/>
      <c r="C64" s="2"/>
      <c r="D64" s="10"/>
      <c r="E64" s="7"/>
      <c r="F64" s="10"/>
      <c r="H64" s="6" t="e">
        <f t="shared" si="2"/>
        <v>#DIV/0!</v>
      </c>
      <c r="I64" s="6" t="e">
        <f t="shared" si="3"/>
        <v>#DIV/0!</v>
      </c>
      <c r="K64" s="7" t="s">
        <v>12</v>
      </c>
      <c r="L64" s="2">
        <v>1</v>
      </c>
    </row>
    <row r="65" spans="1:12" ht="17.25" customHeight="1" x14ac:dyDescent="0.2">
      <c r="A65" s="9"/>
      <c r="B65" s="2"/>
      <c r="C65" s="2"/>
      <c r="D65" s="10"/>
      <c r="E65" s="7"/>
      <c r="F65" s="10"/>
      <c r="H65" s="6" t="e">
        <f t="shared" si="2"/>
        <v>#DIV/0!</v>
      </c>
      <c r="I65" s="6" t="e">
        <f t="shared" si="3"/>
        <v>#DIV/0!</v>
      </c>
      <c r="K65" s="7" t="s">
        <v>12</v>
      </c>
      <c r="L65" s="2">
        <v>1</v>
      </c>
    </row>
    <row r="66" spans="1:12" ht="17.25" customHeight="1" x14ac:dyDescent="0.2">
      <c r="A66" s="9"/>
      <c r="B66" s="2"/>
      <c r="C66" s="2"/>
      <c r="D66" s="10"/>
      <c r="E66" s="7"/>
      <c r="F66" s="10"/>
      <c r="H66" s="6" t="e">
        <f t="shared" si="2"/>
        <v>#DIV/0!</v>
      </c>
      <c r="I66" s="6" t="e">
        <f t="shared" si="3"/>
        <v>#DIV/0!</v>
      </c>
      <c r="K66" s="7" t="s">
        <v>12</v>
      </c>
      <c r="L66" s="2">
        <v>1</v>
      </c>
    </row>
    <row r="67" spans="1:12" ht="17.25" customHeight="1" x14ac:dyDescent="0.2">
      <c r="A67" s="9"/>
      <c r="B67" s="2"/>
      <c r="C67" s="2"/>
      <c r="D67" s="10"/>
      <c r="E67" s="7"/>
      <c r="F67" s="10"/>
      <c r="H67" s="6" t="e">
        <f t="shared" si="2"/>
        <v>#DIV/0!</v>
      </c>
      <c r="I67" s="6" t="e">
        <f t="shared" si="3"/>
        <v>#DIV/0!</v>
      </c>
      <c r="K67" s="7" t="s">
        <v>12</v>
      </c>
      <c r="L67" s="2">
        <v>1</v>
      </c>
    </row>
    <row r="68" spans="1:12" ht="17.25" customHeight="1" x14ac:dyDescent="0.2">
      <c r="A68" s="9"/>
      <c r="B68" s="2"/>
      <c r="C68" s="2"/>
      <c r="D68" s="10"/>
      <c r="E68" s="7"/>
      <c r="F68" s="10"/>
      <c r="H68" s="6" t="e">
        <f t="shared" si="2"/>
        <v>#DIV/0!</v>
      </c>
      <c r="I68" s="6" t="e">
        <f t="shared" si="3"/>
        <v>#DIV/0!</v>
      </c>
      <c r="K68" s="7" t="s">
        <v>12</v>
      </c>
      <c r="L68" s="2">
        <v>1</v>
      </c>
    </row>
    <row r="69" spans="1:12" ht="17.25" customHeight="1" x14ac:dyDescent="0.2">
      <c r="A69" s="9"/>
      <c r="B69" s="2"/>
      <c r="C69" s="2"/>
      <c r="D69" s="10"/>
      <c r="E69" s="7"/>
      <c r="F69" s="10"/>
      <c r="H69" s="6" t="e">
        <f t="shared" si="2"/>
        <v>#DIV/0!</v>
      </c>
      <c r="I69" s="6" t="e">
        <f t="shared" si="3"/>
        <v>#DIV/0!</v>
      </c>
      <c r="K69" s="7" t="s">
        <v>12</v>
      </c>
      <c r="L69" s="2">
        <v>1</v>
      </c>
    </row>
    <row r="70" spans="1:12" ht="17.25" customHeight="1" x14ac:dyDescent="0.2">
      <c r="A70" s="9"/>
      <c r="D70" s="2"/>
      <c r="H70" s="6"/>
      <c r="I70" s="6"/>
    </row>
    <row r="71" spans="1:12" ht="17.25" customHeight="1" x14ac:dyDescent="0.2">
      <c r="A71" s="9"/>
      <c r="D71" s="2"/>
      <c r="H71" s="6"/>
      <c r="I71" s="6"/>
    </row>
    <row r="72" spans="1:12" ht="17.25" customHeight="1" x14ac:dyDescent="0.2">
      <c r="A72" s="9"/>
      <c r="D72" s="2"/>
      <c r="H72" s="6"/>
      <c r="I72" s="6"/>
    </row>
    <row r="73" spans="1:12" ht="17.25" customHeight="1" x14ac:dyDescent="0.2">
      <c r="A73" s="9"/>
      <c r="D73" s="2"/>
      <c r="H73" s="6"/>
      <c r="I73" s="6"/>
    </row>
    <row r="74" spans="1:12" ht="17.25" customHeight="1" x14ac:dyDescent="0.2">
      <c r="A74" s="9"/>
      <c r="D74" s="2"/>
      <c r="H74" s="6"/>
      <c r="I74" s="6"/>
    </row>
    <row r="75" spans="1:12" ht="17.25" customHeight="1" x14ac:dyDescent="0.2">
      <c r="A75" s="9"/>
      <c r="D75" s="2"/>
      <c r="H75" s="6"/>
      <c r="I75" s="6"/>
    </row>
    <row r="76" spans="1:12" ht="17.25" customHeight="1" x14ac:dyDescent="0.2">
      <c r="A76" s="9"/>
      <c r="D76" s="2"/>
      <c r="H76" s="6"/>
      <c r="I76" s="6"/>
    </row>
    <row r="77" spans="1:12" ht="17.25" customHeight="1" x14ac:dyDescent="0.2">
      <c r="A77" s="9"/>
      <c r="D77" s="2"/>
      <c r="H77" s="6"/>
      <c r="I77" s="6"/>
    </row>
    <row r="78" spans="1:12" ht="17.25" customHeight="1" x14ac:dyDescent="0.2">
      <c r="A78" s="9"/>
      <c r="B78" s="2"/>
      <c r="C78" s="2"/>
      <c r="D78" s="10"/>
      <c r="E78" s="7"/>
      <c r="F78" s="10"/>
      <c r="H78" s="6" t="e">
        <f t="shared" ref="H78:H100" si="4">F78/D78</f>
        <v>#DIV/0!</v>
      </c>
      <c r="I78" s="6" t="e">
        <f t="shared" ref="I78:I100" si="5">SQRT(F78)/D78</f>
        <v>#DIV/0!</v>
      </c>
      <c r="K78" s="7" t="s">
        <v>13</v>
      </c>
      <c r="L78" s="2">
        <v>1</v>
      </c>
    </row>
    <row r="79" spans="1:12" ht="17.25" customHeight="1" x14ac:dyDescent="0.2">
      <c r="A79" s="9"/>
      <c r="B79" s="2"/>
      <c r="C79" s="2"/>
      <c r="D79" s="10"/>
      <c r="E79" s="7"/>
      <c r="F79" s="10"/>
      <c r="H79" s="6" t="e">
        <f t="shared" si="4"/>
        <v>#DIV/0!</v>
      </c>
      <c r="I79" s="6" t="e">
        <f t="shared" si="5"/>
        <v>#DIV/0!</v>
      </c>
      <c r="K79" s="7" t="s">
        <v>13</v>
      </c>
      <c r="L79" s="2">
        <v>1</v>
      </c>
    </row>
    <row r="80" spans="1:12" ht="17.25" customHeight="1" x14ac:dyDescent="0.2">
      <c r="A80" s="9"/>
      <c r="B80" s="2"/>
      <c r="C80" s="2"/>
      <c r="D80" s="10"/>
      <c r="E80" s="7"/>
      <c r="F80" s="10"/>
      <c r="H80" s="6" t="e">
        <f t="shared" si="4"/>
        <v>#DIV/0!</v>
      </c>
      <c r="I80" s="6" t="e">
        <f t="shared" si="5"/>
        <v>#DIV/0!</v>
      </c>
      <c r="K80" s="7" t="s">
        <v>13</v>
      </c>
      <c r="L80" s="2">
        <v>1</v>
      </c>
    </row>
    <row r="81" spans="1:12" ht="17.25" customHeight="1" x14ac:dyDescent="0.2">
      <c r="A81" s="9"/>
      <c r="B81" s="2"/>
      <c r="C81" s="2"/>
      <c r="D81" s="10"/>
      <c r="E81" s="7"/>
      <c r="F81" s="10"/>
      <c r="H81" s="6" t="e">
        <f t="shared" si="4"/>
        <v>#DIV/0!</v>
      </c>
      <c r="I81" s="6" t="e">
        <f t="shared" si="5"/>
        <v>#DIV/0!</v>
      </c>
      <c r="K81" s="7" t="s">
        <v>13</v>
      </c>
      <c r="L81" s="2">
        <v>1</v>
      </c>
    </row>
    <row r="82" spans="1:12" ht="17.25" customHeight="1" x14ac:dyDescent="0.2">
      <c r="A82" s="9"/>
      <c r="B82" s="2"/>
      <c r="C82" s="2"/>
      <c r="D82" s="10"/>
      <c r="E82" s="7"/>
      <c r="F82" s="10"/>
      <c r="H82" s="6" t="e">
        <f t="shared" si="4"/>
        <v>#DIV/0!</v>
      </c>
      <c r="I82" s="6" t="e">
        <f t="shared" si="5"/>
        <v>#DIV/0!</v>
      </c>
      <c r="K82" s="7" t="s">
        <v>13</v>
      </c>
      <c r="L82" s="2">
        <v>1</v>
      </c>
    </row>
    <row r="83" spans="1:12" ht="17.25" customHeight="1" x14ac:dyDescent="0.2">
      <c r="A83" s="9"/>
      <c r="B83" s="2"/>
      <c r="C83" s="2"/>
      <c r="D83" s="10"/>
      <c r="E83" s="7"/>
      <c r="F83" s="10"/>
      <c r="H83" s="6" t="e">
        <f t="shared" si="4"/>
        <v>#DIV/0!</v>
      </c>
      <c r="I83" s="6" t="e">
        <f t="shared" si="5"/>
        <v>#DIV/0!</v>
      </c>
      <c r="K83" s="7" t="s">
        <v>13</v>
      </c>
      <c r="L83" s="2">
        <v>1</v>
      </c>
    </row>
    <row r="84" spans="1:12" ht="17.25" customHeight="1" x14ac:dyDescent="0.2">
      <c r="A84" s="9"/>
      <c r="B84" s="2"/>
      <c r="C84" s="2"/>
      <c r="D84" s="10"/>
      <c r="E84" s="7"/>
      <c r="F84" s="10"/>
      <c r="H84" s="6" t="e">
        <f t="shared" si="4"/>
        <v>#DIV/0!</v>
      </c>
      <c r="I84" s="6" t="e">
        <f t="shared" si="5"/>
        <v>#DIV/0!</v>
      </c>
      <c r="K84" s="7" t="s">
        <v>13</v>
      </c>
      <c r="L84" s="2">
        <v>1</v>
      </c>
    </row>
    <row r="85" spans="1:12" ht="17.25" customHeight="1" x14ac:dyDescent="0.2">
      <c r="A85" s="9"/>
      <c r="B85" s="2"/>
      <c r="C85" s="2"/>
      <c r="D85" s="10"/>
      <c r="E85" s="7"/>
      <c r="F85" s="10"/>
      <c r="H85" s="6" t="e">
        <f t="shared" si="4"/>
        <v>#DIV/0!</v>
      </c>
      <c r="I85" s="6" t="e">
        <f t="shared" si="5"/>
        <v>#DIV/0!</v>
      </c>
      <c r="K85" s="7" t="s">
        <v>13</v>
      </c>
      <c r="L85" s="2">
        <v>1</v>
      </c>
    </row>
    <row r="86" spans="1:12" ht="17.25" customHeight="1" x14ac:dyDescent="0.2">
      <c r="A86" s="9"/>
      <c r="B86" s="2"/>
      <c r="C86" s="2"/>
      <c r="D86" s="10"/>
      <c r="E86" s="7"/>
      <c r="F86" s="10"/>
      <c r="H86" s="6" t="e">
        <f t="shared" si="4"/>
        <v>#DIV/0!</v>
      </c>
      <c r="I86" s="6" t="e">
        <f t="shared" si="5"/>
        <v>#DIV/0!</v>
      </c>
      <c r="K86" s="7" t="s">
        <v>13</v>
      </c>
      <c r="L86" s="2">
        <v>1</v>
      </c>
    </row>
    <row r="87" spans="1:12" ht="17.25" customHeight="1" x14ac:dyDescent="0.2">
      <c r="A87" s="9"/>
      <c r="B87" s="2"/>
      <c r="C87" s="2"/>
      <c r="D87" s="10"/>
      <c r="E87" s="7"/>
      <c r="F87" s="10"/>
      <c r="H87" s="6" t="e">
        <f t="shared" si="4"/>
        <v>#DIV/0!</v>
      </c>
      <c r="I87" s="6" t="e">
        <f t="shared" si="5"/>
        <v>#DIV/0!</v>
      </c>
      <c r="K87" s="7" t="s">
        <v>13</v>
      </c>
      <c r="L87" s="2">
        <v>1</v>
      </c>
    </row>
    <row r="88" spans="1:12" ht="17.25" customHeight="1" x14ac:dyDescent="0.2">
      <c r="A88" s="9"/>
      <c r="B88" s="2"/>
      <c r="C88" s="2"/>
      <c r="D88" s="10"/>
      <c r="E88" s="7"/>
      <c r="F88" s="10"/>
      <c r="H88" s="6" t="e">
        <f t="shared" si="4"/>
        <v>#DIV/0!</v>
      </c>
      <c r="I88" s="6" t="e">
        <f t="shared" si="5"/>
        <v>#DIV/0!</v>
      </c>
      <c r="K88" s="7" t="s">
        <v>13</v>
      </c>
      <c r="L88" s="2">
        <v>1</v>
      </c>
    </row>
    <row r="89" spans="1:12" ht="17.25" customHeight="1" x14ac:dyDescent="0.2">
      <c r="A89" s="9"/>
      <c r="B89" s="2"/>
      <c r="C89" s="2"/>
      <c r="D89" s="10"/>
      <c r="E89" s="7"/>
      <c r="F89" s="10"/>
      <c r="H89" s="6" t="e">
        <f t="shared" si="4"/>
        <v>#DIV/0!</v>
      </c>
      <c r="I89" s="6" t="e">
        <f t="shared" si="5"/>
        <v>#DIV/0!</v>
      </c>
      <c r="K89" s="7" t="s">
        <v>13</v>
      </c>
      <c r="L89" s="2">
        <v>1</v>
      </c>
    </row>
    <row r="90" spans="1:12" ht="17.25" customHeight="1" x14ac:dyDescent="0.2">
      <c r="A90" s="9"/>
      <c r="B90" s="2"/>
      <c r="C90" s="2"/>
      <c r="D90" s="10"/>
      <c r="E90" s="7"/>
      <c r="F90" s="10"/>
      <c r="H90" s="6" t="e">
        <f t="shared" si="4"/>
        <v>#DIV/0!</v>
      </c>
      <c r="I90" s="6" t="e">
        <f t="shared" si="5"/>
        <v>#DIV/0!</v>
      </c>
      <c r="K90" s="7" t="s">
        <v>13</v>
      </c>
      <c r="L90" s="2">
        <v>1</v>
      </c>
    </row>
    <row r="91" spans="1:12" ht="17.25" customHeight="1" x14ac:dyDescent="0.2">
      <c r="A91" s="9"/>
      <c r="B91" s="2"/>
      <c r="C91" s="2"/>
      <c r="D91" s="10"/>
      <c r="E91" s="7"/>
      <c r="F91" s="10"/>
      <c r="H91" s="6" t="e">
        <f t="shared" si="4"/>
        <v>#DIV/0!</v>
      </c>
      <c r="I91" s="6" t="e">
        <f t="shared" si="5"/>
        <v>#DIV/0!</v>
      </c>
      <c r="K91" s="7" t="s">
        <v>13</v>
      </c>
      <c r="L91" s="2">
        <v>1</v>
      </c>
    </row>
    <row r="92" spans="1:12" ht="17.25" customHeight="1" x14ac:dyDescent="0.2">
      <c r="A92" s="9"/>
      <c r="B92" s="2"/>
      <c r="C92" s="2"/>
      <c r="D92" s="10"/>
      <c r="E92" s="7"/>
      <c r="F92" s="10"/>
      <c r="H92" s="6" t="e">
        <f t="shared" si="4"/>
        <v>#DIV/0!</v>
      </c>
      <c r="I92" s="6" t="e">
        <f t="shared" si="5"/>
        <v>#DIV/0!</v>
      </c>
      <c r="K92" s="7" t="s">
        <v>13</v>
      </c>
      <c r="L92" s="2">
        <v>1</v>
      </c>
    </row>
    <row r="93" spans="1:12" ht="17.25" customHeight="1" x14ac:dyDescent="0.2">
      <c r="A93" s="9"/>
      <c r="B93" s="2"/>
      <c r="C93" s="2"/>
      <c r="D93" s="10"/>
      <c r="E93" s="7"/>
      <c r="F93" s="10"/>
      <c r="H93" s="6" t="e">
        <f t="shared" si="4"/>
        <v>#DIV/0!</v>
      </c>
      <c r="I93" s="6" t="e">
        <f t="shared" si="5"/>
        <v>#DIV/0!</v>
      </c>
      <c r="K93" s="7" t="s">
        <v>13</v>
      </c>
      <c r="L93" s="2">
        <v>1</v>
      </c>
    </row>
    <row r="94" spans="1:12" ht="17.25" customHeight="1" x14ac:dyDescent="0.2">
      <c r="A94" s="9"/>
      <c r="B94" s="2"/>
      <c r="C94" s="2"/>
      <c r="D94" s="10"/>
      <c r="E94" s="7"/>
      <c r="F94" s="10"/>
      <c r="H94" s="6" t="e">
        <f t="shared" si="4"/>
        <v>#DIV/0!</v>
      </c>
      <c r="I94" s="6" t="e">
        <f t="shared" si="5"/>
        <v>#DIV/0!</v>
      </c>
      <c r="K94" s="7" t="s">
        <v>13</v>
      </c>
      <c r="L94" s="2">
        <v>1</v>
      </c>
    </row>
    <row r="95" spans="1:12" ht="17.25" customHeight="1" x14ac:dyDescent="0.2">
      <c r="A95" s="9"/>
      <c r="B95" s="2"/>
      <c r="C95" s="2"/>
      <c r="D95" s="10"/>
      <c r="E95" s="7"/>
      <c r="F95" s="10"/>
      <c r="H95" s="6" t="e">
        <f t="shared" si="4"/>
        <v>#DIV/0!</v>
      </c>
      <c r="I95" s="6" t="e">
        <f t="shared" si="5"/>
        <v>#DIV/0!</v>
      </c>
      <c r="K95" s="7" t="s">
        <v>13</v>
      </c>
      <c r="L95" s="2">
        <v>1</v>
      </c>
    </row>
    <row r="96" spans="1:12" ht="17.25" customHeight="1" x14ac:dyDescent="0.2">
      <c r="A96" s="9"/>
      <c r="B96" s="2"/>
      <c r="C96" s="2"/>
      <c r="D96" s="10"/>
      <c r="E96" s="7"/>
      <c r="F96" s="10"/>
      <c r="H96" s="6" t="e">
        <f t="shared" si="4"/>
        <v>#DIV/0!</v>
      </c>
      <c r="I96" s="6" t="e">
        <f t="shared" si="5"/>
        <v>#DIV/0!</v>
      </c>
      <c r="K96" s="7" t="s">
        <v>13</v>
      </c>
      <c r="L96" s="2">
        <v>1</v>
      </c>
    </row>
    <row r="97" spans="1:12" ht="17.25" customHeight="1" x14ac:dyDescent="0.2">
      <c r="A97" s="9"/>
      <c r="B97" s="2"/>
      <c r="C97" s="2"/>
      <c r="D97" s="10"/>
      <c r="E97" s="7"/>
      <c r="F97" s="10"/>
      <c r="H97" s="6" t="e">
        <f t="shared" si="4"/>
        <v>#DIV/0!</v>
      </c>
      <c r="I97" s="6" t="e">
        <f t="shared" si="5"/>
        <v>#DIV/0!</v>
      </c>
      <c r="K97" s="7" t="s">
        <v>13</v>
      </c>
      <c r="L97" s="2">
        <v>1</v>
      </c>
    </row>
    <row r="98" spans="1:12" ht="17.25" customHeight="1" x14ac:dyDescent="0.2">
      <c r="A98" s="9"/>
      <c r="B98" s="2"/>
      <c r="C98" s="2"/>
      <c r="D98" s="10"/>
      <c r="E98" s="7"/>
      <c r="F98" s="10"/>
      <c r="H98" s="6" t="e">
        <f t="shared" si="4"/>
        <v>#DIV/0!</v>
      </c>
      <c r="I98" s="6" t="e">
        <f t="shared" si="5"/>
        <v>#DIV/0!</v>
      </c>
      <c r="K98" s="7" t="s">
        <v>13</v>
      </c>
      <c r="L98" s="2">
        <v>1</v>
      </c>
    </row>
    <row r="99" spans="1:12" ht="17.25" customHeight="1" x14ac:dyDescent="0.2">
      <c r="A99" s="9"/>
      <c r="B99" s="2"/>
      <c r="C99" s="2"/>
      <c r="D99" s="10"/>
      <c r="E99" s="7"/>
      <c r="F99" s="10"/>
      <c r="H99" s="6" t="e">
        <f t="shared" si="4"/>
        <v>#DIV/0!</v>
      </c>
      <c r="I99" s="6" t="e">
        <f t="shared" si="5"/>
        <v>#DIV/0!</v>
      </c>
      <c r="K99" s="7" t="s">
        <v>13</v>
      </c>
      <c r="L99" s="2">
        <v>1</v>
      </c>
    </row>
    <row r="100" spans="1:12" ht="17.25" customHeight="1" x14ac:dyDescent="0.2">
      <c r="A100" s="9"/>
      <c r="B100" s="2"/>
      <c r="C100" s="2"/>
      <c r="D100" s="10"/>
      <c r="E100" s="7"/>
      <c r="F100" s="10"/>
      <c r="H100" s="6" t="e">
        <f t="shared" si="4"/>
        <v>#DIV/0!</v>
      </c>
      <c r="I100" s="6" t="e">
        <f t="shared" si="5"/>
        <v>#DIV/0!</v>
      </c>
      <c r="K100" s="7" t="s">
        <v>13</v>
      </c>
      <c r="L100" s="2">
        <v>1</v>
      </c>
    </row>
    <row r="101" spans="1:12" ht="17.25" customHeight="1" x14ac:dyDescent="0.2">
      <c r="D101" s="2"/>
      <c r="H101" s="6"/>
      <c r="I101" s="6"/>
    </row>
    <row r="102" spans="1:12" ht="17.25" customHeight="1" x14ac:dyDescent="0.2">
      <c r="D102" s="2"/>
      <c r="H102" s="6"/>
      <c r="I102" s="6"/>
    </row>
    <row r="103" spans="1:12" ht="17.25" customHeight="1" x14ac:dyDescent="0.2">
      <c r="D103" s="2"/>
      <c r="H103" s="6"/>
      <c r="I103" s="6"/>
    </row>
    <row r="104" spans="1:12" ht="17.25" customHeight="1" x14ac:dyDescent="0.2">
      <c r="D104" s="2"/>
      <c r="H104" s="6"/>
      <c r="I104" s="6"/>
    </row>
    <row r="105" spans="1:12" ht="17.25" customHeight="1" x14ac:dyDescent="0.2">
      <c r="D105" s="2"/>
      <c r="H105" s="6"/>
      <c r="I105" s="6"/>
    </row>
    <row r="106" spans="1:12" ht="17.25" customHeight="1" x14ac:dyDescent="0.2">
      <c r="A106" s="9"/>
      <c r="B106" s="2"/>
      <c r="C106" s="2"/>
      <c r="D106" s="10"/>
      <c r="E106" s="7"/>
      <c r="F106" s="10"/>
      <c r="H106" s="6" t="e">
        <f t="shared" ref="H106:H129" si="6">F106/D106</f>
        <v>#DIV/0!</v>
      </c>
      <c r="I106" s="6" t="e">
        <f t="shared" ref="I106:I129" si="7">SQRT(F106)/D106</f>
        <v>#DIV/0!</v>
      </c>
      <c r="K106" s="7" t="s">
        <v>14</v>
      </c>
      <c r="L106" s="2">
        <v>1</v>
      </c>
    </row>
    <row r="107" spans="1:12" ht="17.25" customHeight="1" x14ac:dyDescent="0.2">
      <c r="A107" s="9"/>
      <c r="B107" s="2"/>
      <c r="C107" s="2"/>
      <c r="D107" s="10"/>
      <c r="E107" s="7"/>
      <c r="F107" s="10"/>
      <c r="H107" s="6" t="e">
        <f t="shared" si="6"/>
        <v>#DIV/0!</v>
      </c>
      <c r="I107" s="6" t="e">
        <f t="shared" si="7"/>
        <v>#DIV/0!</v>
      </c>
      <c r="K107" s="7" t="s">
        <v>14</v>
      </c>
      <c r="L107" s="2">
        <v>1</v>
      </c>
    </row>
    <row r="108" spans="1:12" ht="17.25" customHeight="1" x14ac:dyDescent="0.2">
      <c r="A108" s="9"/>
      <c r="B108" s="2"/>
      <c r="C108" s="2"/>
      <c r="D108" s="10"/>
      <c r="E108" s="7"/>
      <c r="F108" s="10"/>
      <c r="H108" s="6" t="e">
        <f t="shared" si="6"/>
        <v>#DIV/0!</v>
      </c>
      <c r="I108" s="6" t="e">
        <f t="shared" si="7"/>
        <v>#DIV/0!</v>
      </c>
      <c r="K108" s="7" t="s">
        <v>14</v>
      </c>
      <c r="L108" s="2">
        <v>1</v>
      </c>
    </row>
    <row r="109" spans="1:12" ht="17.25" customHeight="1" x14ac:dyDescent="0.2">
      <c r="A109" s="9"/>
      <c r="B109" s="2"/>
      <c r="C109" s="2"/>
      <c r="D109" s="10"/>
      <c r="E109" s="7"/>
      <c r="F109" s="10"/>
      <c r="H109" s="6" t="e">
        <f t="shared" si="6"/>
        <v>#DIV/0!</v>
      </c>
      <c r="I109" s="6" t="e">
        <f t="shared" si="7"/>
        <v>#DIV/0!</v>
      </c>
      <c r="K109" s="7" t="s">
        <v>14</v>
      </c>
      <c r="L109" s="2">
        <v>1</v>
      </c>
    </row>
    <row r="110" spans="1:12" ht="17.25" customHeight="1" x14ac:dyDescent="0.2">
      <c r="A110" s="9"/>
      <c r="B110" s="2"/>
      <c r="C110" s="2"/>
      <c r="D110" s="10"/>
      <c r="E110" s="7"/>
      <c r="F110" s="10"/>
      <c r="H110" s="6" t="e">
        <f t="shared" si="6"/>
        <v>#DIV/0!</v>
      </c>
      <c r="I110" s="6" t="e">
        <f t="shared" si="7"/>
        <v>#DIV/0!</v>
      </c>
      <c r="K110" s="7" t="s">
        <v>14</v>
      </c>
      <c r="L110" s="2">
        <v>1</v>
      </c>
    </row>
    <row r="111" spans="1:12" ht="17.25" customHeight="1" x14ac:dyDescent="0.2">
      <c r="A111" s="9"/>
      <c r="B111" s="2"/>
      <c r="C111" s="2"/>
      <c r="D111" s="10"/>
      <c r="E111" s="7"/>
      <c r="F111" s="10"/>
      <c r="H111" s="11" t="e">
        <f t="shared" si="6"/>
        <v>#DIV/0!</v>
      </c>
      <c r="I111" s="11" t="e">
        <f t="shared" si="7"/>
        <v>#DIV/0!</v>
      </c>
      <c r="K111" s="7" t="s">
        <v>14</v>
      </c>
      <c r="L111" s="2">
        <v>1</v>
      </c>
    </row>
    <row r="112" spans="1:12" ht="17.25" customHeight="1" x14ac:dyDescent="0.2">
      <c r="A112" s="9"/>
      <c r="B112" s="2"/>
      <c r="C112" s="2"/>
      <c r="D112" s="10"/>
      <c r="E112" s="7"/>
      <c r="F112" s="10"/>
      <c r="H112" s="6" t="e">
        <f t="shared" si="6"/>
        <v>#DIV/0!</v>
      </c>
      <c r="I112" s="6" t="e">
        <f t="shared" si="7"/>
        <v>#DIV/0!</v>
      </c>
      <c r="K112" s="7" t="s">
        <v>14</v>
      </c>
      <c r="L112" s="2">
        <v>1</v>
      </c>
    </row>
    <row r="113" spans="1:12" ht="17.25" customHeight="1" x14ac:dyDescent="0.2">
      <c r="A113" s="9"/>
      <c r="B113" s="2"/>
      <c r="C113" s="2"/>
      <c r="D113" s="10"/>
      <c r="E113" s="7"/>
      <c r="F113" s="10"/>
      <c r="H113" s="6" t="e">
        <f t="shared" si="6"/>
        <v>#DIV/0!</v>
      </c>
      <c r="I113" s="6" t="e">
        <f t="shared" si="7"/>
        <v>#DIV/0!</v>
      </c>
      <c r="K113" s="7" t="s">
        <v>14</v>
      </c>
      <c r="L113" s="2">
        <v>1</v>
      </c>
    </row>
    <row r="114" spans="1:12" ht="17.25" customHeight="1" x14ac:dyDescent="0.2">
      <c r="A114" s="9"/>
      <c r="B114" s="2"/>
      <c r="C114" s="2"/>
      <c r="D114" s="10"/>
      <c r="E114" s="7"/>
      <c r="F114" s="10"/>
      <c r="H114" s="6" t="e">
        <f t="shared" si="6"/>
        <v>#DIV/0!</v>
      </c>
      <c r="I114" s="6" t="e">
        <f t="shared" si="7"/>
        <v>#DIV/0!</v>
      </c>
      <c r="K114" s="7" t="s">
        <v>14</v>
      </c>
      <c r="L114" s="2">
        <v>1</v>
      </c>
    </row>
    <row r="115" spans="1:12" ht="17.25" customHeight="1" x14ac:dyDescent="0.2">
      <c r="A115" s="9"/>
      <c r="B115" s="2"/>
      <c r="C115" s="2"/>
      <c r="D115" s="10"/>
      <c r="E115" s="7"/>
      <c r="F115" s="10"/>
      <c r="H115" s="6" t="e">
        <f t="shared" si="6"/>
        <v>#DIV/0!</v>
      </c>
      <c r="I115" s="6" t="e">
        <f t="shared" si="7"/>
        <v>#DIV/0!</v>
      </c>
      <c r="K115" s="7" t="s">
        <v>14</v>
      </c>
      <c r="L115" s="2">
        <v>1</v>
      </c>
    </row>
    <row r="116" spans="1:12" ht="17.25" customHeight="1" x14ac:dyDescent="0.2">
      <c r="A116" s="9"/>
      <c r="B116" s="2"/>
      <c r="C116" s="2"/>
      <c r="D116" s="10"/>
      <c r="E116" s="7"/>
      <c r="F116" s="10"/>
      <c r="H116" s="6" t="e">
        <f t="shared" si="6"/>
        <v>#DIV/0!</v>
      </c>
      <c r="I116" s="6" t="e">
        <f t="shared" si="7"/>
        <v>#DIV/0!</v>
      </c>
      <c r="K116" s="7" t="s">
        <v>14</v>
      </c>
      <c r="L116" s="2">
        <v>1</v>
      </c>
    </row>
    <row r="117" spans="1:12" ht="17.25" customHeight="1" x14ac:dyDescent="0.2">
      <c r="A117" s="9"/>
      <c r="B117" s="2"/>
      <c r="C117" s="2"/>
      <c r="D117" s="10"/>
      <c r="E117" s="7"/>
      <c r="F117" s="10"/>
      <c r="H117" s="6" t="e">
        <f t="shared" si="6"/>
        <v>#DIV/0!</v>
      </c>
      <c r="I117" s="6" t="e">
        <f t="shared" si="7"/>
        <v>#DIV/0!</v>
      </c>
      <c r="K117" s="7" t="s">
        <v>14</v>
      </c>
      <c r="L117" s="2">
        <v>1</v>
      </c>
    </row>
    <row r="118" spans="1:12" ht="17.25" customHeight="1" x14ac:dyDescent="0.2">
      <c r="A118" s="9"/>
      <c r="B118" s="2"/>
      <c r="C118" s="2"/>
      <c r="D118" s="10"/>
      <c r="E118" s="7"/>
      <c r="F118" s="10"/>
      <c r="H118" s="6" t="e">
        <f t="shared" si="6"/>
        <v>#DIV/0!</v>
      </c>
      <c r="I118" s="6" t="e">
        <f t="shared" si="7"/>
        <v>#DIV/0!</v>
      </c>
      <c r="K118" s="7" t="s">
        <v>14</v>
      </c>
      <c r="L118" s="2">
        <v>1</v>
      </c>
    </row>
    <row r="119" spans="1:12" ht="17.25" customHeight="1" x14ac:dyDescent="0.2">
      <c r="A119" s="9"/>
      <c r="B119" s="2"/>
      <c r="C119" s="2"/>
      <c r="D119" s="10"/>
      <c r="E119" s="7"/>
      <c r="F119" s="10"/>
      <c r="H119" s="6" t="e">
        <f t="shared" si="6"/>
        <v>#DIV/0!</v>
      </c>
      <c r="I119" s="6" t="e">
        <f t="shared" si="7"/>
        <v>#DIV/0!</v>
      </c>
      <c r="K119" s="7" t="s">
        <v>14</v>
      </c>
      <c r="L119" s="2">
        <v>1</v>
      </c>
    </row>
    <row r="120" spans="1:12" ht="17.25" customHeight="1" x14ac:dyDescent="0.2">
      <c r="A120" s="9"/>
      <c r="B120" s="2"/>
      <c r="C120" s="2"/>
      <c r="D120" s="10"/>
      <c r="E120" s="7"/>
      <c r="F120" s="10"/>
      <c r="H120" s="6" t="e">
        <f t="shared" si="6"/>
        <v>#DIV/0!</v>
      </c>
      <c r="I120" s="6" t="e">
        <f t="shared" si="7"/>
        <v>#DIV/0!</v>
      </c>
      <c r="K120" s="7" t="s">
        <v>14</v>
      </c>
      <c r="L120" s="2">
        <v>1</v>
      </c>
    </row>
    <row r="121" spans="1:12" ht="17.25" customHeight="1" x14ac:dyDescent="0.2">
      <c r="A121" s="9"/>
      <c r="B121" s="2"/>
      <c r="C121" s="2"/>
      <c r="D121" s="10"/>
      <c r="E121" s="7"/>
      <c r="F121" s="10"/>
      <c r="H121" s="6" t="e">
        <f t="shared" si="6"/>
        <v>#DIV/0!</v>
      </c>
      <c r="I121" s="6" t="e">
        <f t="shared" si="7"/>
        <v>#DIV/0!</v>
      </c>
      <c r="K121" s="7" t="s">
        <v>14</v>
      </c>
      <c r="L121" s="2">
        <v>1</v>
      </c>
    </row>
    <row r="122" spans="1:12" ht="17.25" customHeight="1" x14ac:dyDescent="0.2">
      <c r="A122" s="9"/>
      <c r="B122" s="2"/>
      <c r="C122" s="2"/>
      <c r="D122" s="10"/>
      <c r="E122" s="7"/>
      <c r="F122" s="10"/>
      <c r="H122" s="6" t="e">
        <f t="shared" si="6"/>
        <v>#DIV/0!</v>
      </c>
      <c r="I122" s="6" t="e">
        <f t="shared" si="7"/>
        <v>#DIV/0!</v>
      </c>
      <c r="K122" s="7" t="s">
        <v>14</v>
      </c>
      <c r="L122" s="2">
        <v>1</v>
      </c>
    </row>
    <row r="123" spans="1:12" ht="17.25" customHeight="1" x14ac:dyDescent="0.2">
      <c r="A123" s="9"/>
      <c r="B123" s="2"/>
      <c r="C123" s="2"/>
      <c r="D123" s="10"/>
      <c r="E123" s="7"/>
      <c r="F123" s="10"/>
      <c r="H123" s="6" t="e">
        <f t="shared" si="6"/>
        <v>#DIV/0!</v>
      </c>
      <c r="I123" s="6" t="e">
        <f t="shared" si="7"/>
        <v>#DIV/0!</v>
      </c>
      <c r="K123" s="7" t="s">
        <v>14</v>
      </c>
      <c r="L123" s="2">
        <v>1</v>
      </c>
    </row>
    <row r="124" spans="1:12" ht="17.25" customHeight="1" x14ac:dyDescent="0.2">
      <c r="A124" s="9"/>
      <c r="B124" s="2"/>
      <c r="C124" s="2"/>
      <c r="D124" s="10"/>
      <c r="E124" s="7"/>
      <c r="F124" s="10"/>
      <c r="H124" s="6" t="e">
        <f t="shared" si="6"/>
        <v>#DIV/0!</v>
      </c>
      <c r="I124" s="6" t="e">
        <f t="shared" si="7"/>
        <v>#DIV/0!</v>
      </c>
      <c r="K124" s="7" t="s">
        <v>14</v>
      </c>
      <c r="L124" s="2">
        <v>1</v>
      </c>
    </row>
    <row r="125" spans="1:12" ht="17.25" customHeight="1" x14ac:dyDescent="0.2">
      <c r="A125" s="9"/>
      <c r="B125" s="2"/>
      <c r="C125" s="2"/>
      <c r="D125" s="10"/>
      <c r="E125" s="7"/>
      <c r="F125" s="10"/>
      <c r="H125" s="6" t="e">
        <f t="shared" si="6"/>
        <v>#DIV/0!</v>
      </c>
      <c r="I125" s="6" t="e">
        <f t="shared" si="7"/>
        <v>#DIV/0!</v>
      </c>
      <c r="K125" s="7" t="s">
        <v>14</v>
      </c>
      <c r="L125" s="2">
        <v>1</v>
      </c>
    </row>
    <row r="126" spans="1:12" ht="17.25" customHeight="1" x14ac:dyDescent="0.2">
      <c r="A126" s="9"/>
      <c r="B126" s="2"/>
      <c r="C126" s="2"/>
      <c r="D126" s="10"/>
      <c r="E126" s="7"/>
      <c r="F126" s="10"/>
      <c r="H126" s="6" t="e">
        <f t="shared" si="6"/>
        <v>#DIV/0!</v>
      </c>
      <c r="I126" s="6" t="e">
        <f t="shared" si="7"/>
        <v>#DIV/0!</v>
      </c>
      <c r="K126" s="7" t="s">
        <v>14</v>
      </c>
      <c r="L126" s="2">
        <v>1</v>
      </c>
    </row>
    <row r="127" spans="1:12" ht="17.25" customHeight="1" x14ac:dyDescent="0.2">
      <c r="A127" s="9"/>
      <c r="B127" s="2"/>
      <c r="C127" s="2"/>
      <c r="D127" s="10"/>
      <c r="E127" s="7"/>
      <c r="F127" s="10"/>
      <c r="H127" s="6" t="e">
        <f t="shared" si="6"/>
        <v>#DIV/0!</v>
      </c>
      <c r="I127" s="6" t="e">
        <f t="shared" si="7"/>
        <v>#DIV/0!</v>
      </c>
      <c r="K127" s="7" t="s">
        <v>14</v>
      </c>
      <c r="L127" s="2">
        <v>1</v>
      </c>
    </row>
    <row r="128" spans="1:12" ht="17.25" customHeight="1" x14ac:dyDescent="0.2">
      <c r="A128" s="9"/>
      <c r="B128" s="2"/>
      <c r="C128" s="2"/>
      <c r="D128" s="10"/>
      <c r="E128" s="7"/>
      <c r="F128" s="10"/>
      <c r="H128" s="6" t="e">
        <f t="shared" si="6"/>
        <v>#DIV/0!</v>
      </c>
      <c r="I128" s="6" t="e">
        <f t="shared" si="7"/>
        <v>#DIV/0!</v>
      </c>
      <c r="K128" s="7" t="s">
        <v>14</v>
      </c>
      <c r="L128" s="2">
        <v>1</v>
      </c>
    </row>
    <row r="129" spans="1:12" ht="17.25" customHeight="1" x14ac:dyDescent="0.2">
      <c r="A129" s="9"/>
      <c r="B129" s="2"/>
      <c r="C129" s="2"/>
      <c r="D129" s="10"/>
      <c r="E129" s="7"/>
      <c r="F129" s="10"/>
      <c r="H129" s="6" t="e">
        <f t="shared" si="6"/>
        <v>#DIV/0!</v>
      </c>
      <c r="I129" s="6" t="e">
        <f t="shared" si="7"/>
        <v>#DIV/0!</v>
      </c>
      <c r="K129" s="7" t="s">
        <v>14</v>
      </c>
      <c r="L129" s="2">
        <v>1</v>
      </c>
    </row>
    <row r="130" spans="1:12" ht="17.25" customHeight="1" x14ac:dyDescent="0.2">
      <c r="D130" s="2"/>
      <c r="H130" s="6"/>
      <c r="I130" s="6"/>
    </row>
    <row r="131" spans="1:12" ht="17.25" customHeight="1" x14ac:dyDescent="0.2">
      <c r="D131" s="2"/>
      <c r="H131" s="6"/>
      <c r="I131" s="6"/>
    </row>
    <row r="132" spans="1:12" ht="17.25" customHeight="1" x14ac:dyDescent="0.2">
      <c r="D132" s="2"/>
      <c r="H132" s="6"/>
      <c r="I132" s="6"/>
    </row>
    <row r="133" spans="1:12" ht="17.25" customHeight="1" x14ac:dyDescent="0.2">
      <c r="D133" s="2"/>
      <c r="H133" s="6"/>
      <c r="I133" s="6"/>
    </row>
    <row r="134" spans="1:12" ht="17.25" customHeight="1" x14ac:dyDescent="0.2">
      <c r="D134" s="2"/>
      <c r="H134" s="6"/>
      <c r="I134" s="6"/>
    </row>
    <row r="135" spans="1:12" ht="17.25" customHeight="1" x14ac:dyDescent="0.2">
      <c r="D135" s="2"/>
      <c r="H135" s="6"/>
      <c r="I135" s="6"/>
    </row>
    <row r="136" spans="1:12" ht="17.25" customHeight="1" x14ac:dyDescent="0.2">
      <c r="A136" s="9"/>
      <c r="B136" s="2"/>
      <c r="C136" s="2"/>
      <c r="D136" s="10"/>
      <c r="E136" s="7"/>
      <c r="F136" s="10"/>
      <c r="H136" s="6" t="e">
        <f t="shared" ref="H136:H182" si="8">F136/D136</f>
        <v>#DIV/0!</v>
      </c>
      <c r="I136" s="6" t="e">
        <f t="shared" ref="I136:I182" si="9">SQRT(F136)/D136</f>
        <v>#DIV/0!</v>
      </c>
      <c r="K136" s="7" t="s">
        <v>15</v>
      </c>
      <c r="L136" s="2">
        <v>1</v>
      </c>
    </row>
    <row r="137" spans="1:12" ht="17.25" customHeight="1" x14ac:dyDescent="0.2">
      <c r="A137" s="9"/>
      <c r="B137" s="2"/>
      <c r="C137" s="2"/>
      <c r="D137" s="10"/>
      <c r="E137" s="7"/>
      <c r="F137" s="10"/>
      <c r="H137" s="6" t="e">
        <f t="shared" si="8"/>
        <v>#DIV/0!</v>
      </c>
      <c r="I137" s="6" t="e">
        <f t="shared" si="9"/>
        <v>#DIV/0!</v>
      </c>
      <c r="K137" s="7" t="s">
        <v>15</v>
      </c>
      <c r="L137" s="2">
        <v>1</v>
      </c>
    </row>
    <row r="138" spans="1:12" ht="17.25" customHeight="1" x14ac:dyDescent="0.2">
      <c r="A138" s="9"/>
      <c r="B138" s="2"/>
      <c r="C138" s="2"/>
      <c r="D138" s="10"/>
      <c r="E138" s="7"/>
      <c r="F138" s="10"/>
      <c r="H138" s="6" t="e">
        <f t="shared" si="8"/>
        <v>#DIV/0!</v>
      </c>
      <c r="I138" s="6" t="e">
        <f t="shared" si="9"/>
        <v>#DIV/0!</v>
      </c>
      <c r="K138" s="7" t="s">
        <v>15</v>
      </c>
      <c r="L138" s="2">
        <v>1</v>
      </c>
    </row>
    <row r="139" spans="1:12" ht="17.25" customHeight="1" x14ac:dyDescent="0.2">
      <c r="A139" s="9"/>
      <c r="B139" s="2"/>
      <c r="C139" s="2"/>
      <c r="D139" s="10"/>
      <c r="E139" s="7"/>
      <c r="F139" s="10"/>
      <c r="H139" s="6" t="e">
        <f t="shared" si="8"/>
        <v>#DIV/0!</v>
      </c>
      <c r="I139" s="6" t="e">
        <f t="shared" si="9"/>
        <v>#DIV/0!</v>
      </c>
      <c r="K139" s="7" t="s">
        <v>15</v>
      </c>
      <c r="L139" s="2">
        <v>1</v>
      </c>
    </row>
    <row r="140" spans="1:12" ht="17.25" customHeight="1" x14ac:dyDescent="0.2">
      <c r="A140" s="9"/>
      <c r="B140" s="2"/>
      <c r="C140" s="2"/>
      <c r="D140" s="10"/>
      <c r="E140" s="7"/>
      <c r="F140" s="10"/>
      <c r="H140" s="6" t="e">
        <f t="shared" si="8"/>
        <v>#DIV/0!</v>
      </c>
      <c r="I140" s="6" t="e">
        <f t="shared" si="9"/>
        <v>#DIV/0!</v>
      </c>
      <c r="K140" s="7" t="s">
        <v>15</v>
      </c>
      <c r="L140" s="2">
        <v>1</v>
      </c>
    </row>
    <row r="141" spans="1:12" ht="17.25" customHeight="1" x14ac:dyDescent="0.2">
      <c r="A141" s="9"/>
      <c r="B141" s="2"/>
      <c r="C141" s="2"/>
      <c r="D141" s="10"/>
      <c r="E141" s="7"/>
      <c r="F141" s="10"/>
      <c r="H141" s="6" t="e">
        <f t="shared" si="8"/>
        <v>#DIV/0!</v>
      </c>
      <c r="I141" s="6" t="e">
        <f t="shared" si="9"/>
        <v>#DIV/0!</v>
      </c>
      <c r="K141" s="7" t="s">
        <v>15</v>
      </c>
      <c r="L141" s="2">
        <v>1</v>
      </c>
    </row>
    <row r="142" spans="1:12" ht="17.25" customHeight="1" x14ac:dyDescent="0.2">
      <c r="A142" s="9"/>
      <c r="B142" s="2"/>
      <c r="C142" s="2"/>
      <c r="D142" s="10"/>
      <c r="E142" s="7"/>
      <c r="F142" s="10"/>
      <c r="H142" s="6" t="e">
        <f t="shared" si="8"/>
        <v>#DIV/0!</v>
      </c>
      <c r="I142" s="6" t="e">
        <f t="shared" si="9"/>
        <v>#DIV/0!</v>
      </c>
      <c r="K142" s="7" t="s">
        <v>15</v>
      </c>
      <c r="L142" s="2">
        <v>1</v>
      </c>
    </row>
    <row r="143" spans="1:12" ht="17.25" customHeight="1" x14ac:dyDescent="0.2">
      <c r="A143" s="9"/>
      <c r="B143" s="2"/>
      <c r="C143" s="2"/>
      <c r="D143" s="10"/>
      <c r="E143" s="7"/>
      <c r="F143" s="10"/>
      <c r="H143" s="6" t="e">
        <f t="shared" si="8"/>
        <v>#DIV/0!</v>
      </c>
      <c r="I143" s="6" t="e">
        <f t="shared" si="9"/>
        <v>#DIV/0!</v>
      </c>
      <c r="K143" s="7" t="s">
        <v>15</v>
      </c>
      <c r="L143" s="2">
        <v>1</v>
      </c>
    </row>
    <row r="144" spans="1:12" ht="17.25" customHeight="1" x14ac:dyDescent="0.2">
      <c r="A144" s="9"/>
      <c r="B144" s="2"/>
      <c r="C144" s="2"/>
      <c r="D144" s="10"/>
      <c r="E144" s="7"/>
      <c r="F144" s="10"/>
      <c r="H144" s="6" t="e">
        <f t="shared" si="8"/>
        <v>#DIV/0!</v>
      </c>
      <c r="I144" s="6" t="e">
        <f t="shared" si="9"/>
        <v>#DIV/0!</v>
      </c>
      <c r="K144" s="7" t="s">
        <v>15</v>
      </c>
      <c r="L144" s="2">
        <v>1</v>
      </c>
    </row>
    <row r="145" spans="1:12" ht="17.25" customHeight="1" x14ac:dyDescent="0.2">
      <c r="A145" s="9"/>
      <c r="B145" s="2"/>
      <c r="C145" s="2"/>
      <c r="D145" s="10"/>
      <c r="E145" s="7"/>
      <c r="F145" s="10"/>
      <c r="H145" s="6" t="e">
        <f t="shared" si="8"/>
        <v>#DIV/0!</v>
      </c>
      <c r="I145" s="6" t="e">
        <f t="shared" si="9"/>
        <v>#DIV/0!</v>
      </c>
      <c r="K145" s="7" t="s">
        <v>15</v>
      </c>
      <c r="L145" s="2">
        <v>1</v>
      </c>
    </row>
    <row r="146" spans="1:12" ht="17.25" customHeight="1" x14ac:dyDescent="0.2">
      <c r="A146" s="9"/>
      <c r="B146" s="2"/>
      <c r="C146" s="2"/>
      <c r="D146" s="10"/>
      <c r="E146" s="7"/>
      <c r="F146" s="10"/>
      <c r="H146" s="6" t="e">
        <f t="shared" si="8"/>
        <v>#DIV/0!</v>
      </c>
      <c r="I146" s="6" t="e">
        <f t="shared" si="9"/>
        <v>#DIV/0!</v>
      </c>
      <c r="K146" s="7" t="s">
        <v>15</v>
      </c>
      <c r="L146" s="2">
        <v>1</v>
      </c>
    </row>
    <row r="147" spans="1:12" ht="17.25" customHeight="1" x14ac:dyDescent="0.2">
      <c r="A147" s="9"/>
      <c r="B147" s="2"/>
      <c r="C147" s="2"/>
      <c r="D147" s="10"/>
      <c r="E147" s="7"/>
      <c r="F147" s="10"/>
      <c r="H147" s="6" t="e">
        <f t="shared" si="8"/>
        <v>#DIV/0!</v>
      </c>
      <c r="I147" s="6" t="e">
        <f t="shared" si="9"/>
        <v>#DIV/0!</v>
      </c>
      <c r="K147" s="7" t="s">
        <v>15</v>
      </c>
      <c r="L147" s="2">
        <v>1</v>
      </c>
    </row>
    <row r="148" spans="1:12" ht="17.25" customHeight="1" x14ac:dyDescent="0.2">
      <c r="A148" s="9"/>
      <c r="B148" s="2"/>
      <c r="C148" s="2"/>
      <c r="D148" s="10"/>
      <c r="E148" s="7"/>
      <c r="F148" s="10"/>
      <c r="H148" s="6" t="e">
        <f t="shared" si="8"/>
        <v>#DIV/0!</v>
      </c>
      <c r="I148" s="6" t="e">
        <f t="shared" si="9"/>
        <v>#DIV/0!</v>
      </c>
      <c r="K148" s="7" t="s">
        <v>15</v>
      </c>
      <c r="L148" s="2">
        <v>1</v>
      </c>
    </row>
    <row r="149" spans="1:12" ht="17.25" customHeight="1" x14ac:dyDescent="0.2">
      <c r="A149" s="9"/>
      <c r="B149" s="2"/>
      <c r="C149" s="2"/>
      <c r="D149" s="10"/>
      <c r="E149" s="7"/>
      <c r="F149" s="10"/>
      <c r="H149" s="6" t="e">
        <f t="shared" si="8"/>
        <v>#DIV/0!</v>
      </c>
      <c r="I149" s="6" t="e">
        <f t="shared" si="9"/>
        <v>#DIV/0!</v>
      </c>
      <c r="K149" s="7" t="s">
        <v>15</v>
      </c>
      <c r="L149" s="2">
        <v>1</v>
      </c>
    </row>
    <row r="150" spans="1:12" ht="17.25" customHeight="1" x14ac:dyDescent="0.2">
      <c r="A150" s="9"/>
      <c r="B150" s="2"/>
      <c r="C150" s="2"/>
      <c r="D150" s="10"/>
      <c r="E150" s="7"/>
      <c r="F150" s="10"/>
      <c r="H150" s="6" t="e">
        <f t="shared" si="8"/>
        <v>#DIV/0!</v>
      </c>
      <c r="I150" s="6" t="e">
        <f t="shared" si="9"/>
        <v>#DIV/0!</v>
      </c>
      <c r="K150" s="7" t="s">
        <v>15</v>
      </c>
      <c r="L150" s="2">
        <v>1</v>
      </c>
    </row>
    <row r="151" spans="1:12" ht="17.25" customHeight="1" x14ac:dyDescent="0.2">
      <c r="A151" s="9"/>
      <c r="B151" s="2"/>
      <c r="C151" s="2"/>
      <c r="D151" s="10"/>
      <c r="E151" s="7"/>
      <c r="F151" s="10"/>
      <c r="H151" s="6" t="e">
        <f t="shared" si="8"/>
        <v>#DIV/0!</v>
      </c>
      <c r="I151" s="6" t="e">
        <f t="shared" si="9"/>
        <v>#DIV/0!</v>
      </c>
      <c r="K151" s="7" t="s">
        <v>15</v>
      </c>
      <c r="L151" s="2">
        <v>1</v>
      </c>
    </row>
    <row r="152" spans="1:12" ht="17.25" customHeight="1" x14ac:dyDescent="0.2">
      <c r="A152" s="9"/>
      <c r="B152" s="2"/>
      <c r="C152" s="2"/>
      <c r="D152" s="10"/>
      <c r="E152" s="7"/>
      <c r="F152" s="10"/>
      <c r="H152" s="6" t="e">
        <f t="shared" si="8"/>
        <v>#DIV/0!</v>
      </c>
      <c r="I152" s="6" t="e">
        <f t="shared" si="9"/>
        <v>#DIV/0!</v>
      </c>
      <c r="K152" s="7" t="s">
        <v>15</v>
      </c>
      <c r="L152" s="2">
        <v>1</v>
      </c>
    </row>
    <row r="153" spans="1:12" ht="17.25" customHeight="1" x14ac:dyDescent="0.2">
      <c r="A153" s="9"/>
      <c r="B153" s="2"/>
      <c r="C153" s="2"/>
      <c r="D153" s="10"/>
      <c r="E153" s="7"/>
      <c r="F153" s="10"/>
      <c r="H153" s="6" t="e">
        <f t="shared" si="8"/>
        <v>#DIV/0!</v>
      </c>
      <c r="I153" s="6" t="e">
        <f t="shared" si="9"/>
        <v>#DIV/0!</v>
      </c>
      <c r="K153" s="7" t="s">
        <v>15</v>
      </c>
      <c r="L153" s="2">
        <v>1</v>
      </c>
    </row>
    <row r="154" spans="1:12" ht="17.25" customHeight="1" x14ac:dyDescent="0.2">
      <c r="A154" s="9"/>
      <c r="B154" s="2"/>
      <c r="C154" s="2"/>
      <c r="D154" s="10"/>
      <c r="E154" s="7"/>
      <c r="F154" s="10"/>
      <c r="H154" s="6" t="e">
        <f t="shared" si="8"/>
        <v>#DIV/0!</v>
      </c>
      <c r="I154" s="6" t="e">
        <f t="shared" si="9"/>
        <v>#DIV/0!</v>
      </c>
      <c r="K154" s="7" t="s">
        <v>15</v>
      </c>
      <c r="L154" s="2">
        <v>1</v>
      </c>
    </row>
    <row r="155" spans="1:12" ht="17.25" customHeight="1" x14ac:dyDescent="0.2">
      <c r="A155" s="9"/>
      <c r="B155" s="2"/>
      <c r="C155" s="2"/>
      <c r="D155" s="10"/>
      <c r="E155" s="7"/>
      <c r="F155" s="10"/>
      <c r="H155" s="6" t="e">
        <f t="shared" si="8"/>
        <v>#DIV/0!</v>
      </c>
      <c r="I155" s="6" t="e">
        <f t="shared" si="9"/>
        <v>#DIV/0!</v>
      </c>
      <c r="K155" s="7" t="s">
        <v>15</v>
      </c>
      <c r="L155" s="2">
        <v>1</v>
      </c>
    </row>
    <row r="156" spans="1:12" ht="17.25" customHeight="1" x14ac:dyDescent="0.2">
      <c r="A156" s="9"/>
      <c r="B156" s="2"/>
      <c r="C156" s="2"/>
      <c r="D156" s="10"/>
      <c r="E156" s="7"/>
      <c r="F156" s="10"/>
      <c r="H156" s="6" t="e">
        <f t="shared" si="8"/>
        <v>#DIV/0!</v>
      </c>
      <c r="I156" s="6" t="e">
        <f t="shared" si="9"/>
        <v>#DIV/0!</v>
      </c>
      <c r="K156" s="7" t="s">
        <v>15</v>
      </c>
      <c r="L156" s="2">
        <v>1</v>
      </c>
    </row>
    <row r="157" spans="1:12" ht="17.25" customHeight="1" x14ac:dyDescent="0.2">
      <c r="A157" s="9"/>
      <c r="B157" s="2"/>
      <c r="C157" s="2"/>
      <c r="D157" s="10"/>
      <c r="E157" s="7"/>
      <c r="F157" s="10"/>
      <c r="H157" s="6" t="e">
        <f t="shared" si="8"/>
        <v>#DIV/0!</v>
      </c>
      <c r="I157" s="6" t="e">
        <f t="shared" si="9"/>
        <v>#DIV/0!</v>
      </c>
      <c r="K157" s="7" t="s">
        <v>15</v>
      </c>
      <c r="L157" s="2">
        <v>1</v>
      </c>
    </row>
    <row r="158" spans="1:12" ht="17.25" customHeight="1" x14ac:dyDescent="0.2">
      <c r="A158" s="9"/>
      <c r="B158" s="2"/>
      <c r="C158" s="2"/>
      <c r="D158" s="10"/>
      <c r="E158" s="7"/>
      <c r="F158" s="10"/>
      <c r="H158" s="6" t="e">
        <f t="shared" si="8"/>
        <v>#DIV/0!</v>
      </c>
      <c r="I158" s="6" t="e">
        <f t="shared" si="9"/>
        <v>#DIV/0!</v>
      </c>
      <c r="K158" s="7" t="s">
        <v>15</v>
      </c>
      <c r="L158" s="2">
        <v>1</v>
      </c>
    </row>
    <row r="159" spans="1:12" ht="17.25" customHeight="1" x14ac:dyDescent="0.2">
      <c r="A159" s="9"/>
      <c r="B159" s="2"/>
      <c r="C159" s="2"/>
      <c r="D159" s="10"/>
      <c r="E159" s="7"/>
      <c r="F159" s="10"/>
      <c r="H159" s="6" t="e">
        <f t="shared" si="8"/>
        <v>#DIV/0!</v>
      </c>
      <c r="I159" s="6" t="e">
        <f t="shared" si="9"/>
        <v>#DIV/0!</v>
      </c>
      <c r="K159" s="7" t="s">
        <v>15</v>
      </c>
      <c r="L159" s="2">
        <v>1</v>
      </c>
    </row>
    <row r="160" spans="1:12" ht="17.25" customHeight="1" x14ac:dyDescent="0.2">
      <c r="A160" s="9"/>
      <c r="B160" s="2"/>
      <c r="C160" s="2"/>
      <c r="D160" s="10"/>
      <c r="E160" s="7"/>
      <c r="F160" s="10"/>
      <c r="H160" s="6" t="e">
        <f t="shared" si="8"/>
        <v>#DIV/0!</v>
      </c>
      <c r="I160" s="6" t="e">
        <f t="shared" si="9"/>
        <v>#DIV/0!</v>
      </c>
      <c r="K160" s="7" t="s">
        <v>15</v>
      </c>
      <c r="L160" s="2">
        <v>1</v>
      </c>
    </row>
    <row r="161" spans="1:12" ht="17.25" customHeight="1" x14ac:dyDescent="0.2">
      <c r="A161" s="9"/>
      <c r="B161" s="2"/>
      <c r="C161" s="2"/>
      <c r="D161" s="10"/>
      <c r="E161" s="7"/>
      <c r="F161" s="10"/>
      <c r="H161" s="6" t="e">
        <f t="shared" si="8"/>
        <v>#DIV/0!</v>
      </c>
      <c r="I161" s="6" t="e">
        <f t="shared" si="9"/>
        <v>#DIV/0!</v>
      </c>
      <c r="K161" s="7" t="s">
        <v>15</v>
      </c>
      <c r="L161" s="2">
        <v>1</v>
      </c>
    </row>
    <row r="162" spans="1:12" ht="17.25" customHeight="1" x14ac:dyDescent="0.2">
      <c r="A162" s="9"/>
      <c r="B162" s="2"/>
      <c r="C162" s="2"/>
      <c r="D162" s="10"/>
      <c r="E162" s="7"/>
      <c r="F162" s="10"/>
      <c r="H162" s="6" t="e">
        <f t="shared" si="8"/>
        <v>#DIV/0!</v>
      </c>
      <c r="I162" s="6" t="e">
        <f t="shared" si="9"/>
        <v>#DIV/0!</v>
      </c>
      <c r="K162" s="7" t="s">
        <v>15</v>
      </c>
      <c r="L162" s="2">
        <v>1</v>
      </c>
    </row>
    <row r="163" spans="1:12" ht="17.25" customHeight="1" x14ac:dyDescent="0.2">
      <c r="A163" s="9"/>
      <c r="B163" s="2"/>
      <c r="C163" s="2"/>
      <c r="D163" s="10"/>
      <c r="E163" s="7"/>
      <c r="F163" s="10"/>
      <c r="H163" s="6" t="e">
        <f t="shared" si="8"/>
        <v>#DIV/0!</v>
      </c>
      <c r="I163" s="6" t="e">
        <f t="shared" si="9"/>
        <v>#DIV/0!</v>
      </c>
      <c r="K163" s="7" t="s">
        <v>15</v>
      </c>
      <c r="L163" s="2">
        <v>1</v>
      </c>
    </row>
    <row r="164" spans="1:12" ht="17.25" customHeight="1" x14ac:dyDescent="0.2">
      <c r="A164" s="9"/>
      <c r="B164" s="2"/>
      <c r="C164" s="2"/>
      <c r="D164" s="10"/>
      <c r="E164" s="7"/>
      <c r="F164" s="10"/>
      <c r="H164" s="6" t="e">
        <f t="shared" si="8"/>
        <v>#DIV/0!</v>
      </c>
      <c r="I164" s="6" t="e">
        <f t="shared" si="9"/>
        <v>#DIV/0!</v>
      </c>
      <c r="K164" s="7" t="s">
        <v>15</v>
      </c>
      <c r="L164" s="2">
        <v>1</v>
      </c>
    </row>
    <row r="165" spans="1:12" ht="17.25" customHeight="1" x14ac:dyDescent="0.2">
      <c r="A165" s="9"/>
      <c r="B165" s="2"/>
      <c r="C165" s="2"/>
      <c r="D165" s="10"/>
      <c r="E165" s="7"/>
      <c r="F165" s="10"/>
      <c r="H165" s="6" t="e">
        <f t="shared" si="8"/>
        <v>#DIV/0!</v>
      </c>
      <c r="I165" s="6" t="e">
        <f t="shared" si="9"/>
        <v>#DIV/0!</v>
      </c>
      <c r="K165" s="7" t="s">
        <v>15</v>
      </c>
      <c r="L165" s="2">
        <v>1</v>
      </c>
    </row>
    <row r="166" spans="1:12" ht="17.25" customHeight="1" x14ac:dyDescent="0.2">
      <c r="A166" s="9"/>
      <c r="B166" s="2"/>
      <c r="C166" s="2"/>
      <c r="D166" s="10"/>
      <c r="E166" s="7"/>
      <c r="F166" s="10"/>
      <c r="H166" s="6" t="e">
        <f t="shared" si="8"/>
        <v>#DIV/0!</v>
      </c>
      <c r="I166" s="6" t="e">
        <f t="shared" si="9"/>
        <v>#DIV/0!</v>
      </c>
      <c r="K166" s="7" t="s">
        <v>15</v>
      </c>
      <c r="L166" s="2">
        <v>1</v>
      </c>
    </row>
    <row r="167" spans="1:12" ht="17.25" customHeight="1" x14ac:dyDescent="0.2">
      <c r="A167" s="9"/>
      <c r="B167" s="2"/>
      <c r="C167" s="2"/>
      <c r="D167" s="10"/>
      <c r="E167" s="7"/>
      <c r="F167" s="10"/>
      <c r="H167" s="6" t="e">
        <f t="shared" si="8"/>
        <v>#DIV/0!</v>
      </c>
      <c r="I167" s="6" t="e">
        <f t="shared" si="9"/>
        <v>#DIV/0!</v>
      </c>
      <c r="K167" s="7" t="s">
        <v>15</v>
      </c>
      <c r="L167" s="2">
        <v>1</v>
      </c>
    </row>
    <row r="168" spans="1:12" ht="17.25" customHeight="1" x14ac:dyDescent="0.2">
      <c r="A168" s="9"/>
      <c r="B168" s="2"/>
      <c r="C168" s="2"/>
      <c r="D168" s="10"/>
      <c r="E168" s="7"/>
      <c r="F168" s="10"/>
      <c r="H168" s="6" t="e">
        <f t="shared" si="8"/>
        <v>#DIV/0!</v>
      </c>
      <c r="I168" s="6" t="e">
        <f t="shared" si="9"/>
        <v>#DIV/0!</v>
      </c>
      <c r="K168" s="7" t="s">
        <v>15</v>
      </c>
      <c r="L168" s="2">
        <v>1</v>
      </c>
    </row>
    <row r="169" spans="1:12" ht="17.25" customHeight="1" x14ac:dyDescent="0.2">
      <c r="A169" s="9"/>
      <c r="B169" s="2"/>
      <c r="C169" s="2"/>
      <c r="D169" s="10"/>
      <c r="E169" s="7"/>
      <c r="F169" s="10"/>
      <c r="H169" s="6" t="e">
        <f t="shared" si="8"/>
        <v>#DIV/0!</v>
      </c>
      <c r="I169" s="6" t="e">
        <f t="shared" si="9"/>
        <v>#DIV/0!</v>
      </c>
      <c r="K169" s="7" t="s">
        <v>15</v>
      </c>
      <c r="L169" s="2">
        <v>1</v>
      </c>
    </row>
    <row r="170" spans="1:12" ht="17.25" customHeight="1" x14ac:dyDescent="0.2">
      <c r="A170" s="9"/>
      <c r="B170" s="2"/>
      <c r="C170" s="2"/>
      <c r="D170" s="10"/>
      <c r="E170" s="7"/>
      <c r="F170" s="10"/>
      <c r="H170" s="6" t="e">
        <f t="shared" si="8"/>
        <v>#DIV/0!</v>
      </c>
      <c r="I170" s="6" t="e">
        <f t="shared" si="9"/>
        <v>#DIV/0!</v>
      </c>
      <c r="K170" s="7" t="s">
        <v>15</v>
      </c>
      <c r="L170" s="2">
        <v>1</v>
      </c>
    </row>
    <row r="171" spans="1:12" ht="17.25" customHeight="1" x14ac:dyDescent="0.2">
      <c r="A171" s="9"/>
      <c r="B171" s="2"/>
      <c r="C171" s="2"/>
      <c r="D171" s="10"/>
      <c r="E171" s="7"/>
      <c r="F171" s="10"/>
      <c r="H171" s="6" t="e">
        <f t="shared" si="8"/>
        <v>#DIV/0!</v>
      </c>
      <c r="I171" s="6" t="e">
        <f t="shared" si="9"/>
        <v>#DIV/0!</v>
      </c>
      <c r="K171" s="7" t="s">
        <v>15</v>
      </c>
      <c r="L171" s="2">
        <v>1</v>
      </c>
    </row>
    <row r="172" spans="1:12" ht="17.25" customHeight="1" x14ac:dyDescent="0.2">
      <c r="A172" s="9"/>
      <c r="B172" s="2"/>
      <c r="C172" s="2"/>
      <c r="D172" s="10"/>
      <c r="E172" s="7"/>
      <c r="F172" s="10"/>
      <c r="H172" s="6" t="e">
        <f t="shared" si="8"/>
        <v>#DIV/0!</v>
      </c>
      <c r="I172" s="6" t="e">
        <f t="shared" si="9"/>
        <v>#DIV/0!</v>
      </c>
      <c r="K172" s="7" t="s">
        <v>15</v>
      </c>
      <c r="L172" s="2">
        <v>1</v>
      </c>
    </row>
    <row r="173" spans="1:12" ht="17.25" customHeight="1" x14ac:dyDescent="0.2">
      <c r="A173" s="9"/>
      <c r="B173" s="2"/>
      <c r="C173" s="2"/>
      <c r="D173" s="10"/>
      <c r="E173" s="7"/>
      <c r="F173" s="10"/>
      <c r="H173" s="6" t="e">
        <f t="shared" si="8"/>
        <v>#DIV/0!</v>
      </c>
      <c r="I173" s="6" t="e">
        <f t="shared" si="9"/>
        <v>#DIV/0!</v>
      </c>
      <c r="K173" s="7" t="s">
        <v>15</v>
      </c>
      <c r="L173" s="2">
        <v>1</v>
      </c>
    </row>
    <row r="174" spans="1:12" ht="17.25" customHeight="1" x14ac:dyDescent="0.2">
      <c r="A174" s="9"/>
      <c r="B174" s="2"/>
      <c r="C174" s="2"/>
      <c r="D174" s="10"/>
      <c r="E174" s="7"/>
      <c r="F174" s="10"/>
      <c r="H174" s="6" t="e">
        <f t="shared" si="8"/>
        <v>#DIV/0!</v>
      </c>
      <c r="I174" s="6" t="e">
        <f t="shared" si="9"/>
        <v>#DIV/0!</v>
      </c>
      <c r="K174" s="7" t="s">
        <v>15</v>
      </c>
      <c r="L174" s="2">
        <v>1</v>
      </c>
    </row>
    <row r="175" spans="1:12" ht="17.25" customHeight="1" x14ac:dyDescent="0.2">
      <c r="A175" s="9"/>
      <c r="B175" s="2"/>
      <c r="C175" s="2"/>
      <c r="D175" s="10"/>
      <c r="E175" s="7"/>
      <c r="F175" s="10"/>
      <c r="H175" s="6" t="e">
        <f t="shared" si="8"/>
        <v>#DIV/0!</v>
      </c>
      <c r="I175" s="6" t="e">
        <f t="shared" si="9"/>
        <v>#DIV/0!</v>
      </c>
      <c r="K175" s="7" t="s">
        <v>15</v>
      </c>
      <c r="L175" s="2">
        <v>1</v>
      </c>
    </row>
    <row r="176" spans="1:12" ht="17.25" customHeight="1" x14ac:dyDescent="0.2">
      <c r="A176" s="9"/>
      <c r="B176" s="2"/>
      <c r="C176" s="2"/>
      <c r="D176" s="10"/>
      <c r="E176" s="7"/>
      <c r="F176" s="10"/>
      <c r="H176" s="6" t="e">
        <f t="shared" si="8"/>
        <v>#DIV/0!</v>
      </c>
      <c r="I176" s="6" t="e">
        <f t="shared" si="9"/>
        <v>#DIV/0!</v>
      </c>
      <c r="K176" s="7" t="s">
        <v>15</v>
      </c>
      <c r="L176" s="2">
        <v>1</v>
      </c>
    </row>
    <row r="177" spans="1:12" ht="17.25" customHeight="1" x14ac:dyDescent="0.2">
      <c r="A177" s="9"/>
      <c r="B177" s="2"/>
      <c r="C177" s="2"/>
      <c r="D177" s="10"/>
      <c r="E177" s="7"/>
      <c r="F177" s="10"/>
      <c r="H177" s="6" t="e">
        <f t="shared" si="8"/>
        <v>#DIV/0!</v>
      </c>
      <c r="I177" s="6" t="e">
        <f t="shared" si="9"/>
        <v>#DIV/0!</v>
      </c>
      <c r="K177" s="7" t="s">
        <v>15</v>
      </c>
      <c r="L177" s="2">
        <v>1</v>
      </c>
    </row>
    <row r="178" spans="1:12" ht="17.25" customHeight="1" x14ac:dyDescent="0.2">
      <c r="A178" s="9"/>
      <c r="B178" s="2"/>
      <c r="C178" s="2"/>
      <c r="D178" s="10"/>
      <c r="E178" s="7"/>
      <c r="F178" s="10"/>
      <c r="H178" s="6" t="e">
        <f t="shared" si="8"/>
        <v>#DIV/0!</v>
      </c>
      <c r="I178" s="6" t="e">
        <f t="shared" si="9"/>
        <v>#DIV/0!</v>
      </c>
      <c r="K178" s="7" t="s">
        <v>15</v>
      </c>
      <c r="L178" s="2">
        <v>1</v>
      </c>
    </row>
    <row r="179" spans="1:12" ht="17.25" customHeight="1" x14ac:dyDescent="0.2">
      <c r="A179" s="9"/>
      <c r="B179" s="2"/>
      <c r="C179" s="2"/>
      <c r="D179" s="10"/>
      <c r="E179" s="7"/>
      <c r="F179" s="10"/>
      <c r="H179" s="6" t="e">
        <f t="shared" si="8"/>
        <v>#DIV/0!</v>
      </c>
      <c r="I179" s="6" t="e">
        <f t="shared" si="9"/>
        <v>#DIV/0!</v>
      </c>
      <c r="K179" s="7" t="s">
        <v>15</v>
      </c>
      <c r="L179" s="2">
        <v>1</v>
      </c>
    </row>
    <row r="180" spans="1:12" ht="17.25" customHeight="1" x14ac:dyDescent="0.2">
      <c r="A180" s="9"/>
      <c r="B180" s="2"/>
      <c r="C180" s="2"/>
      <c r="D180" s="10"/>
      <c r="E180" s="7"/>
      <c r="F180" s="10"/>
      <c r="H180" s="6" t="e">
        <f t="shared" si="8"/>
        <v>#DIV/0!</v>
      </c>
      <c r="I180" s="6" t="e">
        <f t="shared" si="9"/>
        <v>#DIV/0!</v>
      </c>
      <c r="K180" s="7" t="s">
        <v>15</v>
      </c>
      <c r="L180" s="2">
        <v>1</v>
      </c>
    </row>
    <row r="181" spans="1:12" ht="17.25" customHeight="1" x14ac:dyDescent="0.2">
      <c r="A181" s="9"/>
      <c r="B181" s="2"/>
      <c r="C181" s="2"/>
      <c r="D181" s="10"/>
      <c r="E181" s="7"/>
      <c r="F181" s="10"/>
      <c r="H181" s="6" t="e">
        <f t="shared" si="8"/>
        <v>#DIV/0!</v>
      </c>
      <c r="I181" s="6" t="e">
        <f t="shared" si="9"/>
        <v>#DIV/0!</v>
      </c>
      <c r="K181" s="7" t="s">
        <v>15</v>
      </c>
      <c r="L181" s="2">
        <v>1</v>
      </c>
    </row>
    <row r="182" spans="1:12" ht="17.25" customHeight="1" x14ac:dyDescent="0.2">
      <c r="A182" s="9"/>
      <c r="B182" s="2"/>
      <c r="C182" s="2"/>
      <c r="D182" s="10"/>
      <c r="E182" s="7"/>
      <c r="F182" s="10"/>
      <c r="H182" s="6" t="e">
        <f t="shared" si="8"/>
        <v>#DIV/0!</v>
      </c>
      <c r="I182" s="6" t="e">
        <f t="shared" si="9"/>
        <v>#DIV/0!</v>
      </c>
      <c r="K182" s="7" t="s">
        <v>15</v>
      </c>
      <c r="L182" s="2">
        <v>1</v>
      </c>
    </row>
    <row r="183" spans="1:12" ht="17.25" customHeight="1" x14ac:dyDescent="0.2">
      <c r="A183" s="9"/>
      <c r="B183" s="2"/>
      <c r="C183" s="2"/>
      <c r="D183" s="10"/>
      <c r="E183" s="7"/>
      <c r="F183" s="10"/>
      <c r="H183" s="6"/>
      <c r="I183" s="6"/>
      <c r="K183" s="7" t="s">
        <v>15</v>
      </c>
    </row>
    <row r="184" spans="1:12" ht="17.25" customHeight="1" x14ac:dyDescent="0.2">
      <c r="A184" s="9"/>
      <c r="B184" s="2"/>
      <c r="C184" s="2"/>
      <c r="D184" s="10"/>
      <c r="E184" s="7"/>
      <c r="F184" s="10"/>
      <c r="H184" s="6"/>
      <c r="I184" s="6"/>
      <c r="K184" s="7" t="s">
        <v>15</v>
      </c>
    </row>
    <row r="185" spans="1:12" ht="17.25" customHeight="1" x14ac:dyDescent="0.2">
      <c r="A185" s="9"/>
      <c r="B185" s="2"/>
      <c r="C185" s="2"/>
      <c r="D185" s="10"/>
      <c r="E185" s="7"/>
      <c r="F185" s="10"/>
      <c r="H185" s="6"/>
      <c r="I185" s="6"/>
      <c r="K185" s="7" t="s">
        <v>15</v>
      </c>
    </row>
    <row r="186" spans="1:12" ht="17.25" customHeight="1" x14ac:dyDescent="0.2">
      <c r="A186" s="9"/>
      <c r="B186" s="2"/>
      <c r="C186" s="2"/>
      <c r="D186" s="10"/>
      <c r="E186" s="7"/>
      <c r="F186" s="10"/>
      <c r="H186" s="6"/>
      <c r="I186" s="6"/>
      <c r="K186" s="7" t="s">
        <v>15</v>
      </c>
    </row>
    <row r="187" spans="1:12" ht="17.25" customHeight="1" x14ac:dyDescent="0.2">
      <c r="A187" s="9"/>
      <c r="B187" s="2"/>
      <c r="C187" s="2"/>
      <c r="D187" s="10"/>
      <c r="E187" s="7"/>
      <c r="F187" s="10"/>
      <c r="H187" s="6"/>
      <c r="I187" s="6"/>
      <c r="K187" s="7" t="s">
        <v>15</v>
      </c>
    </row>
    <row r="188" spans="1:12" ht="17.25" customHeight="1" x14ac:dyDescent="0.2">
      <c r="A188" s="9"/>
      <c r="B188" s="2"/>
      <c r="C188" s="2"/>
      <c r="D188" s="10"/>
      <c r="E188" s="7"/>
      <c r="F188" s="10"/>
      <c r="H188" s="6"/>
      <c r="I188" s="6"/>
      <c r="K188" s="7" t="s">
        <v>15</v>
      </c>
    </row>
    <row r="189" spans="1:12" ht="17.25" customHeight="1" x14ac:dyDescent="0.2">
      <c r="A189" s="9"/>
      <c r="B189" s="2"/>
      <c r="C189" s="2"/>
      <c r="D189" s="10"/>
      <c r="E189" s="7"/>
      <c r="F189" s="10"/>
      <c r="H189" s="6"/>
      <c r="I189" s="6"/>
      <c r="K189" s="7" t="s">
        <v>15</v>
      </c>
    </row>
    <row r="190" spans="1:12" ht="17.25" customHeight="1" x14ac:dyDescent="0.2">
      <c r="A190" s="2"/>
      <c r="B190" s="2"/>
      <c r="C190" s="2"/>
      <c r="D190" s="10"/>
      <c r="E190" s="10"/>
      <c r="F190" s="10"/>
      <c r="H190" s="6"/>
      <c r="I190" s="6"/>
      <c r="K190" s="7" t="s">
        <v>15</v>
      </c>
    </row>
    <row r="191" spans="1:12" ht="17.25" customHeight="1" x14ac:dyDescent="0.2">
      <c r="A191" s="9"/>
      <c r="B191" s="2"/>
      <c r="C191" s="2"/>
      <c r="D191" s="10"/>
      <c r="E191" s="7"/>
      <c r="F191" s="10"/>
      <c r="H191" s="6"/>
      <c r="I191" s="6"/>
      <c r="K191" s="7" t="s">
        <v>15</v>
      </c>
    </row>
    <row r="192" spans="1:12" ht="17.25" customHeight="1" x14ac:dyDescent="0.2">
      <c r="A192" s="9"/>
      <c r="B192" s="2"/>
      <c r="C192" s="2"/>
      <c r="D192" s="10"/>
      <c r="E192" s="7"/>
      <c r="F192" s="10"/>
      <c r="H192" s="6"/>
      <c r="I192" s="6"/>
      <c r="K192" s="7" t="s">
        <v>15</v>
      </c>
    </row>
    <row r="193" spans="1:12" ht="17.25" customHeight="1" x14ac:dyDescent="0.2">
      <c r="A193" s="9"/>
      <c r="B193" s="2"/>
      <c r="C193" s="2"/>
      <c r="D193" s="10"/>
      <c r="E193" s="7"/>
      <c r="F193" s="10"/>
      <c r="H193" s="6"/>
      <c r="I193" s="6"/>
      <c r="K193" s="7" t="s">
        <v>15</v>
      </c>
    </row>
    <row r="194" spans="1:12" ht="17.25" customHeight="1" x14ac:dyDescent="0.2">
      <c r="A194" s="9"/>
      <c r="B194" s="2"/>
      <c r="C194" s="2"/>
      <c r="D194" s="10"/>
      <c r="E194" s="7"/>
      <c r="F194" s="10"/>
      <c r="H194" s="6"/>
      <c r="I194" s="6"/>
      <c r="K194" s="7" t="s">
        <v>15</v>
      </c>
    </row>
    <row r="195" spans="1:12" ht="17.25" customHeight="1" x14ac:dyDescent="0.2">
      <c r="A195" s="9"/>
      <c r="B195" s="2"/>
      <c r="C195" s="2"/>
      <c r="D195" s="10"/>
      <c r="E195" s="7"/>
      <c r="F195" s="10"/>
      <c r="H195" s="6"/>
      <c r="I195" s="6"/>
      <c r="K195" s="7" t="s">
        <v>15</v>
      </c>
    </row>
    <row r="196" spans="1:12" ht="17.25" customHeight="1" x14ac:dyDescent="0.2">
      <c r="A196" s="9"/>
      <c r="B196" s="2"/>
      <c r="C196" s="2"/>
      <c r="D196" s="10"/>
      <c r="E196" s="7"/>
      <c r="F196" s="10"/>
      <c r="H196" s="6"/>
      <c r="I196" s="6"/>
      <c r="K196" s="7" t="s">
        <v>15</v>
      </c>
    </row>
    <row r="197" spans="1:12" ht="17.25" customHeight="1" x14ac:dyDescent="0.2">
      <c r="A197" s="9"/>
      <c r="B197" s="2"/>
      <c r="C197" s="2"/>
      <c r="D197" s="10"/>
      <c r="E197" s="7"/>
      <c r="F197" s="10"/>
      <c r="H197" s="6"/>
      <c r="I197" s="6"/>
      <c r="K197" s="7" t="s">
        <v>15</v>
      </c>
    </row>
    <row r="198" spans="1:12" ht="17.25" customHeight="1" x14ac:dyDescent="0.2">
      <c r="A198" s="9"/>
      <c r="B198" s="2"/>
      <c r="C198" s="2"/>
      <c r="D198" s="10"/>
      <c r="E198" s="7"/>
      <c r="F198" s="10"/>
      <c r="H198" s="6"/>
      <c r="I198" s="6"/>
      <c r="K198" s="7" t="s">
        <v>15</v>
      </c>
    </row>
    <row r="199" spans="1:12" ht="17.25" customHeight="1" x14ac:dyDescent="0.2">
      <c r="A199" s="9"/>
      <c r="B199" s="2"/>
      <c r="C199" s="2"/>
      <c r="D199" s="10"/>
      <c r="E199" s="7"/>
      <c r="F199" s="10"/>
      <c r="H199" s="6" t="e">
        <f t="shared" ref="H199:H230" si="10">F199/D199</f>
        <v>#DIV/0!</v>
      </c>
      <c r="I199" s="6" t="e">
        <f t="shared" ref="I199:I230" si="11">SQRT(F199)/D199</f>
        <v>#DIV/0!</v>
      </c>
      <c r="K199" s="7" t="s">
        <v>16</v>
      </c>
      <c r="L199" s="2">
        <v>1</v>
      </c>
    </row>
    <row r="200" spans="1:12" ht="17.25" customHeight="1" x14ac:dyDescent="0.2">
      <c r="A200" s="9"/>
      <c r="B200" s="2"/>
      <c r="C200" s="2"/>
      <c r="D200" s="10"/>
      <c r="E200" s="7"/>
      <c r="F200" s="10"/>
      <c r="H200" s="6" t="e">
        <f t="shared" si="10"/>
        <v>#DIV/0!</v>
      </c>
      <c r="I200" s="6" t="e">
        <f t="shared" si="11"/>
        <v>#DIV/0!</v>
      </c>
      <c r="K200" s="7" t="s">
        <v>16</v>
      </c>
      <c r="L200" s="2">
        <v>1</v>
      </c>
    </row>
    <row r="201" spans="1:12" ht="17.25" customHeight="1" x14ac:dyDescent="0.2">
      <c r="A201" s="9"/>
      <c r="B201" s="2"/>
      <c r="C201" s="2"/>
      <c r="D201" s="10"/>
      <c r="E201" s="7"/>
      <c r="F201" s="10"/>
      <c r="H201" s="6" t="e">
        <f t="shared" si="10"/>
        <v>#DIV/0!</v>
      </c>
      <c r="I201" s="6" t="e">
        <f t="shared" si="11"/>
        <v>#DIV/0!</v>
      </c>
      <c r="K201" s="7" t="s">
        <v>16</v>
      </c>
      <c r="L201" s="2">
        <v>1</v>
      </c>
    </row>
    <row r="202" spans="1:12" ht="17.25" customHeight="1" x14ac:dyDescent="0.2">
      <c r="A202" s="9"/>
      <c r="B202" s="2"/>
      <c r="C202" s="2"/>
      <c r="D202" s="10"/>
      <c r="E202" s="7"/>
      <c r="F202" s="10"/>
      <c r="H202" s="6" t="e">
        <f t="shared" si="10"/>
        <v>#DIV/0!</v>
      </c>
      <c r="I202" s="6" t="e">
        <f t="shared" si="11"/>
        <v>#DIV/0!</v>
      </c>
      <c r="K202" s="7" t="s">
        <v>16</v>
      </c>
      <c r="L202" s="2">
        <v>1</v>
      </c>
    </row>
    <row r="203" spans="1:12" ht="17.25" customHeight="1" x14ac:dyDescent="0.2">
      <c r="A203" s="9"/>
      <c r="B203" s="2"/>
      <c r="C203" s="2"/>
      <c r="D203" s="10"/>
      <c r="E203" s="7"/>
      <c r="F203" s="10"/>
      <c r="H203" s="6" t="e">
        <f t="shared" si="10"/>
        <v>#DIV/0!</v>
      </c>
      <c r="I203" s="6" t="e">
        <f t="shared" si="11"/>
        <v>#DIV/0!</v>
      </c>
      <c r="K203" s="7" t="s">
        <v>16</v>
      </c>
      <c r="L203" s="2">
        <v>1</v>
      </c>
    </row>
    <row r="204" spans="1:12" ht="17.25" customHeight="1" x14ac:dyDescent="0.2">
      <c r="A204" s="9"/>
      <c r="B204" s="2"/>
      <c r="C204" s="2"/>
      <c r="D204" s="10"/>
      <c r="E204" s="7"/>
      <c r="F204" s="10"/>
      <c r="H204" s="6" t="e">
        <f t="shared" si="10"/>
        <v>#DIV/0!</v>
      </c>
      <c r="I204" s="6" t="e">
        <f t="shared" si="11"/>
        <v>#DIV/0!</v>
      </c>
      <c r="K204" s="7" t="s">
        <v>16</v>
      </c>
      <c r="L204" s="2">
        <v>1</v>
      </c>
    </row>
    <row r="205" spans="1:12" ht="17.25" customHeight="1" x14ac:dyDescent="0.2">
      <c r="A205" s="9"/>
      <c r="B205" s="2"/>
      <c r="C205" s="2"/>
      <c r="D205" s="10"/>
      <c r="E205" s="7"/>
      <c r="F205" s="10"/>
      <c r="H205" s="6" t="e">
        <f t="shared" si="10"/>
        <v>#DIV/0!</v>
      </c>
      <c r="I205" s="6" t="e">
        <f t="shared" si="11"/>
        <v>#DIV/0!</v>
      </c>
      <c r="K205" s="7" t="s">
        <v>16</v>
      </c>
      <c r="L205" s="2">
        <v>1</v>
      </c>
    </row>
    <row r="206" spans="1:12" ht="17.25" customHeight="1" x14ac:dyDescent="0.2">
      <c r="A206" s="9"/>
      <c r="B206" s="2"/>
      <c r="C206" s="2"/>
      <c r="D206" s="10"/>
      <c r="E206" s="7"/>
      <c r="F206" s="10"/>
      <c r="H206" s="6" t="e">
        <f t="shared" si="10"/>
        <v>#DIV/0!</v>
      </c>
      <c r="I206" s="6" t="e">
        <f t="shared" si="11"/>
        <v>#DIV/0!</v>
      </c>
      <c r="K206" s="7" t="s">
        <v>16</v>
      </c>
      <c r="L206" s="2">
        <v>1</v>
      </c>
    </row>
    <row r="207" spans="1:12" ht="17.25" customHeight="1" x14ac:dyDescent="0.2">
      <c r="A207" s="9"/>
      <c r="B207" s="2"/>
      <c r="C207" s="2"/>
      <c r="D207" s="10"/>
      <c r="E207" s="7"/>
      <c r="F207" s="10"/>
      <c r="H207" s="6" t="e">
        <f t="shared" si="10"/>
        <v>#DIV/0!</v>
      </c>
      <c r="I207" s="6" t="e">
        <f t="shared" si="11"/>
        <v>#DIV/0!</v>
      </c>
      <c r="K207" s="7" t="s">
        <v>16</v>
      </c>
      <c r="L207" s="2">
        <v>1</v>
      </c>
    </row>
    <row r="208" spans="1:12" ht="17.25" customHeight="1" x14ac:dyDescent="0.2">
      <c r="A208" s="9"/>
      <c r="B208" s="2"/>
      <c r="C208" s="2"/>
      <c r="D208" s="10"/>
      <c r="E208" s="7"/>
      <c r="F208" s="10"/>
      <c r="H208" s="6" t="e">
        <f t="shared" si="10"/>
        <v>#DIV/0!</v>
      </c>
      <c r="I208" s="6" t="e">
        <f t="shared" si="11"/>
        <v>#DIV/0!</v>
      </c>
      <c r="K208" s="7" t="s">
        <v>16</v>
      </c>
      <c r="L208" s="2">
        <v>1</v>
      </c>
    </row>
    <row r="209" spans="1:12" ht="17.25" customHeight="1" x14ac:dyDescent="0.2">
      <c r="A209" s="9"/>
      <c r="B209" s="2"/>
      <c r="C209" s="2"/>
      <c r="D209" s="10"/>
      <c r="E209" s="7"/>
      <c r="F209" s="10"/>
      <c r="H209" s="6" t="e">
        <f t="shared" si="10"/>
        <v>#DIV/0!</v>
      </c>
      <c r="I209" s="6" t="e">
        <f t="shared" si="11"/>
        <v>#DIV/0!</v>
      </c>
      <c r="K209" s="7" t="s">
        <v>16</v>
      </c>
      <c r="L209" s="2">
        <v>1</v>
      </c>
    </row>
    <row r="210" spans="1:12" ht="17.25" customHeight="1" x14ac:dyDescent="0.2">
      <c r="A210" s="9"/>
      <c r="B210" s="2"/>
      <c r="C210" s="2"/>
      <c r="D210" s="10"/>
      <c r="E210" s="7"/>
      <c r="F210" s="10"/>
      <c r="H210" s="6" t="e">
        <f t="shared" si="10"/>
        <v>#DIV/0!</v>
      </c>
      <c r="I210" s="6" t="e">
        <f t="shared" si="11"/>
        <v>#DIV/0!</v>
      </c>
      <c r="K210" s="7" t="s">
        <v>16</v>
      </c>
      <c r="L210" s="2">
        <v>1</v>
      </c>
    </row>
    <row r="211" spans="1:12" ht="17.25" customHeight="1" x14ac:dyDescent="0.2">
      <c r="A211" s="9"/>
      <c r="B211" s="2"/>
      <c r="C211" s="2"/>
      <c r="D211" s="10"/>
      <c r="E211" s="7"/>
      <c r="F211" s="10"/>
      <c r="H211" s="6" t="e">
        <f t="shared" si="10"/>
        <v>#DIV/0!</v>
      </c>
      <c r="I211" s="6" t="e">
        <f t="shared" si="11"/>
        <v>#DIV/0!</v>
      </c>
      <c r="K211" s="7" t="s">
        <v>16</v>
      </c>
      <c r="L211" s="2">
        <v>1</v>
      </c>
    </row>
    <row r="212" spans="1:12" ht="17.25" customHeight="1" x14ac:dyDescent="0.2">
      <c r="A212" s="9"/>
      <c r="B212" s="2"/>
      <c r="C212" s="2"/>
      <c r="D212" s="10"/>
      <c r="E212" s="7"/>
      <c r="F212" s="10"/>
      <c r="H212" s="6" t="e">
        <f t="shared" si="10"/>
        <v>#DIV/0!</v>
      </c>
      <c r="I212" s="6" t="e">
        <f t="shared" si="11"/>
        <v>#DIV/0!</v>
      </c>
      <c r="K212" s="7" t="s">
        <v>16</v>
      </c>
      <c r="L212" s="2">
        <v>1</v>
      </c>
    </row>
    <row r="213" spans="1:12" ht="17.25" customHeight="1" x14ac:dyDescent="0.2">
      <c r="A213" s="9"/>
      <c r="B213" s="2"/>
      <c r="C213" s="2"/>
      <c r="D213" s="10"/>
      <c r="E213" s="7"/>
      <c r="F213" s="10"/>
      <c r="H213" s="6" t="e">
        <f t="shared" si="10"/>
        <v>#DIV/0!</v>
      </c>
      <c r="I213" s="6" t="e">
        <f t="shared" si="11"/>
        <v>#DIV/0!</v>
      </c>
      <c r="K213" s="7" t="s">
        <v>16</v>
      </c>
      <c r="L213" s="2">
        <v>1</v>
      </c>
    </row>
    <row r="214" spans="1:12" ht="17.25" customHeight="1" x14ac:dyDescent="0.2">
      <c r="A214" s="9"/>
      <c r="B214" s="2"/>
      <c r="C214" s="2"/>
      <c r="D214" s="10"/>
      <c r="E214" s="7"/>
      <c r="F214" s="10"/>
      <c r="H214" s="6" t="e">
        <f t="shared" si="10"/>
        <v>#DIV/0!</v>
      </c>
      <c r="I214" s="6" t="e">
        <f t="shared" si="11"/>
        <v>#DIV/0!</v>
      </c>
      <c r="K214" s="7" t="s">
        <v>16</v>
      </c>
      <c r="L214" s="2">
        <v>1</v>
      </c>
    </row>
    <row r="215" spans="1:12" ht="17.25" customHeight="1" x14ac:dyDescent="0.2">
      <c r="A215" s="9"/>
      <c r="B215" s="2"/>
      <c r="C215" s="2"/>
      <c r="D215" s="10"/>
      <c r="E215" s="7"/>
      <c r="F215" s="10"/>
      <c r="H215" s="6" t="e">
        <f t="shared" si="10"/>
        <v>#DIV/0!</v>
      </c>
      <c r="I215" s="6" t="e">
        <f t="shared" si="11"/>
        <v>#DIV/0!</v>
      </c>
      <c r="K215" s="7" t="s">
        <v>16</v>
      </c>
      <c r="L215" s="2">
        <v>1</v>
      </c>
    </row>
    <row r="216" spans="1:12" ht="17.25" customHeight="1" x14ac:dyDescent="0.2">
      <c r="A216" s="9"/>
      <c r="B216" s="2"/>
      <c r="C216" s="2"/>
      <c r="D216" s="10"/>
      <c r="E216" s="7"/>
      <c r="F216" s="10"/>
      <c r="H216" s="6" t="e">
        <f t="shared" si="10"/>
        <v>#DIV/0!</v>
      </c>
      <c r="I216" s="6" t="e">
        <f t="shared" si="11"/>
        <v>#DIV/0!</v>
      </c>
      <c r="K216" s="7" t="s">
        <v>16</v>
      </c>
      <c r="L216" s="2">
        <v>1</v>
      </c>
    </row>
    <row r="217" spans="1:12" ht="17.25" customHeight="1" x14ac:dyDescent="0.2">
      <c r="A217" s="9"/>
      <c r="B217" s="2"/>
      <c r="C217" s="2"/>
      <c r="D217" s="10"/>
      <c r="E217" s="7"/>
      <c r="F217" s="10"/>
      <c r="H217" s="6" t="e">
        <f t="shared" si="10"/>
        <v>#DIV/0!</v>
      </c>
      <c r="I217" s="6" t="e">
        <f t="shared" si="11"/>
        <v>#DIV/0!</v>
      </c>
      <c r="K217" s="7" t="s">
        <v>16</v>
      </c>
      <c r="L217" s="2">
        <v>1</v>
      </c>
    </row>
    <row r="218" spans="1:12" ht="17.25" customHeight="1" x14ac:dyDescent="0.2">
      <c r="A218" s="9"/>
      <c r="B218" s="2"/>
      <c r="C218" s="2"/>
      <c r="D218" s="10"/>
      <c r="E218" s="7"/>
      <c r="F218" s="10"/>
      <c r="H218" s="6" t="e">
        <f t="shared" si="10"/>
        <v>#DIV/0!</v>
      </c>
      <c r="I218" s="6" t="e">
        <f t="shared" si="11"/>
        <v>#DIV/0!</v>
      </c>
      <c r="K218" s="7" t="s">
        <v>16</v>
      </c>
      <c r="L218" s="2">
        <v>1</v>
      </c>
    </row>
    <row r="219" spans="1:12" ht="17.25" customHeight="1" x14ac:dyDescent="0.2">
      <c r="A219" s="9"/>
      <c r="B219" s="2"/>
      <c r="C219" s="2"/>
      <c r="D219" s="10"/>
      <c r="E219" s="7"/>
      <c r="F219" s="10"/>
      <c r="H219" s="6" t="e">
        <f t="shared" si="10"/>
        <v>#DIV/0!</v>
      </c>
      <c r="I219" s="6" t="e">
        <f t="shared" si="11"/>
        <v>#DIV/0!</v>
      </c>
      <c r="K219" s="7" t="s">
        <v>16</v>
      </c>
      <c r="L219" s="2">
        <v>1</v>
      </c>
    </row>
    <row r="220" spans="1:12" ht="17.25" customHeight="1" x14ac:dyDescent="0.2">
      <c r="A220" s="9"/>
      <c r="B220" s="2"/>
      <c r="C220" s="2"/>
      <c r="D220" s="10"/>
      <c r="E220" s="7"/>
      <c r="F220" s="10"/>
      <c r="H220" s="6" t="e">
        <f t="shared" si="10"/>
        <v>#DIV/0!</v>
      </c>
      <c r="I220" s="6" t="e">
        <f t="shared" si="11"/>
        <v>#DIV/0!</v>
      </c>
      <c r="K220" s="7" t="s">
        <v>16</v>
      </c>
      <c r="L220" s="2">
        <v>1</v>
      </c>
    </row>
    <row r="221" spans="1:12" ht="17.25" customHeight="1" x14ac:dyDescent="0.2">
      <c r="A221" s="9"/>
      <c r="B221" s="2"/>
      <c r="C221" s="2"/>
      <c r="D221" s="10"/>
      <c r="E221" s="7"/>
      <c r="F221" s="10"/>
      <c r="H221" s="6" t="e">
        <f t="shared" si="10"/>
        <v>#DIV/0!</v>
      </c>
      <c r="I221" s="6" t="e">
        <f t="shared" si="11"/>
        <v>#DIV/0!</v>
      </c>
      <c r="K221" s="7" t="s">
        <v>16</v>
      </c>
      <c r="L221" s="2">
        <v>1</v>
      </c>
    </row>
    <row r="222" spans="1:12" ht="17.25" customHeight="1" x14ac:dyDescent="0.2">
      <c r="A222" s="9"/>
      <c r="B222" s="2"/>
      <c r="C222" s="2"/>
      <c r="D222" s="10"/>
      <c r="E222" s="7"/>
      <c r="F222" s="10"/>
      <c r="H222" s="6" t="e">
        <f t="shared" si="10"/>
        <v>#DIV/0!</v>
      </c>
      <c r="I222" s="6" t="e">
        <f t="shared" si="11"/>
        <v>#DIV/0!</v>
      </c>
      <c r="K222" s="7" t="s">
        <v>16</v>
      </c>
      <c r="L222" s="2">
        <v>1</v>
      </c>
    </row>
    <row r="223" spans="1:12" ht="17.25" customHeight="1" x14ac:dyDescent="0.2">
      <c r="A223" s="9"/>
      <c r="B223" s="2"/>
      <c r="C223" s="2"/>
      <c r="D223" s="10"/>
      <c r="E223" s="7"/>
      <c r="F223" s="10"/>
      <c r="H223" s="6" t="e">
        <f t="shared" si="10"/>
        <v>#DIV/0!</v>
      </c>
      <c r="I223" s="6" t="e">
        <f t="shared" si="11"/>
        <v>#DIV/0!</v>
      </c>
      <c r="K223" s="7" t="s">
        <v>16</v>
      </c>
      <c r="L223" s="2">
        <v>1</v>
      </c>
    </row>
    <row r="224" spans="1:12" ht="17.25" customHeight="1" x14ac:dyDescent="0.2">
      <c r="A224" s="9"/>
      <c r="B224" s="2"/>
      <c r="C224" s="2"/>
      <c r="D224" s="10"/>
      <c r="E224" s="7"/>
      <c r="F224" s="10"/>
      <c r="H224" s="6" t="e">
        <f t="shared" si="10"/>
        <v>#DIV/0!</v>
      </c>
      <c r="I224" s="6" t="e">
        <f t="shared" si="11"/>
        <v>#DIV/0!</v>
      </c>
      <c r="K224" s="7" t="s">
        <v>16</v>
      </c>
      <c r="L224" s="2">
        <v>1</v>
      </c>
    </row>
    <row r="225" spans="1:12" ht="17.25" customHeight="1" x14ac:dyDescent="0.2">
      <c r="A225" s="9"/>
      <c r="B225" s="2"/>
      <c r="C225" s="2"/>
      <c r="D225" s="10"/>
      <c r="E225" s="7"/>
      <c r="F225" s="10"/>
      <c r="H225" s="6" t="e">
        <f t="shared" si="10"/>
        <v>#DIV/0!</v>
      </c>
      <c r="I225" s="6" t="e">
        <f t="shared" si="11"/>
        <v>#DIV/0!</v>
      </c>
      <c r="K225" s="7" t="s">
        <v>16</v>
      </c>
      <c r="L225" s="2">
        <v>1</v>
      </c>
    </row>
    <row r="226" spans="1:12" ht="17.25" customHeight="1" x14ac:dyDescent="0.2">
      <c r="A226" s="9"/>
      <c r="B226" s="2"/>
      <c r="C226" s="2"/>
      <c r="D226" s="10"/>
      <c r="E226" s="7"/>
      <c r="F226" s="10"/>
      <c r="H226" s="6" t="e">
        <f t="shared" si="10"/>
        <v>#DIV/0!</v>
      </c>
      <c r="I226" s="6" t="e">
        <f t="shared" si="11"/>
        <v>#DIV/0!</v>
      </c>
      <c r="K226" s="7" t="s">
        <v>16</v>
      </c>
      <c r="L226" s="2">
        <v>1</v>
      </c>
    </row>
    <row r="227" spans="1:12" ht="17.25" customHeight="1" x14ac:dyDescent="0.2">
      <c r="A227" s="9"/>
      <c r="B227" s="2"/>
      <c r="C227" s="2"/>
      <c r="D227" s="10"/>
      <c r="E227" s="7"/>
      <c r="F227" s="10"/>
      <c r="H227" s="6" t="e">
        <f t="shared" si="10"/>
        <v>#DIV/0!</v>
      </c>
      <c r="I227" s="6" t="e">
        <f t="shared" si="11"/>
        <v>#DIV/0!</v>
      </c>
    </row>
    <row r="228" spans="1:12" ht="17.25" customHeight="1" x14ac:dyDescent="0.2">
      <c r="A228" s="2"/>
      <c r="B228" s="2"/>
      <c r="C228" s="2"/>
      <c r="D228" s="10"/>
      <c r="E228" s="7"/>
      <c r="F228" s="10"/>
      <c r="H228" s="11" t="e">
        <f t="shared" si="10"/>
        <v>#DIV/0!</v>
      </c>
      <c r="I228" s="11" t="e">
        <f t="shared" si="11"/>
        <v>#DIV/0!</v>
      </c>
    </row>
    <row r="229" spans="1:12" ht="17.25" customHeight="1" x14ac:dyDescent="0.2">
      <c r="A229" s="2"/>
      <c r="B229" s="2"/>
      <c r="C229" s="2"/>
      <c r="D229" s="10"/>
      <c r="E229" s="7"/>
      <c r="F229" s="10"/>
      <c r="H229" s="11" t="e">
        <f t="shared" si="10"/>
        <v>#DIV/0!</v>
      </c>
      <c r="I229" s="11" t="e">
        <f t="shared" si="11"/>
        <v>#DIV/0!</v>
      </c>
    </row>
    <row r="230" spans="1:12" ht="17.25" customHeight="1" x14ac:dyDescent="0.2">
      <c r="A230" s="2"/>
      <c r="B230" s="2"/>
      <c r="C230" s="2"/>
      <c r="D230" s="10"/>
      <c r="E230" s="7"/>
      <c r="F230" s="10"/>
      <c r="H230" s="11" t="e">
        <f t="shared" si="10"/>
        <v>#DIV/0!</v>
      </c>
      <c r="I230" s="11" t="e">
        <f t="shared" si="11"/>
        <v>#DIV/0!</v>
      </c>
    </row>
    <row r="231" spans="1:12" ht="17.25" customHeight="1" x14ac:dyDescent="0.2">
      <c r="A231" s="2"/>
      <c r="B231" s="2"/>
      <c r="C231" s="2"/>
      <c r="D231" s="10"/>
      <c r="E231" s="7"/>
      <c r="F231" s="10"/>
      <c r="H231" s="11" t="e">
        <f t="shared" ref="H231:H262" si="12">F231/D231</f>
        <v>#DIV/0!</v>
      </c>
      <c r="I231" s="11" t="e">
        <f t="shared" ref="I231:I262" si="13">SQRT(F231)/D231</f>
        <v>#DIV/0!</v>
      </c>
    </row>
    <row r="232" spans="1:12" ht="17.25" customHeight="1" x14ac:dyDescent="0.2">
      <c r="A232" s="2"/>
      <c r="B232" s="2"/>
      <c r="C232" s="2"/>
      <c r="D232" s="10"/>
      <c r="E232" s="7"/>
      <c r="F232" s="10"/>
      <c r="H232" s="11" t="e">
        <f t="shared" si="12"/>
        <v>#DIV/0!</v>
      </c>
      <c r="I232" s="11" t="e">
        <f t="shared" si="13"/>
        <v>#DIV/0!</v>
      </c>
    </row>
    <row r="233" spans="1:12" ht="17.25" customHeight="1" x14ac:dyDescent="0.2">
      <c r="A233" s="2"/>
      <c r="B233" s="2"/>
      <c r="C233" s="2"/>
      <c r="D233" s="10"/>
      <c r="E233" s="7"/>
      <c r="F233" s="10"/>
      <c r="H233" s="11" t="e">
        <f t="shared" si="12"/>
        <v>#DIV/0!</v>
      </c>
      <c r="I233" s="11" t="e">
        <f t="shared" si="13"/>
        <v>#DIV/0!</v>
      </c>
      <c r="L233" s="2">
        <v>100</v>
      </c>
    </row>
    <row r="234" spans="1:12" ht="17.25" customHeight="1" x14ac:dyDescent="0.2">
      <c r="A234" s="2"/>
      <c r="B234" s="2"/>
      <c r="C234" s="2"/>
      <c r="D234" s="10"/>
      <c r="E234" s="7"/>
      <c r="F234" s="10"/>
      <c r="H234" s="11" t="e">
        <f t="shared" si="12"/>
        <v>#DIV/0!</v>
      </c>
      <c r="I234" s="11" t="e">
        <f t="shared" si="13"/>
        <v>#DIV/0!</v>
      </c>
    </row>
    <row r="235" spans="1:12" ht="17.25" customHeight="1" x14ac:dyDescent="0.2">
      <c r="A235" s="2"/>
      <c r="B235" s="2"/>
      <c r="C235" s="2"/>
      <c r="D235" s="10"/>
      <c r="E235" s="7"/>
      <c r="F235" s="10"/>
      <c r="H235" s="11" t="e">
        <f t="shared" si="12"/>
        <v>#DIV/0!</v>
      </c>
      <c r="I235" s="11" t="e">
        <f t="shared" si="13"/>
        <v>#DIV/0!</v>
      </c>
    </row>
    <row r="236" spans="1:12" ht="17.25" customHeight="1" x14ac:dyDescent="0.2">
      <c r="A236" s="2"/>
      <c r="B236" s="2"/>
      <c r="C236" s="2"/>
      <c r="D236" s="10"/>
      <c r="E236" s="7"/>
      <c r="F236" s="10"/>
      <c r="H236" s="11" t="e">
        <f t="shared" si="12"/>
        <v>#DIV/0!</v>
      </c>
      <c r="I236" s="11" t="e">
        <f t="shared" si="13"/>
        <v>#DIV/0!</v>
      </c>
    </row>
    <row r="237" spans="1:12" ht="17.25" customHeight="1" x14ac:dyDescent="0.2">
      <c r="A237" s="2"/>
      <c r="B237" s="2"/>
      <c r="C237" s="2"/>
      <c r="D237" s="10"/>
      <c r="E237" s="7"/>
      <c r="F237" s="10"/>
      <c r="H237" s="11" t="e">
        <f t="shared" si="12"/>
        <v>#DIV/0!</v>
      </c>
      <c r="I237" s="11" t="e">
        <f t="shared" si="13"/>
        <v>#DIV/0!</v>
      </c>
    </row>
    <row r="238" spans="1:12" ht="17.25" customHeight="1" x14ac:dyDescent="0.2">
      <c r="A238" s="9" t="e">
        <f>#REF!</f>
        <v>#REF!</v>
      </c>
      <c r="B238" s="2"/>
      <c r="C238" s="9" t="e">
        <f>#REF!</f>
        <v>#REF!</v>
      </c>
      <c r="D238" s="7" t="e">
        <f>#REF!</f>
        <v>#REF!</v>
      </c>
      <c r="E238" s="7" t="e">
        <f>#REF!</f>
        <v>#REF!</v>
      </c>
      <c r="F238" s="7" t="e">
        <f>#REF!</f>
        <v>#REF!</v>
      </c>
      <c r="H238" s="11" t="e">
        <f t="shared" si="12"/>
        <v>#REF!</v>
      </c>
      <c r="I238" s="11" t="e">
        <f t="shared" si="13"/>
        <v>#REF!</v>
      </c>
    </row>
    <row r="239" spans="1:12" ht="17.25" customHeight="1" x14ac:dyDescent="0.2">
      <c r="A239" s="9"/>
      <c r="B239" s="2"/>
      <c r="C239" s="2"/>
      <c r="D239" s="10"/>
      <c r="E239" s="7"/>
      <c r="F239" s="10"/>
      <c r="H239" s="11" t="e">
        <f t="shared" si="12"/>
        <v>#DIV/0!</v>
      </c>
      <c r="I239" s="11" t="e">
        <f t="shared" si="13"/>
        <v>#DIV/0!</v>
      </c>
    </row>
    <row r="240" spans="1:12" ht="17.25" customHeight="1" x14ac:dyDescent="0.2">
      <c r="A240" s="9"/>
      <c r="B240" s="2"/>
      <c r="C240" s="2"/>
      <c r="D240" s="10"/>
      <c r="E240" s="7"/>
      <c r="F240" s="10"/>
      <c r="H240" s="11" t="e">
        <f t="shared" si="12"/>
        <v>#DIV/0!</v>
      </c>
      <c r="I240" s="11" t="e">
        <f t="shared" si="13"/>
        <v>#DIV/0!</v>
      </c>
    </row>
    <row r="241" spans="1:12" ht="17.25" customHeight="1" x14ac:dyDescent="0.2">
      <c r="A241" s="9"/>
      <c r="B241" s="2"/>
      <c r="C241" s="2"/>
      <c r="D241" s="2"/>
      <c r="E241" s="7"/>
      <c r="H241" s="11" t="e">
        <f t="shared" si="12"/>
        <v>#DIV/0!</v>
      </c>
      <c r="I241" s="11" t="e">
        <f t="shared" si="13"/>
        <v>#DIV/0!</v>
      </c>
    </row>
    <row r="242" spans="1:12" ht="17.25" customHeight="1" x14ac:dyDescent="0.2">
      <c r="A242" s="9"/>
      <c r="B242" s="2"/>
      <c r="C242" s="2"/>
      <c r="D242" s="10"/>
      <c r="E242" s="7"/>
      <c r="F242" s="10"/>
      <c r="H242" s="6" t="e">
        <f t="shared" si="12"/>
        <v>#DIV/0!</v>
      </c>
      <c r="I242" s="6" t="e">
        <f t="shared" si="13"/>
        <v>#DIV/0!</v>
      </c>
      <c r="K242" s="7" t="s">
        <v>17</v>
      </c>
      <c r="L242" s="2">
        <v>1</v>
      </c>
    </row>
    <row r="243" spans="1:12" ht="17.25" customHeight="1" x14ac:dyDescent="0.2">
      <c r="A243" s="9"/>
      <c r="B243" s="2"/>
      <c r="C243" s="2"/>
      <c r="D243" s="10"/>
      <c r="E243" s="7"/>
      <c r="F243" s="10"/>
      <c r="H243" s="6" t="e">
        <f t="shared" si="12"/>
        <v>#DIV/0!</v>
      </c>
      <c r="I243" s="6" t="e">
        <f t="shared" si="13"/>
        <v>#DIV/0!</v>
      </c>
      <c r="K243" s="7" t="s">
        <v>17</v>
      </c>
      <c r="L243" s="2">
        <v>1</v>
      </c>
    </row>
    <row r="244" spans="1:12" ht="17.25" customHeight="1" x14ac:dyDescent="0.2">
      <c r="A244" s="9"/>
      <c r="B244" s="2"/>
      <c r="C244" s="2"/>
      <c r="D244" s="10"/>
      <c r="E244" s="7"/>
      <c r="F244" s="10"/>
      <c r="H244" s="6" t="e">
        <f t="shared" si="12"/>
        <v>#DIV/0!</v>
      </c>
      <c r="I244" s="6" t="e">
        <f t="shared" si="13"/>
        <v>#DIV/0!</v>
      </c>
      <c r="K244" s="7" t="s">
        <v>17</v>
      </c>
      <c r="L244" s="2">
        <v>1</v>
      </c>
    </row>
    <row r="245" spans="1:12" ht="17.25" customHeight="1" x14ac:dyDescent="0.2">
      <c r="A245" s="9"/>
      <c r="B245" s="2"/>
      <c r="C245" s="2"/>
      <c r="D245" s="10"/>
      <c r="E245" s="7"/>
      <c r="F245" s="10"/>
      <c r="H245" s="6" t="e">
        <f t="shared" si="12"/>
        <v>#DIV/0!</v>
      </c>
      <c r="I245" s="6" t="e">
        <f t="shared" si="13"/>
        <v>#DIV/0!</v>
      </c>
      <c r="K245" s="7" t="s">
        <v>17</v>
      </c>
      <c r="L245" s="2">
        <v>1</v>
      </c>
    </row>
    <row r="246" spans="1:12" ht="17.25" customHeight="1" x14ac:dyDescent="0.2">
      <c r="A246" s="9"/>
      <c r="B246" s="2"/>
      <c r="C246" s="2"/>
      <c r="D246" s="10"/>
      <c r="E246" s="7"/>
      <c r="F246" s="10"/>
      <c r="H246" s="6" t="e">
        <f t="shared" si="12"/>
        <v>#DIV/0!</v>
      </c>
      <c r="I246" s="6" t="e">
        <f t="shared" si="13"/>
        <v>#DIV/0!</v>
      </c>
      <c r="K246" s="7" t="s">
        <v>17</v>
      </c>
      <c r="L246" s="2">
        <v>1</v>
      </c>
    </row>
    <row r="247" spans="1:12" ht="17.25" customHeight="1" x14ac:dyDescent="0.2">
      <c r="A247" s="9"/>
      <c r="B247" s="2"/>
      <c r="C247" s="2"/>
      <c r="D247" s="10"/>
      <c r="E247" s="7"/>
      <c r="F247" s="10"/>
      <c r="H247" s="6" t="e">
        <f t="shared" si="12"/>
        <v>#DIV/0!</v>
      </c>
      <c r="I247" s="6" t="e">
        <f t="shared" si="13"/>
        <v>#DIV/0!</v>
      </c>
      <c r="K247" s="7" t="s">
        <v>17</v>
      </c>
      <c r="L247" s="2">
        <v>1</v>
      </c>
    </row>
    <row r="248" spans="1:12" ht="17.25" customHeight="1" x14ac:dyDescent="0.2">
      <c r="A248" s="9"/>
      <c r="B248" s="2"/>
      <c r="C248" s="2"/>
      <c r="D248" s="10"/>
      <c r="E248" s="7"/>
      <c r="F248" s="10"/>
      <c r="H248" s="6" t="e">
        <f t="shared" si="12"/>
        <v>#DIV/0!</v>
      </c>
      <c r="I248" s="6" t="e">
        <f t="shared" si="13"/>
        <v>#DIV/0!</v>
      </c>
      <c r="K248" s="7" t="s">
        <v>17</v>
      </c>
      <c r="L248" s="2">
        <v>1</v>
      </c>
    </row>
    <row r="249" spans="1:12" ht="17.25" customHeight="1" x14ac:dyDescent="0.2">
      <c r="A249" s="9"/>
      <c r="B249" s="2"/>
      <c r="C249" s="2"/>
      <c r="D249" s="10"/>
      <c r="E249" s="7"/>
      <c r="F249" s="10"/>
      <c r="H249" s="6" t="e">
        <f t="shared" si="12"/>
        <v>#DIV/0!</v>
      </c>
      <c r="I249" s="6" t="e">
        <f t="shared" si="13"/>
        <v>#DIV/0!</v>
      </c>
      <c r="K249" s="7" t="s">
        <v>17</v>
      </c>
      <c r="L249" s="2">
        <v>1</v>
      </c>
    </row>
    <row r="250" spans="1:12" ht="17.25" customHeight="1" x14ac:dyDescent="0.2">
      <c r="A250" s="9"/>
      <c r="B250" s="2"/>
      <c r="C250" s="2"/>
      <c r="D250" s="10"/>
      <c r="E250" s="7"/>
      <c r="F250" s="10"/>
      <c r="H250" s="6" t="e">
        <f t="shared" si="12"/>
        <v>#DIV/0!</v>
      </c>
      <c r="I250" s="6" t="e">
        <f t="shared" si="13"/>
        <v>#DIV/0!</v>
      </c>
      <c r="K250" s="7" t="s">
        <v>17</v>
      </c>
      <c r="L250" s="2">
        <v>1</v>
      </c>
    </row>
    <row r="251" spans="1:12" ht="17.25" customHeight="1" x14ac:dyDescent="0.2">
      <c r="A251" s="9"/>
      <c r="B251" s="2"/>
      <c r="C251" s="2"/>
      <c r="D251" s="10"/>
      <c r="E251" s="7"/>
      <c r="F251" s="10"/>
      <c r="H251" s="6" t="e">
        <f t="shared" si="12"/>
        <v>#DIV/0!</v>
      </c>
      <c r="I251" s="6" t="e">
        <f t="shared" si="13"/>
        <v>#DIV/0!</v>
      </c>
      <c r="K251" s="7" t="s">
        <v>17</v>
      </c>
      <c r="L251" s="2">
        <v>1</v>
      </c>
    </row>
    <row r="252" spans="1:12" ht="17.25" customHeight="1" x14ac:dyDescent="0.2">
      <c r="A252" s="9"/>
      <c r="B252" s="2"/>
      <c r="C252" s="2"/>
      <c r="D252" s="10"/>
      <c r="E252" s="7"/>
      <c r="F252" s="10"/>
      <c r="H252" s="6" t="e">
        <f t="shared" si="12"/>
        <v>#DIV/0!</v>
      </c>
      <c r="I252" s="6" t="e">
        <f t="shared" si="13"/>
        <v>#DIV/0!</v>
      </c>
      <c r="K252" s="7" t="s">
        <v>17</v>
      </c>
      <c r="L252" s="2">
        <v>1</v>
      </c>
    </row>
    <row r="253" spans="1:12" ht="17.25" customHeight="1" x14ac:dyDescent="0.2">
      <c r="A253" s="9"/>
      <c r="B253" s="2"/>
      <c r="C253" s="2"/>
      <c r="D253" s="10"/>
      <c r="E253" s="7"/>
      <c r="F253" s="10"/>
      <c r="H253" s="6" t="e">
        <f t="shared" si="12"/>
        <v>#DIV/0!</v>
      </c>
      <c r="I253" s="6" t="e">
        <f t="shared" si="13"/>
        <v>#DIV/0!</v>
      </c>
      <c r="K253" s="7" t="s">
        <v>17</v>
      </c>
      <c r="L253" s="2">
        <v>1</v>
      </c>
    </row>
    <row r="254" spans="1:12" ht="17.25" customHeight="1" x14ac:dyDescent="0.2">
      <c r="A254" s="9"/>
      <c r="B254" s="2"/>
      <c r="C254" s="2"/>
      <c r="D254" s="10"/>
      <c r="E254" s="7"/>
      <c r="F254" s="10"/>
      <c r="H254" s="6" t="e">
        <f t="shared" si="12"/>
        <v>#DIV/0!</v>
      </c>
      <c r="I254" s="6" t="e">
        <f t="shared" si="13"/>
        <v>#DIV/0!</v>
      </c>
      <c r="K254" s="7" t="s">
        <v>17</v>
      </c>
      <c r="L254" s="2">
        <v>1</v>
      </c>
    </row>
    <row r="255" spans="1:12" ht="17.25" customHeight="1" x14ac:dyDescent="0.2">
      <c r="A255" s="9"/>
      <c r="B255" s="2"/>
      <c r="C255" s="2"/>
      <c r="D255" s="10"/>
      <c r="E255" s="7"/>
      <c r="F255" s="10"/>
      <c r="H255" s="6" t="e">
        <f t="shared" si="12"/>
        <v>#DIV/0!</v>
      </c>
      <c r="I255" s="6" t="e">
        <f t="shared" si="13"/>
        <v>#DIV/0!</v>
      </c>
      <c r="K255" s="7" t="s">
        <v>17</v>
      </c>
      <c r="L255" s="2">
        <v>1</v>
      </c>
    </row>
    <row r="256" spans="1:12" ht="17.25" customHeight="1" x14ac:dyDescent="0.2">
      <c r="A256" s="9"/>
      <c r="B256" s="2"/>
      <c r="C256" s="2"/>
      <c r="D256" s="10"/>
      <c r="E256" s="7"/>
      <c r="F256" s="10"/>
      <c r="H256" s="6" t="e">
        <f t="shared" si="12"/>
        <v>#DIV/0!</v>
      </c>
      <c r="I256" s="6" t="e">
        <f t="shared" si="13"/>
        <v>#DIV/0!</v>
      </c>
      <c r="K256" s="7" t="s">
        <v>17</v>
      </c>
      <c r="L256" s="2">
        <v>1</v>
      </c>
    </row>
    <row r="257" spans="1:12" ht="17.25" customHeight="1" x14ac:dyDescent="0.2">
      <c r="A257" s="9"/>
      <c r="B257" s="2"/>
      <c r="C257" s="2"/>
      <c r="D257" s="10"/>
      <c r="E257" s="7"/>
      <c r="F257" s="10"/>
      <c r="H257" s="6" t="e">
        <f t="shared" si="12"/>
        <v>#DIV/0!</v>
      </c>
      <c r="I257" s="6" t="e">
        <f t="shared" si="13"/>
        <v>#DIV/0!</v>
      </c>
      <c r="K257" s="7" t="s">
        <v>17</v>
      </c>
      <c r="L257" s="2">
        <v>1</v>
      </c>
    </row>
    <row r="258" spans="1:12" ht="17.25" customHeight="1" x14ac:dyDescent="0.2">
      <c r="A258" s="9"/>
      <c r="B258" s="2"/>
      <c r="C258" s="2"/>
      <c r="D258" s="10"/>
      <c r="E258" s="7"/>
      <c r="F258" s="10"/>
      <c r="H258" s="6" t="e">
        <f t="shared" si="12"/>
        <v>#DIV/0!</v>
      </c>
      <c r="I258" s="6" t="e">
        <f t="shared" si="13"/>
        <v>#DIV/0!</v>
      </c>
      <c r="K258" s="7" t="s">
        <v>17</v>
      </c>
      <c r="L258" s="2">
        <v>1</v>
      </c>
    </row>
    <row r="259" spans="1:12" ht="17.25" customHeight="1" x14ac:dyDescent="0.2">
      <c r="A259" s="9"/>
      <c r="B259" s="2"/>
      <c r="C259" s="2"/>
      <c r="D259" s="10"/>
      <c r="E259" s="7"/>
      <c r="F259" s="10"/>
      <c r="H259" s="6" t="e">
        <f t="shared" si="12"/>
        <v>#DIV/0!</v>
      </c>
      <c r="I259" s="6" t="e">
        <f t="shared" si="13"/>
        <v>#DIV/0!</v>
      </c>
      <c r="K259" s="7" t="s">
        <v>17</v>
      </c>
      <c r="L259" s="2">
        <v>1</v>
      </c>
    </row>
    <row r="260" spans="1:12" ht="17.25" customHeight="1" x14ac:dyDescent="0.2">
      <c r="A260" s="9"/>
      <c r="B260" s="2"/>
      <c r="C260" s="2"/>
      <c r="D260" s="10"/>
      <c r="E260" s="7"/>
      <c r="F260" s="10"/>
      <c r="H260" s="6" t="e">
        <f t="shared" si="12"/>
        <v>#DIV/0!</v>
      </c>
      <c r="I260" s="6" t="e">
        <f t="shared" si="13"/>
        <v>#DIV/0!</v>
      </c>
      <c r="K260" s="7" t="s">
        <v>17</v>
      </c>
      <c r="L260" s="2">
        <v>1</v>
      </c>
    </row>
    <row r="261" spans="1:12" ht="17.25" customHeight="1" x14ac:dyDescent="0.2">
      <c r="A261" s="9"/>
      <c r="B261" s="2"/>
      <c r="C261" s="2"/>
      <c r="D261" s="10"/>
      <c r="E261" s="7"/>
      <c r="F261" s="10"/>
      <c r="H261" s="6" t="e">
        <f t="shared" si="12"/>
        <v>#DIV/0!</v>
      </c>
      <c r="I261" s="6" t="e">
        <f t="shared" si="13"/>
        <v>#DIV/0!</v>
      </c>
      <c r="K261" s="7" t="s">
        <v>17</v>
      </c>
      <c r="L261" s="2">
        <v>1</v>
      </c>
    </row>
    <row r="262" spans="1:12" ht="17.25" customHeight="1" x14ac:dyDescent="0.2">
      <c r="A262" s="9"/>
      <c r="B262" s="2"/>
      <c r="C262" s="2"/>
      <c r="D262" s="10"/>
      <c r="E262" s="7"/>
      <c r="F262" s="10"/>
      <c r="H262" s="6" t="e">
        <f t="shared" si="12"/>
        <v>#DIV/0!</v>
      </c>
      <c r="I262" s="6" t="e">
        <f t="shared" si="13"/>
        <v>#DIV/0!</v>
      </c>
      <c r="K262" s="7" t="s">
        <v>17</v>
      </c>
      <c r="L262" s="2">
        <v>1</v>
      </c>
    </row>
    <row r="263" spans="1:12" ht="17.25" customHeight="1" x14ac:dyDescent="0.2">
      <c r="A263" s="9"/>
      <c r="B263" s="2"/>
      <c r="C263" s="2"/>
      <c r="D263" s="10"/>
      <c r="E263" s="7"/>
      <c r="F263" s="10"/>
      <c r="H263" s="6" t="e">
        <f t="shared" ref="H263:H275" si="14">F263/D263</f>
        <v>#DIV/0!</v>
      </c>
      <c r="I263" s="6" t="e">
        <f t="shared" ref="I263:I275" si="15">SQRT(F263)/D263</f>
        <v>#DIV/0!</v>
      </c>
      <c r="K263" s="7" t="s">
        <v>17</v>
      </c>
      <c r="L263" s="2">
        <v>1</v>
      </c>
    </row>
    <row r="264" spans="1:12" ht="17.25" customHeight="1" x14ac:dyDescent="0.2">
      <c r="A264" s="9"/>
      <c r="B264" s="2"/>
      <c r="C264" s="2"/>
      <c r="D264" s="10"/>
      <c r="E264" s="7"/>
      <c r="F264" s="10"/>
      <c r="H264" s="6" t="e">
        <f t="shared" si="14"/>
        <v>#DIV/0!</v>
      </c>
      <c r="I264" s="6" t="e">
        <f t="shared" si="15"/>
        <v>#DIV/0!</v>
      </c>
      <c r="K264" s="7" t="s">
        <v>17</v>
      </c>
      <c r="L264" s="2">
        <v>1</v>
      </c>
    </row>
    <row r="265" spans="1:12" ht="17.25" customHeight="1" x14ac:dyDescent="0.2">
      <c r="A265" s="9"/>
      <c r="B265" s="2"/>
      <c r="C265" s="2"/>
      <c r="D265" s="10"/>
      <c r="E265" s="7"/>
      <c r="F265" s="10"/>
      <c r="H265" s="6" t="e">
        <f t="shared" si="14"/>
        <v>#DIV/0!</v>
      </c>
      <c r="I265" s="6" t="e">
        <f t="shared" si="15"/>
        <v>#DIV/0!</v>
      </c>
      <c r="K265" s="7" t="s">
        <v>17</v>
      </c>
      <c r="L265" s="2">
        <v>1</v>
      </c>
    </row>
    <row r="266" spans="1:12" ht="17.25" customHeight="1" x14ac:dyDescent="0.2">
      <c r="A266" s="9"/>
      <c r="B266" s="2"/>
      <c r="C266" s="2"/>
      <c r="D266" s="10"/>
      <c r="E266" s="7"/>
      <c r="F266" s="10"/>
      <c r="H266" s="6" t="e">
        <f t="shared" si="14"/>
        <v>#DIV/0!</v>
      </c>
      <c r="I266" s="6" t="e">
        <f t="shared" si="15"/>
        <v>#DIV/0!</v>
      </c>
      <c r="K266" s="7" t="s">
        <v>17</v>
      </c>
      <c r="L266" s="2">
        <v>1</v>
      </c>
    </row>
    <row r="267" spans="1:12" ht="17.25" customHeight="1" x14ac:dyDescent="0.2">
      <c r="A267" s="9"/>
      <c r="B267" s="2"/>
      <c r="C267" s="2"/>
      <c r="D267" s="10"/>
      <c r="E267" s="7"/>
      <c r="F267" s="10"/>
      <c r="H267" s="6" t="e">
        <f t="shared" si="14"/>
        <v>#DIV/0!</v>
      </c>
      <c r="I267" s="6" t="e">
        <f t="shared" si="15"/>
        <v>#DIV/0!</v>
      </c>
      <c r="K267" s="7" t="s">
        <v>17</v>
      </c>
      <c r="L267" s="2">
        <v>1</v>
      </c>
    </row>
    <row r="268" spans="1:12" ht="17.25" customHeight="1" x14ac:dyDescent="0.2">
      <c r="A268" s="9"/>
      <c r="B268" s="2"/>
      <c r="C268" s="2"/>
      <c r="D268" s="10"/>
      <c r="E268" s="7"/>
      <c r="F268" s="10"/>
      <c r="H268" s="6" t="e">
        <f t="shared" si="14"/>
        <v>#DIV/0!</v>
      </c>
      <c r="I268" s="6" t="e">
        <f t="shared" si="15"/>
        <v>#DIV/0!</v>
      </c>
      <c r="K268" s="7" t="s">
        <v>17</v>
      </c>
      <c r="L268" s="2">
        <v>1</v>
      </c>
    </row>
    <row r="269" spans="1:12" ht="17.25" customHeight="1" x14ac:dyDescent="0.2">
      <c r="A269" s="9"/>
      <c r="B269" s="2"/>
      <c r="C269" s="2"/>
      <c r="D269" s="10"/>
      <c r="E269" s="7"/>
      <c r="F269" s="10"/>
      <c r="H269" s="6" t="e">
        <f t="shared" si="14"/>
        <v>#DIV/0!</v>
      </c>
      <c r="I269" s="6" t="e">
        <f t="shared" si="15"/>
        <v>#DIV/0!</v>
      </c>
      <c r="K269" s="7" t="s">
        <v>17</v>
      </c>
      <c r="L269" s="2">
        <v>1</v>
      </c>
    </row>
    <row r="270" spans="1:12" ht="17.25" customHeight="1" x14ac:dyDescent="0.2">
      <c r="A270" s="9"/>
      <c r="B270" s="2"/>
      <c r="C270" s="2"/>
      <c r="D270" s="10"/>
      <c r="E270" s="7"/>
      <c r="F270" s="10"/>
      <c r="H270" s="6" t="e">
        <f t="shared" si="14"/>
        <v>#DIV/0!</v>
      </c>
      <c r="I270" s="6" t="e">
        <f t="shared" si="15"/>
        <v>#DIV/0!</v>
      </c>
      <c r="K270" s="7" t="s">
        <v>17</v>
      </c>
      <c r="L270" s="2">
        <v>1</v>
      </c>
    </row>
    <row r="271" spans="1:12" ht="17.25" customHeight="1" x14ac:dyDescent="0.2">
      <c r="A271" s="9"/>
      <c r="B271" s="2"/>
      <c r="C271" s="2"/>
      <c r="D271" s="10"/>
      <c r="E271" s="7"/>
      <c r="F271" s="10"/>
      <c r="H271" s="6" t="e">
        <f t="shared" si="14"/>
        <v>#DIV/0!</v>
      </c>
      <c r="I271" s="6" t="e">
        <f t="shared" si="15"/>
        <v>#DIV/0!</v>
      </c>
      <c r="K271" s="7" t="s">
        <v>17</v>
      </c>
      <c r="L271" s="2">
        <v>1</v>
      </c>
    </row>
    <row r="272" spans="1:12" ht="17.25" customHeight="1" x14ac:dyDescent="0.2">
      <c r="A272" s="9"/>
      <c r="B272" s="2"/>
      <c r="C272" s="2"/>
      <c r="D272" s="10"/>
      <c r="E272" s="7"/>
      <c r="F272" s="10"/>
      <c r="H272" s="6" t="e">
        <f t="shared" si="14"/>
        <v>#DIV/0!</v>
      </c>
      <c r="I272" s="6" t="e">
        <f t="shared" si="15"/>
        <v>#DIV/0!</v>
      </c>
      <c r="K272" s="7" t="s">
        <v>17</v>
      </c>
      <c r="L272" s="2">
        <v>1</v>
      </c>
    </row>
    <row r="273" spans="1:12" ht="17.25" customHeight="1" x14ac:dyDescent="0.2">
      <c r="A273" s="9"/>
      <c r="B273" s="2"/>
      <c r="C273" s="2"/>
      <c r="D273" s="10"/>
      <c r="E273" s="7"/>
      <c r="F273" s="10"/>
      <c r="H273" s="6" t="e">
        <f t="shared" si="14"/>
        <v>#DIV/0!</v>
      </c>
      <c r="I273" s="6" t="e">
        <f t="shared" si="15"/>
        <v>#DIV/0!</v>
      </c>
      <c r="K273" s="7" t="s">
        <v>17</v>
      </c>
      <c r="L273" s="2">
        <v>1</v>
      </c>
    </row>
    <row r="274" spans="1:12" ht="17.25" customHeight="1" x14ac:dyDescent="0.2">
      <c r="A274" s="9"/>
      <c r="B274" s="2"/>
      <c r="C274" s="2"/>
      <c r="D274" s="10"/>
      <c r="E274" s="7"/>
      <c r="F274" s="10"/>
      <c r="H274" s="6" t="e">
        <f t="shared" si="14"/>
        <v>#DIV/0!</v>
      </c>
      <c r="I274" s="6" t="e">
        <f t="shared" si="15"/>
        <v>#DIV/0!</v>
      </c>
      <c r="K274" s="7" t="s">
        <v>17</v>
      </c>
      <c r="L274" s="2">
        <v>1</v>
      </c>
    </row>
    <row r="275" spans="1:12" ht="17.25" customHeight="1" x14ac:dyDescent="0.2">
      <c r="A275" s="9"/>
      <c r="B275" s="2"/>
      <c r="C275" s="2"/>
      <c r="D275" s="10"/>
      <c r="E275" s="7"/>
      <c r="F275" s="10"/>
      <c r="H275" s="6" t="e">
        <f t="shared" si="14"/>
        <v>#DIV/0!</v>
      </c>
      <c r="I275" s="6" t="e">
        <f t="shared" si="15"/>
        <v>#DIV/0!</v>
      </c>
      <c r="K275" s="7" t="s">
        <v>17</v>
      </c>
      <c r="L275" s="2">
        <v>1</v>
      </c>
    </row>
    <row r="276" spans="1:12" ht="17.25" customHeight="1" x14ac:dyDescent="0.2">
      <c r="A276" s="9"/>
      <c r="B276" s="2"/>
      <c r="C276" s="2"/>
      <c r="D276" s="10"/>
      <c r="E276" s="7"/>
      <c r="F276" s="10"/>
      <c r="H276" s="6"/>
      <c r="I276" s="6"/>
    </row>
    <row r="277" spans="1:12" ht="17.25" customHeight="1" x14ac:dyDescent="0.2">
      <c r="A277" s="9"/>
      <c r="B277" s="2"/>
      <c r="C277" s="2"/>
      <c r="D277" s="10"/>
      <c r="E277" s="7"/>
      <c r="F277" s="10"/>
      <c r="H277" s="6" t="e">
        <f>F277/D277</f>
        <v>#DIV/0!</v>
      </c>
      <c r="I277" s="6" t="e">
        <f>SQRT(F277)/D277</f>
        <v>#DIV/0!</v>
      </c>
      <c r="K277" s="7" t="s">
        <v>17</v>
      </c>
      <c r="L277" s="2">
        <v>1</v>
      </c>
    </row>
    <row r="278" spans="1:12" ht="17.25" customHeight="1" x14ac:dyDescent="0.2">
      <c r="A278" s="9"/>
      <c r="B278" s="2"/>
      <c r="C278" s="2"/>
      <c r="D278" s="10"/>
      <c r="E278" s="7"/>
      <c r="F278" s="10"/>
      <c r="H278" s="6" t="e">
        <f>F278/D278</f>
        <v>#DIV/0!</v>
      </c>
      <c r="I278" s="6" t="e">
        <f>SQRT(F278)/D278</f>
        <v>#DIV/0!</v>
      </c>
      <c r="K278" s="7" t="s">
        <v>17</v>
      </c>
      <c r="L278" s="2">
        <v>1</v>
      </c>
    </row>
    <row r="279" spans="1:12" ht="17.25" customHeight="1" x14ac:dyDescent="0.2">
      <c r="A279" s="9"/>
      <c r="B279" s="2"/>
      <c r="C279" s="2"/>
      <c r="D279" s="10"/>
      <c r="E279" s="7"/>
      <c r="F279" s="10"/>
      <c r="H279" s="6"/>
      <c r="I279" s="6"/>
    </row>
    <row r="280" spans="1:12" ht="17.25" customHeight="1" x14ac:dyDescent="0.2">
      <c r="A280" s="9"/>
      <c r="B280" s="2"/>
      <c r="C280" s="2"/>
      <c r="D280" s="10"/>
      <c r="E280" s="7"/>
      <c r="F280" s="10"/>
      <c r="H280" s="6"/>
      <c r="I280" s="6"/>
    </row>
    <row r="281" spans="1:12" ht="17.25" customHeight="1" x14ac:dyDescent="0.2">
      <c r="A281" s="9"/>
      <c r="B281" s="2"/>
      <c r="C281" s="2"/>
      <c r="D281" s="10"/>
      <c r="E281" s="7"/>
      <c r="F281" s="10"/>
      <c r="H281" s="6" t="e">
        <f>F281/D281</f>
        <v>#DIV/0!</v>
      </c>
      <c r="I281" s="6" t="e">
        <f>SQRT(F281)/D281</f>
        <v>#DIV/0!</v>
      </c>
      <c r="K281" s="7" t="s">
        <v>17</v>
      </c>
      <c r="L281" s="2">
        <v>1</v>
      </c>
    </row>
    <row r="282" spans="1:12" ht="17.25" customHeight="1" x14ac:dyDescent="0.2">
      <c r="A282" s="9"/>
      <c r="B282" s="2"/>
      <c r="C282" s="2"/>
      <c r="D282" s="10"/>
      <c r="E282" s="7"/>
      <c r="F282" s="10"/>
      <c r="H282" s="6"/>
      <c r="I282" s="6"/>
    </row>
    <row r="283" spans="1:12" ht="17.25" customHeight="1" x14ac:dyDescent="0.2">
      <c r="A283" s="9"/>
      <c r="B283" s="2"/>
      <c r="C283" s="2"/>
      <c r="D283" s="10"/>
      <c r="E283" s="7"/>
      <c r="F283" s="10"/>
      <c r="H283" s="6" t="e">
        <f t="shared" ref="H283:H309" si="16">F283/D283</f>
        <v>#DIV/0!</v>
      </c>
      <c r="I283" s="6" t="e">
        <f t="shared" ref="I283:I309" si="17">SQRT(F283)/D283</f>
        <v>#DIV/0!</v>
      </c>
      <c r="K283" s="7" t="s">
        <v>18</v>
      </c>
      <c r="L283" s="2">
        <v>1</v>
      </c>
    </row>
    <row r="284" spans="1:12" ht="17.25" customHeight="1" x14ac:dyDescent="0.2">
      <c r="A284" s="9"/>
      <c r="B284" s="2"/>
      <c r="C284" s="2"/>
      <c r="D284" s="10"/>
      <c r="E284" s="7"/>
      <c r="F284" s="10"/>
      <c r="H284" s="6" t="e">
        <f t="shared" si="16"/>
        <v>#DIV/0!</v>
      </c>
      <c r="I284" s="6" t="e">
        <f t="shared" si="17"/>
        <v>#DIV/0!</v>
      </c>
      <c r="K284" s="7" t="s">
        <v>18</v>
      </c>
      <c r="L284" s="2">
        <v>1</v>
      </c>
    </row>
    <row r="285" spans="1:12" ht="17.25" customHeight="1" x14ac:dyDescent="0.2">
      <c r="A285" s="9"/>
      <c r="B285" s="2"/>
      <c r="C285" s="2"/>
      <c r="D285" s="10"/>
      <c r="E285" s="7"/>
      <c r="F285" s="10"/>
      <c r="H285" s="6" t="e">
        <f t="shared" si="16"/>
        <v>#DIV/0!</v>
      </c>
      <c r="I285" s="6" t="e">
        <f t="shared" si="17"/>
        <v>#DIV/0!</v>
      </c>
      <c r="K285" s="7" t="s">
        <v>18</v>
      </c>
      <c r="L285" s="2">
        <v>1</v>
      </c>
    </row>
    <row r="286" spans="1:12" ht="17.25" customHeight="1" x14ac:dyDescent="0.2">
      <c r="A286" s="9"/>
      <c r="B286" s="2"/>
      <c r="C286" s="2"/>
      <c r="D286" s="10"/>
      <c r="E286" s="7"/>
      <c r="F286" s="10"/>
      <c r="H286" s="6" t="e">
        <f t="shared" si="16"/>
        <v>#DIV/0!</v>
      </c>
      <c r="I286" s="6" t="e">
        <f t="shared" si="17"/>
        <v>#DIV/0!</v>
      </c>
      <c r="K286" s="7" t="s">
        <v>18</v>
      </c>
      <c r="L286" s="2">
        <v>1</v>
      </c>
    </row>
    <row r="287" spans="1:12" ht="17.25" customHeight="1" x14ac:dyDescent="0.2">
      <c r="A287" s="9"/>
      <c r="B287" s="2"/>
      <c r="C287" s="2"/>
      <c r="D287" s="10"/>
      <c r="E287" s="7"/>
      <c r="F287" s="10"/>
      <c r="H287" s="6" t="e">
        <f t="shared" si="16"/>
        <v>#DIV/0!</v>
      </c>
      <c r="I287" s="6" t="e">
        <f t="shared" si="17"/>
        <v>#DIV/0!</v>
      </c>
      <c r="K287" s="7" t="s">
        <v>18</v>
      </c>
      <c r="L287" s="2">
        <v>1</v>
      </c>
    </row>
    <row r="288" spans="1:12" ht="17.25" customHeight="1" x14ac:dyDescent="0.2">
      <c r="A288" s="9"/>
      <c r="B288" s="2"/>
      <c r="C288" s="2"/>
      <c r="D288" s="10"/>
      <c r="E288" s="7"/>
      <c r="F288" s="10"/>
      <c r="H288" s="6" t="e">
        <f t="shared" si="16"/>
        <v>#DIV/0!</v>
      </c>
      <c r="I288" s="6" t="e">
        <f t="shared" si="17"/>
        <v>#DIV/0!</v>
      </c>
      <c r="K288" s="7" t="s">
        <v>18</v>
      </c>
      <c r="L288" s="2">
        <v>1</v>
      </c>
    </row>
    <row r="289" spans="1:12" ht="17.25" customHeight="1" x14ac:dyDescent="0.2">
      <c r="A289" s="9"/>
      <c r="B289" s="2"/>
      <c r="C289" s="2"/>
      <c r="D289" s="10"/>
      <c r="E289" s="7"/>
      <c r="F289" s="10"/>
      <c r="H289" s="6" t="e">
        <f t="shared" si="16"/>
        <v>#DIV/0!</v>
      </c>
      <c r="I289" s="6" t="e">
        <f t="shared" si="17"/>
        <v>#DIV/0!</v>
      </c>
      <c r="K289" s="7" t="s">
        <v>18</v>
      </c>
      <c r="L289" s="2">
        <v>1</v>
      </c>
    </row>
    <row r="290" spans="1:12" ht="17.25" customHeight="1" x14ac:dyDescent="0.2">
      <c r="A290" s="9"/>
      <c r="B290" s="2"/>
      <c r="C290" s="2"/>
      <c r="D290" s="10"/>
      <c r="E290" s="7"/>
      <c r="F290" s="10"/>
      <c r="H290" s="6" t="e">
        <f t="shared" si="16"/>
        <v>#DIV/0!</v>
      </c>
      <c r="I290" s="6" t="e">
        <f t="shared" si="17"/>
        <v>#DIV/0!</v>
      </c>
      <c r="K290" s="7" t="s">
        <v>18</v>
      </c>
      <c r="L290" s="2">
        <v>1</v>
      </c>
    </row>
    <row r="291" spans="1:12" ht="17.25" customHeight="1" x14ac:dyDescent="0.2">
      <c r="A291" s="9"/>
      <c r="B291" s="2"/>
      <c r="C291" s="2"/>
      <c r="D291" s="10"/>
      <c r="E291" s="7"/>
      <c r="F291" s="10"/>
      <c r="H291" s="6" t="e">
        <f t="shared" si="16"/>
        <v>#DIV/0!</v>
      </c>
      <c r="I291" s="6" t="e">
        <f t="shared" si="17"/>
        <v>#DIV/0!</v>
      </c>
      <c r="K291" s="7" t="s">
        <v>18</v>
      </c>
      <c r="L291" s="2">
        <v>1</v>
      </c>
    </row>
    <row r="292" spans="1:12" ht="17.25" customHeight="1" x14ac:dyDescent="0.2">
      <c r="A292" s="9"/>
      <c r="B292" s="2"/>
      <c r="C292" s="2"/>
      <c r="D292" s="10"/>
      <c r="E292" s="7"/>
      <c r="F292" s="10"/>
      <c r="H292" s="6" t="e">
        <f t="shared" si="16"/>
        <v>#DIV/0!</v>
      </c>
      <c r="I292" s="6" t="e">
        <f t="shared" si="17"/>
        <v>#DIV/0!</v>
      </c>
      <c r="K292" s="7" t="s">
        <v>18</v>
      </c>
      <c r="L292" s="2">
        <v>1</v>
      </c>
    </row>
    <row r="293" spans="1:12" ht="17.25" customHeight="1" x14ac:dyDescent="0.2">
      <c r="A293" s="9"/>
      <c r="B293" s="2"/>
      <c r="C293" s="2"/>
      <c r="D293" s="10"/>
      <c r="E293" s="7"/>
      <c r="F293" s="10"/>
      <c r="H293" s="6" t="e">
        <f t="shared" si="16"/>
        <v>#DIV/0!</v>
      </c>
      <c r="I293" s="6" t="e">
        <f t="shared" si="17"/>
        <v>#DIV/0!</v>
      </c>
      <c r="K293" s="7" t="s">
        <v>18</v>
      </c>
      <c r="L293" s="2">
        <v>1</v>
      </c>
    </row>
    <row r="294" spans="1:12" ht="17.25" customHeight="1" x14ac:dyDescent="0.2">
      <c r="A294" s="9"/>
      <c r="B294" s="2"/>
      <c r="C294" s="2"/>
      <c r="D294" s="10"/>
      <c r="E294" s="7"/>
      <c r="F294" s="10"/>
      <c r="H294" s="6" t="e">
        <f t="shared" si="16"/>
        <v>#DIV/0!</v>
      </c>
      <c r="I294" s="6" t="e">
        <f t="shared" si="17"/>
        <v>#DIV/0!</v>
      </c>
      <c r="K294" s="7" t="s">
        <v>18</v>
      </c>
      <c r="L294" s="2">
        <v>1</v>
      </c>
    </row>
    <row r="295" spans="1:12" ht="17.25" customHeight="1" x14ac:dyDescent="0.2">
      <c r="A295" s="9"/>
      <c r="B295" s="2"/>
      <c r="C295" s="2"/>
      <c r="D295" s="10"/>
      <c r="E295" s="7"/>
      <c r="F295" s="10"/>
      <c r="H295" s="6" t="e">
        <f t="shared" si="16"/>
        <v>#DIV/0!</v>
      </c>
      <c r="I295" s="6" t="e">
        <f t="shared" si="17"/>
        <v>#DIV/0!</v>
      </c>
      <c r="K295" s="7" t="s">
        <v>18</v>
      </c>
      <c r="L295" s="2">
        <v>1</v>
      </c>
    </row>
    <row r="296" spans="1:12" ht="17.25" customHeight="1" x14ac:dyDescent="0.2">
      <c r="A296" s="9"/>
      <c r="B296" s="2"/>
      <c r="C296" s="2"/>
      <c r="D296" s="10"/>
      <c r="E296" s="7"/>
      <c r="F296" s="10"/>
      <c r="H296" s="6" t="e">
        <f t="shared" si="16"/>
        <v>#DIV/0!</v>
      </c>
      <c r="I296" s="6" t="e">
        <f t="shared" si="17"/>
        <v>#DIV/0!</v>
      </c>
      <c r="K296" s="7" t="s">
        <v>18</v>
      </c>
      <c r="L296" s="2">
        <v>1</v>
      </c>
    </row>
    <row r="297" spans="1:12" ht="17.25" customHeight="1" x14ac:dyDescent="0.2">
      <c r="A297" s="9"/>
      <c r="B297" s="2"/>
      <c r="C297" s="2"/>
      <c r="D297" s="10"/>
      <c r="E297" s="7"/>
      <c r="F297" s="10"/>
      <c r="H297" s="6" t="e">
        <f t="shared" si="16"/>
        <v>#DIV/0!</v>
      </c>
      <c r="I297" s="6" t="e">
        <f t="shared" si="17"/>
        <v>#DIV/0!</v>
      </c>
      <c r="K297" s="7" t="s">
        <v>18</v>
      </c>
      <c r="L297" s="2">
        <v>1</v>
      </c>
    </row>
    <row r="298" spans="1:12" ht="17.25" customHeight="1" x14ac:dyDescent="0.2">
      <c r="A298" s="9"/>
      <c r="B298" s="2"/>
      <c r="C298" s="2"/>
      <c r="D298" s="10"/>
      <c r="E298" s="7"/>
      <c r="F298" s="10"/>
      <c r="H298" s="6" t="e">
        <f t="shared" si="16"/>
        <v>#DIV/0!</v>
      </c>
      <c r="I298" s="6" t="e">
        <f t="shared" si="17"/>
        <v>#DIV/0!</v>
      </c>
      <c r="K298" s="7" t="s">
        <v>18</v>
      </c>
      <c r="L298" s="2">
        <v>1</v>
      </c>
    </row>
    <row r="299" spans="1:12" ht="17.25" customHeight="1" x14ac:dyDescent="0.2">
      <c r="A299" s="9"/>
      <c r="B299" s="2"/>
      <c r="C299" s="2"/>
      <c r="D299" s="10"/>
      <c r="E299" s="7"/>
      <c r="F299" s="10"/>
      <c r="H299" s="6" t="e">
        <f t="shared" si="16"/>
        <v>#DIV/0!</v>
      </c>
      <c r="I299" s="6" t="e">
        <f t="shared" si="17"/>
        <v>#DIV/0!</v>
      </c>
      <c r="K299" s="7" t="s">
        <v>18</v>
      </c>
      <c r="L299" s="2">
        <v>1</v>
      </c>
    </row>
    <row r="300" spans="1:12" ht="17.25" customHeight="1" x14ac:dyDescent="0.2">
      <c r="A300" s="9"/>
      <c r="B300" s="2"/>
      <c r="C300" s="2"/>
      <c r="D300" s="10"/>
      <c r="E300" s="7"/>
      <c r="F300" s="10"/>
      <c r="H300" s="6" t="e">
        <f t="shared" si="16"/>
        <v>#DIV/0!</v>
      </c>
      <c r="I300" s="6" t="e">
        <f t="shared" si="17"/>
        <v>#DIV/0!</v>
      </c>
      <c r="K300" s="7" t="s">
        <v>18</v>
      </c>
      <c r="L300" s="2">
        <v>1</v>
      </c>
    </row>
    <row r="301" spans="1:12" ht="17.25" customHeight="1" x14ac:dyDescent="0.2">
      <c r="A301" s="9"/>
      <c r="B301" s="2"/>
      <c r="C301" s="2"/>
      <c r="D301" s="10"/>
      <c r="E301" s="7"/>
      <c r="F301" s="10"/>
      <c r="H301" s="6" t="e">
        <f t="shared" si="16"/>
        <v>#DIV/0!</v>
      </c>
      <c r="I301" s="6" t="e">
        <f t="shared" si="17"/>
        <v>#DIV/0!</v>
      </c>
      <c r="K301" s="7" t="s">
        <v>18</v>
      </c>
      <c r="L301" s="2">
        <v>1</v>
      </c>
    </row>
    <row r="302" spans="1:12" ht="17.25" customHeight="1" x14ac:dyDescent="0.2">
      <c r="A302" s="9"/>
      <c r="B302" s="2"/>
      <c r="C302" s="2"/>
      <c r="D302" s="10"/>
      <c r="E302" s="7"/>
      <c r="F302" s="10"/>
      <c r="H302" s="6" t="e">
        <f t="shared" si="16"/>
        <v>#DIV/0!</v>
      </c>
      <c r="I302" s="6" t="e">
        <f t="shared" si="17"/>
        <v>#DIV/0!</v>
      </c>
      <c r="K302" s="7" t="s">
        <v>18</v>
      </c>
      <c r="L302" s="2">
        <v>1</v>
      </c>
    </row>
    <row r="303" spans="1:12" ht="17.25" customHeight="1" x14ac:dyDescent="0.2">
      <c r="A303" s="9"/>
      <c r="B303" s="2"/>
      <c r="C303" s="2"/>
      <c r="D303" s="10"/>
      <c r="E303" s="7"/>
      <c r="F303" s="10"/>
      <c r="H303" s="6" t="e">
        <f t="shared" si="16"/>
        <v>#DIV/0!</v>
      </c>
      <c r="I303" s="6" t="e">
        <f t="shared" si="17"/>
        <v>#DIV/0!</v>
      </c>
      <c r="K303" s="7" t="s">
        <v>18</v>
      </c>
      <c r="L303" s="2">
        <v>1</v>
      </c>
    </row>
    <row r="304" spans="1:12" ht="17.25" customHeight="1" x14ac:dyDescent="0.2">
      <c r="A304" s="9"/>
      <c r="B304" s="2"/>
      <c r="C304" s="2"/>
      <c r="D304" s="10"/>
      <c r="E304" s="7"/>
      <c r="F304" s="10"/>
      <c r="H304" s="6" t="e">
        <f t="shared" si="16"/>
        <v>#DIV/0!</v>
      </c>
      <c r="I304" s="6" t="e">
        <f t="shared" si="17"/>
        <v>#DIV/0!</v>
      </c>
      <c r="K304" s="7" t="s">
        <v>18</v>
      </c>
      <c r="L304" s="2">
        <v>1</v>
      </c>
    </row>
    <row r="305" spans="1:12" ht="17.25" customHeight="1" x14ac:dyDescent="0.2">
      <c r="A305" s="9"/>
      <c r="B305" s="2"/>
      <c r="C305" s="2"/>
      <c r="D305" s="10"/>
      <c r="E305" s="7"/>
      <c r="F305" s="10"/>
      <c r="H305" s="6" t="e">
        <f t="shared" si="16"/>
        <v>#DIV/0!</v>
      </c>
      <c r="I305" s="6" t="e">
        <f t="shared" si="17"/>
        <v>#DIV/0!</v>
      </c>
      <c r="K305" s="7" t="s">
        <v>18</v>
      </c>
      <c r="L305" s="2">
        <v>1</v>
      </c>
    </row>
    <row r="306" spans="1:12" ht="17.25" customHeight="1" x14ac:dyDescent="0.2">
      <c r="A306" s="9"/>
      <c r="B306" s="2"/>
      <c r="C306" s="2"/>
      <c r="D306" s="10"/>
      <c r="E306" s="7"/>
      <c r="F306" s="10"/>
      <c r="H306" s="6" t="e">
        <f t="shared" si="16"/>
        <v>#DIV/0!</v>
      </c>
      <c r="I306" s="6" t="e">
        <f t="shared" si="17"/>
        <v>#DIV/0!</v>
      </c>
      <c r="K306" s="7" t="s">
        <v>18</v>
      </c>
      <c r="L306" s="2">
        <v>1</v>
      </c>
    </row>
    <row r="307" spans="1:12" ht="17.25" customHeight="1" x14ac:dyDescent="0.2">
      <c r="A307" s="9"/>
      <c r="B307" s="2"/>
      <c r="C307" s="2"/>
      <c r="D307" s="10"/>
      <c r="E307" s="7"/>
      <c r="F307" s="10"/>
      <c r="H307" s="6" t="e">
        <f t="shared" si="16"/>
        <v>#DIV/0!</v>
      </c>
      <c r="I307" s="6" t="e">
        <f t="shared" si="17"/>
        <v>#DIV/0!</v>
      </c>
      <c r="K307" s="7" t="s">
        <v>18</v>
      </c>
      <c r="L307" s="2">
        <v>1</v>
      </c>
    </row>
    <row r="308" spans="1:12" ht="17.25" customHeight="1" x14ac:dyDescent="0.2">
      <c r="A308" s="9"/>
      <c r="B308" s="2"/>
      <c r="C308" s="2"/>
      <c r="D308" s="10"/>
      <c r="E308" s="7"/>
      <c r="F308" s="10"/>
      <c r="H308" s="6" t="e">
        <f t="shared" si="16"/>
        <v>#DIV/0!</v>
      </c>
      <c r="I308" s="6" t="e">
        <f t="shared" si="17"/>
        <v>#DIV/0!</v>
      </c>
      <c r="K308" s="7" t="s">
        <v>18</v>
      </c>
      <c r="L308" s="2">
        <v>1</v>
      </c>
    </row>
    <row r="309" spans="1:12" ht="17.25" customHeight="1" x14ac:dyDescent="0.2">
      <c r="A309" s="9"/>
      <c r="B309" s="2"/>
      <c r="C309" s="2"/>
      <c r="D309" s="10"/>
      <c r="E309" s="7"/>
      <c r="F309" s="10"/>
      <c r="H309" s="6" t="e">
        <f t="shared" si="16"/>
        <v>#DIV/0!</v>
      </c>
      <c r="I309" s="6" t="e">
        <f t="shared" si="17"/>
        <v>#DIV/0!</v>
      </c>
      <c r="K309" s="7" t="s">
        <v>18</v>
      </c>
      <c r="L309" s="2">
        <v>1</v>
      </c>
    </row>
    <row r="310" spans="1:12" ht="17.25" customHeight="1" x14ac:dyDescent="0.2">
      <c r="A310" s="9"/>
      <c r="B310" s="2"/>
      <c r="C310" s="2"/>
      <c r="D310" s="10"/>
      <c r="E310" s="7"/>
      <c r="F310" s="10"/>
      <c r="H310" s="6"/>
      <c r="I310" s="6"/>
    </row>
    <row r="311" spans="1:12" ht="17.25" customHeight="1" x14ac:dyDescent="0.2">
      <c r="A311" s="9"/>
      <c r="B311" s="2"/>
      <c r="C311" s="2"/>
      <c r="D311" s="10"/>
      <c r="E311" s="7"/>
      <c r="F311" s="10"/>
      <c r="H311" s="6"/>
      <c r="I311" s="6"/>
    </row>
    <row r="312" spans="1:12" ht="17.25" customHeight="1" x14ac:dyDescent="0.2">
      <c r="A312" s="9"/>
      <c r="B312" s="2"/>
      <c r="C312" s="2"/>
      <c r="D312" s="10"/>
      <c r="E312" s="7"/>
      <c r="F312" s="10"/>
      <c r="H312" s="6"/>
      <c r="I312" s="6"/>
    </row>
    <row r="313" spans="1:12" ht="17.25" customHeight="1" x14ac:dyDescent="0.2">
      <c r="A313" s="9"/>
      <c r="B313" s="2"/>
      <c r="C313" s="2"/>
      <c r="D313" s="10"/>
      <c r="E313" s="7"/>
      <c r="F313" s="10"/>
      <c r="H313" s="6" t="e">
        <f t="shared" ref="H313:H331" si="18">F313/D313</f>
        <v>#DIV/0!</v>
      </c>
      <c r="I313" s="6" t="e">
        <f t="shared" ref="I313:I331" si="19">SQRT(F313)/D313</f>
        <v>#DIV/0!</v>
      </c>
      <c r="K313" s="7" t="s">
        <v>19</v>
      </c>
      <c r="L313" s="2">
        <v>1</v>
      </c>
    </row>
    <row r="314" spans="1:12" ht="17.25" customHeight="1" x14ac:dyDescent="0.2">
      <c r="A314" s="9"/>
      <c r="B314" s="2"/>
      <c r="C314" s="2"/>
      <c r="D314" s="10"/>
      <c r="E314" s="7"/>
      <c r="F314" s="10"/>
      <c r="H314" s="6" t="e">
        <f t="shared" si="18"/>
        <v>#DIV/0!</v>
      </c>
      <c r="I314" s="6" t="e">
        <f t="shared" si="19"/>
        <v>#DIV/0!</v>
      </c>
      <c r="K314" s="7" t="s">
        <v>19</v>
      </c>
      <c r="L314" s="2">
        <v>1</v>
      </c>
    </row>
    <row r="315" spans="1:12" ht="17.25" customHeight="1" x14ac:dyDescent="0.2">
      <c r="A315" s="9"/>
      <c r="B315" s="2"/>
      <c r="C315" s="2"/>
      <c r="D315" s="10"/>
      <c r="E315" s="7"/>
      <c r="F315" s="10"/>
      <c r="H315" s="6" t="e">
        <f t="shared" si="18"/>
        <v>#DIV/0!</v>
      </c>
      <c r="I315" s="6" t="e">
        <f t="shared" si="19"/>
        <v>#DIV/0!</v>
      </c>
      <c r="K315" s="7" t="s">
        <v>19</v>
      </c>
      <c r="L315" s="2">
        <v>1</v>
      </c>
    </row>
    <row r="316" spans="1:12" ht="17.25" customHeight="1" x14ac:dyDescent="0.2">
      <c r="A316" s="9"/>
      <c r="B316" s="2"/>
      <c r="C316" s="2"/>
      <c r="D316" s="10"/>
      <c r="E316" s="7"/>
      <c r="F316" s="10"/>
      <c r="H316" s="6" t="e">
        <f t="shared" si="18"/>
        <v>#DIV/0!</v>
      </c>
      <c r="I316" s="6" t="e">
        <f t="shared" si="19"/>
        <v>#DIV/0!</v>
      </c>
      <c r="K316" s="7" t="s">
        <v>19</v>
      </c>
      <c r="L316" s="2">
        <v>1</v>
      </c>
    </row>
    <row r="317" spans="1:12" ht="17.25" customHeight="1" x14ac:dyDescent="0.2">
      <c r="A317" s="9"/>
      <c r="B317" s="2"/>
      <c r="C317" s="2"/>
      <c r="D317" s="10"/>
      <c r="E317" s="7"/>
      <c r="F317" s="10"/>
      <c r="H317" s="6" t="e">
        <f t="shared" si="18"/>
        <v>#DIV/0!</v>
      </c>
      <c r="I317" s="6" t="e">
        <f t="shared" si="19"/>
        <v>#DIV/0!</v>
      </c>
      <c r="K317" s="7" t="s">
        <v>19</v>
      </c>
      <c r="L317" s="2">
        <v>1</v>
      </c>
    </row>
    <row r="318" spans="1:12" ht="17.25" customHeight="1" x14ac:dyDescent="0.2">
      <c r="A318" s="9"/>
      <c r="B318" s="2"/>
      <c r="C318" s="2"/>
      <c r="D318" s="10"/>
      <c r="E318" s="7"/>
      <c r="F318" s="10"/>
      <c r="H318" s="6" t="e">
        <f t="shared" si="18"/>
        <v>#DIV/0!</v>
      </c>
      <c r="I318" s="6" t="e">
        <f t="shared" si="19"/>
        <v>#DIV/0!</v>
      </c>
      <c r="K318" s="7" t="s">
        <v>19</v>
      </c>
      <c r="L318" s="2">
        <v>1</v>
      </c>
    </row>
    <row r="319" spans="1:12" ht="17.25" customHeight="1" x14ac:dyDescent="0.2">
      <c r="A319" s="9"/>
      <c r="B319" s="2"/>
      <c r="C319" s="2"/>
      <c r="D319" s="10"/>
      <c r="E319" s="7"/>
      <c r="F319" s="10"/>
      <c r="H319" s="6" t="e">
        <f t="shared" si="18"/>
        <v>#DIV/0!</v>
      </c>
      <c r="I319" s="6" t="e">
        <f t="shared" si="19"/>
        <v>#DIV/0!</v>
      </c>
    </row>
    <row r="320" spans="1:12" ht="17.25" customHeight="1" x14ac:dyDescent="0.2">
      <c r="A320" s="9"/>
      <c r="B320" s="2"/>
      <c r="C320" s="2"/>
      <c r="D320" s="10"/>
      <c r="E320" s="7"/>
      <c r="F320" s="10"/>
      <c r="H320" s="6" t="e">
        <f t="shared" si="18"/>
        <v>#DIV/0!</v>
      </c>
      <c r="I320" s="6" t="e">
        <f t="shared" si="19"/>
        <v>#DIV/0!</v>
      </c>
    </row>
    <row r="321" spans="1:9" ht="17.25" customHeight="1" x14ac:dyDescent="0.2">
      <c r="A321" s="9"/>
      <c r="B321" s="2"/>
      <c r="C321" s="2"/>
      <c r="D321" s="10"/>
      <c r="E321" s="7"/>
      <c r="F321" s="10"/>
      <c r="H321" s="6" t="e">
        <f t="shared" si="18"/>
        <v>#DIV/0!</v>
      </c>
      <c r="I321" s="6" t="e">
        <f t="shared" si="19"/>
        <v>#DIV/0!</v>
      </c>
    </row>
    <row r="322" spans="1:9" ht="17.25" customHeight="1" x14ac:dyDescent="0.2">
      <c r="A322" s="9"/>
      <c r="B322" s="2"/>
      <c r="C322" s="2"/>
      <c r="D322" s="10"/>
      <c r="E322" s="7"/>
      <c r="F322" s="10"/>
      <c r="H322" s="6" t="e">
        <f t="shared" si="18"/>
        <v>#DIV/0!</v>
      </c>
      <c r="I322" s="6" t="e">
        <f t="shared" si="19"/>
        <v>#DIV/0!</v>
      </c>
    </row>
    <row r="323" spans="1:9" ht="17.25" customHeight="1" x14ac:dyDescent="0.2">
      <c r="A323" s="9"/>
      <c r="B323" s="2"/>
      <c r="C323" s="2"/>
      <c r="D323" s="10"/>
      <c r="E323" s="7"/>
      <c r="F323" s="10"/>
      <c r="H323" s="6" t="e">
        <f t="shared" si="18"/>
        <v>#DIV/0!</v>
      </c>
      <c r="I323" s="6" t="e">
        <f t="shared" si="19"/>
        <v>#DIV/0!</v>
      </c>
    </row>
    <row r="324" spans="1:9" ht="17.25" customHeight="1" x14ac:dyDescent="0.2">
      <c r="A324" s="9"/>
      <c r="B324" s="2"/>
      <c r="C324" s="2"/>
      <c r="D324" s="10"/>
      <c r="E324" s="7"/>
      <c r="F324" s="10"/>
      <c r="H324" s="6" t="e">
        <f t="shared" si="18"/>
        <v>#DIV/0!</v>
      </c>
      <c r="I324" s="6" t="e">
        <f t="shared" si="19"/>
        <v>#DIV/0!</v>
      </c>
    </row>
    <row r="325" spans="1:9" ht="17.25" customHeight="1" x14ac:dyDescent="0.2">
      <c r="A325" s="9"/>
      <c r="B325" s="2"/>
      <c r="C325" s="2"/>
      <c r="D325" s="10"/>
      <c r="E325" s="7"/>
      <c r="F325" s="10"/>
      <c r="H325" s="6" t="e">
        <f t="shared" si="18"/>
        <v>#DIV/0!</v>
      </c>
      <c r="I325" s="6" t="e">
        <f t="shared" si="19"/>
        <v>#DIV/0!</v>
      </c>
    </row>
    <row r="326" spans="1:9" ht="17.25" customHeight="1" x14ac:dyDescent="0.2">
      <c r="A326" s="9"/>
      <c r="B326" s="2"/>
      <c r="C326" s="2"/>
      <c r="D326" s="10"/>
      <c r="E326" s="7"/>
      <c r="F326" s="10"/>
      <c r="H326" s="6" t="e">
        <f t="shared" si="18"/>
        <v>#DIV/0!</v>
      </c>
      <c r="I326" s="6" t="e">
        <f t="shared" si="19"/>
        <v>#DIV/0!</v>
      </c>
    </row>
    <row r="327" spans="1:9" ht="17.25" customHeight="1" x14ac:dyDescent="0.2">
      <c r="A327" s="9"/>
      <c r="B327" s="2"/>
      <c r="C327" s="2"/>
      <c r="D327" s="10"/>
      <c r="E327" s="7"/>
      <c r="F327" s="10"/>
      <c r="H327" s="6" t="e">
        <f t="shared" si="18"/>
        <v>#DIV/0!</v>
      </c>
      <c r="I327" s="6" t="e">
        <f t="shared" si="19"/>
        <v>#DIV/0!</v>
      </c>
    </row>
    <row r="328" spans="1:9" ht="17.25" customHeight="1" x14ac:dyDescent="0.2">
      <c r="A328" s="9"/>
      <c r="B328" s="2"/>
      <c r="C328" s="2"/>
      <c r="D328" s="10"/>
      <c r="E328" s="7"/>
      <c r="F328" s="10"/>
      <c r="H328" s="6" t="e">
        <f t="shared" si="18"/>
        <v>#DIV/0!</v>
      </c>
      <c r="I328" s="6" t="e">
        <f t="shared" si="19"/>
        <v>#DIV/0!</v>
      </c>
    </row>
    <row r="329" spans="1:9" ht="17.25" customHeight="1" x14ac:dyDescent="0.2">
      <c r="A329" s="9"/>
      <c r="B329" s="2"/>
      <c r="C329" s="2"/>
      <c r="D329" s="10"/>
      <c r="E329" s="7"/>
      <c r="F329" s="10"/>
      <c r="H329" s="6" t="e">
        <f t="shared" si="18"/>
        <v>#DIV/0!</v>
      </c>
      <c r="I329" s="6" t="e">
        <f t="shared" si="19"/>
        <v>#DIV/0!</v>
      </c>
    </row>
    <row r="330" spans="1:9" ht="17.25" customHeight="1" x14ac:dyDescent="0.2">
      <c r="A330" s="9"/>
      <c r="B330" s="2"/>
      <c r="C330" s="2"/>
      <c r="D330" s="10"/>
      <c r="E330" s="7"/>
      <c r="F330" s="10"/>
      <c r="H330" s="6" t="e">
        <f t="shared" si="18"/>
        <v>#DIV/0!</v>
      </c>
      <c r="I330" s="6" t="e">
        <f t="shared" si="19"/>
        <v>#DIV/0!</v>
      </c>
    </row>
    <row r="331" spans="1:9" ht="17.25" customHeight="1" x14ac:dyDescent="0.2">
      <c r="A331" s="2"/>
      <c r="B331" s="2"/>
      <c r="C331" s="2"/>
      <c r="D331" s="10"/>
      <c r="E331" s="10"/>
      <c r="F331" s="10"/>
      <c r="H331" s="11" t="e">
        <f t="shared" si="18"/>
        <v>#DIV/0!</v>
      </c>
      <c r="I331" s="11" t="e">
        <f t="shared" si="19"/>
        <v>#DIV/0!</v>
      </c>
    </row>
    <row r="332" spans="1:9" ht="17.25" customHeight="1" x14ac:dyDescent="0.2">
      <c r="H332" s="6"/>
      <c r="I332" s="6"/>
    </row>
    <row r="333" spans="1:9" ht="17.25" customHeight="1" x14ac:dyDescent="0.2">
      <c r="H333" s="6"/>
      <c r="I333" s="6"/>
    </row>
    <row r="334" spans="1:9" ht="17.25" customHeight="1" x14ac:dyDescent="0.2">
      <c r="H334" s="6"/>
      <c r="I334" s="6"/>
    </row>
    <row r="335" spans="1:9" ht="17.25" customHeight="1" x14ac:dyDescent="0.2">
      <c r="H335" s="6"/>
      <c r="I335" s="6"/>
    </row>
    <row r="336" spans="1:9" ht="17.25" customHeight="1" x14ac:dyDescent="0.2">
      <c r="H336" s="6"/>
      <c r="I336" s="6"/>
    </row>
    <row r="337" spans="8:9" ht="17.25" customHeight="1" x14ac:dyDescent="0.2">
      <c r="H337" s="6"/>
      <c r="I337" s="6"/>
    </row>
    <row r="338" spans="8:9" ht="17.25" customHeight="1" x14ac:dyDescent="0.2">
      <c r="H338" s="6"/>
      <c r="I338" s="6"/>
    </row>
    <row r="339" spans="8:9" ht="17.25" customHeight="1" x14ac:dyDescent="0.2">
      <c r="H339" s="6"/>
      <c r="I339" s="6"/>
    </row>
    <row r="340" spans="8:9" ht="17.25" customHeight="1" x14ac:dyDescent="0.2">
      <c r="H340" s="6"/>
      <c r="I340" s="6"/>
    </row>
    <row r="341" spans="8:9" ht="17.25" customHeight="1" x14ac:dyDescent="0.2">
      <c r="H341" s="6"/>
      <c r="I341" s="6"/>
    </row>
    <row r="342" spans="8:9" ht="17.25" customHeight="1" x14ac:dyDescent="0.2">
      <c r="H342" s="6"/>
      <c r="I342" s="6"/>
    </row>
    <row r="343" spans="8:9" ht="17.25" customHeight="1" x14ac:dyDescent="0.2">
      <c r="H343" s="6"/>
      <c r="I343" s="6"/>
    </row>
    <row r="344" spans="8:9" ht="17.25" customHeight="1" x14ac:dyDescent="0.2">
      <c r="H344" s="6"/>
      <c r="I344" s="6"/>
    </row>
    <row r="345" spans="8:9" ht="17.25" customHeight="1" x14ac:dyDescent="0.2">
      <c r="H345" s="6"/>
      <c r="I345" s="6"/>
    </row>
    <row r="346" spans="8:9" ht="17.25" customHeight="1" x14ac:dyDescent="0.2">
      <c r="H346" s="6"/>
      <c r="I346" s="6"/>
    </row>
    <row r="347" spans="8:9" ht="17.25" customHeight="1" x14ac:dyDescent="0.2">
      <c r="H347" s="6"/>
      <c r="I347" s="6"/>
    </row>
    <row r="348" spans="8:9" ht="17.25" customHeight="1" x14ac:dyDescent="0.2">
      <c r="H348" s="6"/>
      <c r="I348" s="6"/>
    </row>
    <row r="349" spans="8:9" ht="17.25" customHeight="1" x14ac:dyDescent="0.2">
      <c r="H349" s="6"/>
      <c r="I349" s="6"/>
    </row>
    <row r="350" spans="8:9" ht="17.25" customHeight="1" x14ac:dyDescent="0.2">
      <c r="H350" s="6"/>
      <c r="I350" s="6"/>
    </row>
    <row r="351" spans="8:9" ht="17.25" customHeight="1" x14ac:dyDescent="0.2">
      <c r="H351" s="6"/>
      <c r="I351" s="6"/>
    </row>
    <row r="352" spans="8:9" ht="17.25" customHeight="1" x14ac:dyDescent="0.2">
      <c r="H352" s="6"/>
      <c r="I352" s="6"/>
    </row>
    <row r="353" spans="8:9" ht="17.25" customHeight="1" x14ac:dyDescent="0.2">
      <c r="H353" s="6"/>
      <c r="I353" s="6"/>
    </row>
    <row r="354" spans="8:9" ht="17.25" customHeight="1" x14ac:dyDescent="0.2">
      <c r="H354" s="6"/>
      <c r="I354" s="6"/>
    </row>
    <row r="355" spans="8:9" ht="17.25" customHeight="1" x14ac:dyDescent="0.2">
      <c r="H355" s="6"/>
      <c r="I355" s="6"/>
    </row>
    <row r="356" spans="8:9" ht="17.25" customHeight="1" x14ac:dyDescent="0.2">
      <c r="H356" s="6"/>
      <c r="I356" s="6"/>
    </row>
    <row r="357" spans="8:9" ht="17.25" customHeight="1" x14ac:dyDescent="0.2">
      <c r="H357" s="6"/>
      <c r="I357" s="6"/>
    </row>
    <row r="358" spans="8:9" ht="17.25" customHeight="1" x14ac:dyDescent="0.2">
      <c r="H358" s="6"/>
      <c r="I358" s="6"/>
    </row>
    <row r="359" spans="8:9" ht="17.25" customHeight="1" x14ac:dyDescent="0.2">
      <c r="H359" s="6"/>
      <c r="I359" s="6"/>
    </row>
    <row r="360" spans="8:9" ht="17.25" customHeight="1" x14ac:dyDescent="0.2">
      <c r="H360" s="6"/>
      <c r="I360" s="6"/>
    </row>
    <row r="361" spans="8:9" ht="17.25" customHeight="1" x14ac:dyDescent="0.2">
      <c r="H361" s="6"/>
      <c r="I361" s="6"/>
    </row>
    <row r="362" spans="8:9" ht="17.25" customHeight="1" x14ac:dyDescent="0.2">
      <c r="H362" s="6"/>
      <c r="I362" s="6"/>
    </row>
    <row r="363" spans="8:9" ht="17.25" customHeight="1" x14ac:dyDescent="0.2">
      <c r="H363" s="6"/>
      <c r="I363" s="6"/>
    </row>
    <row r="364" spans="8:9" ht="17.25" customHeight="1" x14ac:dyDescent="0.2">
      <c r="H364" s="6"/>
      <c r="I364" s="6"/>
    </row>
    <row r="365" spans="8:9" ht="17.25" customHeight="1" x14ac:dyDescent="0.2">
      <c r="H365" s="6"/>
      <c r="I365" s="6"/>
    </row>
    <row r="366" spans="8:9" ht="17.25" customHeight="1" x14ac:dyDescent="0.2">
      <c r="H366" s="6"/>
      <c r="I366" s="6"/>
    </row>
    <row r="367" spans="8:9" ht="17.25" customHeight="1" x14ac:dyDescent="0.2">
      <c r="H367" s="6"/>
      <c r="I367" s="6"/>
    </row>
    <row r="368" spans="8:9" ht="17.25" customHeight="1" x14ac:dyDescent="0.2">
      <c r="H368" s="6"/>
      <c r="I368" s="6"/>
    </row>
    <row r="369" spans="8:9" ht="17.25" customHeight="1" x14ac:dyDescent="0.2">
      <c r="H369" s="6"/>
      <c r="I369" s="6"/>
    </row>
    <row r="370" spans="8:9" ht="17.25" customHeight="1" x14ac:dyDescent="0.2">
      <c r="H370" s="6"/>
      <c r="I370" s="6"/>
    </row>
    <row r="371" spans="8:9" ht="17.25" customHeight="1" x14ac:dyDescent="0.2">
      <c r="H371" s="6"/>
      <c r="I371" s="6"/>
    </row>
    <row r="372" spans="8:9" ht="17.25" customHeight="1" x14ac:dyDescent="0.2">
      <c r="H372" s="6"/>
      <c r="I372" s="6"/>
    </row>
    <row r="373" spans="8:9" ht="17.25" customHeight="1" x14ac:dyDescent="0.2">
      <c r="H373" s="6"/>
      <c r="I373" s="6"/>
    </row>
    <row r="374" spans="8:9" ht="17.25" customHeight="1" x14ac:dyDescent="0.2">
      <c r="H374" s="6"/>
      <c r="I374" s="6"/>
    </row>
    <row r="375" spans="8:9" ht="17.25" customHeight="1" x14ac:dyDescent="0.2">
      <c r="H375" s="6"/>
      <c r="I375" s="6"/>
    </row>
    <row r="376" spans="8:9" ht="17.25" customHeight="1" x14ac:dyDescent="0.2">
      <c r="H376" s="6"/>
      <c r="I376" s="6"/>
    </row>
    <row r="377" spans="8:9" ht="17.25" customHeight="1" x14ac:dyDescent="0.2">
      <c r="H377" s="6"/>
      <c r="I377" s="6"/>
    </row>
    <row r="378" spans="8:9" ht="17.25" customHeight="1" x14ac:dyDescent="0.2">
      <c r="H378" s="6"/>
      <c r="I378" s="6"/>
    </row>
    <row r="379" spans="8:9" ht="17.25" customHeight="1" x14ac:dyDescent="0.2">
      <c r="H379" s="6"/>
      <c r="I379" s="6"/>
    </row>
    <row r="380" spans="8:9" ht="17.25" customHeight="1" x14ac:dyDescent="0.2">
      <c r="H380" s="6"/>
      <c r="I380" s="6"/>
    </row>
    <row r="381" spans="8:9" ht="17.25" customHeight="1" x14ac:dyDescent="0.2">
      <c r="H381" s="6"/>
      <c r="I381" s="6"/>
    </row>
    <row r="382" spans="8:9" ht="17.25" customHeight="1" x14ac:dyDescent="0.2">
      <c r="H382" s="6"/>
      <c r="I382" s="6"/>
    </row>
    <row r="383" spans="8:9" ht="17.25" customHeight="1" x14ac:dyDescent="0.2">
      <c r="H383" s="6"/>
      <c r="I383" s="6"/>
    </row>
    <row r="384" spans="8:9" ht="17.25" customHeight="1" x14ac:dyDescent="0.2">
      <c r="H384" s="6"/>
      <c r="I384" s="6"/>
    </row>
    <row r="385" spans="8:9" ht="17.25" customHeight="1" x14ac:dyDescent="0.2">
      <c r="H385" s="6"/>
      <c r="I385" s="6"/>
    </row>
    <row r="386" spans="8:9" ht="17.25" customHeight="1" x14ac:dyDescent="0.2">
      <c r="H386" s="6"/>
      <c r="I386" s="6"/>
    </row>
    <row r="387" spans="8:9" ht="17.25" customHeight="1" x14ac:dyDescent="0.2">
      <c r="H387" s="6"/>
      <c r="I387" s="6"/>
    </row>
    <row r="388" spans="8:9" ht="17.25" customHeight="1" x14ac:dyDescent="0.2">
      <c r="H388" s="6"/>
      <c r="I388" s="6"/>
    </row>
    <row r="389" spans="8:9" ht="17.25" customHeight="1" x14ac:dyDescent="0.2">
      <c r="H389" s="6"/>
      <c r="I389" s="6"/>
    </row>
    <row r="390" spans="8:9" ht="17.25" customHeight="1" x14ac:dyDescent="0.2">
      <c r="H390" s="6"/>
      <c r="I390" s="6"/>
    </row>
    <row r="391" spans="8:9" ht="17.25" customHeight="1" x14ac:dyDescent="0.2">
      <c r="H391" s="6"/>
      <c r="I391" s="6"/>
    </row>
    <row r="392" spans="8:9" ht="17.25" customHeight="1" x14ac:dyDescent="0.2">
      <c r="H392" s="6"/>
      <c r="I392" s="6"/>
    </row>
    <row r="393" spans="8:9" ht="17.25" customHeight="1" x14ac:dyDescent="0.2">
      <c r="H393" s="6"/>
      <c r="I393" s="6"/>
    </row>
    <row r="394" spans="8:9" ht="17.25" customHeight="1" x14ac:dyDescent="0.2">
      <c r="H394" s="6"/>
      <c r="I394" s="6"/>
    </row>
    <row r="395" spans="8:9" ht="17.25" customHeight="1" x14ac:dyDescent="0.2">
      <c r="H395" s="6"/>
      <c r="I395" s="6"/>
    </row>
    <row r="396" spans="8:9" ht="17.25" customHeight="1" x14ac:dyDescent="0.2">
      <c r="H396" s="6"/>
      <c r="I396" s="6"/>
    </row>
    <row r="397" spans="8:9" ht="17.25" customHeight="1" x14ac:dyDescent="0.2">
      <c r="H397" s="6"/>
      <c r="I397" s="6"/>
    </row>
    <row r="398" spans="8:9" ht="17.25" customHeight="1" x14ac:dyDescent="0.2">
      <c r="H398" s="6"/>
      <c r="I398" s="6"/>
    </row>
    <row r="399" spans="8:9" ht="17.25" customHeight="1" x14ac:dyDescent="0.2">
      <c r="H399" s="6"/>
      <c r="I399" s="6"/>
    </row>
    <row r="400" spans="8:9" ht="17.25" customHeight="1" x14ac:dyDescent="0.2">
      <c r="H400" s="6"/>
      <c r="I400" s="6"/>
    </row>
    <row r="401" spans="8:9" ht="17.25" customHeight="1" x14ac:dyDescent="0.2">
      <c r="H401" s="6"/>
      <c r="I401" s="6"/>
    </row>
    <row r="402" spans="8:9" ht="17.25" customHeight="1" x14ac:dyDescent="0.2">
      <c r="H402" s="6"/>
      <c r="I402" s="6"/>
    </row>
    <row r="403" spans="8:9" ht="17.25" customHeight="1" x14ac:dyDescent="0.2">
      <c r="H403" s="6"/>
      <c r="I403" s="6"/>
    </row>
    <row r="404" spans="8:9" ht="17.25" customHeight="1" x14ac:dyDescent="0.2">
      <c r="H404" s="6"/>
      <c r="I404" s="6"/>
    </row>
    <row r="405" spans="8:9" ht="17.25" customHeight="1" x14ac:dyDescent="0.2">
      <c r="H405" s="6"/>
      <c r="I405" s="6"/>
    </row>
    <row r="406" spans="8:9" ht="17.25" customHeight="1" x14ac:dyDescent="0.2">
      <c r="H406" s="6"/>
      <c r="I406" s="6"/>
    </row>
    <row r="407" spans="8:9" ht="17.25" customHeight="1" x14ac:dyDescent="0.2">
      <c r="H407" s="6"/>
      <c r="I407" s="6"/>
    </row>
    <row r="408" spans="8:9" ht="17.25" customHeight="1" x14ac:dyDescent="0.2">
      <c r="H408" s="6"/>
      <c r="I408" s="6"/>
    </row>
    <row r="409" spans="8:9" ht="17.25" customHeight="1" x14ac:dyDescent="0.2">
      <c r="H409" s="6"/>
      <c r="I409" s="6"/>
    </row>
    <row r="410" spans="8:9" ht="17.25" customHeight="1" x14ac:dyDescent="0.2">
      <c r="H410" s="6"/>
      <c r="I410" s="6"/>
    </row>
    <row r="411" spans="8:9" ht="17.25" customHeight="1" x14ac:dyDescent="0.2">
      <c r="H411" s="6"/>
      <c r="I411" s="6"/>
    </row>
    <row r="412" spans="8:9" ht="17.25" customHeight="1" x14ac:dyDescent="0.2">
      <c r="H412" s="6"/>
      <c r="I412" s="6"/>
    </row>
    <row r="413" spans="8:9" ht="17.25" customHeight="1" x14ac:dyDescent="0.2">
      <c r="H413" s="6"/>
      <c r="I413" s="6"/>
    </row>
    <row r="414" spans="8:9" ht="17.25" customHeight="1" x14ac:dyDescent="0.2">
      <c r="H414" s="6"/>
      <c r="I414" s="6"/>
    </row>
    <row r="415" spans="8:9" ht="17.25" customHeight="1" x14ac:dyDescent="0.2">
      <c r="H415" s="6"/>
      <c r="I415" s="6"/>
    </row>
    <row r="416" spans="8:9" ht="17.25" customHeight="1" x14ac:dyDescent="0.2">
      <c r="H416" s="6"/>
      <c r="I416" s="6"/>
    </row>
    <row r="417" spans="8:9" ht="17.25" customHeight="1" x14ac:dyDescent="0.2">
      <c r="H417" s="6"/>
      <c r="I417" s="6"/>
    </row>
    <row r="418" spans="8:9" ht="17.25" customHeight="1" x14ac:dyDescent="0.2">
      <c r="H418" s="6"/>
      <c r="I418" s="6"/>
    </row>
    <row r="419" spans="8:9" ht="17.25" customHeight="1" x14ac:dyDescent="0.2">
      <c r="H419" s="6"/>
      <c r="I419" s="6"/>
    </row>
    <row r="420" spans="8:9" ht="17.25" customHeight="1" x14ac:dyDescent="0.2">
      <c r="H420" s="6"/>
      <c r="I420" s="6"/>
    </row>
    <row r="421" spans="8:9" ht="17.25" customHeight="1" x14ac:dyDescent="0.2">
      <c r="H421" s="6"/>
      <c r="I421" s="6"/>
    </row>
    <row r="422" spans="8:9" ht="17.25" customHeight="1" x14ac:dyDescent="0.2">
      <c r="H422" s="6"/>
      <c r="I422" s="6"/>
    </row>
    <row r="423" spans="8:9" ht="17.25" customHeight="1" x14ac:dyDescent="0.2">
      <c r="H423" s="6"/>
      <c r="I423" s="6"/>
    </row>
    <row r="424" spans="8:9" ht="17.25" customHeight="1" x14ac:dyDescent="0.2">
      <c r="H424" s="6"/>
      <c r="I424" s="6"/>
    </row>
    <row r="425" spans="8:9" ht="17.25" customHeight="1" x14ac:dyDescent="0.2">
      <c r="H425" s="6"/>
      <c r="I425" s="6"/>
    </row>
    <row r="426" spans="8:9" ht="17.25" customHeight="1" x14ac:dyDescent="0.2">
      <c r="H426" s="6"/>
      <c r="I426" s="6"/>
    </row>
    <row r="427" spans="8:9" ht="17.25" customHeight="1" x14ac:dyDescent="0.2">
      <c r="H427" s="6"/>
      <c r="I427" s="6"/>
    </row>
    <row r="428" spans="8:9" ht="17.25" customHeight="1" x14ac:dyDescent="0.2">
      <c r="H428" s="6"/>
      <c r="I428" s="6"/>
    </row>
    <row r="429" spans="8:9" ht="17.25" customHeight="1" x14ac:dyDescent="0.2">
      <c r="H429" s="6"/>
      <c r="I429" s="6"/>
    </row>
    <row r="430" spans="8:9" ht="17.25" customHeight="1" x14ac:dyDescent="0.2">
      <c r="H430" s="6"/>
      <c r="I430" s="6"/>
    </row>
    <row r="431" spans="8:9" ht="17.25" customHeight="1" x14ac:dyDescent="0.2">
      <c r="H431" s="6"/>
      <c r="I431" s="6"/>
    </row>
    <row r="432" spans="8:9" ht="17.25" customHeight="1" x14ac:dyDescent="0.2">
      <c r="H432" s="6"/>
      <c r="I432" s="6"/>
    </row>
    <row r="433" spans="8:9" ht="17.25" customHeight="1" x14ac:dyDescent="0.2">
      <c r="H433" s="6"/>
      <c r="I433" s="6"/>
    </row>
    <row r="434" spans="8:9" ht="17.25" customHeight="1" x14ac:dyDescent="0.2">
      <c r="H434" s="6"/>
      <c r="I434" s="6"/>
    </row>
    <row r="435" spans="8:9" ht="17.25" customHeight="1" x14ac:dyDescent="0.2">
      <c r="H435" s="6"/>
      <c r="I435" s="6"/>
    </row>
    <row r="436" spans="8:9" ht="17.25" customHeight="1" x14ac:dyDescent="0.2">
      <c r="H436" s="6"/>
      <c r="I436" s="6"/>
    </row>
    <row r="437" spans="8:9" ht="17.25" customHeight="1" x14ac:dyDescent="0.2">
      <c r="H437" s="6"/>
      <c r="I437" s="6"/>
    </row>
    <row r="438" spans="8:9" ht="17.25" customHeight="1" x14ac:dyDescent="0.2">
      <c r="H438" s="6"/>
      <c r="I438" s="6"/>
    </row>
    <row r="439" spans="8:9" ht="17.25" customHeight="1" x14ac:dyDescent="0.2">
      <c r="H439" s="6"/>
      <c r="I439" s="6"/>
    </row>
    <row r="440" spans="8:9" ht="17.25" customHeight="1" x14ac:dyDescent="0.2">
      <c r="H440" s="6"/>
      <c r="I440" s="6"/>
    </row>
    <row r="441" spans="8:9" ht="17.25" customHeight="1" x14ac:dyDescent="0.2">
      <c r="H441" s="6"/>
      <c r="I441" s="6"/>
    </row>
    <row r="442" spans="8:9" ht="17.25" customHeight="1" x14ac:dyDescent="0.2">
      <c r="H442" s="6"/>
      <c r="I442" s="6"/>
    </row>
    <row r="443" spans="8:9" ht="17.25" customHeight="1" x14ac:dyDescent="0.2">
      <c r="H443" s="6"/>
      <c r="I443" s="6"/>
    </row>
    <row r="444" spans="8:9" ht="17.25" customHeight="1" x14ac:dyDescent="0.2">
      <c r="H444" s="6"/>
      <c r="I444" s="6"/>
    </row>
    <row r="445" spans="8:9" ht="17.25" customHeight="1" x14ac:dyDescent="0.2">
      <c r="H445" s="6"/>
      <c r="I445" s="6"/>
    </row>
    <row r="446" spans="8:9" ht="17.25" customHeight="1" x14ac:dyDescent="0.2">
      <c r="H446" s="6"/>
      <c r="I446" s="6"/>
    </row>
    <row r="447" spans="8:9" ht="17.25" customHeight="1" x14ac:dyDescent="0.2">
      <c r="H447" s="6"/>
      <c r="I447" s="6"/>
    </row>
    <row r="448" spans="8:9" ht="17.25" customHeight="1" x14ac:dyDescent="0.2">
      <c r="H448" s="6"/>
      <c r="I448" s="6"/>
    </row>
    <row r="449" spans="8:9" ht="17.25" customHeight="1" x14ac:dyDescent="0.2">
      <c r="H449" s="6"/>
      <c r="I449" s="6"/>
    </row>
    <row r="450" spans="8:9" ht="17.25" customHeight="1" x14ac:dyDescent="0.2">
      <c r="H450" s="6"/>
      <c r="I450" s="6"/>
    </row>
    <row r="451" spans="8:9" ht="17.25" customHeight="1" x14ac:dyDescent="0.2">
      <c r="H451" s="6"/>
      <c r="I451" s="6"/>
    </row>
    <row r="452" spans="8:9" ht="17.25" customHeight="1" x14ac:dyDescent="0.2">
      <c r="H452" s="6"/>
      <c r="I452" s="6"/>
    </row>
    <row r="453" spans="8:9" ht="17.25" customHeight="1" x14ac:dyDescent="0.2">
      <c r="H453" s="6"/>
      <c r="I453" s="6"/>
    </row>
    <row r="454" spans="8:9" ht="17.25" customHeight="1" x14ac:dyDescent="0.2">
      <c r="H454" s="6"/>
      <c r="I454" s="6"/>
    </row>
    <row r="455" spans="8:9" ht="17.25" customHeight="1" x14ac:dyDescent="0.2">
      <c r="H455" s="6"/>
      <c r="I455" s="6"/>
    </row>
    <row r="456" spans="8:9" ht="17.25" customHeight="1" x14ac:dyDescent="0.2">
      <c r="H456" s="6"/>
      <c r="I456" s="6"/>
    </row>
    <row r="457" spans="8:9" ht="17.25" customHeight="1" x14ac:dyDescent="0.2">
      <c r="H457" s="6"/>
      <c r="I457" s="6"/>
    </row>
    <row r="458" spans="8:9" ht="17.25" customHeight="1" x14ac:dyDescent="0.2">
      <c r="H458" s="6"/>
      <c r="I458" s="6"/>
    </row>
    <row r="459" spans="8:9" ht="17.25" customHeight="1" x14ac:dyDescent="0.2">
      <c r="H459" s="6"/>
      <c r="I459" s="6"/>
    </row>
    <row r="460" spans="8:9" ht="17.25" customHeight="1" x14ac:dyDescent="0.2">
      <c r="H460" s="6"/>
      <c r="I460" s="6"/>
    </row>
    <row r="461" spans="8:9" ht="17.25" customHeight="1" x14ac:dyDescent="0.2">
      <c r="H461" s="6"/>
      <c r="I461" s="6"/>
    </row>
    <row r="462" spans="8:9" ht="17.25" customHeight="1" x14ac:dyDescent="0.2">
      <c r="H462" s="6"/>
      <c r="I462" s="6"/>
    </row>
    <row r="463" spans="8:9" ht="17.25" customHeight="1" x14ac:dyDescent="0.2">
      <c r="H463" s="6"/>
      <c r="I463" s="6"/>
    </row>
    <row r="464" spans="8:9" ht="17.25" customHeight="1" x14ac:dyDescent="0.2">
      <c r="H464" s="6"/>
      <c r="I464" s="6"/>
    </row>
    <row r="465" spans="8:9" ht="17.25" customHeight="1" x14ac:dyDescent="0.2">
      <c r="H465" s="6"/>
      <c r="I465" s="6"/>
    </row>
    <row r="466" spans="8:9" ht="17.25" customHeight="1" x14ac:dyDescent="0.2">
      <c r="H466" s="6"/>
      <c r="I466" s="6"/>
    </row>
    <row r="467" spans="8:9" ht="17.25" customHeight="1" x14ac:dyDescent="0.2">
      <c r="H467" s="6"/>
      <c r="I467" s="6"/>
    </row>
    <row r="468" spans="8:9" ht="17.25" customHeight="1" x14ac:dyDescent="0.2">
      <c r="H468" s="6"/>
      <c r="I468" s="6"/>
    </row>
    <row r="469" spans="8:9" ht="17.25" customHeight="1" x14ac:dyDescent="0.2">
      <c r="H469" s="6"/>
      <c r="I469" s="6"/>
    </row>
    <row r="470" spans="8:9" ht="17.25" customHeight="1" x14ac:dyDescent="0.2">
      <c r="H470" s="6"/>
      <c r="I470" s="6"/>
    </row>
    <row r="471" spans="8:9" ht="17.25" customHeight="1" x14ac:dyDescent="0.2">
      <c r="H471" s="6"/>
      <c r="I471" s="6"/>
    </row>
    <row r="472" spans="8:9" ht="17.25" customHeight="1" x14ac:dyDescent="0.2">
      <c r="H472" s="6"/>
      <c r="I472" s="6"/>
    </row>
    <row r="473" spans="8:9" ht="17.25" customHeight="1" x14ac:dyDescent="0.2">
      <c r="H473" s="6"/>
      <c r="I473" s="6"/>
    </row>
    <row r="474" spans="8:9" ht="17.25" customHeight="1" x14ac:dyDescent="0.2">
      <c r="H474" s="6"/>
      <c r="I474" s="6"/>
    </row>
    <row r="475" spans="8:9" ht="17.25" customHeight="1" x14ac:dyDescent="0.2">
      <c r="H475" s="6"/>
      <c r="I475" s="6"/>
    </row>
    <row r="476" spans="8:9" ht="17.25" customHeight="1" x14ac:dyDescent="0.2">
      <c r="H476" s="6"/>
      <c r="I476" s="6"/>
    </row>
    <row r="477" spans="8:9" ht="17.25" customHeight="1" x14ac:dyDescent="0.2">
      <c r="H477" s="6"/>
      <c r="I477" s="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A25"/>
  <sheetViews>
    <sheetView workbookViewId="0"/>
  </sheetViews>
  <sheetFormatPr baseColWidth="10" defaultColWidth="8.83203125" defaultRowHeight="15" x14ac:dyDescent="0.2"/>
  <cols>
    <col min="1" max="1" width="11.83203125" style="3" bestFit="1" customWidth="1"/>
  </cols>
  <sheetData>
    <row r="1" spans="1:1" ht="17.25" customHeight="1" x14ac:dyDescent="0.2">
      <c r="A1" s="1" t="s">
        <v>0</v>
      </c>
    </row>
    <row r="2" spans="1:1" ht="17.25" customHeight="1" x14ac:dyDescent="0.2">
      <c r="A2" s="2">
        <v>141</v>
      </c>
    </row>
    <row r="3" spans="1:1" ht="17.25" customHeight="1" x14ac:dyDescent="0.2">
      <c r="A3" s="2">
        <v>142</v>
      </c>
    </row>
    <row r="4" spans="1:1" ht="17.25" customHeight="1" x14ac:dyDescent="0.2">
      <c r="A4" s="2">
        <v>143</v>
      </c>
    </row>
    <row r="5" spans="1:1" ht="17.25" customHeight="1" x14ac:dyDescent="0.2">
      <c r="A5" s="2">
        <v>144</v>
      </c>
    </row>
    <row r="6" spans="1:1" ht="17.25" customHeight="1" x14ac:dyDescent="0.2">
      <c r="A6" s="2">
        <v>145</v>
      </c>
    </row>
    <row r="7" spans="1:1" ht="17.25" customHeight="1" x14ac:dyDescent="0.2">
      <c r="A7" s="2">
        <v>146</v>
      </c>
    </row>
    <row r="8" spans="1:1" ht="17.25" customHeight="1" x14ac:dyDescent="0.2">
      <c r="A8" s="2">
        <v>147</v>
      </c>
    </row>
    <row r="9" spans="1:1" ht="17.25" customHeight="1" x14ac:dyDescent="0.2">
      <c r="A9" s="2">
        <v>148</v>
      </c>
    </row>
    <row r="10" spans="1:1" ht="17.25" customHeight="1" x14ac:dyDescent="0.2">
      <c r="A10" s="2">
        <v>149</v>
      </c>
    </row>
    <row r="11" spans="1:1" ht="17.25" customHeight="1" x14ac:dyDescent="0.2">
      <c r="A11" s="2">
        <v>150</v>
      </c>
    </row>
    <row r="12" spans="1:1" ht="17.25" customHeight="1" x14ac:dyDescent="0.2">
      <c r="A12" s="2">
        <v>151</v>
      </c>
    </row>
    <row r="13" spans="1:1" ht="17.25" customHeight="1" x14ac:dyDescent="0.2">
      <c r="A13" s="2">
        <v>152</v>
      </c>
    </row>
    <row r="14" spans="1:1" ht="17.25" customHeight="1" x14ac:dyDescent="0.2">
      <c r="A14" s="2">
        <v>153</v>
      </c>
    </row>
    <row r="15" spans="1:1" ht="17.25" customHeight="1" x14ac:dyDescent="0.2">
      <c r="A15" s="2">
        <v>154</v>
      </c>
    </row>
    <row r="16" spans="1:1" ht="17.25" customHeight="1" x14ac:dyDescent="0.2">
      <c r="A16" s="2">
        <v>155</v>
      </c>
    </row>
    <row r="17" spans="1:1" ht="17.25" customHeight="1" x14ac:dyDescent="0.2">
      <c r="A17" s="2">
        <v>156</v>
      </c>
    </row>
    <row r="18" spans="1:1" ht="17.25" customHeight="1" x14ac:dyDescent="0.2">
      <c r="A18" s="2">
        <v>157</v>
      </c>
    </row>
    <row r="19" spans="1:1" ht="17.25" customHeight="1" x14ac:dyDescent="0.2">
      <c r="A19" s="2">
        <v>158</v>
      </c>
    </row>
    <row r="20" spans="1:1" ht="17.25" customHeight="1" x14ac:dyDescent="0.2">
      <c r="A20" s="2">
        <v>159</v>
      </c>
    </row>
    <row r="21" spans="1:1" ht="17.25" customHeight="1" x14ac:dyDescent="0.2">
      <c r="A21" s="2">
        <v>160</v>
      </c>
    </row>
    <row r="22" spans="1:1" ht="17.25" customHeight="1" x14ac:dyDescent="0.2">
      <c r="A22" s="2">
        <v>161</v>
      </c>
    </row>
    <row r="23" spans="1:1" ht="17.25" customHeight="1" x14ac:dyDescent="0.2">
      <c r="A23" s="2">
        <v>162</v>
      </c>
    </row>
    <row r="24" spans="1:1" ht="17.25" customHeight="1" x14ac:dyDescent="0.2">
      <c r="A24" s="2">
        <v>163</v>
      </c>
    </row>
    <row r="25" spans="1:1" ht="17.25" customHeight="1" x14ac:dyDescent="0.2">
      <c r="A25" s="2">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Beamtime 1</vt:lpstr>
      <vt:lpstr>Beamtime 2</vt:lpstr>
      <vt:lpstr>Beamtime 3</vt:lpstr>
      <vt:lpstr>Beamtime 4</vt:lpstr>
      <vt:lpstr>Beamtime 5</vt:lpstr>
      <vt:lpstr>Targets</vt:lpstr>
      <vt:lpstr>Gamma Energies</vt:lpstr>
      <vt:lpstr>Resonance Energies</vt:lpstr>
      <vt:lpstr>Evaporated Scans - Beamtime 1</vt:lpstr>
      <vt:lpstr>Implanted Scans - Beamtime 2</vt:lpstr>
      <vt:lpstr>SUDFLUOR3 Scans - Beamtime 2</vt:lpstr>
      <vt:lpstr>SUDFLUOR4 Scans - Beamtime 2</vt:lpstr>
      <vt:lpstr>Blank Scans - Beamtime 1</vt:lpstr>
      <vt:lpstr>Implanted Scans - Beamtime 1</vt:lpstr>
      <vt:lpstr>Lost Runs</vt:lpstr>
      <vt:lpstr>'Beamtime 1'!_FilterDatabase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Riccardo Biasissi</cp:lastModifiedBy>
  <dcterms:created xsi:type="dcterms:W3CDTF">2026-01-21T15:57:35Z</dcterms:created>
  <dcterms:modified xsi:type="dcterms:W3CDTF">2026-03-04T16:09:26Z</dcterms:modified>
</cp:coreProperties>
</file>